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G:\Shared drives\Div. OHS\4. Data Safety (SDCER)\0. Data DCRS\4. 2026\11. KPI\"/>
    </mc:Choice>
  </mc:AlternateContent>
  <bookViews>
    <workbookView xWindow="0" yWindow="0" windowWidth="23040" windowHeight="8208" activeTab="5"/>
  </bookViews>
  <sheets>
    <sheet name="Gabungan Eval + Marine" sheetId="29" r:id="rId1"/>
    <sheet name="Updated KPI" sheetId="28" r:id="rId2"/>
    <sheet name="Supt SEDCR" sheetId="10" r:id="rId3"/>
    <sheet name="Safety Evaluator" sheetId="11" r:id="rId4"/>
    <sheet name="DCRS" sheetId="25" r:id="rId5"/>
    <sheet name="IFA" sheetId="30" r:id="rId6"/>
    <sheet name="Supt Marine Fix" sheetId="26" r:id="rId7"/>
    <sheet name="Spv Marine Fix" sheetId="27" r:id="rId8"/>
    <sheet name="ENDP" sheetId="21" state="hidden" r:id="rId9"/>
    <sheet name="Sheet1" sheetId="23" state="hidden" r:id="rId10"/>
    <sheet name="ENDP Pengawasan Berjarak" sheetId="22" state="hidden" r:id="rId11"/>
    <sheet name="Supt Marine" sheetId="17" state="hidden" r:id="rId12"/>
    <sheet name="Spv Marine" sheetId="18" state="hidden" r:id="rId13"/>
    <sheet name="Supt OH &amp; IH" sheetId="20" state="hidden" r:id="rId14"/>
    <sheet name="OH &amp; Officer" sheetId="1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s>
  <definedNames>
    <definedName name="_" localSheetId="4" hidden="1">'[1]ocean voyage'!#REF!</definedName>
    <definedName name="_" localSheetId="6" hidden="1">'[1]ocean voyage'!#REF!</definedName>
    <definedName name="_" hidden="1">'[1]ocean voyage'!#REF!</definedName>
    <definedName name="__" localSheetId="4" hidden="1">'[1]ocean voyage'!#REF!</definedName>
    <definedName name="__" localSheetId="6" hidden="1">'[1]ocean voyage'!#REF!</definedName>
    <definedName name="__" hidden="1">'[1]ocean voyage'!#REF!</definedName>
    <definedName name="______________KEY001" localSheetId="4" hidden="1">[2]LOADDAT!#REF!</definedName>
    <definedName name="______________KEY001" localSheetId="6" hidden="1">[2]LOADDAT!#REF!</definedName>
    <definedName name="______________KEY001" hidden="1">[2]LOADDAT!#REF!</definedName>
    <definedName name="______________KEY002" localSheetId="4" hidden="1">[2]LOADDAT!#REF!</definedName>
    <definedName name="______________KEY002" localSheetId="6" hidden="1">[2]LOADDAT!#REF!</definedName>
    <definedName name="______________KEY002" hidden="1">[2]LOADDAT!#REF!</definedName>
    <definedName name="______________KEY01" localSheetId="4" hidden="1">[2]LOADDAT!#REF!</definedName>
    <definedName name="______________KEY01" localSheetId="6" hidden="1">[2]LOADDAT!#REF!</definedName>
    <definedName name="______________KEY01" hidden="1">[2]LOADDAT!#REF!</definedName>
    <definedName name="______________KEY02" localSheetId="4" hidden="1">[2]LOADDAT!#REF!</definedName>
    <definedName name="______________KEY02" localSheetId="6" hidden="1">[2]LOADDAT!#REF!</definedName>
    <definedName name="______________KEY02" hidden="1">[2]LOADDAT!#REF!</definedName>
    <definedName name="____________ANH1" localSheetId="4" hidden="1">{#N/A,#N/A,FALSE,"Aging Summary";#N/A,#N/A,FALSE,"Ratio Analysis";#N/A,#N/A,FALSE,"Test 120 Day Accts";#N/A,#N/A,FALSE,"Tickmarks"}</definedName>
    <definedName name="____________ANH1" localSheetId="6" hidden="1">{#N/A,#N/A,FALSE,"Aging Summary";#N/A,#N/A,FALSE,"Ratio Analysis";#N/A,#N/A,FALSE,"Test 120 Day Accts";#N/A,#N/A,FALSE,"Tickmarks"}</definedName>
    <definedName name="____________ANH1" hidden="1">{#N/A,#N/A,FALSE,"Aging Summary";#N/A,#N/A,FALSE,"Ratio Analysis";#N/A,#N/A,FALSE,"Test 120 Day Accts";#N/A,#N/A,FALSE,"Tickmarks"}</definedName>
    <definedName name="____________KEY002" localSheetId="4" hidden="1">[2]LOADDAT!#REF!</definedName>
    <definedName name="____________KEY002" localSheetId="6" hidden="1">[2]LOADDAT!#REF!</definedName>
    <definedName name="____________KEY002" hidden="1">[2]LOADDAT!#REF!</definedName>
    <definedName name="____________KEY01" localSheetId="4" hidden="1">[2]LOADDAT!#REF!</definedName>
    <definedName name="____________KEY01" localSheetId="6" hidden="1">[2]LOADDAT!#REF!</definedName>
    <definedName name="____________KEY01" hidden="1">[2]LOADDAT!#REF!</definedName>
    <definedName name="____________KEY02" localSheetId="4" hidden="1">[2]LOADDAT!#REF!</definedName>
    <definedName name="____________KEY02" localSheetId="6" hidden="1">[2]LOADDAT!#REF!</definedName>
    <definedName name="____________KEY02" hidden="1">[2]LOADDAT!#REF!</definedName>
    <definedName name="__________KEY002" localSheetId="4" hidden="1">[2]LOADDAT!#REF!</definedName>
    <definedName name="__________KEY002" localSheetId="6" hidden="1">[2]LOADDAT!#REF!</definedName>
    <definedName name="__________KEY002" hidden="1">[2]LOADDAT!#REF!</definedName>
    <definedName name="__________KEY01" localSheetId="4" hidden="1">[2]LOADDAT!#REF!</definedName>
    <definedName name="__________KEY01" localSheetId="6" hidden="1">[2]LOADDAT!#REF!</definedName>
    <definedName name="__________KEY01" hidden="1">[2]LOADDAT!#REF!</definedName>
    <definedName name="__________KEY02" localSheetId="4" hidden="1">[2]LOADDAT!#REF!</definedName>
    <definedName name="__________KEY02" localSheetId="6" hidden="1">[2]LOADDAT!#REF!</definedName>
    <definedName name="__________KEY02" hidden="1">[2]LOADDAT!#REF!</definedName>
    <definedName name="________KEY002" localSheetId="4" hidden="1">[2]LOADDAT!#REF!</definedName>
    <definedName name="________KEY002" localSheetId="6" hidden="1">[2]LOADDAT!#REF!</definedName>
    <definedName name="________KEY002" hidden="1">[2]LOADDAT!#REF!</definedName>
    <definedName name="________KEY01" localSheetId="4" hidden="1">[2]LOADDAT!#REF!</definedName>
    <definedName name="________KEY01" localSheetId="6" hidden="1">[2]LOADDAT!#REF!</definedName>
    <definedName name="________KEY01" hidden="1">[2]LOADDAT!#REF!</definedName>
    <definedName name="________KEY02" localSheetId="4" hidden="1">[2]LOADDAT!#REF!</definedName>
    <definedName name="________KEY02" localSheetId="6" hidden="1">[2]LOADDAT!#REF!</definedName>
    <definedName name="________KEY02" hidden="1">[2]LOADDAT!#REF!</definedName>
    <definedName name="_______mot1" localSheetId="4" hidden="1">{#N/A,#N/A,FALSE,"Aging Summary";#N/A,#N/A,FALSE,"Ratio Analysis";#N/A,#N/A,FALSE,"Test 120 Day Accts";#N/A,#N/A,FALSE,"Tickmarks"}</definedName>
    <definedName name="_______mot1" localSheetId="6" hidden="1">{#N/A,#N/A,FALSE,"Aging Summary";#N/A,#N/A,FALSE,"Ratio Analysis";#N/A,#N/A,FALSE,"Test 120 Day Accts";#N/A,#N/A,FALSE,"Tickmarks"}</definedName>
    <definedName name="_______mot1" hidden="1">{#N/A,#N/A,FALSE,"Aging Summary";#N/A,#N/A,FALSE,"Ratio Analysis";#N/A,#N/A,FALSE,"Test 120 Day Accts";#N/A,#N/A,FALSE,"Tickmarks"}</definedName>
    <definedName name="_______mot2" localSheetId="4" hidden="1">{#N/A,#N/A,FALSE,"Aging Summary";#N/A,#N/A,FALSE,"Ratio Analysis";#N/A,#N/A,FALSE,"Test 120 Day Accts";#N/A,#N/A,FALSE,"Tickmarks"}</definedName>
    <definedName name="_______mot2" localSheetId="6" hidden="1">{#N/A,#N/A,FALSE,"Aging Summary";#N/A,#N/A,FALSE,"Ratio Analysis";#N/A,#N/A,FALSE,"Test 120 Day Accts";#N/A,#N/A,FALSE,"Tickmarks"}</definedName>
    <definedName name="_______mot2" hidden="1">{#N/A,#N/A,FALSE,"Aging Summary";#N/A,#N/A,FALSE,"Ratio Analysis";#N/A,#N/A,FALSE,"Test 120 Day Accts";#N/A,#N/A,FALSE,"Tickmarks"}</definedName>
    <definedName name="_______PL11" localSheetId="4" hidden="1">{#N/A,#N/A,FALSE,"Aging Summary";#N/A,#N/A,FALSE,"Ratio Analysis";#N/A,#N/A,FALSE,"Test 120 Day Accts";#N/A,#N/A,FALSE,"Tickmarks"}</definedName>
    <definedName name="_______PL11" localSheetId="6" hidden="1">{#N/A,#N/A,FALSE,"Aging Summary";#N/A,#N/A,FALSE,"Ratio Analysis";#N/A,#N/A,FALSE,"Test 120 Day Accts";#N/A,#N/A,FALSE,"Tickmarks"}</definedName>
    <definedName name="_______PL11" hidden="1">{#N/A,#N/A,FALSE,"Aging Summary";#N/A,#N/A,FALSE,"Ratio Analysis";#N/A,#N/A,FALSE,"Test 120 Day Accts";#N/A,#N/A,FALSE,"Tickmarks"}</definedName>
    <definedName name="_______PL21" localSheetId="4" hidden="1">{#N/A,#N/A,FALSE,"Aging Summary";#N/A,#N/A,FALSE,"Ratio Analysis";#N/A,#N/A,FALSE,"Test 120 Day Accts";#N/A,#N/A,FALSE,"Tickmarks"}</definedName>
    <definedName name="_______PL21" localSheetId="6" hidden="1">{#N/A,#N/A,FALSE,"Aging Summary";#N/A,#N/A,FALSE,"Ratio Analysis";#N/A,#N/A,FALSE,"Test 120 Day Accts";#N/A,#N/A,FALSE,"Tickmarks"}</definedName>
    <definedName name="_______PL21" hidden="1">{#N/A,#N/A,FALSE,"Aging Summary";#N/A,#N/A,FALSE,"Ratio Analysis";#N/A,#N/A,FALSE,"Test 120 Day Accts";#N/A,#N/A,FALSE,"Tickmarks"}</definedName>
    <definedName name="______ANH1" localSheetId="4" hidden="1">{#N/A,#N/A,FALSE,"Aging Summary";#N/A,#N/A,FALSE,"Ratio Analysis";#N/A,#N/A,FALSE,"Test 120 Day Accts";#N/A,#N/A,FALSE,"Tickmarks"}</definedName>
    <definedName name="______ANH1" localSheetId="6" hidden="1">{#N/A,#N/A,FALSE,"Aging Summary";#N/A,#N/A,FALSE,"Ratio Analysis";#N/A,#N/A,FALSE,"Test 120 Day Accts";#N/A,#N/A,FALSE,"Tickmarks"}</definedName>
    <definedName name="______ANH1" hidden="1">{#N/A,#N/A,FALSE,"Aging Summary";#N/A,#N/A,FALSE,"Ratio Analysis";#N/A,#N/A,FALSE,"Test 120 Day Accts";#N/A,#N/A,FALSE,"Tickmarks"}</definedName>
    <definedName name="______KEY002" localSheetId="4" hidden="1">[2]LOADDAT!#REF!</definedName>
    <definedName name="______KEY002" localSheetId="6" hidden="1">[2]LOADDAT!#REF!</definedName>
    <definedName name="______KEY002" hidden="1">[2]LOADDAT!#REF!</definedName>
    <definedName name="______KEY01" localSheetId="4" hidden="1">[2]LOADDAT!#REF!</definedName>
    <definedName name="______KEY01" localSheetId="6" hidden="1">[2]LOADDAT!#REF!</definedName>
    <definedName name="______KEY01" hidden="1">[2]LOADDAT!#REF!</definedName>
    <definedName name="______KEY02" localSheetId="4" hidden="1">[2]LOADDAT!#REF!</definedName>
    <definedName name="______KEY02" localSheetId="6" hidden="1">[2]LOADDAT!#REF!</definedName>
    <definedName name="______KEY02" hidden="1">[2]LOADDAT!#REF!</definedName>
    <definedName name="_____KEY002" localSheetId="4" hidden="1">[2]LOADDAT!#REF!</definedName>
    <definedName name="_____KEY002" localSheetId="6" hidden="1">[2]LOADDAT!#REF!</definedName>
    <definedName name="_____KEY002" hidden="1">[2]LOADDAT!#REF!</definedName>
    <definedName name="_____KEY01" localSheetId="4" hidden="1">[2]LOADDAT!#REF!</definedName>
    <definedName name="_____KEY01" localSheetId="6" hidden="1">[2]LOADDAT!#REF!</definedName>
    <definedName name="_____KEY01" hidden="1">[2]LOADDAT!#REF!</definedName>
    <definedName name="_____KEY02" localSheetId="4" hidden="1">[2]LOADDAT!#REF!</definedName>
    <definedName name="_____KEY02" localSheetId="6" hidden="1">[2]LOADDAT!#REF!</definedName>
    <definedName name="_____KEY02" hidden="1">[2]LOADDAT!#REF!</definedName>
    <definedName name="____KEY002" localSheetId="4" hidden="1">[2]LOADDAT!#REF!</definedName>
    <definedName name="____KEY002" localSheetId="6" hidden="1">[2]LOADDAT!#REF!</definedName>
    <definedName name="____KEY002" hidden="1">[2]LOADDAT!#REF!</definedName>
    <definedName name="____KEY01" localSheetId="4" hidden="1">[2]LOADDAT!#REF!</definedName>
    <definedName name="____KEY01" localSheetId="6" hidden="1">[2]LOADDAT!#REF!</definedName>
    <definedName name="____KEY01" hidden="1">[2]LOADDAT!#REF!</definedName>
    <definedName name="____KEY02" localSheetId="4" hidden="1">[2]LOADDAT!#REF!</definedName>
    <definedName name="____KEY02" localSheetId="6" hidden="1">[2]LOADDAT!#REF!</definedName>
    <definedName name="____KEY02" hidden="1">[2]LOADDAT!#REF!</definedName>
    <definedName name="___KEY002" localSheetId="4" hidden="1">[2]LOADDAT!#REF!</definedName>
    <definedName name="___KEY002" localSheetId="6" hidden="1">[2]LOADDAT!#REF!</definedName>
    <definedName name="___KEY002" hidden="1">[2]LOADDAT!#REF!</definedName>
    <definedName name="___KEY01" localSheetId="4" hidden="1">[2]LOADDAT!#REF!</definedName>
    <definedName name="___KEY01" localSheetId="6" hidden="1">[2]LOADDAT!#REF!</definedName>
    <definedName name="___KEY01" hidden="1">[2]LOADDAT!#REF!</definedName>
    <definedName name="___KEY02" localSheetId="4" hidden="1">[2]LOADDAT!#REF!</definedName>
    <definedName name="___KEY02" localSheetId="6" hidden="1">[2]LOADDAT!#REF!</definedName>
    <definedName name="___KEY02" hidden="1">[2]LOADDAT!#REF!</definedName>
    <definedName name="__1__123Graph_AChart_1A" hidden="1">[3]PRO_COAL!$E$33:$P$33</definedName>
    <definedName name="__123Graph_A" localSheetId="4" hidden="1">#REF!</definedName>
    <definedName name="__123Graph_A" localSheetId="6" hidden="1">#REF!</definedName>
    <definedName name="__123Graph_A" hidden="1">#REF!</definedName>
    <definedName name="__123Graph_AChart1" localSheetId="4" hidden="1">#REF!</definedName>
    <definedName name="__123Graph_AChart1" localSheetId="6" hidden="1">#REF!</definedName>
    <definedName name="__123Graph_AChart1" hidden="1">#REF!</definedName>
    <definedName name="__123Graph_ACurrent" localSheetId="4" hidden="1">#REF!</definedName>
    <definedName name="__123Graph_ACurrent" localSheetId="6" hidden="1">#REF!</definedName>
    <definedName name="__123Graph_ACurrent" hidden="1">#REF!</definedName>
    <definedName name="__123Graph_AGRANDTOTAL" localSheetId="4" hidden="1">'[4]4334-Summary'!#REF!</definedName>
    <definedName name="__123Graph_AGRANDTOTAL" localSheetId="6" hidden="1">'[4]4334-Summary'!#REF!</definedName>
    <definedName name="__123Graph_AGRANDTOTAL" hidden="1">'[4]4334-Summary'!#REF!</definedName>
    <definedName name="__123Graph_AGRANDTOTALC" localSheetId="4" hidden="1">'[4]4334-Summary'!#REF!</definedName>
    <definedName name="__123Graph_AGRANDTOTALC" localSheetId="6" hidden="1">'[4]4334-Summary'!#REF!</definedName>
    <definedName name="__123Graph_AGRANDTOTALC" hidden="1">'[4]4334-Summary'!#REF!</definedName>
    <definedName name="__123Graph_AGRAPH1" hidden="1">[4]A!$C$72:$C$72</definedName>
    <definedName name="__123Graph_APIPING" localSheetId="4" hidden="1">'[4]4334-Summary'!#REF!</definedName>
    <definedName name="__123Graph_APIPING" localSheetId="6" hidden="1">'[4]4334-Summary'!#REF!</definedName>
    <definedName name="__123Graph_APIPING" hidden="1">'[4]4334-Summary'!#REF!</definedName>
    <definedName name="__123Graph_B" localSheetId="4" hidden="1">#REF!</definedName>
    <definedName name="__123Graph_B" localSheetId="6" hidden="1">#REF!</definedName>
    <definedName name="__123Graph_B" hidden="1">#REF!</definedName>
    <definedName name="__123Graph_BChart1" localSheetId="4" hidden="1">#REF!</definedName>
    <definedName name="__123Graph_BChart1" localSheetId="6" hidden="1">#REF!</definedName>
    <definedName name="__123Graph_BChart1" hidden="1">#REF!</definedName>
    <definedName name="__123Graph_BCurrent" localSheetId="4" hidden="1">#REF!</definedName>
    <definedName name="__123Graph_BCurrent" localSheetId="6" hidden="1">#REF!</definedName>
    <definedName name="__123Graph_BCurrent" hidden="1">#REF!</definedName>
    <definedName name="__123Graph_BGRANDTOTAL" localSheetId="4" hidden="1">'[4]4334-Summary'!#REF!</definedName>
    <definedName name="__123Graph_BGRANDTOTAL" localSheetId="6" hidden="1">'[4]4334-Summary'!#REF!</definedName>
    <definedName name="__123Graph_BGRANDTOTAL" hidden="1">'[4]4334-Summary'!#REF!</definedName>
    <definedName name="__123Graph_BGRANDTOTALC" localSheetId="4" hidden="1">'[4]4334-Summary'!#REF!</definedName>
    <definedName name="__123Graph_BGRANDTOTALC" localSheetId="6" hidden="1">'[4]4334-Summary'!#REF!</definedName>
    <definedName name="__123Graph_BGRANDTOTALC" hidden="1">'[4]4334-Summary'!#REF!</definedName>
    <definedName name="__123Graph_BPIPING" localSheetId="4" hidden="1">'[4]4334-Summary'!#REF!</definedName>
    <definedName name="__123Graph_BPIPING" localSheetId="6" hidden="1">'[4]4334-Summary'!#REF!</definedName>
    <definedName name="__123Graph_BPIPING" hidden="1">'[4]4334-Summary'!#REF!</definedName>
    <definedName name="__123Graph_C" localSheetId="4" hidden="1">#REF!</definedName>
    <definedName name="__123Graph_C" localSheetId="6" hidden="1">#REF!</definedName>
    <definedName name="__123Graph_C" hidden="1">#REF!</definedName>
    <definedName name="__123Graph_CChart1" localSheetId="4" hidden="1">#REF!</definedName>
    <definedName name="__123Graph_CChart1" localSheetId="6" hidden="1">#REF!</definedName>
    <definedName name="__123Graph_CChart1" hidden="1">#REF!</definedName>
    <definedName name="__123Graph_CCHART14" localSheetId="4" hidden="1">'[5]Trading Statement'!#REF!</definedName>
    <definedName name="__123Graph_CCHART14" localSheetId="6" hidden="1">'[5]Trading Statement'!#REF!</definedName>
    <definedName name="__123Graph_CCHART14" hidden="1">'[5]Trading Statement'!#REF!</definedName>
    <definedName name="__123Graph_CCHART15" localSheetId="4" hidden="1">'[5]Trading Statement'!#REF!</definedName>
    <definedName name="__123Graph_CCHART15" localSheetId="6" hidden="1">'[5]Trading Statement'!#REF!</definedName>
    <definedName name="__123Graph_CCHART15" hidden="1">'[5]Trading Statement'!#REF!</definedName>
    <definedName name="__123Graph_CCHART16" localSheetId="4" hidden="1">'[5]Trading Statement'!#REF!</definedName>
    <definedName name="__123Graph_CCHART16" localSheetId="6" hidden="1">'[5]Trading Statement'!#REF!</definedName>
    <definedName name="__123Graph_CCHART16" hidden="1">'[5]Trading Statement'!#REF!</definedName>
    <definedName name="__123Graph_CCHART17" localSheetId="4" hidden="1">'[5]Trading Statement'!#REF!</definedName>
    <definedName name="__123Graph_CCHART17" localSheetId="6" hidden="1">'[5]Trading Statement'!#REF!</definedName>
    <definedName name="__123Graph_CCHART17" hidden="1">'[5]Trading Statement'!#REF!</definedName>
    <definedName name="__123Graph_CCHART18" localSheetId="4" hidden="1">'[5]Trading Statement'!#REF!</definedName>
    <definedName name="__123Graph_CCHART18" localSheetId="6" hidden="1">'[5]Trading Statement'!#REF!</definedName>
    <definedName name="__123Graph_CCHART18" hidden="1">'[5]Trading Statement'!#REF!</definedName>
    <definedName name="__123Graph_CCHART19" hidden="1">'[5]Trading Statement'!#REF!</definedName>
    <definedName name="__123Graph_CCHART2" hidden="1">'[5]Trading Statement'!#REF!</definedName>
    <definedName name="__123Graph_CCHART20" hidden="1">'[5]Trading Statement'!#REF!</definedName>
    <definedName name="__123Graph_CCHART21" hidden="1">'[5]Trading Statement'!#REF!</definedName>
    <definedName name="__123Graph_CCHART22" hidden="1">'[5]Trading Statement'!#REF!</definedName>
    <definedName name="__123Graph_CCHART23" hidden="1">'[5]Trading Statement'!#REF!</definedName>
    <definedName name="__123Graph_CCHART24" hidden="1">'[5]Trading Statement'!#REF!</definedName>
    <definedName name="__123Graph_CCHART25" hidden="1">'[5]Trading Statement'!#REF!</definedName>
    <definedName name="__123Graph_CCHART26" hidden="1">'[5]Trading Statement'!#REF!</definedName>
    <definedName name="__123Graph_CCHART27" hidden="1">'[5]Trading Statement'!#REF!</definedName>
    <definedName name="__123Graph_CCHART28" hidden="1">'[5]Trading Statement'!#REF!</definedName>
    <definedName name="__123Graph_CCHART29" hidden="1">'[5]Trading Statement'!#REF!</definedName>
    <definedName name="__123Graph_CCHART3" hidden="1">'[5]Trading Statement'!#REF!</definedName>
    <definedName name="__123Graph_CCHART30" hidden="1">'[5]Trading Statement'!#REF!</definedName>
    <definedName name="__123Graph_CCHART31" hidden="1">'[5]Trading Statement'!#REF!</definedName>
    <definedName name="__123Graph_CCHART32" hidden="1">'[5]Trading Statement'!#REF!</definedName>
    <definedName name="__123Graph_CCHART33" hidden="1">'[5]Trading Statement'!#REF!</definedName>
    <definedName name="__123Graph_CCHART34" hidden="1">'[5]Trading Statement'!#REF!</definedName>
    <definedName name="__123Graph_CCHART35" hidden="1">'[5]Trading Statement'!#REF!</definedName>
    <definedName name="__123Graph_CCHART36" hidden="1">'[5]Trading Statement'!#REF!</definedName>
    <definedName name="__123Graph_CCHART37" hidden="1">'[5]Trading Statement'!#REF!</definedName>
    <definedName name="__123Graph_CCHART38" hidden="1">'[5]Trading Statement'!#REF!</definedName>
    <definedName name="__123Graph_CCHART39" hidden="1">'[5]Trading Statement'!#REF!</definedName>
    <definedName name="__123Graph_CCHART4" hidden="1">'[5]Trading Statement'!#REF!</definedName>
    <definedName name="__123Graph_CCHART40" hidden="1">'[5]Trading Statement'!#REF!</definedName>
    <definedName name="__123Graph_CCHART41" hidden="1">'[5]Trading Statement'!#REF!</definedName>
    <definedName name="__123Graph_CCHART42" hidden="1">'[5]Trading Statement'!#REF!</definedName>
    <definedName name="__123Graph_CCHART47" hidden="1">'[5]Trading Statement'!#REF!</definedName>
    <definedName name="__123Graph_CCHART48" hidden="1">'[5]Trading Statement'!#REF!</definedName>
    <definedName name="__123Graph_CCHART49" hidden="1">'[5]Trading Statement'!#REF!</definedName>
    <definedName name="__123Graph_CCHART5" hidden="1">'[5]Trading Statement'!#REF!</definedName>
    <definedName name="__123Graph_CCHART50" hidden="1">'[5]Trading Statement'!#REF!</definedName>
    <definedName name="__123Graph_CCHART51" hidden="1">'[5]Trading Statement'!#REF!</definedName>
    <definedName name="__123Graph_CCHART52" hidden="1">'[5]Trading Statement'!#REF!</definedName>
    <definedName name="__123Graph_CCHART53" hidden="1">'[5]Trading Statement'!#REF!</definedName>
    <definedName name="__123Graph_CCHART54" hidden="1">'[5]Trading Statement'!#REF!</definedName>
    <definedName name="__123Graph_CCHART55" hidden="1">'[5]Trading Statement'!#REF!</definedName>
    <definedName name="__123Graph_CCHART56" hidden="1">'[5]Trading Statement'!#REF!</definedName>
    <definedName name="__123Graph_CCHART57" hidden="1">'[5]Trading Statement'!#REF!</definedName>
    <definedName name="__123Graph_CCHART58" hidden="1">'[5]Trading Statement'!#REF!</definedName>
    <definedName name="__123Graph_CCHART59" hidden="1">'[5]Trading Statement'!#REF!</definedName>
    <definedName name="__123Graph_CCHART6" hidden="1">'[5]Trading Statement'!#REF!</definedName>
    <definedName name="__123Graph_CCHART60" hidden="1">'[5]Trading Statement'!#REF!</definedName>
    <definedName name="__123Graph_CCHART7" hidden="1">'[5]Trading Statement'!#REF!</definedName>
    <definedName name="__123Graph_CCHART8" hidden="1">'[5]Trading Statement'!#REF!</definedName>
    <definedName name="__123Graph_CCHART9" hidden="1">'[5]Trading Statement'!#REF!</definedName>
    <definedName name="__123Graph_CCurrent" localSheetId="4" hidden="1">#REF!</definedName>
    <definedName name="__123Graph_CCurrent" localSheetId="6" hidden="1">#REF!</definedName>
    <definedName name="__123Graph_CCurrent" hidden="1">#REF!</definedName>
    <definedName name="__123Graph_CGRANDTOTAL" localSheetId="4" hidden="1">'[4]4334-Summary'!#REF!</definedName>
    <definedName name="__123Graph_CGRANDTOTAL" localSheetId="6" hidden="1">'[4]4334-Summary'!#REF!</definedName>
    <definedName name="__123Graph_CGRANDTOTAL" hidden="1">'[4]4334-Summary'!#REF!</definedName>
    <definedName name="__123Graph_CGRANDTOTALC" hidden="1">'[4]4334-Summary'!#REF!</definedName>
    <definedName name="__123Graph_CPIPING" hidden="1">'[4]4334-Summary'!#REF!</definedName>
    <definedName name="__123Graph_D" hidden="1">[6]SEX!$P$7:$P$7</definedName>
    <definedName name="__123Graph_DChart1" localSheetId="4" hidden="1">#REF!</definedName>
    <definedName name="__123Graph_DChart1" localSheetId="6" hidden="1">#REF!</definedName>
    <definedName name="__123Graph_DChart1" hidden="1">#REF!</definedName>
    <definedName name="__123Graph_DCurrent" localSheetId="4" hidden="1">#REF!</definedName>
    <definedName name="__123Graph_DCurrent" localSheetId="6" hidden="1">#REF!</definedName>
    <definedName name="__123Graph_DCurrent" hidden="1">#REF!</definedName>
    <definedName name="__123Graph_DGRANDTOTAL" localSheetId="4" hidden="1">'[4]4334-Summary'!#REF!</definedName>
    <definedName name="__123Graph_DGRANDTOTAL" localSheetId="6" hidden="1">'[4]4334-Summary'!#REF!</definedName>
    <definedName name="__123Graph_DGRANDTOTAL" hidden="1">'[4]4334-Summary'!#REF!</definedName>
    <definedName name="__123Graph_DGRANDTOTALC" localSheetId="4" hidden="1">'[4]4334-Summary'!#REF!</definedName>
    <definedName name="__123Graph_DGRANDTOTALC" localSheetId="6" hidden="1">'[4]4334-Summary'!#REF!</definedName>
    <definedName name="__123Graph_DGRANDTOTALC" hidden="1">'[4]4334-Summary'!#REF!</definedName>
    <definedName name="__123Graph_DPIPING" localSheetId="4" hidden="1">'[4]4334-Summary'!#REF!</definedName>
    <definedName name="__123Graph_DPIPING" localSheetId="6" hidden="1">'[4]4334-Summary'!#REF!</definedName>
    <definedName name="__123Graph_DPIPING" hidden="1">'[4]4334-Summary'!#REF!</definedName>
    <definedName name="__123Graph_EGRANDTOTAL" localSheetId="4" hidden="1">'[4]4334-Summary'!#REF!</definedName>
    <definedName name="__123Graph_EGRANDTOTAL" localSheetId="6" hidden="1">'[4]4334-Summary'!#REF!</definedName>
    <definedName name="__123Graph_EGRANDTOTAL" hidden="1">'[4]4334-Summary'!#REF!</definedName>
    <definedName name="__123Graph_EGRANDTOTALC" hidden="1">'[4]4334-Summary'!#REF!</definedName>
    <definedName name="__123Graph_EPIPING" hidden="1">'[4]4334-Summary'!#REF!</definedName>
    <definedName name="__123Graph_FGRANDTOTAL" hidden="1">'[4]4334-Summary'!#REF!</definedName>
    <definedName name="__123Graph_FPIPING" hidden="1">'[4]4334-Summary'!#REF!</definedName>
    <definedName name="__123Graph_X" hidden="1">'[7]Keppel Land'!$A$17:$A$94</definedName>
    <definedName name="__3__123Graph_CChart_1A" hidden="1">[3]PRO_COAL!$E$35:$P$35</definedName>
    <definedName name="__4__123Graph_DChart_1A" hidden="1">[3]PRO_COAL!$E$36:$P$36</definedName>
    <definedName name="__5__123Graph_XChart_1A" hidden="1">[3]PRO_COAL!$E$32:$P$32</definedName>
    <definedName name="__a1" localSheetId="4" hidden="1">#REF!</definedName>
    <definedName name="__a1" localSheetId="6" hidden="1">#REF!</definedName>
    <definedName name="__a1" hidden="1">#REF!</definedName>
    <definedName name="__FDS_HYPERLINK_TOGGLE_STATE__" hidden="1">"ON"</definedName>
    <definedName name="__IntlFixup" hidden="1">TRUE</definedName>
    <definedName name="__KEY001" localSheetId="4" hidden="1">[2]LOADDAT!#REF!</definedName>
    <definedName name="__KEY001" localSheetId="6" hidden="1">[2]LOADDAT!#REF!</definedName>
    <definedName name="__KEY001" hidden="1">[2]LOADDAT!#REF!</definedName>
    <definedName name="__KEY002" localSheetId="4" hidden="1">[2]LOADDAT!#REF!</definedName>
    <definedName name="__KEY002" localSheetId="6" hidden="1">[2]LOADDAT!#REF!</definedName>
    <definedName name="__KEY002" hidden="1">[2]LOADDAT!#REF!</definedName>
    <definedName name="__KEY01" hidden="1">[2]LOADDAT!#REF!</definedName>
    <definedName name="__KEY02" hidden="1">[2]LOADDAT!#REF!</definedName>
    <definedName name="_1" hidden="1">'[8]1999'!#REF!</definedName>
    <definedName name="_1__123Graph_ACHART_1" hidden="1">'[8]1999'!#REF!</definedName>
    <definedName name="_1__123Graph_AChart_1A" hidden="1">[3]PRO_COAL!$E$33:$P$33</definedName>
    <definedName name="_10__123Graph_ACHART_21" hidden="1">[9]OVERBURDEN!$T$46:$U$46</definedName>
    <definedName name="_11__123Graph_ACHART_22" hidden="1">[9]OVERBURDEN!$T$71:$U$71</definedName>
    <definedName name="_12__123Graph_ACHART_3" hidden="1">[9]SUBKON!$C$41:$N$41</definedName>
    <definedName name="_1223" localSheetId="4" hidden="1">'[8]1999'!#REF!</definedName>
    <definedName name="_1223" hidden="1">'[8]1999'!#REF!</definedName>
    <definedName name="_13__123Graph_ACHART_4" hidden="1">[9]SUBKON!$C$63:$N$63</definedName>
    <definedName name="_14__123Graph_BCHART_1" hidden="1">[9]OVERBURDEN!$D$26:$O$26</definedName>
    <definedName name="_15__123Graph_BCHART_13" hidden="1">[9]MAINTENANCE!$C$35:$N$35</definedName>
    <definedName name="_16__123Graph_BCHART_15" hidden="1">[9]MAINTENANCE!$C$56:$H$56</definedName>
    <definedName name="_17__123Graph_BCHART_16" hidden="1">[9]SUBKON!$C$20:$N$20</definedName>
    <definedName name="_18__123Graph_BCHART_17" hidden="1">[9]OVERBURDEN!$D$47:$O$47</definedName>
    <definedName name="_19__123Graph_BCHART_18" hidden="1">[9]OVERBURDEN!$D$72:$O$72</definedName>
    <definedName name="_2__123Graph_ACHART_1" localSheetId="4" hidden="1">[10]Sheet1!#REF!</definedName>
    <definedName name="_2__123Graph_ACHART_1" localSheetId="6" hidden="1">[10]Sheet1!#REF!</definedName>
    <definedName name="_2__123Graph_ACHART_1" hidden="1">[10]Sheet1!#REF!</definedName>
    <definedName name="_2__123Graph_ACHART_13" hidden="1">[9]MAINTENANCE!$C$34:$N$34</definedName>
    <definedName name="_2__123Graph_BCHART_1" localSheetId="4" hidden="1">'[8]1999'!#REF!</definedName>
    <definedName name="_2__123Graph_BCHART_1" localSheetId="6" hidden="1">'[8]1999'!#REF!</definedName>
    <definedName name="_2__123Graph_BCHART_1" hidden="1">'[8]1999'!#REF!</definedName>
    <definedName name="_2__123Graph_BChart_1A" hidden="1">[3]PRO_COAL!$E$34:$P$34</definedName>
    <definedName name="_20__123Graph_BCHART_19" hidden="1">[9]MAINTENANCE!$C$56:$N$56</definedName>
    <definedName name="_21__123Graph_BCHART_2" hidden="1">[9]MAINTENANCE!$C$17:$N$17</definedName>
    <definedName name="_22__123Graph_BCHART_20" hidden="1">[9]OVERBURDEN!$T$26:$U$26</definedName>
    <definedName name="_23__123Graph_BCHART_21" hidden="1">[9]OVERBURDEN!$T$47:$U$47</definedName>
    <definedName name="_24__123Graph_BCHART_22" hidden="1">[9]OVERBURDEN!$T$72:$U$72</definedName>
    <definedName name="_25__123Graph_BCHART_3" hidden="1">[9]SUBKON!$C$42:$N$42</definedName>
    <definedName name="_26__123Graph_BCHART_4" hidden="1">[9]SUBKON!$C$64:$N$64</definedName>
    <definedName name="_27__123Graph_CCHART_3" hidden="1">[9]SUBKON!$C$43:$N$43</definedName>
    <definedName name="_28__123Graph_CCHART_4" hidden="1">[9]SUBKON!$C$65:$N$65</definedName>
    <definedName name="_29__123Graph_DCHART_3" hidden="1">[9]SUBKON!$C$44:$N$44</definedName>
    <definedName name="_3__123Graph_ACHART_15" hidden="1">[9]MAINTENANCE!$C$55:$H$55</definedName>
    <definedName name="_3__123Graph_CChart_1A" hidden="1">[3]PRO_COAL!$E$35:$P$35</definedName>
    <definedName name="_3__123Graph_XCHART_1" localSheetId="4" hidden="1">'[8]1999'!#REF!</definedName>
    <definedName name="_3__123Graph_XCHART_1" localSheetId="6" hidden="1">'[8]1999'!#REF!</definedName>
    <definedName name="_3__123Graph_XCHART_1" hidden="1">'[8]1999'!#REF!</definedName>
    <definedName name="_30__123Graph_XCHART_1" hidden="1">[9]OVERBURDEN!$D$24:$O$24</definedName>
    <definedName name="_31__123Graph_XCHART_18" hidden="1">[9]OVERBURDEN!$D$70:$O$70</definedName>
    <definedName name="_32__123Graph_XCHART_21" hidden="1">[9]OVERBURDEN!$T$45:$U$45</definedName>
    <definedName name="_321" localSheetId="4" hidden="1">#REF!</definedName>
    <definedName name="_321" localSheetId="6" hidden="1">#REF!</definedName>
    <definedName name="_321" hidden="1">#REF!</definedName>
    <definedName name="_33__123Graph_XCHART_22" hidden="1">[9]OVERBURDEN!$T$70:$U$70</definedName>
    <definedName name="_34__123Graph_XCHART_4" hidden="1">[9]SUBKON!$C$62:$N$62</definedName>
    <definedName name="_4__123Graph_ACHART_16" hidden="1">[9]SUBKON!$C$19:$N$19</definedName>
    <definedName name="_4__123Graph_BCHART_1" localSheetId="4" hidden="1">[10]Sheet1!#REF!</definedName>
    <definedName name="_4__123Graph_BCHART_1" localSheetId="6" hidden="1">[10]Sheet1!#REF!</definedName>
    <definedName name="_4__123Graph_BCHART_1" hidden="1">[10]Sheet1!#REF!</definedName>
    <definedName name="_4__123Graph_DChart_1A" hidden="1">[3]PRO_COAL!$E$36:$P$36</definedName>
    <definedName name="_5__123Graph_ACHART_17" hidden="1">[9]OVERBURDEN!$D$46:$O$46</definedName>
    <definedName name="_5__123Graph_XChart_1A" hidden="1">[3]PRO_COAL!$E$32:$P$32</definedName>
    <definedName name="_6__123Graph_ACHART_18" hidden="1">[9]OVERBURDEN!$D$71:$O$71</definedName>
    <definedName name="_6__123Graph_XCHART_1" localSheetId="4" hidden="1">[10]Sheet1!#REF!</definedName>
    <definedName name="_6__123Graph_XCHART_1" localSheetId="6" hidden="1">[10]Sheet1!#REF!</definedName>
    <definedName name="_6__123Graph_XCHART_1" hidden="1">[10]Sheet1!#REF!</definedName>
    <definedName name="_7__123Graph_ACHART_19" hidden="1">[9]MAINTENANCE!$C$55:$N$55</definedName>
    <definedName name="_8__123Graph_ACHART_2" hidden="1">[9]MAINTENANCE!$C$16:$N$16</definedName>
    <definedName name="_9__123Graph_ACHART_20" hidden="1">[9]OVERBURDEN!$T$25:$U$25</definedName>
    <definedName name="_a1" localSheetId="4" hidden="1">#REF!</definedName>
    <definedName name="_a1" localSheetId="6" hidden="1">#REF!</definedName>
    <definedName name="_a1" hidden="1">#REF!</definedName>
    <definedName name="_F1" localSheetId="4" hidden="1">{#N/A,#N/A,FALSE,"CCTV"}</definedName>
    <definedName name="_F1" localSheetId="6" hidden="1">{#N/A,#N/A,FALSE,"CCTV"}</definedName>
    <definedName name="_F1" hidden="1">{#N/A,#N/A,FALSE,"CCTV"}</definedName>
    <definedName name="_Fill" hidden="1">'[8]1999'!$C$10:$N$10</definedName>
    <definedName name="_Filla" localSheetId="4" hidden="1">#REF!</definedName>
    <definedName name="_Filla" localSheetId="6" hidden="1">#REF!</definedName>
    <definedName name="_Filla" hidden="1">#REF!</definedName>
    <definedName name="_xlnm._FilterDatabase" localSheetId="4" hidden="1">DCRS!$A$1:$P$19</definedName>
    <definedName name="_Key1" localSheetId="4" hidden="1">#REF!</definedName>
    <definedName name="_Key1" localSheetId="6" hidden="1">#REF!</definedName>
    <definedName name="_Key1" hidden="1">#REF!</definedName>
    <definedName name="_Key2" localSheetId="4" hidden="1">#REF!</definedName>
    <definedName name="_Key2" localSheetId="6" hidden="1">#REF!</definedName>
    <definedName name="_Key2" hidden="1">#REF!</definedName>
    <definedName name="_MP1" localSheetId="6" hidden="1">#REF!</definedName>
    <definedName name="_MP1" hidden="1">#REF!</definedName>
    <definedName name="_Order1" hidden="1">255</definedName>
    <definedName name="_Order2" hidden="1">255</definedName>
    <definedName name="_Regression_Int" hidden="1">1</definedName>
    <definedName name="_Regression_Out" localSheetId="4" hidden="1">#REF!</definedName>
    <definedName name="_Regression_Out" hidden="1">#REF!</definedName>
    <definedName name="_Regression_X" localSheetId="4" hidden="1">#REF!</definedName>
    <definedName name="_Regression_X" hidden="1">#REF!</definedName>
    <definedName name="_Regression_Y" localSheetId="4" hidden="1">#REF!</definedName>
    <definedName name="_Regression_Y" hidden="1">#REF!</definedName>
    <definedName name="_Sort" hidden="1">#REF!</definedName>
    <definedName name="a" localSheetId="4" hidden="1">'[1]ocean voyage'!#REF!</definedName>
    <definedName name="a" localSheetId="6" hidden="1">'[1]ocean voyage'!#REF!</definedName>
    <definedName name="a" hidden="1">'[1]ocean voyage'!#REF!</definedName>
    <definedName name="aa" localSheetId="4" hidden="1">#REF!</definedName>
    <definedName name="aa" localSheetId="6" hidden="1">#REF!</definedName>
    <definedName name="aa" hidden="1">#REF!</definedName>
    <definedName name="aaa" localSheetId="4" hidden="1">{#N/A,#N/A,FALSE,"CCTV"}</definedName>
    <definedName name="aaa" localSheetId="6" hidden="1">{#N/A,#N/A,FALSE,"CCTV"}</definedName>
    <definedName name="aaa" hidden="1">{#N/A,#N/A,FALSE,"CCTV"}</definedName>
    <definedName name="aaaa_2" localSheetId="4" hidden="1">{"mult96",#N/A,FALSE,"PETCOMP";"est96",#N/A,FALSE,"PETCOMP";"mult95",#N/A,FALSE,"PETCOMP";"est95",#N/A,FALSE,"PETCOMP";"multltm",#N/A,FALSE,"PETCOMP";"resultltm",#N/A,FALSE,"PETCOMP"}</definedName>
    <definedName name="aaaa_2" localSheetId="6" hidden="1">{"mult96",#N/A,FALSE,"PETCOMP";"est96",#N/A,FALSE,"PETCOMP";"mult95",#N/A,FALSE,"PETCOMP";"est95",#N/A,FALSE,"PETCOMP";"multltm",#N/A,FALSE,"PETCOMP";"resultltm",#N/A,FALSE,"PETCOMP"}</definedName>
    <definedName name="aaaa_2" hidden="1">{"mult96",#N/A,FALSE,"PETCOMP";"est96",#N/A,FALSE,"PETCOMP";"mult95",#N/A,FALSE,"PETCOMP";"est95",#N/A,FALSE,"PETCOMP";"multltm",#N/A,FALSE,"PETCOMP";"resultltm",#N/A,FALSE,"PETCOMP"}</definedName>
    <definedName name="aaaa_3" localSheetId="4" hidden="1">{"mult96",#N/A,FALSE,"PETCOMP";"est96",#N/A,FALSE,"PETCOMP";"mult95",#N/A,FALSE,"PETCOMP";"est95",#N/A,FALSE,"PETCOMP";"multltm",#N/A,FALSE,"PETCOMP";"resultltm",#N/A,FALSE,"PETCOMP"}</definedName>
    <definedName name="aaaa_3" localSheetId="6" hidden="1">{"mult96",#N/A,FALSE,"PETCOMP";"est96",#N/A,FALSE,"PETCOMP";"mult95",#N/A,FALSE,"PETCOMP";"est95",#N/A,FALSE,"PETCOMP";"multltm",#N/A,FALSE,"PETCOMP";"resultltm",#N/A,FALSE,"PETCOMP"}</definedName>
    <definedName name="aaaa_3" hidden="1">{"mult96",#N/A,FALSE,"PETCOMP";"est96",#N/A,FALSE,"PETCOMP";"mult95",#N/A,FALSE,"PETCOMP";"est95",#N/A,FALSE,"PETCOMP";"multltm",#N/A,FALSE,"PETCOMP";"resultltm",#N/A,FALSE,"PETCOMP"}</definedName>
    <definedName name="abc"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_2"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_3"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bc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acaca" localSheetId="4" hidden="1">{"Aneh",#N/A,FALSE,"Sheet1"}</definedName>
    <definedName name="acaca" localSheetId="6" hidden="1">{"Aneh",#N/A,FALSE,"Sheet1"}</definedName>
    <definedName name="acaca" hidden="1">{"Aneh",#N/A,FALSE,"Sheet1"}</definedName>
    <definedName name="acacac" localSheetId="4" hidden="1">{"Aneh",#N/A,FALSE,"Sheet1"}</definedName>
    <definedName name="acacac" localSheetId="6" hidden="1">{"Aneh",#N/A,FALSE,"Sheet1"}</definedName>
    <definedName name="acacac" hidden="1">{"Aneh",#N/A,FALSE,"Sheet1"}</definedName>
    <definedName name="acacaca" localSheetId="4" hidden="1">{"Aneh",#N/A,FALSE,"Sheet1"}</definedName>
    <definedName name="acacaca" localSheetId="6" hidden="1">{"Aneh",#N/A,FALSE,"Sheet1"}</definedName>
    <definedName name="acacaca" hidden="1">{"Aneh",#N/A,FALSE,"Sheet1"}</definedName>
    <definedName name="acacacac" localSheetId="4" hidden="1">{"Aneh",#N/A,FALSE,"Sheet1"}</definedName>
    <definedName name="acacacac" localSheetId="6" hidden="1">{"Aneh",#N/A,FALSE,"Sheet1"}</definedName>
    <definedName name="acacacac" hidden="1">{"Aneh",#N/A,FALSE,"Sheet1"}</definedName>
    <definedName name="acacacacac" localSheetId="4" hidden="1">{"Aneh",#N/A,FALSE,"Sheet1"}</definedName>
    <definedName name="acacacacac" localSheetId="6" hidden="1">{"Aneh",#N/A,FALSE,"Sheet1"}</definedName>
    <definedName name="acacacacac" hidden="1">{"Aneh",#N/A,FALSE,"Sheet1"}</definedName>
    <definedName name="acacacas" localSheetId="4" hidden="1">{"Aneh",#N/A,FALSE,"Sheet1"}</definedName>
    <definedName name="acacacas" localSheetId="6" hidden="1">{"Aneh",#N/A,FALSE,"Sheet1"}</definedName>
    <definedName name="acacacas" hidden="1">{"Aneh",#N/A,FALSE,"Sheet1"}</definedName>
    <definedName name="acacascacacd" localSheetId="4" hidden="1">{"Aneh",#N/A,FALSE,"Sheet1"}</definedName>
    <definedName name="acacascacacd" localSheetId="6" hidden="1">{"Aneh",#N/A,FALSE,"Sheet1"}</definedName>
    <definedName name="acacascacacd" hidden="1">{"Aneh",#N/A,FALSE,"Sheet1"}</definedName>
    <definedName name="acacascasc" localSheetId="4" hidden="1">{"Aneh",#N/A,FALSE,"Sheet1"}</definedName>
    <definedName name="acacascasc" localSheetId="6" hidden="1">{"Aneh",#N/A,FALSE,"Sheet1"}</definedName>
    <definedName name="acacascasc" hidden="1">{"Aneh",#N/A,FALSE,"Sheet1"}</definedName>
    <definedName name="acacascasca" localSheetId="4" hidden="1">{"Aneh",#N/A,FALSE,"Sheet1"}</definedName>
    <definedName name="acacascasca" localSheetId="6" hidden="1">{"Aneh",#N/A,FALSE,"Sheet1"}</definedName>
    <definedName name="acacascasca" hidden="1">{"Aneh",#N/A,FALSE,"Sheet1"}</definedName>
    <definedName name="acas" localSheetId="4" hidden="1">{"Aneh",#N/A,FALSE,"Sheet1"}</definedName>
    <definedName name="acas" localSheetId="6" hidden="1">{"Aneh",#N/A,FALSE,"Sheet1"}</definedName>
    <definedName name="acas" hidden="1">{"Aneh",#N/A,FALSE,"Sheet1"}</definedName>
    <definedName name="acascascas" localSheetId="4" hidden="1">{"Aneh",#N/A,FALSE,"Sheet1"}</definedName>
    <definedName name="acascascas" localSheetId="6" hidden="1">{"Aneh",#N/A,FALSE,"Sheet1"}</definedName>
    <definedName name="acascascas" hidden="1">{"Aneh",#N/A,FALSE,"Sheet1"}</definedName>
    <definedName name="acdcw" localSheetId="4" hidden="1">{"Aneh",#N/A,FALSE,"Sheet1"}</definedName>
    <definedName name="acdcw" localSheetId="6" hidden="1">{"Aneh",#N/A,FALSE,"Sheet1"}</definedName>
    <definedName name="acdcw" hidden="1">{"Aneh",#N/A,FALSE,"Sheet1"}</definedName>
    <definedName name="aceaas" localSheetId="4" hidden="1">{"Aneh",#N/A,FALSE,"Sheet1"}</definedName>
    <definedName name="aceaas" localSheetId="6" hidden="1">{"Aneh",#N/A,FALSE,"Sheet1"}</definedName>
    <definedName name="aceaas" hidden="1">{"Aneh",#N/A,FALSE,"Sheet1"}</definedName>
    <definedName name="acsacac" localSheetId="4" hidden="1">{"Aneh",#N/A,FALSE,"Sheet1"}</definedName>
    <definedName name="acsacac" localSheetId="6" hidden="1">{"Aneh",#N/A,FALSE,"Sheet1"}</definedName>
    <definedName name="acsacac" hidden="1">{"Aneh",#N/A,FALSE,"Sheet1"}</definedName>
    <definedName name="acsacascasc" localSheetId="4" hidden="1">{"Aneh",#N/A,FALSE,"Sheet1"}</definedName>
    <definedName name="acsacascasc" localSheetId="6" hidden="1">{"Aneh",#N/A,FALSE,"Sheet1"}</definedName>
    <definedName name="acsacascasc" hidden="1">{"Aneh",#N/A,FALSE,"Sheet1"}</definedName>
    <definedName name="acsascac" localSheetId="4" hidden="1">{"Aneh",#N/A,FALSE,"Sheet1"}</definedName>
    <definedName name="acsascac" localSheetId="6" hidden="1">{"Aneh",#N/A,FALSE,"Sheet1"}</definedName>
    <definedName name="acsascac" hidden="1">{"Aneh",#N/A,FALSE,"Sheet1"}</definedName>
    <definedName name="acsasscasa" localSheetId="4" hidden="1">{"Aneh",#N/A,FALSE,"Sheet1"}</definedName>
    <definedName name="acsasscasa" localSheetId="6" hidden="1">{"Aneh",#N/A,FALSE,"Sheet1"}</definedName>
    <definedName name="acsasscasa" hidden="1">{"Aneh",#N/A,FALSE,"Sheet1"}</definedName>
    <definedName name="acscacas" localSheetId="4" hidden="1">{"Aneh",#N/A,FALSE,"Sheet1"}</definedName>
    <definedName name="acscacas" localSheetId="6" hidden="1">{"Aneh",#N/A,FALSE,"Sheet1"}</definedName>
    <definedName name="acscacas" hidden="1">{"Aneh",#N/A,FALSE,"Sheet1"}</definedName>
    <definedName name="Ada" localSheetId="4" hidden="1">#REF!</definedName>
    <definedName name="Ada" hidden="1">#REF!</definedName>
    <definedName name="adadad" localSheetId="4" hidden="1">{"Aneh",#N/A,FALSE,"Sheet1"}</definedName>
    <definedName name="adadad" localSheetId="6" hidden="1">{"Aneh",#N/A,FALSE,"Sheet1"}</definedName>
    <definedName name="adadad" hidden="1">{"Aneh",#N/A,FALSE,"Sheet1"}</definedName>
    <definedName name="adasda" localSheetId="4" hidden="1">{"Aneh",#N/A,FALSE,"Sheet1"}</definedName>
    <definedName name="adasda" localSheetId="6" hidden="1">{"Aneh",#N/A,FALSE,"Sheet1"}</definedName>
    <definedName name="adasda" hidden="1">{"Aneh",#N/A,FALSE,"Sheet1"}</definedName>
    <definedName name="adcadcac" localSheetId="4" hidden="1">{"Aneh",#N/A,FALSE,"Sheet1"}</definedName>
    <definedName name="adcadcac" localSheetId="6" hidden="1">{"Aneh",#N/A,FALSE,"Sheet1"}</definedName>
    <definedName name="adcadcac" hidden="1">{"Aneh",#N/A,FALSE,"Sheet1"}</definedName>
    <definedName name="aecsdfe" localSheetId="4" hidden="1">{"Aneh",#N/A,FALSE,"Sheet1"}</definedName>
    <definedName name="aecsdfe" localSheetId="6" hidden="1">{"Aneh",#N/A,FALSE,"Sheet1"}</definedName>
    <definedName name="aecsdfe" hidden="1">{"Aneh",#N/A,FALSE,"Sheet1"}</definedName>
    <definedName name="agag" localSheetId="4" hidden="1">{"adj95mult",#N/A,FALSE,"COMPCO";"adj95est",#N/A,FALSE,"COMPCO"}</definedName>
    <definedName name="agag" localSheetId="6" hidden="1">{"adj95mult",#N/A,FALSE,"COMPCO";"adj95est",#N/A,FALSE,"COMPCO"}</definedName>
    <definedName name="agag" hidden="1">{"adj95mult",#N/A,FALSE,"COMPCO";"adj95est",#N/A,FALSE,"COMPCO"}</definedName>
    <definedName name="agag_2" localSheetId="4" hidden="1">{"adj95mult",#N/A,FALSE,"COMPCO";"adj95est",#N/A,FALSE,"COMPCO"}</definedName>
    <definedName name="agag_2" localSheetId="6" hidden="1">{"adj95mult",#N/A,FALSE,"COMPCO";"adj95est",#N/A,FALSE,"COMPCO"}</definedName>
    <definedName name="agag_2" hidden="1">{"adj95mult",#N/A,FALSE,"COMPCO";"adj95est",#N/A,FALSE,"COMPCO"}</definedName>
    <definedName name="agag_3" localSheetId="4" hidden="1">{"adj95mult",#N/A,FALSE,"COMPCO";"adj95est",#N/A,FALSE,"COMPCO"}</definedName>
    <definedName name="agag_3" localSheetId="6" hidden="1">{"adj95mult",#N/A,FALSE,"COMPCO";"adj95est",#N/A,FALSE,"COMPCO"}</definedName>
    <definedName name="agag_3" hidden="1">{"adj95mult",#N/A,FALSE,"COMPCO";"adj95est",#N/A,FALSE,"COMPCO"}</definedName>
    <definedName name="aji" localSheetId="4" hidden="1">{"Graphic",#N/A,TRUE,"Graphic"}</definedName>
    <definedName name="aji" localSheetId="6" hidden="1">{"Graphic",#N/A,TRUE,"Graphic"}</definedName>
    <definedName name="aji" hidden="1">{"Graphic",#N/A,TRUE,"Graphic"}</definedName>
    <definedName name="amelia"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amelia"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amelia"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ANH" localSheetId="4" hidden="1">{#N/A,#N/A,FALSE,"Aging Summary";#N/A,#N/A,FALSE,"Ratio Analysis";#N/A,#N/A,FALSE,"Test 120 Day Accts";#N/A,#N/A,FALSE,"Tickmarks"}</definedName>
    <definedName name="ANH" localSheetId="6" hidden="1">{#N/A,#N/A,FALSE,"Aging Summary";#N/A,#N/A,FALSE,"Ratio Analysis";#N/A,#N/A,FALSE,"Test 120 Day Accts";#N/A,#N/A,FALSE,"Tickmarks"}</definedName>
    <definedName name="ANH" hidden="1">{#N/A,#N/A,FALSE,"Aging Summary";#N/A,#N/A,FALSE,"Ratio Analysis";#N/A,#N/A,FALSE,"Test 120 Day Accts";#N/A,#N/A,FALSE,"Tickmarks"}</definedName>
    <definedName name="anscount" hidden="1">1</definedName>
    <definedName name="AP_HCS" hidden="1">'[1]ocean voyage'!#REF!</definedName>
    <definedName name="as" hidden="1">'[11]Daily Report'!#REF!</definedName>
    <definedName name="as_2" localSheetId="4" hidden="1">{"qchm_dcf",#N/A,FALSE,"QCHMDCF2";"qchm_terminal",#N/A,FALSE,"QCHMDCF2"}</definedName>
    <definedName name="as_2" localSheetId="6" hidden="1">{"qchm_dcf",#N/A,FALSE,"QCHMDCF2";"qchm_terminal",#N/A,FALSE,"QCHMDCF2"}</definedName>
    <definedName name="as_2" hidden="1">{"qchm_dcf",#N/A,FALSE,"QCHMDCF2";"qchm_terminal",#N/A,FALSE,"QCHMDCF2"}</definedName>
    <definedName name="as_3" localSheetId="4" hidden="1">{"qchm_dcf",#N/A,FALSE,"QCHMDCF2";"qchm_terminal",#N/A,FALSE,"QCHMDCF2"}</definedName>
    <definedName name="as_3" localSheetId="6" hidden="1">{"qchm_dcf",#N/A,FALSE,"QCHMDCF2";"qchm_terminal",#N/A,FALSE,"QCHMDCF2"}</definedName>
    <definedName name="as_3" hidden="1">{"qchm_dcf",#N/A,FALSE,"QCHMDCF2";"qchm_terminal",#N/A,FALSE,"QCHMDCF2"}</definedName>
    <definedName name="AS2DocOpenMode" hidden="1">"AS2DocumentEdit"</definedName>
    <definedName name="AS2ReportLS" hidden="1">1</definedName>
    <definedName name="AS2StaticLS" localSheetId="4" hidden="1">#REF!</definedName>
    <definedName name="AS2StaticLS" localSheetId="6" hidden="1">#REF!</definedName>
    <definedName name="AS2StaticLS" hidden="1">#REF!</definedName>
    <definedName name="AS2SyncStepLS" hidden="1">0</definedName>
    <definedName name="AS2TickmarkLS" localSheetId="4" hidden="1">#REF!</definedName>
    <definedName name="AS2TickmarkLS" localSheetId="6" hidden="1">#REF!</definedName>
    <definedName name="AS2TickmarkLS" hidden="1">#REF!</definedName>
    <definedName name="AS2VersionLS" hidden="1">300</definedName>
    <definedName name="asa" localSheetId="4" hidden="1">'[4]4334-Summary'!#REF!</definedName>
    <definedName name="asa" localSheetId="6" hidden="1">'[4]4334-Summary'!#REF!</definedName>
    <definedName name="asa" hidden="1">'[4]4334-Summary'!#REF!</definedName>
    <definedName name="asam" localSheetId="4" hidden="1">{#N/A,#N/A,FALSE,"REK";#N/A,#N/A,FALSE,"Bq-ARS"}</definedName>
    <definedName name="asam" localSheetId="6" hidden="1">{#N/A,#N/A,FALSE,"REK";#N/A,#N/A,FALSE,"Bq-ARS"}</definedName>
    <definedName name="asam" hidden="1">{#N/A,#N/A,FALSE,"REK";#N/A,#N/A,FALSE,"Bq-ARS"}</definedName>
    <definedName name="ASASAS" localSheetId="4" hidden="1">{"Aneh",#N/A,FALSE,"Sheet1"}</definedName>
    <definedName name="ASASAS" localSheetId="6" hidden="1">{"Aneh",#N/A,FALSE,"Sheet1"}</definedName>
    <definedName name="ASASAS" hidden="1">{"Aneh",#N/A,FALSE,"Sheet1"}</definedName>
    <definedName name="ascacaca" localSheetId="4" hidden="1">{"Aneh",#N/A,FALSE,"Sheet1"}</definedName>
    <definedName name="ascacaca" localSheetId="6" hidden="1">{"Aneh",#N/A,FALSE,"Sheet1"}</definedName>
    <definedName name="ascacaca" hidden="1">{"Aneh",#N/A,FALSE,"Sheet1"}</definedName>
    <definedName name="ascacacasc" localSheetId="4" hidden="1">{"Aneh",#N/A,FALSE,"Sheet1"}</definedName>
    <definedName name="ascacacasc" localSheetId="6" hidden="1">{"Aneh",#N/A,FALSE,"Sheet1"}</definedName>
    <definedName name="ascacacasc" hidden="1">{"Aneh",#N/A,FALSE,"Sheet1"}</definedName>
    <definedName name="ascascaca" localSheetId="4" hidden="1">{"Aneh",#N/A,FALSE,"Sheet1"}</definedName>
    <definedName name="ascascaca" localSheetId="6" hidden="1">{"Aneh",#N/A,FALSE,"Sheet1"}</definedName>
    <definedName name="ascascaca" hidden="1">{"Aneh",#N/A,FALSE,"Sheet1"}</definedName>
    <definedName name="asce" localSheetId="4" hidden="1">{"Aneh",#N/A,FALSE,"Sheet1"}</definedName>
    <definedName name="asce" localSheetId="6" hidden="1">{"Aneh",#N/A,FALSE,"Sheet1"}</definedName>
    <definedName name="asce" hidden="1">{"Aneh",#N/A,FALSE,"Sheet1"}</definedName>
    <definedName name="asd" localSheetId="4" hidden="1">{#N/A,#N/A,FALSE,"Aging Summary";#N/A,#N/A,FALSE,"Ratio Analysis";#N/A,#N/A,FALSE,"Test 120 Day Accts";#N/A,#N/A,FALSE,"Tickmarks"}</definedName>
    <definedName name="asd" localSheetId="6" hidden="1">{#N/A,#N/A,FALSE,"Aging Summary";#N/A,#N/A,FALSE,"Ratio Analysis";#N/A,#N/A,FALSE,"Test 120 Day Accts";#N/A,#N/A,FALSE,"Tickmarks"}</definedName>
    <definedName name="asd" hidden="1">{#N/A,#N/A,FALSE,"Aging Summary";#N/A,#N/A,FALSE,"Ratio Analysis";#N/A,#N/A,FALSE,"Test 120 Day Accts";#N/A,#N/A,FALSE,"Tickmarks"}</definedName>
    <definedName name="asdada" localSheetId="4" hidden="1">{"Aneh",#N/A,FALSE,"Sheet1"}</definedName>
    <definedName name="asdada" localSheetId="6" hidden="1">{"Aneh",#N/A,FALSE,"Sheet1"}</definedName>
    <definedName name="asdada" hidden="1">{"Aneh",#N/A,FALSE,"Sheet1"}</definedName>
    <definedName name="asdadada." localSheetId="4" hidden="1">{"Aneh",#N/A,FALSE,"Sheet1"}</definedName>
    <definedName name="asdadada." localSheetId="6" hidden="1">{"Aneh",#N/A,FALSE,"Sheet1"}</definedName>
    <definedName name="asdadada." hidden="1">{"Aneh",#N/A,FALSE,"Sheet1"}</definedName>
    <definedName name="asdf" hidden="1">[12]Data!$AF$4:$AF$263</definedName>
    <definedName name="asec" localSheetId="4" hidden="1">{"Aneh",#N/A,FALSE,"Sheet1"}</definedName>
    <definedName name="asec" localSheetId="6" hidden="1">{"Aneh",#N/A,FALSE,"Sheet1"}</definedName>
    <definedName name="asec" hidden="1">{"Aneh",#N/A,FALSE,"Sheet1"}</definedName>
    <definedName name="ASEP" localSheetId="4" hidden="1">{"Aneh",#N/A,FALSE,"Sheet1"}</definedName>
    <definedName name="ASEP" localSheetId="6" hidden="1">{"Aneh",#N/A,FALSE,"Sheet1"}</definedName>
    <definedName name="ASEP" hidden="1">{"Aneh",#N/A,FALSE,"Sheet1"}</definedName>
    <definedName name="asl"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l"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l"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arl" localSheetId="4" hidden="1">#REF!</definedName>
    <definedName name="barl" hidden="1">#REF!</definedName>
    <definedName name="batman" localSheetId="4" hidden="1">{#N/A,#N/A,FALSE,"P&amp;L";#N/A,#N/A,FALSE,"CashFlow";#N/A,#N/A,FALSE,"Rev";#N/A,#N/A,FALSE,"Costs";#N/A,#N/A,FALSE,"CapexWC";#N/A,#N/A,FALSE,"CashDebt";#N/A,#N/A,FALSE,"Inv";#N/A,#N/A,FALSE,"Tax";#N/A,#N/A,FALSE,"Div";#N/A,#N/A,FALSE,"Equity"}</definedName>
    <definedName name="batman" localSheetId="6" hidden="1">{#N/A,#N/A,FALSE,"P&amp;L";#N/A,#N/A,FALSE,"CashFlow";#N/A,#N/A,FALSE,"Rev";#N/A,#N/A,FALSE,"Costs";#N/A,#N/A,FALSE,"CapexWC";#N/A,#N/A,FALSE,"CashDebt";#N/A,#N/A,FALSE,"Inv";#N/A,#N/A,FALSE,"Tax";#N/A,#N/A,FALSE,"Div";#N/A,#N/A,FALSE,"Equity"}</definedName>
    <definedName name="batman" hidden="1">{#N/A,#N/A,FALSE,"P&amp;L";#N/A,#N/A,FALSE,"CashFlow";#N/A,#N/A,FALSE,"Rev";#N/A,#N/A,FALSE,"Costs";#N/A,#N/A,FALSE,"CapexWC";#N/A,#N/A,FALSE,"CashDebt";#N/A,#N/A,FALSE,"Inv";#N/A,#N/A,FALSE,"Tax";#N/A,#N/A,FALSE,"Div";#N/A,#N/A,FALSE,"Equity"}</definedName>
    <definedName name="BBB"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dhcbhdjbcds" localSheetId="4" hidden="1">#REF!</definedName>
    <definedName name="bdhcbhdjbcds" hidden="1">#REF!</definedName>
    <definedName name="bfgbhtgbhgtrhn" localSheetId="4" hidden="1">#REF!</definedName>
    <definedName name="bfgbhtgbhgtrhn" hidden="1">#REF!</definedName>
    <definedName name="BG_Del" hidden="1">15</definedName>
    <definedName name="BG_Ins" hidden="1">4</definedName>
    <definedName name="BG_Mod" hidden="1">6</definedName>
    <definedName name="bimo" localSheetId="4" hidden="1">'[1]ocean voyage'!#REF!</definedName>
    <definedName name="bimo" localSheetId="6" hidden="1">'[1]ocean voyage'!#REF!</definedName>
    <definedName name="bimo" hidden="1">'[1]ocean voyage'!#REF!</definedName>
    <definedName name="Blangko" localSheetId="4" hidden="1">{#N/A,#N/A,FALSE,"WP [10]"}</definedName>
    <definedName name="Blangko" localSheetId="6" hidden="1">{#N/A,#N/A,FALSE,"WP [10]"}</definedName>
    <definedName name="Blangko" hidden="1">{#N/A,#N/A,FALSE,"WP [10]"}</definedName>
    <definedName name="BLPH1" localSheetId="4" hidden="1">#REF!</definedName>
    <definedName name="BLPH1" localSheetId="6" hidden="1">#REF!</definedName>
    <definedName name="BLPH1" hidden="1">#REF!</definedName>
    <definedName name="BLPH10" hidden="1">[13]data!$A$3</definedName>
    <definedName name="BLPH2" localSheetId="4" hidden="1">#REF!</definedName>
    <definedName name="BLPH2" localSheetId="6" hidden="1">#REF!</definedName>
    <definedName name="BLPH2" hidden="1">#REF!</definedName>
    <definedName name="BLPH3" localSheetId="4" hidden="1">#REF!</definedName>
    <definedName name="BLPH3" localSheetId="6" hidden="1">#REF!</definedName>
    <definedName name="BLPH3" hidden="1">#REF!</definedName>
    <definedName name="budget" localSheetId="4" hidden="1">'[1]ocean voyage'!#REF!</definedName>
    <definedName name="budget" localSheetId="6" hidden="1">'[1]ocean voyage'!#REF!</definedName>
    <definedName name="budget" hidden="1">'[1]ocean voyage'!#REF!</definedName>
    <definedName name="BUMI" localSheetId="4" hidden="1">{#N/A,#N/A,FALSE,"One Pager";#N/A,#N/A,FALSE,"Technical"}</definedName>
    <definedName name="BUMI" localSheetId="6" hidden="1">{#N/A,#N/A,FALSE,"One Pager";#N/A,#N/A,FALSE,"Technical"}</definedName>
    <definedName name="BUMI" hidden="1">{#N/A,#N/A,FALSE,"One Pager";#N/A,#N/A,FALSE,"Technical"}</definedName>
    <definedName name="cac" localSheetId="4" hidden="1">{"Aneh",#N/A,FALSE,"Sheet1"}</definedName>
    <definedName name="cac" localSheetId="6" hidden="1">{"Aneh",#N/A,FALSE,"Sheet1"}</definedName>
    <definedName name="cac" hidden="1">{"Aneh",#N/A,FALSE,"Sheet1"}</definedName>
    <definedName name="cadda" localSheetId="4" hidden="1">{"Aneh",#N/A,FALSE,"Sheet1"}</definedName>
    <definedName name="cadda" localSheetId="6" hidden="1">{"Aneh",#N/A,FALSE,"Sheet1"}</definedName>
    <definedName name="cadda" hidden="1">{"Aneh",#N/A,FALSE,"Sheet1"}</definedName>
    <definedName name="CAPMES.USER" hidden="1">[14]cus!$128:$128</definedName>
    <definedName name="casaca" localSheetId="4" hidden="1">{"Aneh",#N/A,FALSE,"Sheet1"}</definedName>
    <definedName name="casaca" localSheetId="6" hidden="1">{"Aneh",#N/A,FALSE,"Sheet1"}</definedName>
    <definedName name="casaca" hidden="1">{"Aneh",#N/A,FALSE,"Sheet1"}</definedName>
    <definedName name="cascac" localSheetId="4" hidden="1">{"Aneh",#N/A,FALSE,"Sheet1"}</definedName>
    <definedName name="cascac" localSheetId="6" hidden="1">{"Aneh",#N/A,FALSE,"Sheet1"}</definedName>
    <definedName name="cascac" hidden="1">{"Aneh",#N/A,FALSE,"Sheet1"}</definedName>
    <definedName name="cbb"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bb"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b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BOOM.USER" hidden="1">[14]cus!$120:$120</definedName>
    <definedName name="CBWorkbookPriority" hidden="1">-1124542051</definedName>
    <definedName name="ccc_2" localSheetId="4" hidden="1">{"mult96",#N/A,FALSE,"PETCOMP";"est96",#N/A,FALSE,"PETCOMP";"mult95",#N/A,FALSE,"PETCOMP";"est95",#N/A,FALSE,"PETCOMP";"multltm",#N/A,FALSE,"PETCOMP";"resultltm",#N/A,FALSE,"PETCOMP"}</definedName>
    <definedName name="ccc_2" localSheetId="6" hidden="1">{"mult96",#N/A,FALSE,"PETCOMP";"est96",#N/A,FALSE,"PETCOMP";"mult95",#N/A,FALSE,"PETCOMP";"est95",#N/A,FALSE,"PETCOMP";"multltm",#N/A,FALSE,"PETCOMP";"resultltm",#N/A,FALSE,"PETCOMP"}</definedName>
    <definedName name="ccc_2" hidden="1">{"mult96",#N/A,FALSE,"PETCOMP";"est96",#N/A,FALSE,"PETCOMP";"mult95",#N/A,FALSE,"PETCOMP";"est95",#N/A,FALSE,"PETCOMP";"multltm",#N/A,FALSE,"PETCOMP";"resultltm",#N/A,FALSE,"PETCOMP"}</definedName>
    <definedName name="ccc_3" localSheetId="4" hidden="1">{"mult96",#N/A,FALSE,"PETCOMP";"est96",#N/A,FALSE,"PETCOMP";"mult95",#N/A,FALSE,"PETCOMP";"est95",#N/A,FALSE,"PETCOMP";"multltm",#N/A,FALSE,"PETCOMP";"resultltm",#N/A,FALSE,"PETCOMP"}</definedName>
    <definedName name="ccc_3" localSheetId="6" hidden="1">{"mult96",#N/A,FALSE,"PETCOMP";"est96",#N/A,FALSE,"PETCOMP";"mult95",#N/A,FALSE,"PETCOMP";"est95",#N/A,FALSE,"PETCOMP";"multltm",#N/A,FALSE,"PETCOMP";"resultltm",#N/A,FALSE,"PETCOMP"}</definedName>
    <definedName name="ccc_3" hidden="1">{"mult96",#N/A,FALSE,"PETCOMP";"est96",#N/A,FALSE,"PETCOMP";"mult95",#N/A,FALSE,"PETCOMP";"est95",#N/A,FALSE,"PETCOMP";"multltm",#N/A,FALSE,"PETCOMP";"resultltm",#N/A,FALSE,"PETCOMP"}</definedName>
    <definedName name="CCCC" localSheetId="6" hidden="1">[2]LOADDAT!#REF!</definedName>
    <definedName name="CCCC" hidden="1">[2]LOADDAT!#REF!</definedName>
    <definedName name="CCCCCC" localSheetId="6" hidden="1">[2]LOADDAT!#REF!</definedName>
    <definedName name="CCCCCC" hidden="1">[2]LOADDAT!#REF!</definedName>
    <definedName name="CCEBDA.USER" hidden="1">[14]cus!$112:$112</definedName>
    <definedName name="CCEBIT.USER" hidden="1">[14]cus!$110:$110</definedName>
    <definedName name="CCNCND.USER" hidden="1">[14]cus!$117:$117</definedName>
    <definedName name="CCSAL.USER" hidden="1">[14]cus!$109:$109</definedName>
    <definedName name="cdcdcdcfdfcwdw32" localSheetId="4" hidden="1">#REF!</definedName>
    <definedName name="cdcdcdcfdfcwdw32" localSheetId="6" hidden="1">#REF!</definedName>
    <definedName name="cdcdcdcfdfcwdw32" hidden="1">#REF!</definedName>
    <definedName name="ceaaf" localSheetId="4" hidden="1">{"Aneh",#N/A,FALSE,"Sheet1"}</definedName>
    <definedName name="ceaaf" localSheetId="6" hidden="1">{"Aneh",#N/A,FALSE,"Sheet1"}</definedName>
    <definedName name="ceaaf" hidden="1">{"Aneh",#N/A,FALSE,"Sheet1"}</definedName>
    <definedName name="CEVNPA.USER" hidden="1">[14]cus!$118:$118</definedName>
    <definedName name="CEVNWC.USER" hidden="1">[14]cus!$114:$114</definedName>
    <definedName name="CIPHSJ" localSheetId="4" hidden="1">#REF!</definedName>
    <definedName name="CIPHSJ" localSheetId="6" hidden="1">#REF!</definedName>
    <definedName name="CIPHSJ" hidden="1">#REF!</definedName>
    <definedName name="CIQWBGuid" hidden="1">"79764cda-4974-412a-ab24-6ae6f80f8263"</definedName>
    <definedName name="COPFCF.USER" hidden="1">[14]cus!$115:$115</definedName>
    <definedName name="CPPROV.USER" hidden="1">[14]cus!$119:$119</definedName>
    <definedName name="csa" localSheetId="4" hidden="1">{"Aneh",#N/A,FALSE,"Sheet1"}</definedName>
    <definedName name="csa" localSheetId="6" hidden="1">{"Aneh",#N/A,FALSE,"Sheet1"}</definedName>
    <definedName name="csa" hidden="1">{"Aneh",#N/A,FALSE,"Sheet1"}</definedName>
    <definedName name="csaeacd" localSheetId="4" hidden="1">{"Aneh",#N/A,FALSE,"Sheet1"}</definedName>
    <definedName name="csaeacd" localSheetId="6" hidden="1">{"Aneh",#N/A,FALSE,"Sheet1"}</definedName>
    <definedName name="csaeacd" hidden="1">{"Aneh",#N/A,FALSE,"Sheet1"}</definedName>
    <definedName name="CSFB" localSheetId="4" hidden="1">{#N/A,#N/A,FALSE,"P&amp;L";#N/A,#N/A,FALSE,"CashFlow";#N/A,#N/A,FALSE,"Rev";#N/A,#N/A,FALSE,"Costs";#N/A,#N/A,FALSE,"CapexWC";#N/A,#N/A,FALSE,"CashDebt";#N/A,#N/A,FALSE,"Inv";#N/A,#N/A,FALSE,"Tax";#N/A,#N/A,FALSE,"Div";#N/A,#N/A,FALSE,"Equity"}</definedName>
    <definedName name="CSFB" localSheetId="6" hidden="1">{#N/A,#N/A,FALSE,"P&amp;L";#N/A,#N/A,FALSE,"CashFlow";#N/A,#N/A,FALSE,"Rev";#N/A,#N/A,FALSE,"Costs";#N/A,#N/A,FALSE,"CapexWC";#N/A,#N/A,FALSE,"CashDebt";#N/A,#N/A,FALSE,"Inv";#N/A,#N/A,FALSE,"Tax";#N/A,#N/A,FALSE,"Div";#N/A,#N/A,FALSE,"Equity"}</definedName>
    <definedName name="CSFB" hidden="1">{#N/A,#N/A,FALSE,"P&amp;L";#N/A,#N/A,FALSE,"CashFlow";#N/A,#N/A,FALSE,"Rev";#N/A,#N/A,FALSE,"Costs";#N/A,#N/A,FALSE,"CapexWC";#N/A,#N/A,FALSE,"CashDebt";#N/A,#N/A,FALSE,"Inv";#N/A,#N/A,FALSE,"Tax";#N/A,#N/A,FALSE,"Div";#N/A,#N/A,FALSE,"Equity"}</definedName>
    <definedName name="cu00.UserArea" hidden="1">[14]cus!$B$2:$P$192</definedName>
    <definedName name="cu122.LastUpdateRows" hidden="1">[14]cus!$B$195:$P$196</definedName>
    <definedName name="cu40.DefaultDecisionStart" hidden="1">[14]cus!$B$200</definedName>
    <definedName name="cu59.LastRow" hidden="1">[14]cus!$314:$314</definedName>
    <definedName name="cu60.ItemTags" hidden="1">[14]cus!$A$2:$A$192</definedName>
    <definedName name="CUSPassword" hidden="1">"MDL238GBWP678SDA16)E^CBC"</definedName>
    <definedName name="CVMCPX.USER" hidden="1">[14]cus!$113:$113</definedName>
    <definedName name="dadad" localSheetId="4" hidden="1">{"Aneh",#N/A,FALSE,"Sheet1"}</definedName>
    <definedName name="dadad" localSheetId="6" hidden="1">{"Aneh",#N/A,FALSE,"Sheet1"}</definedName>
    <definedName name="dadad" hidden="1">{"Aneh",#N/A,FALSE,"Sheet1"}</definedName>
    <definedName name="das" localSheetId="6" hidden="1">'[1]ocean voyage'!#REF!</definedName>
    <definedName name="das" hidden="1">'[1]ocean voyage'!#REF!</definedName>
    <definedName name="_xlnm.Database" localSheetId="4" hidden="1">#REF!</definedName>
    <definedName name="_xlnm.Database" localSheetId="6" hidden="1">#REF!</definedName>
    <definedName name="_xlnm.Database" hidden="1">#REF!</definedName>
    <definedName name="dd" localSheetId="4" hidden="1">#REF!</definedName>
    <definedName name="dd" hidden="1">#REF!</definedName>
    <definedName name="ddd" localSheetId="4" hidden="1">{"DCF","UPSIDE CASE",FALSE,"Sheet1";"DCF","BASE CASE",FALSE,"Sheet1";"DCF","DOWNSIDE CASE",FALSE,"Sheet1"}</definedName>
    <definedName name="ddd" localSheetId="6" hidden="1">{"DCF","UPSIDE CASE",FALSE,"Sheet1";"DCF","BASE CASE",FALSE,"Sheet1";"DCF","DOWNSIDE CASE",FALSE,"Sheet1"}</definedName>
    <definedName name="ddd" hidden="1">{"DCF","UPSIDE CASE",FALSE,"Sheet1";"DCF","BASE CASE",FALSE,"Sheet1";"DCF","DOWNSIDE CASE",FALSE,"Sheet1"}</definedName>
    <definedName name="ddd_2" localSheetId="4" hidden="1">{"DCF","UPSIDE CASE",FALSE,"Sheet1";"DCF","BASE CASE",FALSE,"Sheet1";"DCF","DOWNSIDE CASE",FALSE,"Sheet1"}</definedName>
    <definedName name="ddd_2" localSheetId="6" hidden="1">{"DCF","UPSIDE CASE",FALSE,"Sheet1";"DCF","BASE CASE",FALSE,"Sheet1";"DCF","DOWNSIDE CASE",FALSE,"Sheet1"}</definedName>
    <definedName name="ddd_2" hidden="1">{"DCF","UPSIDE CASE",FALSE,"Sheet1";"DCF","BASE CASE",FALSE,"Sheet1";"DCF","DOWNSIDE CASE",FALSE,"Sheet1"}</definedName>
    <definedName name="ddd_3" localSheetId="4" hidden="1">{"DCF","UPSIDE CASE",FALSE,"Sheet1";"DCF","BASE CASE",FALSE,"Sheet1";"DCF","DOWNSIDE CASE",FALSE,"Sheet1"}</definedName>
    <definedName name="ddd_3" localSheetId="6" hidden="1">{"DCF","UPSIDE CASE",FALSE,"Sheet1";"DCF","BASE CASE",FALSE,"Sheet1";"DCF","DOWNSIDE CASE",FALSE,"Sheet1"}</definedName>
    <definedName name="ddd_3" hidden="1">{"DCF","UPSIDE CASE",FALSE,"Sheet1";"DCF","BASE CASE",FALSE,"Sheet1";"DCF","DOWNSIDE CASE",FALSE,"Sheet1"}</definedName>
    <definedName name="ddkddkdk" hidden="1">'[4]4334-Summary'!#REF!</definedName>
    <definedName name="deeeeeeeeeee" localSheetId="4" hidden="1">{#N/A,#N/A,FALSE,"P&amp;L";#N/A,#N/A,FALSE,"CashFlow";#N/A,#N/A,FALSE,"Rev";#N/A,#N/A,FALSE,"Costs";#N/A,#N/A,FALSE,"CapexWC";#N/A,#N/A,FALSE,"CashDebt";#N/A,#N/A,FALSE,"Inv";#N/A,#N/A,FALSE,"Tax";#N/A,#N/A,FALSE,"Div";#N/A,#N/A,FALSE,"Equity"}</definedName>
    <definedName name="deeeeeeeeeee" localSheetId="6" hidden="1">{#N/A,#N/A,FALSE,"P&amp;L";#N/A,#N/A,FALSE,"CashFlow";#N/A,#N/A,FALSE,"Rev";#N/A,#N/A,FALSE,"Costs";#N/A,#N/A,FALSE,"CapexWC";#N/A,#N/A,FALSE,"CashDebt";#N/A,#N/A,FALSE,"Inv";#N/A,#N/A,FALSE,"Tax";#N/A,#N/A,FALSE,"Div";#N/A,#N/A,FALSE,"Equity"}</definedName>
    <definedName name="deeeeeeeeeee" hidden="1">{#N/A,#N/A,FALSE,"P&amp;L";#N/A,#N/A,FALSE,"CashFlow";#N/A,#N/A,FALSE,"Rev";#N/A,#N/A,FALSE,"Costs";#N/A,#N/A,FALSE,"CapexWC";#N/A,#N/A,FALSE,"CashDebt";#N/A,#N/A,FALSE,"Inv";#N/A,#N/A,FALSE,"Tax";#N/A,#N/A,FALSE,"Div";#N/A,#N/A,FALSE,"Equity"}</definedName>
    <definedName name="Default.Decision.Ind" hidden="1">[14]cus!$T$1:$T$192</definedName>
    <definedName name="DETAIL_ASSUMSION" localSheetId="4" hidden="1">#REF!</definedName>
    <definedName name="DETAIL_ASSUMSION" localSheetId="6" hidden="1">#REF!</definedName>
    <definedName name="DETAIL_ASSUMSION" hidden="1">#REF!</definedName>
    <definedName name="df" localSheetId="4" hidden="1">{"Aneh",#N/A,FALSE,"Sheet1"}</definedName>
    <definedName name="df" localSheetId="6" hidden="1">{"Aneh",#N/A,FALSE,"Sheet1"}</definedName>
    <definedName name="df" hidden="1">{"Aneh",#N/A,FALSE,"Sheet1"}</definedName>
    <definedName name="dfdrefg" localSheetId="4" hidden="1">#REF!</definedName>
    <definedName name="dfdrefg" hidden="1">#REF!</definedName>
    <definedName name="dgg" localSheetId="4" hidden="1">[2]LOADDAT!#REF!</definedName>
    <definedName name="dgg" hidden="1">[2]LOADDAT!#REF!</definedName>
    <definedName name="Dim_1" hidden="1">OFFSET([15]Master_Data!$B$107,0,0,COUNTA([15]Master_Data!$B$107:$B$111),1)</definedName>
    <definedName name="ds" localSheetId="4" hidden="1">'[16]Daily Report'!#REF!</definedName>
    <definedName name="ds" localSheetId="6" hidden="1">'[16]Daily Report'!#REF!</definedName>
    <definedName name="ds" hidden="1">'[16]Daily Report'!#REF!</definedName>
    <definedName name="dsadasasd" localSheetId="4" hidden="1">{"Aneh",#N/A,FALSE,"Sheet1"}</definedName>
    <definedName name="dsadasasd" localSheetId="6" hidden="1">{"Aneh",#N/A,FALSE,"Sheet1"}</definedName>
    <definedName name="dsadasasd" hidden="1">{"Aneh",#N/A,FALSE,"Sheet1"}</definedName>
    <definedName name="DSF" localSheetId="4" hidden="1">{"Aneh",#N/A,FALSE,"Sheet1"}</definedName>
    <definedName name="DSF" localSheetId="6" hidden="1">{"Aneh",#N/A,FALSE,"Sheet1"}</definedName>
    <definedName name="DSF" hidden="1">{"Aneh",#N/A,FALSE,"Sheet1"}</definedName>
    <definedName name="dume" localSheetId="4" hidden="1">{#N/A,#N/A,FALSE,"One Pager";#N/A,#N/A,FALSE,"Technical"}</definedName>
    <definedName name="dume" localSheetId="6" hidden="1">{#N/A,#N/A,FALSE,"One Pager";#N/A,#N/A,FALSE,"Technical"}</definedName>
    <definedName name="dume" hidden="1">{#N/A,#N/A,FALSE,"One Pager";#N/A,#N/A,FALSE,"Technical"}</definedName>
    <definedName name="DX" localSheetId="4" hidden="1">{"Aneh",#N/A,FALSE,"Sheet1"}</definedName>
    <definedName name="DX" localSheetId="6" hidden="1">{"Aneh",#N/A,FALSE,"Sheet1"}</definedName>
    <definedName name="DX" hidden="1">{"Aneh",#N/A,FALSE,"Sheet1"}</definedName>
    <definedName name="e" localSheetId="4" hidden="1">#REF!</definedName>
    <definedName name="e" hidden="1">#REF!</definedName>
    <definedName name="EDK"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DK"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DK"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DK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DK_2"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DK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DK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DK_3"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DK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e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e_2"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e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e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e_3"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e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eee" localSheetId="4" hidden="1">{"Graphic",#N/A,TRUE,"Graphic"}</definedName>
    <definedName name="eee" localSheetId="6" hidden="1">{"Graphic",#N/A,TRUE,"Graphic"}</definedName>
    <definedName name="eee" hidden="1">{"Graphic",#N/A,TRUE,"Graphic"}</definedName>
    <definedName name="eee_2" localSheetId="4" hidden="1">{"Graphic",#N/A,TRUE,"Graphic"}</definedName>
    <definedName name="eee_2" localSheetId="6" hidden="1">{"Graphic",#N/A,TRUE,"Graphic"}</definedName>
    <definedName name="eee_2" hidden="1">{"Graphic",#N/A,TRUE,"Graphic"}</definedName>
    <definedName name="eee_3" localSheetId="4" hidden="1">{"Graphic",#N/A,TRUE,"Graphic"}</definedName>
    <definedName name="eee_3" localSheetId="6" hidden="1">{"Graphic",#N/A,TRUE,"Graphic"}</definedName>
    <definedName name="eee_3" hidden="1">{"Graphic",#N/A,TRUE,"Graphic"}</definedName>
    <definedName name="EQCAP.USER" hidden="1">[14]cus!$47:$47</definedName>
    <definedName name="eqweqweq" localSheetId="4" hidden="1">'[1]ocean voyage'!#REF!</definedName>
    <definedName name="eqweqweq" localSheetId="6" hidden="1">'[1]ocean voyage'!#REF!</definedName>
    <definedName name="eqweqweq" hidden="1">'[1]ocean voyage'!#REF!</definedName>
    <definedName name="eqweqweq01" localSheetId="4" hidden="1">'[1]ocean voyage'!#REF!</definedName>
    <definedName name="eqweqweq01" localSheetId="6" hidden="1">'[1]ocean voyage'!#REF!</definedName>
    <definedName name="eqweqweq01" hidden="1">'[1]ocean voyage'!#REF!</definedName>
    <definedName name="er"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rrtt" localSheetId="4" hidden="1">{"adj95mult",#N/A,FALSE,"COMPCO";"adj95est",#N/A,FALSE,"COMPCO"}</definedName>
    <definedName name="errtt" localSheetId="6" hidden="1">{"adj95mult",#N/A,FALSE,"COMPCO";"adj95est",#N/A,FALSE,"COMPCO"}</definedName>
    <definedName name="errtt" hidden="1">{"adj95mult",#N/A,FALSE,"COMPCO";"adj95est",#N/A,FALSE,"COMPCO"}</definedName>
    <definedName name="errtt_2" localSheetId="4" hidden="1">{"adj95mult",#N/A,FALSE,"COMPCO";"adj95est",#N/A,FALSE,"COMPCO"}</definedName>
    <definedName name="errtt_2" localSheetId="6" hidden="1">{"adj95mult",#N/A,FALSE,"COMPCO";"adj95est",#N/A,FALSE,"COMPCO"}</definedName>
    <definedName name="errtt_2" hidden="1">{"adj95mult",#N/A,FALSE,"COMPCO";"adj95est",#N/A,FALSE,"COMPCO"}</definedName>
    <definedName name="errtt_3" localSheetId="4" hidden="1">{"adj95mult",#N/A,FALSE,"COMPCO";"adj95est",#N/A,FALSE,"COMPCO"}</definedName>
    <definedName name="errtt_3" localSheetId="6" hidden="1">{"adj95mult",#N/A,FALSE,"COMPCO";"adj95est",#N/A,FALSE,"COMPCO"}</definedName>
    <definedName name="errtt_3" hidden="1">{"adj95mult",#N/A,FALSE,"COMPCO";"adj95est",#N/A,FALSE,"COMPCO"}</definedName>
    <definedName name="est" localSheetId="4" hidden="1">{"EVA",#N/A,FALSE,"EVA";"WACC",#N/A,FALSE,"WACC"}</definedName>
    <definedName name="est" localSheetId="6" hidden="1">{"EVA",#N/A,FALSE,"EVA";"WACC",#N/A,FALSE,"WACC"}</definedName>
    <definedName name="est" hidden="1">{"EVA",#N/A,FALSE,"EVA";"WACC",#N/A,FALSE,"WACC"}</definedName>
    <definedName name="est_2" localSheetId="4" hidden="1">{"EVA",#N/A,FALSE,"EVA";"WACC",#N/A,FALSE,"WACC"}</definedName>
    <definedName name="est_2" localSheetId="6" hidden="1">{"EVA",#N/A,FALSE,"EVA";"WACC",#N/A,FALSE,"WACC"}</definedName>
    <definedName name="est_2" hidden="1">{"EVA",#N/A,FALSE,"EVA";"WACC",#N/A,FALSE,"WACC"}</definedName>
    <definedName name="est_3" localSheetId="4" hidden="1">{"EVA",#N/A,FALSE,"EVA";"WACC",#N/A,FALSE,"WACC"}</definedName>
    <definedName name="est_3" localSheetId="6" hidden="1">{"EVA",#N/A,FALSE,"EVA";"WACC",#N/A,FALSE,"WACC"}</definedName>
    <definedName name="est_3" hidden="1">{"EVA",#N/A,FALSE,"EVA";"WACC",#N/A,FALSE,"WACC"}</definedName>
    <definedName name="f_2" localSheetId="4" hidden="1">{"EVA",#N/A,FALSE,"EVA";"WACC",#N/A,FALSE,"WACC"}</definedName>
    <definedName name="f_2" localSheetId="6" hidden="1">{"EVA",#N/A,FALSE,"EVA";"WACC",#N/A,FALSE,"WACC"}</definedName>
    <definedName name="f_2" hidden="1">{"EVA",#N/A,FALSE,"EVA";"WACC",#N/A,FALSE,"WACC"}</definedName>
    <definedName name="f_3" localSheetId="4" hidden="1">{"EVA",#N/A,FALSE,"EVA";"WACC",#N/A,FALSE,"WACC"}</definedName>
    <definedName name="f_3" localSheetId="6" hidden="1">{"EVA",#N/A,FALSE,"EVA";"WACC",#N/A,FALSE,"WACC"}</definedName>
    <definedName name="f_3" hidden="1">{"EVA",#N/A,FALSE,"EVA";"WACC",#N/A,FALSE,"WACC"}</definedName>
    <definedName name="fds" hidden="1">'[16]Daily Report'!#REF!</definedName>
    <definedName name="ferefefwf" localSheetId="4" hidden="1">{#N/A,#N/A,FALSE,"P&amp;L";#N/A,#N/A,FALSE,"CashFlow";#N/A,#N/A,FALSE,"Rev";#N/A,#N/A,FALSE,"Costs";#N/A,#N/A,FALSE,"CapexWC";#N/A,#N/A,FALSE,"CashDebt";#N/A,#N/A,FALSE,"Inv";#N/A,#N/A,FALSE,"Tax";#N/A,#N/A,FALSE,"Div";#N/A,#N/A,FALSE,"Equity"}</definedName>
    <definedName name="ferefefwf" localSheetId="6" hidden="1">{#N/A,#N/A,FALSE,"P&amp;L";#N/A,#N/A,FALSE,"CashFlow";#N/A,#N/A,FALSE,"Rev";#N/A,#N/A,FALSE,"Costs";#N/A,#N/A,FALSE,"CapexWC";#N/A,#N/A,FALSE,"CashDebt";#N/A,#N/A,FALSE,"Inv";#N/A,#N/A,FALSE,"Tax";#N/A,#N/A,FALSE,"Div";#N/A,#N/A,FALSE,"Equity"}</definedName>
    <definedName name="ferefefwf" hidden="1">{#N/A,#N/A,FALSE,"P&amp;L";#N/A,#N/A,FALSE,"CashFlow";#N/A,#N/A,FALSE,"Rev";#N/A,#N/A,FALSE,"Costs";#N/A,#N/A,FALSE,"CapexWC";#N/A,#N/A,FALSE,"CashDebt";#N/A,#N/A,FALSE,"Inv";#N/A,#N/A,FALSE,"Tax";#N/A,#N/A,FALSE,"Div";#N/A,#N/A,FALSE,"Equity"}</definedName>
    <definedName name="ff" localSheetId="4" hidden="1">{"adj95mult",#N/A,FALSE,"COMPCO";"adj95est",#N/A,FALSE,"COMPCO"}</definedName>
    <definedName name="ff" localSheetId="6" hidden="1">{"adj95mult",#N/A,FALSE,"COMPCO";"adj95est",#N/A,FALSE,"COMPCO"}</definedName>
    <definedName name="ff" hidden="1">{"adj95mult",#N/A,FALSE,"COMPCO";"adj95est",#N/A,FALSE,"COMPCO"}</definedName>
    <definedName name="ff_2" localSheetId="4" hidden="1">{"adj95mult",#N/A,FALSE,"COMPCO";"adj95est",#N/A,FALSE,"COMPCO"}</definedName>
    <definedName name="ff_2" localSheetId="6" hidden="1">{"adj95mult",#N/A,FALSE,"COMPCO";"adj95est",#N/A,FALSE,"COMPCO"}</definedName>
    <definedName name="ff_2" hidden="1">{"adj95mult",#N/A,FALSE,"COMPCO";"adj95est",#N/A,FALSE,"COMPCO"}</definedName>
    <definedName name="ff_3" localSheetId="4" hidden="1">{"adj95mult",#N/A,FALSE,"COMPCO";"adj95est",#N/A,FALSE,"COMPCO"}</definedName>
    <definedName name="ff_3" localSheetId="6" hidden="1">{"adj95mult",#N/A,FALSE,"COMPCO";"adj95est",#N/A,FALSE,"COMPCO"}</definedName>
    <definedName name="ff_3" hidden="1">{"adj95mult",#N/A,FALSE,"COMPCO";"adj95est",#N/A,FALSE,"COMPCO"}</definedName>
    <definedName name="ffefe" localSheetId="4" hidden="1">{"adj95mult",#N/A,FALSE,"COMPCO";"adj95est",#N/A,FALSE,"COMPCO"}</definedName>
    <definedName name="ffefe" localSheetId="6" hidden="1">{"adj95mult",#N/A,FALSE,"COMPCO";"adj95est",#N/A,FALSE,"COMPCO"}</definedName>
    <definedName name="ffefe" hidden="1">{"adj95mult",#N/A,FALSE,"COMPCO";"adj95est",#N/A,FALSE,"COMPCO"}</definedName>
    <definedName name="ffefe_2" localSheetId="4" hidden="1">{"adj95mult",#N/A,FALSE,"COMPCO";"adj95est",#N/A,FALSE,"COMPCO"}</definedName>
    <definedName name="ffefe_2" localSheetId="6" hidden="1">{"adj95mult",#N/A,FALSE,"COMPCO";"adj95est",#N/A,FALSE,"COMPCO"}</definedName>
    <definedName name="ffefe_2" hidden="1">{"adj95mult",#N/A,FALSE,"COMPCO";"adj95est",#N/A,FALSE,"COMPCO"}</definedName>
    <definedName name="ffefe_3" localSheetId="4" hidden="1">{"adj95mult",#N/A,FALSE,"COMPCO";"adj95est",#N/A,FALSE,"COMPCO"}</definedName>
    <definedName name="ffefe_3" localSheetId="6" hidden="1">{"adj95mult",#N/A,FALSE,"COMPCO";"adj95est",#N/A,FALSE,"COMPCO"}</definedName>
    <definedName name="ffefe_3" hidden="1">{"adj95mult",#N/A,FALSE,"COMPCO";"adj95est",#N/A,FALSE,"COMPCO"}</definedName>
    <definedName name="FFF" localSheetId="4" hidden="1">{#N/A,#N/A,FALSE,"CCTV"}</definedName>
    <definedName name="FFF" localSheetId="6" hidden="1">{#N/A,#N/A,FALSE,"CCTV"}</definedName>
    <definedName name="FFF" hidden="1">{#N/A,#N/A,FALSE,"CCTV"}</definedName>
    <definedName name="forecast" localSheetId="4" hidden="1">{"cover a","1q",FALSE,"Cover";"Op Earn Mgd Q1",#N/A,FALSE,"Op-Earn (Mng)";"Op Earn Rpt Q1",#N/A,FALSE,"Op-Earn (Rpt)";"Loans",#N/A,FALSE,"Loans";"Credit Costs",#N/A,FALSE,"CCosts";"Net Interest Margin",#N/A,FALSE,"Margin";"Nonint Income",#N/A,FALSE,"NonII";"Nonint Exp",#N/A,FALSE,"NonIE";"Valuation",#N/A,FALSE,"Valuation"}</definedName>
    <definedName name="forecast" localSheetId="6" hidden="1">{"cover a","1q",FALSE,"Cover";"Op Earn Mgd Q1",#N/A,FALSE,"Op-Earn (Mng)";"Op Earn Rpt Q1",#N/A,FALSE,"Op-Earn (Rpt)";"Loans",#N/A,FALSE,"Loans";"Credit Costs",#N/A,FALSE,"CCosts";"Net Interest Margin",#N/A,FALSE,"Margin";"Nonint Income",#N/A,FALSE,"NonII";"Nonint Exp",#N/A,FALSE,"NonIE";"Valuation",#N/A,FALSE,"Valuation"}</definedName>
    <definedName name="forecast" hidden="1">{"cover a","1q",FALSE,"Cover";"Op Earn Mgd Q1",#N/A,FALSE,"Op-Earn (Mng)";"Op Earn Rpt Q1",#N/A,FALSE,"Op-Earn (Rpt)";"Loans",#N/A,FALSE,"Loans";"Credit Costs",#N/A,FALSE,"CCosts";"Net Interest Margin",#N/A,FALSE,"Margin";"Nonint Income",#N/A,FALSE,"NonII";"Nonint Exp",#N/A,FALSE,"NonIE";"Valuation",#N/A,FALSE,"Valuation"}</definedName>
    <definedName name="forecast_2" localSheetId="4" hidden="1">{"cover a","1q",FALSE,"Cover";"Op Earn Mgd Q1",#N/A,FALSE,"Op-Earn (Mng)";"Op Earn Rpt Q1",#N/A,FALSE,"Op-Earn (Rpt)";"Loans",#N/A,FALSE,"Loans";"Credit Costs",#N/A,FALSE,"CCosts";"Net Interest Margin",#N/A,FALSE,"Margin";"Nonint Income",#N/A,FALSE,"NonII";"Nonint Exp",#N/A,FALSE,"NonIE";"Valuation",#N/A,FALSE,"Valuation"}</definedName>
    <definedName name="forecast_2" localSheetId="6" hidden="1">{"cover a","1q",FALSE,"Cover";"Op Earn Mgd Q1",#N/A,FALSE,"Op-Earn (Mng)";"Op Earn Rpt Q1",#N/A,FALSE,"Op-Earn (Rpt)";"Loans",#N/A,FALSE,"Loans";"Credit Costs",#N/A,FALSE,"CCosts";"Net Interest Margin",#N/A,FALSE,"Margin";"Nonint Income",#N/A,FALSE,"NonII";"Nonint Exp",#N/A,FALSE,"NonIE";"Valuation",#N/A,FALSE,"Valuation"}</definedName>
    <definedName name="forecast_2" hidden="1">{"cover a","1q",FALSE,"Cover";"Op Earn Mgd Q1",#N/A,FALSE,"Op-Earn (Mng)";"Op Earn Rpt Q1",#N/A,FALSE,"Op-Earn (Rpt)";"Loans",#N/A,FALSE,"Loans";"Credit Costs",#N/A,FALSE,"CCosts";"Net Interest Margin",#N/A,FALSE,"Margin";"Nonint Income",#N/A,FALSE,"NonII";"Nonint Exp",#N/A,FALSE,"NonIE";"Valuation",#N/A,FALSE,"Valuation"}</definedName>
    <definedName name="forecast_3" localSheetId="4" hidden="1">{"cover a","1q",FALSE,"Cover";"Op Earn Mgd Q1",#N/A,FALSE,"Op-Earn (Mng)";"Op Earn Rpt Q1",#N/A,FALSE,"Op-Earn (Rpt)";"Loans",#N/A,FALSE,"Loans";"Credit Costs",#N/A,FALSE,"CCosts";"Net Interest Margin",#N/A,FALSE,"Margin";"Nonint Income",#N/A,FALSE,"NonII";"Nonint Exp",#N/A,FALSE,"NonIE";"Valuation",#N/A,FALSE,"Valuation"}</definedName>
    <definedName name="forecast_3" localSheetId="6" hidden="1">{"cover a","1q",FALSE,"Cover";"Op Earn Mgd Q1",#N/A,FALSE,"Op-Earn (Mng)";"Op Earn Rpt Q1",#N/A,FALSE,"Op-Earn (Rpt)";"Loans",#N/A,FALSE,"Loans";"Credit Costs",#N/A,FALSE,"CCosts";"Net Interest Margin",#N/A,FALSE,"Margin";"Nonint Income",#N/A,FALSE,"NonII";"Nonint Exp",#N/A,FALSE,"NonIE";"Valuation",#N/A,FALSE,"Valuation"}</definedName>
    <definedName name="forecast_3" hidden="1">{"cover a","1q",FALSE,"Cover";"Op Earn Mgd Q1",#N/A,FALSE,"Op-Earn (Mng)";"Op Earn Rpt Q1",#N/A,FALSE,"Op-Earn (Rpt)";"Loans",#N/A,FALSE,"Loans";"Credit Costs",#N/A,FALSE,"CCosts";"Net Interest Margin",#N/A,FALSE,"Margin";"Nonint Income",#N/A,FALSE,"NonII";"Nonint Exp",#N/A,FALSE,"NonIE";"Valuation",#N/A,FALSE,"Valuation"}</definedName>
    <definedName name="g" localSheetId="4" hidden="1">#REF!</definedName>
    <definedName name="g" hidden="1">#REF!</definedName>
    <definedName name="GBSIFA.USER" hidden="1">[14]cus!$170:$170</definedName>
    <definedName name="GBSIOA.USER" hidden="1">[14]cus!$171:$171</definedName>
    <definedName name="GBSMIN.USER" hidden="1">[14]cus!$178:$178</definedName>
    <definedName name="GBSNC.USER" hidden="1">[14]cus!$174:$174</definedName>
    <definedName name="GBSNCE.USER" hidden="1">[14]cus!$173:$173</definedName>
    <definedName name="GBSNWC.USER" hidden="1">[14]cus!$172:$172</definedName>
    <definedName name="GBSOLB.USER" hidden="1">[14]cus!$176:$176</definedName>
    <definedName name="GBSOSF.USER" hidden="1">[14]cus!$179:$179</definedName>
    <definedName name="GBSPRV.USER" hidden="1">[14]cus!$175:$175</definedName>
    <definedName name="GBSTFA.USER" hidden="1">[14]cus!$169:$169</definedName>
    <definedName name="GBSTOT.USER" hidden="1">[14]cus!$177:$177</definedName>
    <definedName name="GCFCPX.USER" hidden="1">[14]cus!$163:$163</definedName>
    <definedName name="GCFDEP.USER" hidden="1">[14]cus!$156:$156</definedName>
    <definedName name="GCFDP.USER" hidden="1">[14]cus!$161:$161</definedName>
    <definedName name="GCFIP.USER" hidden="1">[14]cus!$160:$160</definedName>
    <definedName name="GCFLOW.USER" hidden="1">[14]cus!$167:$167</definedName>
    <definedName name="GCFNAD.USER" hidden="1">[14]cus!$164:$164</definedName>
    <definedName name="GCFOCF.USER" hidden="1">[14]cus!$159:$159</definedName>
    <definedName name="GCFOOP.USER" hidden="1">[14]cus!$158:$158</definedName>
    <definedName name="GCFOTH.USER" hidden="1">[14]cus!$165:$165</definedName>
    <definedName name="GCFSII.USER" hidden="1">[14]cus!$166:$166</definedName>
    <definedName name="GCFTP.USER" hidden="1">[14]cus!$162:$162</definedName>
    <definedName name="GCFWCI.USER" hidden="1">[14]cus!$157:$157</definedName>
    <definedName name="ggrm" localSheetId="4" hidden="1">{#N/A,#N/A,TRUE,"Financials";#N/A,#N/A,TRUE,"Operating Statistics";#N/A,#N/A,TRUE,"Capex &amp; Depreciation";#N/A,#N/A,TRUE,"Debt"}</definedName>
    <definedName name="ggrm" localSheetId="6" hidden="1">{#N/A,#N/A,TRUE,"Financials";#N/A,#N/A,TRUE,"Operating Statistics";#N/A,#N/A,TRUE,"Capex &amp; Depreciation";#N/A,#N/A,TRUE,"Debt"}</definedName>
    <definedName name="ggrm" hidden="1">{#N/A,#N/A,TRUE,"Financials";#N/A,#N/A,TRUE,"Operating Statistics";#N/A,#N/A,TRUE,"Capex &amp; Depreciation";#N/A,#N/A,TRUE,"Debt"}</definedName>
    <definedName name="GPLDAM.USER" hidden="1">[14]cus!$143:$143</definedName>
    <definedName name="GPLEBT.USER" hidden="1">[14]cus!$145:$145</definedName>
    <definedName name="GPLMAS.USER" hidden="1">[14]cus!$150:$150</definedName>
    <definedName name="GPLNI.USER" hidden="1">[14]cus!$146:$146</definedName>
    <definedName name="GPLNOI.USER" hidden="1">[14]cus!$147:$147</definedName>
    <definedName name="GPLNPR.USER" hidden="1">[14]cus!$153:$153</definedName>
    <definedName name="GPLOCO.USER" hidden="1">[14]cus!$144:$144</definedName>
    <definedName name="GPLOTH.USER" hidden="1">[14]cus!$152:$152</definedName>
    <definedName name="GPLPTP.USER" hidden="1">[14]cus!$148:$148</definedName>
    <definedName name="GPLTAX.USER" hidden="1">[14]cus!$149:$149</definedName>
    <definedName name="GPLTRN.USER" hidden="1">[14]cus!$142:$142</definedName>
    <definedName name="GPLXTI.USER" hidden="1">[14]cus!$151:$151</definedName>
    <definedName name="gr" localSheetId="4" hidden="1">{"EVA",#N/A,FALSE,"EVA";"WACC",#N/A,FALSE,"WACC"}</definedName>
    <definedName name="gr" localSheetId="6" hidden="1">{"EVA",#N/A,FALSE,"EVA";"WACC",#N/A,FALSE,"WACC"}</definedName>
    <definedName name="gr" hidden="1">{"EVA",#N/A,FALSE,"EVA";"WACC",#N/A,FALSE,"WACC"}</definedName>
    <definedName name="gr_2" localSheetId="4" hidden="1">{"EVA",#N/A,FALSE,"EVA";"WACC",#N/A,FALSE,"WACC"}</definedName>
    <definedName name="gr_2" localSheetId="6" hidden="1">{"EVA",#N/A,FALSE,"EVA";"WACC",#N/A,FALSE,"WACC"}</definedName>
    <definedName name="gr_2" hidden="1">{"EVA",#N/A,FALSE,"EVA";"WACC",#N/A,FALSE,"WACC"}</definedName>
    <definedName name="gr_3" localSheetId="4" hidden="1">{"EVA",#N/A,FALSE,"EVA";"WACC",#N/A,FALSE,"WACC"}</definedName>
    <definedName name="gr_3" localSheetId="6" hidden="1">{"EVA",#N/A,FALSE,"EVA";"WACC",#N/A,FALSE,"WACC"}</definedName>
    <definedName name="gr_3" hidden="1">{"EVA",#N/A,FALSE,"EVA";"WACC",#N/A,FALSE,"WACC"}</definedName>
    <definedName name="gra" localSheetId="6" hidden="1">'[1]ocean voyage'!#REF!</definedName>
    <definedName name="gra" hidden="1">'[1]ocean voyage'!#REF!</definedName>
    <definedName name="grg" localSheetId="4" hidden="1">{"cover a","2q",FALSE,"Cover";"Op Earn Mgd Q2",#N/A,FALSE,"Op-Earn (Mng)";"Op Earn Rpt Q2",#N/A,FALSE,"Op-Earn (Rpt)";"Loans",#N/A,FALSE,"Loans";"Credit Costs",#N/A,FALSE,"CCosts";"Net Interest Margin",#N/A,FALSE,"Margin";"Nonint Income",#N/A,FALSE,"NonII";"Nonint Exp",#N/A,FALSE,"NonIE";"Valuation",#N/A,FALSE,"Valuation"}</definedName>
    <definedName name="grg" localSheetId="6" hidden="1">{"cover a","2q",FALSE,"Cover";"Op Earn Mgd Q2",#N/A,FALSE,"Op-Earn (Mng)";"Op Earn Rpt Q2",#N/A,FALSE,"Op-Earn (Rpt)";"Loans",#N/A,FALSE,"Loans";"Credit Costs",#N/A,FALSE,"CCosts";"Net Interest Margin",#N/A,FALSE,"Margin";"Nonint Income",#N/A,FALSE,"NonII";"Nonint Exp",#N/A,FALSE,"NonIE";"Valuation",#N/A,FALSE,"Valuation"}</definedName>
    <definedName name="grg" hidden="1">{"cover a","2q",FALSE,"Cover";"Op Earn Mgd Q2",#N/A,FALSE,"Op-Earn (Mng)";"Op Earn Rpt Q2",#N/A,FALSE,"Op-Earn (Rpt)";"Loans",#N/A,FALSE,"Loans";"Credit Costs",#N/A,FALSE,"CCosts";"Net Interest Margin",#N/A,FALSE,"Margin";"Nonint Income",#N/A,FALSE,"NonII";"Nonint Exp",#N/A,FALSE,"NonIE";"Valuation",#N/A,FALSE,"Valuation"}</definedName>
    <definedName name="grg_2" localSheetId="4" hidden="1">{"cover a","2q",FALSE,"Cover";"Op Earn Mgd Q2",#N/A,FALSE,"Op-Earn (Mng)";"Op Earn Rpt Q2",#N/A,FALSE,"Op-Earn (Rpt)";"Loans",#N/A,FALSE,"Loans";"Credit Costs",#N/A,FALSE,"CCosts";"Net Interest Margin",#N/A,FALSE,"Margin";"Nonint Income",#N/A,FALSE,"NonII";"Nonint Exp",#N/A,FALSE,"NonIE";"Valuation",#N/A,FALSE,"Valuation"}</definedName>
    <definedName name="grg_2" localSheetId="6" hidden="1">{"cover a","2q",FALSE,"Cover";"Op Earn Mgd Q2",#N/A,FALSE,"Op-Earn (Mng)";"Op Earn Rpt Q2",#N/A,FALSE,"Op-Earn (Rpt)";"Loans",#N/A,FALSE,"Loans";"Credit Costs",#N/A,FALSE,"CCosts";"Net Interest Margin",#N/A,FALSE,"Margin";"Nonint Income",#N/A,FALSE,"NonII";"Nonint Exp",#N/A,FALSE,"NonIE";"Valuation",#N/A,FALSE,"Valuation"}</definedName>
    <definedName name="grg_2" hidden="1">{"cover a","2q",FALSE,"Cover";"Op Earn Mgd Q2",#N/A,FALSE,"Op-Earn (Mng)";"Op Earn Rpt Q2",#N/A,FALSE,"Op-Earn (Rpt)";"Loans",#N/A,FALSE,"Loans";"Credit Costs",#N/A,FALSE,"CCosts";"Net Interest Margin",#N/A,FALSE,"Margin";"Nonint Income",#N/A,FALSE,"NonII";"Nonint Exp",#N/A,FALSE,"NonIE";"Valuation",#N/A,FALSE,"Valuation"}</definedName>
    <definedName name="grg_3" localSheetId="4" hidden="1">{"cover a","2q",FALSE,"Cover";"Op Earn Mgd Q2",#N/A,FALSE,"Op-Earn (Mng)";"Op Earn Rpt Q2",#N/A,FALSE,"Op-Earn (Rpt)";"Loans",#N/A,FALSE,"Loans";"Credit Costs",#N/A,FALSE,"CCosts";"Net Interest Margin",#N/A,FALSE,"Margin";"Nonint Income",#N/A,FALSE,"NonII";"Nonint Exp",#N/A,FALSE,"NonIE";"Valuation",#N/A,FALSE,"Valuation"}</definedName>
    <definedName name="grg_3" localSheetId="6" hidden="1">{"cover a","2q",FALSE,"Cover";"Op Earn Mgd Q2",#N/A,FALSE,"Op-Earn (Mng)";"Op Earn Rpt Q2",#N/A,FALSE,"Op-Earn (Rpt)";"Loans",#N/A,FALSE,"Loans";"Credit Costs",#N/A,FALSE,"CCosts";"Net Interest Margin",#N/A,FALSE,"Margin";"Nonint Income",#N/A,FALSE,"NonII";"Nonint Exp",#N/A,FALSE,"NonIE";"Valuation",#N/A,FALSE,"Valuation"}</definedName>
    <definedName name="grg_3" hidden="1">{"cover a","2q",FALSE,"Cover";"Op Earn Mgd Q2",#N/A,FALSE,"Op-Earn (Mng)";"Op Earn Rpt Q2",#N/A,FALSE,"Op-Earn (Rpt)";"Loans",#N/A,FALSE,"Loans";"Credit Costs",#N/A,FALSE,"CCosts";"Net Interest Margin",#N/A,FALSE,"Margin";"Nonint Income",#N/A,FALSE,"NonII";"Nonint Exp",#N/A,FALSE,"NonIE";"Valuation",#N/A,FALSE,"Valuation"}</definedName>
    <definedName name="GTY" localSheetId="4" hidden="1">{"Aneh",#N/A,FALSE,"Sheet1"}</definedName>
    <definedName name="GTY" localSheetId="6" hidden="1">{"Aneh",#N/A,FALSE,"Sheet1"}</definedName>
    <definedName name="GTY" hidden="1">{"Aneh",#N/A,FALSE,"Sheet1"}</definedName>
    <definedName name="heri" hidden="1">'[1]ocean voyage'!#REF!</definedName>
    <definedName name="hf" localSheetId="4" hidden="1">{"Annual 1996",#N/A,FALSE,"Ann-Op (Mng)";"Annual 1996",#N/A,FALSE,"Ann-Op (Rep)";"Operating Vs. Reported Earnings",#N/A,FALSE,"Rpt-Op Inc"}</definedName>
    <definedName name="hf" localSheetId="6" hidden="1">{"Annual 1996",#N/A,FALSE,"Ann-Op (Mng)";"Annual 1996",#N/A,FALSE,"Ann-Op (Rep)";"Operating Vs. Reported Earnings",#N/A,FALSE,"Rpt-Op Inc"}</definedName>
    <definedName name="hf" hidden="1">{"Annual 1996",#N/A,FALSE,"Ann-Op (Mng)";"Annual 1996",#N/A,FALSE,"Ann-Op (Rep)";"Operating Vs. Reported Earnings",#N/A,FALSE,"Rpt-Op Inc"}</definedName>
    <definedName name="hf_2" localSheetId="4" hidden="1">{"Annual 1996",#N/A,FALSE,"Ann-Op (Mng)";"Annual 1996",#N/A,FALSE,"Ann-Op (Rep)";"Operating Vs. Reported Earnings",#N/A,FALSE,"Rpt-Op Inc"}</definedName>
    <definedName name="hf_2" localSheetId="6" hidden="1">{"Annual 1996",#N/A,FALSE,"Ann-Op (Mng)";"Annual 1996",#N/A,FALSE,"Ann-Op (Rep)";"Operating Vs. Reported Earnings",#N/A,FALSE,"Rpt-Op Inc"}</definedName>
    <definedName name="hf_2" hidden="1">{"Annual 1996",#N/A,FALSE,"Ann-Op (Mng)";"Annual 1996",#N/A,FALSE,"Ann-Op (Rep)";"Operating Vs. Reported Earnings",#N/A,FALSE,"Rpt-Op Inc"}</definedName>
    <definedName name="hf_3" localSheetId="4" hidden="1">{"Annual 1996",#N/A,FALSE,"Ann-Op (Mng)";"Annual 1996",#N/A,FALSE,"Ann-Op (Rep)";"Operating Vs. Reported Earnings",#N/A,FALSE,"Rpt-Op Inc"}</definedName>
    <definedName name="hf_3" localSheetId="6" hidden="1">{"Annual 1996",#N/A,FALSE,"Ann-Op (Mng)";"Annual 1996",#N/A,FALSE,"Ann-Op (Rep)";"Operating Vs. Reported Earnings",#N/A,FALSE,"Rpt-Op Inc"}</definedName>
    <definedName name="hf_3" hidden="1">{"Annual 1996",#N/A,FALSE,"Ann-Op (Mng)";"Annual 1996",#N/A,FALSE,"Ann-Op (Rep)";"Operating Vs. Reported Earnings",#N/A,FALSE,"Rpt-Op Inc"}</definedName>
    <definedName name="HFA" localSheetId="4" hidden="1">{"Graphic",#N/A,TRUE,"Graphic"}</definedName>
    <definedName name="HFA" localSheetId="6" hidden="1">{"Graphic",#N/A,TRUE,"Graphic"}</definedName>
    <definedName name="HFA" hidden="1">{"Graphic",#N/A,TRUE,"Graphic"}</definedName>
    <definedName name="HFA_2" localSheetId="4" hidden="1">{"Graphic",#N/A,TRUE,"Graphic"}</definedName>
    <definedName name="HFA_2" localSheetId="6" hidden="1">{"Graphic",#N/A,TRUE,"Graphic"}</definedName>
    <definedName name="HFA_2" hidden="1">{"Graphic",#N/A,TRUE,"Graphic"}</definedName>
    <definedName name="HFA_3" localSheetId="4" hidden="1">{"Graphic",#N/A,TRUE,"Graphic"}</definedName>
    <definedName name="HFA_3" localSheetId="6" hidden="1">{"Graphic",#N/A,TRUE,"Graphic"}</definedName>
    <definedName name="HFA_3" hidden="1">{"Graphic",#N/A,TRUE,"Graphic"}</definedName>
    <definedName name="hjkloiuygbhj" localSheetId="4" hidden="1">{"Graphic",#N/A,TRUE,"Graphic"}</definedName>
    <definedName name="hjkloiuygbhj" localSheetId="6" hidden="1">{"Graphic",#N/A,TRUE,"Graphic"}</definedName>
    <definedName name="hjkloiuygbhj" hidden="1">{"Graphic",#N/A,TRUE,"Graphic"}</definedName>
    <definedName name="HTML_CodePage" hidden="1">949</definedName>
    <definedName name="HTML_Control" localSheetId="4" hidden="1">{"'장비'!$A$3:$M$12"}</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V" localSheetId="4" hidden="1">{#N/A,#N/A,FALSE,"CCTV"}</definedName>
    <definedName name="HV" localSheetId="6" hidden="1">{#N/A,#N/A,FALSE,"CCTV"}</definedName>
    <definedName name="HV" hidden="1">{#N/A,#N/A,FALSE,"CCTV"}</definedName>
    <definedName name="i" localSheetId="4" hidden="1">{"Qtr Op Mgd Q3",#N/A,FALSE,"Qtr-Op (Mng)";"Qtr Op Rpt Q3",#N/A,FALSE,"Qtr-Op (Rpt)";"Operating Vs Reported",#N/A,FALSE,"Rpt-Op Inc"}</definedName>
    <definedName name="i" localSheetId="6" hidden="1">{"Qtr Op Mgd Q3",#N/A,FALSE,"Qtr-Op (Mng)";"Qtr Op Rpt Q3",#N/A,FALSE,"Qtr-Op (Rpt)";"Operating Vs Reported",#N/A,FALSE,"Rpt-Op Inc"}</definedName>
    <definedName name="i" hidden="1">{"Qtr Op Mgd Q3",#N/A,FALSE,"Qtr-Op (Mng)";"Qtr Op Rpt Q3",#N/A,FALSE,"Qtr-Op (Rpt)";"Operating Vs Reported",#N/A,FALSE,"Rpt-Op Inc"}</definedName>
    <definedName name="i_2" localSheetId="4" hidden="1">{"Qtr Op Mgd Q3",#N/A,FALSE,"Qtr-Op (Mng)";"Qtr Op Rpt Q3",#N/A,FALSE,"Qtr-Op (Rpt)";"Operating Vs Reported",#N/A,FALSE,"Rpt-Op Inc"}</definedName>
    <definedName name="i_2" localSheetId="6" hidden="1">{"Qtr Op Mgd Q3",#N/A,FALSE,"Qtr-Op (Mng)";"Qtr Op Rpt Q3",#N/A,FALSE,"Qtr-Op (Rpt)";"Operating Vs Reported",#N/A,FALSE,"Rpt-Op Inc"}</definedName>
    <definedName name="i_2" hidden="1">{"Qtr Op Mgd Q3",#N/A,FALSE,"Qtr-Op (Mng)";"Qtr Op Rpt Q3",#N/A,FALSE,"Qtr-Op (Rpt)";"Operating Vs Reported",#N/A,FALSE,"Rpt-Op Inc"}</definedName>
    <definedName name="i_3" localSheetId="4" hidden="1">{"Qtr Op Mgd Q3",#N/A,FALSE,"Qtr-Op (Mng)";"Qtr Op Rpt Q3",#N/A,FALSE,"Qtr-Op (Rpt)";"Operating Vs Reported",#N/A,FALSE,"Rpt-Op Inc"}</definedName>
    <definedName name="i_3" localSheetId="6" hidden="1">{"Qtr Op Mgd Q3",#N/A,FALSE,"Qtr-Op (Mng)";"Qtr Op Rpt Q3",#N/A,FALSE,"Qtr-Op (Rpt)";"Operating Vs Reported",#N/A,FALSE,"Rpt-Op Inc"}</definedName>
    <definedName name="i_3" hidden="1">{"Qtr Op Mgd Q3",#N/A,FALSE,"Qtr-Op (Mng)";"Qtr Op Rpt Q3",#N/A,FALSE,"Qtr-Op (Rpt)";"Operating Vs Reported",#N/A,FALSE,"Rpt-Op Inc"}</definedName>
    <definedName name="IA" hidden="1">255</definedName>
    <definedName name="IFA.USER" hidden="1">[14]cus!$40:$40</definedName>
    <definedName name="Inform" localSheetId="4" hidden="1">{#N/A,#N/A,FALSE,"CCTV"}</definedName>
    <definedName name="Inform" localSheetId="6" hidden="1">{#N/A,#N/A,FALSE,"CCTV"}</definedName>
    <definedName name="Inform" hidden="1">{#N/A,#N/A,FALSE,"CCTV"}</definedName>
    <definedName name="IOA.USER" hidden="1">[14]cus!$41:$41</definedName>
    <definedName name="ioio" localSheetId="4" hidden="1">{#N/A,#N/A,FALSE,"Aging Summary";#N/A,#N/A,FALSE,"Ratio Analysis";#N/A,#N/A,FALSE,"Test 120 Day Accts";#N/A,#N/A,FALSE,"Tickmarks"}</definedName>
    <definedName name="ioio" localSheetId="6" hidden="1">{#N/A,#N/A,FALSE,"Aging Summary";#N/A,#N/A,FALSE,"Ratio Analysis";#N/A,#N/A,FALSE,"Test 120 Day Accts";#N/A,#N/A,FALSE,"Tickmarks"}</definedName>
    <definedName name="ioio" hidden="1">{#N/A,#N/A,FALSE,"Aging Summary";#N/A,#N/A,FALSE,"Ratio Analysis";#N/A,#N/A,FALSE,"Test 120 Day Accts";#N/A,#N/A,FALSE,"Tickmarks"}</definedName>
    <definedName name="IQ_ADDIN" hidden="1">"AUTO"</definedName>
    <definedName name="IQ_DNTM" hidden="1">700000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LATESTK" hidden="1">1000</definedName>
    <definedName name="IQ_LATESTQ" hidden="1">500</definedName>
    <definedName name="IQ_LTMMONTH" hidden="1">120000</definedName>
    <definedName name="IQ_MTD" hidden="1">800000</definedName>
    <definedName name="IQ_NAMES_REVISION_DATE_" hidden="1">42272.7703356482</definedName>
    <definedName name="IQ_QTD" hidden="1">750000</definedName>
    <definedName name="IQ_TODAY" hidden="1">0</definedName>
    <definedName name="IQ_YTDMONTH" hidden="1">130000</definedName>
    <definedName name="ISNA" localSheetId="4" hidden="1">{#N/A,#N/A,FALSE,"P&amp;L";#N/A,#N/A,FALSE,"CashFlow";#N/A,#N/A,FALSE,"Rev";#N/A,#N/A,FALSE,"Costs";#N/A,#N/A,FALSE,"CapexWC";#N/A,#N/A,FALSE,"CashDebt";#N/A,#N/A,FALSE,"Inv";#N/A,#N/A,FALSE,"Tax";#N/A,#N/A,FALSE,"Div";#N/A,#N/A,FALSE,"Equity"}</definedName>
    <definedName name="ISNA" localSheetId="6" hidden="1">{#N/A,#N/A,FALSE,"P&amp;L";#N/A,#N/A,FALSE,"CashFlow";#N/A,#N/A,FALSE,"Rev";#N/A,#N/A,FALSE,"Costs";#N/A,#N/A,FALSE,"CapexWC";#N/A,#N/A,FALSE,"CashDebt";#N/A,#N/A,FALSE,"Inv";#N/A,#N/A,FALSE,"Tax";#N/A,#N/A,FALSE,"Div";#N/A,#N/A,FALSE,"Equity"}</definedName>
    <definedName name="ISNA" hidden="1">{#N/A,#N/A,FALSE,"P&amp;L";#N/A,#N/A,FALSE,"CashFlow";#N/A,#N/A,FALSE,"Rev";#N/A,#N/A,FALSE,"Costs";#N/A,#N/A,FALSE,"CapexWC";#N/A,#N/A,FALSE,"CashDebt";#N/A,#N/A,FALSE,"Inv";#N/A,#N/A,FALSE,"Tax";#N/A,#N/A,FALSE,"Div";#N/A,#N/A,FALSE,"Equity"}</definedName>
    <definedName name="ISNAPPP" localSheetId="4" hidden="1">{#N/A,#N/A,TRUE,"Financials";#N/A,#N/A,TRUE,"Operating Statistics";#N/A,#N/A,TRUE,"Capex &amp; Depreciation";#N/A,#N/A,TRUE,"Debt"}</definedName>
    <definedName name="ISNAPPP" localSheetId="6" hidden="1">{#N/A,#N/A,TRUE,"Financials";#N/A,#N/A,TRUE,"Operating Statistics";#N/A,#N/A,TRUE,"Capex &amp; Depreciation";#N/A,#N/A,TRUE,"Debt"}</definedName>
    <definedName name="ISNAPPP" hidden="1">{#N/A,#N/A,TRUE,"Financials";#N/A,#N/A,TRUE,"Operating Statistics";#N/A,#N/A,TRUE,"Capex &amp; Depreciation";#N/A,#N/A,TRUE,"Debt"}</definedName>
    <definedName name="ISNAPUTRA" localSheetId="4" hidden="1">{#N/A,#N/A,FALSE,"One Pager";#N/A,#N/A,FALSE,"Technical"}</definedName>
    <definedName name="ISNAPUTRA" localSheetId="6" hidden="1">{#N/A,#N/A,FALSE,"One Pager";#N/A,#N/A,FALSE,"Technical"}</definedName>
    <definedName name="ISNAPUTRA" hidden="1">{#N/A,#N/A,FALSE,"One Pager";#N/A,#N/A,FALSE,"Technical"}</definedName>
    <definedName name="ITEM1.USER" hidden="1">[14]cus!$129:$129</definedName>
    <definedName name="ITEM10.USER" hidden="1">[14]cus!$138:$138</definedName>
    <definedName name="ITEM11.USER" hidden="1">[14]cus!$139:$139</definedName>
    <definedName name="ITEM12.USER" hidden="1">[14]cus!$140:$140</definedName>
    <definedName name="ITEM2.USER" hidden="1">[14]cus!$130:$130</definedName>
    <definedName name="ITEM3.USER" hidden="1">[14]cus!$131:$131</definedName>
    <definedName name="ITEM4.USER" hidden="1">[14]cus!$132:$132</definedName>
    <definedName name="ITEM5.USER" hidden="1">[14]cus!$133:$133</definedName>
    <definedName name="ITEM6.USER" hidden="1">[14]cus!$134:$134</definedName>
    <definedName name="ITEM7.USER" hidden="1">[14]cus!$135:$135</definedName>
    <definedName name="ITEM8.USER" hidden="1">[14]cus!$136:$136</definedName>
    <definedName name="ITEM9.USER" hidden="1">[14]cus!$137:$137</definedName>
    <definedName name="iy" localSheetId="4" hidden="1">'[1]ocean voyage'!#REF!</definedName>
    <definedName name="iy" localSheetId="6" hidden="1">'[1]ocean voyage'!#REF!</definedName>
    <definedName name="iy" hidden="1">'[1]ocean voyage'!#REF!</definedName>
    <definedName name="j" localSheetId="4" hidden="1">#REF!</definedName>
    <definedName name="j" localSheetId="6" hidden="1">#REF!</definedName>
    <definedName name="j" hidden="1">#REF!</definedName>
    <definedName name="jh" localSheetId="4" hidden="1">{"EVA",#N/A,FALSE,"EVA";"WACC",#N/A,FALSE,"WACC"}</definedName>
    <definedName name="jh" localSheetId="6" hidden="1">{"EVA",#N/A,FALSE,"EVA";"WACC",#N/A,FALSE,"WACC"}</definedName>
    <definedName name="jh" hidden="1">{"EVA",#N/A,FALSE,"EVA";"WACC",#N/A,FALSE,"WACC"}</definedName>
    <definedName name="jh_2" localSheetId="4" hidden="1">{"EVA",#N/A,FALSE,"EVA";"WACC",#N/A,FALSE,"WACC"}</definedName>
    <definedName name="jh_2" localSheetId="6" hidden="1">{"EVA",#N/A,FALSE,"EVA";"WACC",#N/A,FALSE,"WACC"}</definedName>
    <definedName name="jh_2" hidden="1">{"EVA",#N/A,FALSE,"EVA";"WACC",#N/A,FALSE,"WACC"}</definedName>
    <definedName name="jh_3" localSheetId="4" hidden="1">{"EVA",#N/A,FALSE,"EVA";"WACC",#N/A,FALSE,"WACC"}</definedName>
    <definedName name="jh_3" localSheetId="6" hidden="1">{"EVA",#N/A,FALSE,"EVA";"WACC",#N/A,FALSE,"WACC"}</definedName>
    <definedName name="jh_3" hidden="1">{"EVA",#N/A,FALSE,"EVA";"WACC",#N/A,FALSE,"WACC"}</definedName>
    <definedName name="jjj" localSheetId="6" hidden="1">'[1]ocean voyage'!#REF!</definedName>
    <definedName name="jjj" hidden="1">'[1]ocean voyage'!#REF!</definedName>
    <definedName name="jkj" localSheetId="4" hidden="1">{"mult96",#N/A,FALSE,"PETCOMP";"est96",#N/A,FALSE,"PETCOMP";"mult95",#N/A,FALSE,"PETCOMP";"est95",#N/A,FALSE,"PETCOMP";"multltm",#N/A,FALSE,"PETCOMP";"resultltm",#N/A,FALSE,"PETCOMP"}</definedName>
    <definedName name="jkj" localSheetId="6" hidden="1">{"mult96",#N/A,FALSE,"PETCOMP";"est96",#N/A,FALSE,"PETCOMP";"mult95",#N/A,FALSE,"PETCOMP";"est95",#N/A,FALSE,"PETCOMP";"multltm",#N/A,FALSE,"PETCOMP";"resultltm",#N/A,FALSE,"PETCOMP"}</definedName>
    <definedName name="jkj" hidden="1">{"mult96",#N/A,FALSE,"PETCOMP";"est96",#N/A,FALSE,"PETCOMP";"mult95",#N/A,FALSE,"PETCOMP";"est95",#N/A,FALSE,"PETCOMP";"multltm",#N/A,FALSE,"PETCOMP";"resultltm",#N/A,FALSE,"PETCOMP"}</definedName>
    <definedName name="jkj_2" localSheetId="4" hidden="1">{"mult96",#N/A,FALSE,"PETCOMP";"est96",#N/A,FALSE,"PETCOMP";"mult95",#N/A,FALSE,"PETCOMP";"est95",#N/A,FALSE,"PETCOMP";"multltm",#N/A,FALSE,"PETCOMP";"resultltm",#N/A,FALSE,"PETCOMP"}</definedName>
    <definedName name="jkj_2" localSheetId="6" hidden="1">{"mult96",#N/A,FALSE,"PETCOMP";"est96",#N/A,FALSE,"PETCOMP";"mult95",#N/A,FALSE,"PETCOMP";"est95",#N/A,FALSE,"PETCOMP";"multltm",#N/A,FALSE,"PETCOMP";"resultltm",#N/A,FALSE,"PETCOMP"}</definedName>
    <definedName name="jkj_2" hidden="1">{"mult96",#N/A,FALSE,"PETCOMP";"est96",#N/A,FALSE,"PETCOMP";"mult95",#N/A,FALSE,"PETCOMP";"est95",#N/A,FALSE,"PETCOMP";"multltm",#N/A,FALSE,"PETCOMP";"resultltm",#N/A,FALSE,"PETCOMP"}</definedName>
    <definedName name="jkj_3" localSheetId="4" hidden="1">{"mult96",#N/A,FALSE,"PETCOMP";"est96",#N/A,FALSE,"PETCOMP";"mult95",#N/A,FALSE,"PETCOMP";"est95",#N/A,FALSE,"PETCOMP";"multltm",#N/A,FALSE,"PETCOMP";"resultltm",#N/A,FALSE,"PETCOMP"}</definedName>
    <definedName name="jkj_3" localSheetId="6" hidden="1">{"mult96",#N/A,FALSE,"PETCOMP";"est96",#N/A,FALSE,"PETCOMP";"mult95",#N/A,FALSE,"PETCOMP";"est95",#N/A,FALSE,"PETCOMP";"multltm",#N/A,FALSE,"PETCOMP";"resultltm",#N/A,FALSE,"PETCOMP"}</definedName>
    <definedName name="jkj_3" hidden="1">{"mult96",#N/A,FALSE,"PETCOMP";"est96",#N/A,FALSE,"PETCOMP";"mult95",#N/A,FALSE,"PETCOMP";"est95",#N/A,FALSE,"PETCOMP";"multltm",#N/A,FALSE,"PETCOMP";"resultltm",#N/A,FALSE,"PETCOMP"}</definedName>
    <definedName name="jkjkjk" localSheetId="4" hidden="1">{#N/A,#N/A,FALSE,"Aging Summary";#N/A,#N/A,FALSE,"Ratio Analysis";#N/A,#N/A,FALSE,"Test 120 Day Accts";#N/A,#N/A,FALSE,"Tickmarks"}</definedName>
    <definedName name="jkjkjk" localSheetId="6" hidden="1">{#N/A,#N/A,FALSE,"Aging Summary";#N/A,#N/A,FALSE,"Ratio Analysis";#N/A,#N/A,FALSE,"Test 120 Day Accts";#N/A,#N/A,FALSE,"Tickmarks"}</definedName>
    <definedName name="jkjkjk" hidden="1">{#N/A,#N/A,FALSE,"Aging Summary";#N/A,#N/A,FALSE,"Ratio Analysis";#N/A,#N/A,FALSE,"Test 120 Day Accts";#N/A,#N/A,FALSE,"Tickmarks"}</definedName>
    <definedName name="jkl" localSheetId="4" hidden="1">{"mult96",#N/A,FALSE,"PETCOMP";"est96",#N/A,FALSE,"PETCOMP";"mult95",#N/A,FALSE,"PETCOMP";"est95",#N/A,FALSE,"PETCOMP";"multltm",#N/A,FALSE,"PETCOMP";"resultltm",#N/A,FALSE,"PETCOMP"}</definedName>
    <definedName name="jkl" localSheetId="6" hidden="1">{"mult96",#N/A,FALSE,"PETCOMP";"est96",#N/A,FALSE,"PETCOMP";"mult95",#N/A,FALSE,"PETCOMP";"est95",#N/A,FALSE,"PETCOMP";"multltm",#N/A,FALSE,"PETCOMP";"resultltm",#N/A,FALSE,"PETCOMP"}</definedName>
    <definedName name="jkl" hidden="1">{"mult96",#N/A,FALSE,"PETCOMP";"est96",#N/A,FALSE,"PETCOMP";"mult95",#N/A,FALSE,"PETCOMP";"est95",#N/A,FALSE,"PETCOMP";"multltm",#N/A,FALSE,"PETCOMP";"resultltm",#N/A,FALSE,"PETCOMP"}</definedName>
    <definedName name="jkl_2" localSheetId="4" hidden="1">{"mult96",#N/A,FALSE,"PETCOMP";"est96",#N/A,FALSE,"PETCOMP";"mult95",#N/A,FALSE,"PETCOMP";"est95",#N/A,FALSE,"PETCOMP";"multltm",#N/A,FALSE,"PETCOMP";"resultltm",#N/A,FALSE,"PETCOMP"}</definedName>
    <definedName name="jkl_2" localSheetId="6" hidden="1">{"mult96",#N/A,FALSE,"PETCOMP";"est96",#N/A,FALSE,"PETCOMP";"mult95",#N/A,FALSE,"PETCOMP";"est95",#N/A,FALSE,"PETCOMP";"multltm",#N/A,FALSE,"PETCOMP";"resultltm",#N/A,FALSE,"PETCOMP"}</definedName>
    <definedName name="jkl_2" hidden="1">{"mult96",#N/A,FALSE,"PETCOMP";"est96",#N/A,FALSE,"PETCOMP";"mult95",#N/A,FALSE,"PETCOMP";"est95",#N/A,FALSE,"PETCOMP";"multltm",#N/A,FALSE,"PETCOMP";"resultltm",#N/A,FALSE,"PETCOMP"}</definedName>
    <definedName name="jkl_3" localSheetId="4" hidden="1">{"mult96",#N/A,FALSE,"PETCOMP";"est96",#N/A,FALSE,"PETCOMP";"mult95",#N/A,FALSE,"PETCOMP";"est95",#N/A,FALSE,"PETCOMP";"multltm",#N/A,FALSE,"PETCOMP";"resultltm",#N/A,FALSE,"PETCOMP"}</definedName>
    <definedName name="jkl_3" localSheetId="6" hidden="1">{"mult96",#N/A,FALSE,"PETCOMP";"est96",#N/A,FALSE,"PETCOMP";"mult95",#N/A,FALSE,"PETCOMP";"est95",#N/A,FALSE,"PETCOMP";"multltm",#N/A,FALSE,"PETCOMP";"resultltm",#N/A,FALSE,"PETCOMP"}</definedName>
    <definedName name="jkl_3" hidden="1">{"mult96",#N/A,FALSE,"PETCOMP";"est96",#N/A,FALSE,"PETCOMP";"mult95",#N/A,FALSE,"PETCOMP";"est95",#N/A,FALSE,"PETCOMP";"multltm",#N/A,FALSE,"PETCOMP";"resultltm",#N/A,FALSE,"PETCOMP"}</definedName>
    <definedName name="JR_PAGE_ANCHOR_0_1">#REF!</definedName>
    <definedName name="ju" localSheetId="4" hidden="1">{"Aneh",#N/A,FALSE,"Sheet1"}</definedName>
    <definedName name="ju" localSheetId="6" hidden="1">{"Aneh",#N/A,FALSE,"Sheet1"}</definedName>
    <definedName name="ju" hidden="1">{"Aneh",#N/A,FALSE,"Sheet1"}</definedName>
    <definedName name="Jun" localSheetId="4" hidden="1">#REF!</definedName>
    <definedName name="Jun" hidden="1">#REF!</definedName>
    <definedName name="juni" localSheetId="4" hidden="1">{"Aneh",#N/A,FALSE,"Sheet1"}</definedName>
    <definedName name="juni" localSheetId="6" hidden="1">{"Aneh",#N/A,FALSE,"Sheet1"}</definedName>
    <definedName name="juni" hidden="1">{"Aneh",#N/A,FALSE,"Sheet1"}</definedName>
    <definedName name="jyjwyjwytjwj" localSheetId="4" hidden="1">#REF!</definedName>
    <definedName name="jyjwyjwytjwj" hidden="1">#REF!</definedName>
    <definedName name="karawaci" localSheetId="4" hidden="1">{#N/A,#N/A,FALSE,"P&amp;L";#N/A,#N/A,FALSE,"CashFlow";#N/A,#N/A,FALSE,"Rev";#N/A,#N/A,FALSE,"Costs";#N/A,#N/A,FALSE,"CapexWC";#N/A,#N/A,FALSE,"CashDebt";#N/A,#N/A,FALSE,"Inv";#N/A,#N/A,FALSE,"Tax";#N/A,#N/A,FALSE,"Div";#N/A,#N/A,FALSE,"Equity"}</definedName>
    <definedName name="karawaci" localSheetId="6" hidden="1">{#N/A,#N/A,FALSE,"P&amp;L";#N/A,#N/A,FALSE,"CashFlow";#N/A,#N/A,FALSE,"Rev";#N/A,#N/A,FALSE,"Costs";#N/A,#N/A,FALSE,"CapexWC";#N/A,#N/A,FALSE,"CashDebt";#N/A,#N/A,FALSE,"Inv";#N/A,#N/A,FALSE,"Tax";#N/A,#N/A,FALSE,"Div";#N/A,#N/A,FALSE,"Equity"}</definedName>
    <definedName name="karawaci" hidden="1">{#N/A,#N/A,FALSE,"P&amp;L";#N/A,#N/A,FALSE,"CashFlow";#N/A,#N/A,FALSE,"Rev";#N/A,#N/A,FALSE,"Costs";#N/A,#N/A,FALSE,"CapexWC";#N/A,#N/A,FALSE,"CashDebt";#N/A,#N/A,FALSE,"Inv";#N/A,#N/A,FALSE,"Tax";#N/A,#N/A,FALSE,"Div";#N/A,#N/A,FALSE,"Equity"}</definedName>
    <definedName name="key" localSheetId="4" hidden="1">{"Aneh",#N/A,FALSE,"Sheet1"}</definedName>
    <definedName name="key" localSheetId="6" hidden="1">{"Aneh",#N/A,FALSE,"Sheet1"}</definedName>
    <definedName name="key" hidden="1">{"Aneh",#N/A,FALSE,"Sheet1"}</definedName>
    <definedName name="keyp" localSheetId="4" hidden="1">{"Aneh",#N/A,FALSE,"Sheet1"}</definedName>
    <definedName name="keyp" localSheetId="6" hidden="1">{"Aneh",#N/A,FALSE,"Sheet1"}</definedName>
    <definedName name="keyp" hidden="1">{"Aneh",#N/A,FALSE,"Sheet1"}</definedName>
    <definedName name="khgc" localSheetId="4" hidden="1">{#N/A,#N/A,FALSE,"Aging Summary";#N/A,#N/A,FALSE,"Ratio Analysis";#N/A,#N/A,FALSE,"Test 120 Day Accts";#N/A,#N/A,FALSE,"Tickmarks"}</definedName>
    <definedName name="khgc" localSheetId="6" hidden="1">{#N/A,#N/A,FALSE,"Aging Summary";#N/A,#N/A,FALSE,"Ratio Analysis";#N/A,#N/A,FALSE,"Test 120 Day Accts";#N/A,#N/A,FALSE,"Tickmarks"}</definedName>
    <definedName name="khgc" hidden="1">{#N/A,#N/A,FALSE,"Aging Summary";#N/A,#N/A,FALSE,"Ratio Analysis";#N/A,#N/A,FALSE,"Test 120 Day Accts";#N/A,#N/A,FALSE,"Tickmarks"}</definedName>
    <definedName name="ki" hidden="1">'[1]ocean voyage'!#REF!</definedName>
    <definedName name="kkk" localSheetId="4" hidden="1">{"Graphic",#N/A,TRUE,"Graphic"}</definedName>
    <definedName name="kkk" localSheetId="6" hidden="1">{"Graphic",#N/A,TRUE,"Graphic"}</definedName>
    <definedName name="kkk" hidden="1">{"Graphic",#N/A,TRUE,"Graphic"}</definedName>
    <definedName name="kkl" localSheetId="4" hidden="1">{"Graphic",#N/A,TRUE,"Graphic"}</definedName>
    <definedName name="kkl" localSheetId="6" hidden="1">{"Graphic",#N/A,TRUE,"Graphic"}</definedName>
    <definedName name="kkl" hidden="1">{"Graphic",#N/A,TRUE,"Graphic"}</definedName>
    <definedName name="kkl_2" localSheetId="4" hidden="1">{"Graphic",#N/A,TRUE,"Graphic"}</definedName>
    <definedName name="kkl_2" localSheetId="6" hidden="1">{"Graphic",#N/A,TRUE,"Graphic"}</definedName>
    <definedName name="kkl_2" hidden="1">{"Graphic",#N/A,TRUE,"Graphic"}</definedName>
    <definedName name="kkl_3" localSheetId="4" hidden="1">{"Graphic",#N/A,TRUE,"Graphic"}</definedName>
    <definedName name="kkl_3" localSheetId="6" hidden="1">{"Graphic",#N/A,TRUE,"Graphic"}</definedName>
    <definedName name="kkl_3" hidden="1">{"Graphic",#N/A,TRUE,"Graphic"}</definedName>
    <definedName name="kljhv" localSheetId="4" hidden="1">{#N/A,#N/A,FALSE,"Aging Summary";#N/A,#N/A,FALSE,"Ratio Analysis";#N/A,#N/A,FALSE,"Test 120 Day Accts";#N/A,#N/A,FALSE,"Tickmarks"}</definedName>
    <definedName name="kljhv" localSheetId="6" hidden="1">{#N/A,#N/A,FALSE,"Aging Summary";#N/A,#N/A,FALSE,"Ratio Analysis";#N/A,#N/A,FALSE,"Test 120 Day Accts";#N/A,#N/A,FALSE,"Tickmarks"}</definedName>
    <definedName name="kljhv" hidden="1">{#N/A,#N/A,FALSE,"Aging Summary";#N/A,#N/A,FALSE,"Ratio Analysis";#N/A,#N/A,FALSE,"Test 120 Day Accts";#N/A,#N/A,FALSE,"Tickmarks"}</definedName>
    <definedName name="klk" localSheetId="4" hidden="1">{"Graphic",#N/A,TRUE,"Graphic"}</definedName>
    <definedName name="klk" localSheetId="6" hidden="1">{"Graphic",#N/A,TRUE,"Graphic"}</definedName>
    <definedName name="klk" hidden="1">{"Graphic",#N/A,TRUE,"Graphic"}</definedName>
    <definedName name="klk_2" localSheetId="4" hidden="1">{"Graphic",#N/A,TRUE,"Graphic"}</definedName>
    <definedName name="klk_2" localSheetId="6" hidden="1">{"Graphic",#N/A,TRUE,"Graphic"}</definedName>
    <definedName name="klk_2" hidden="1">{"Graphic",#N/A,TRUE,"Graphic"}</definedName>
    <definedName name="klk_3" localSheetId="4" hidden="1">{"Graphic",#N/A,TRUE,"Graphic"}</definedName>
    <definedName name="klk_3" localSheetId="6" hidden="1">{"Graphic",#N/A,TRUE,"Graphic"}</definedName>
    <definedName name="klk_3" hidden="1">{"Graphic",#N/A,TRUE,"Graphic"}</definedName>
    <definedName name="kojcjhsdjvhjlsdcv" localSheetId="4" hidden="1">{"paging",#N/A,TRUE,"TITLE";#N/A,#N/A,TRUE,"Paging subs";#N/A,#N/A,TRUE,"P&amp;L - Paging";#N/A,#N/A,TRUE,"Rev &amp; Usage Assump - Paging";#N/A,#N/A,TRUE,"Cost - Paging";"paging",#N/A,TRUE,"Capex "}</definedName>
    <definedName name="kojcjhsdjvhjlsdcv" localSheetId="6" hidden="1">{"paging",#N/A,TRUE,"TITLE";#N/A,#N/A,TRUE,"Paging subs";#N/A,#N/A,TRUE,"P&amp;L - Paging";#N/A,#N/A,TRUE,"Rev &amp; Usage Assump - Paging";#N/A,#N/A,TRUE,"Cost - Paging";"paging",#N/A,TRUE,"Capex "}</definedName>
    <definedName name="kojcjhsdjvhjlsdcv" hidden="1">{"paging",#N/A,TRUE,"TITLE";#N/A,#N/A,TRUE,"Paging subs";#N/A,#N/A,TRUE,"P&amp;L - Paging";#N/A,#N/A,TRUE,"Rev &amp; Usage Assump - Paging";#N/A,#N/A,TRUE,"Cost - Paging";"paging",#N/A,TRUE,"Capex "}</definedName>
    <definedName name="kojcjhsdjvhjlsdcv_2" localSheetId="4" hidden="1">{"paging",#N/A,TRUE,"TITLE";#N/A,#N/A,TRUE,"Paging subs";#N/A,#N/A,TRUE,"P&amp;L - Paging";#N/A,#N/A,TRUE,"Rev &amp; Usage Assump - Paging";#N/A,#N/A,TRUE,"Cost - Paging";"paging",#N/A,TRUE,"Capex "}</definedName>
    <definedName name="kojcjhsdjvhjlsdcv_2" localSheetId="6" hidden="1">{"paging",#N/A,TRUE,"TITLE";#N/A,#N/A,TRUE,"Paging subs";#N/A,#N/A,TRUE,"P&amp;L - Paging";#N/A,#N/A,TRUE,"Rev &amp; Usage Assump - Paging";#N/A,#N/A,TRUE,"Cost - Paging";"paging",#N/A,TRUE,"Capex "}</definedName>
    <definedName name="kojcjhsdjvhjlsdcv_2" hidden="1">{"paging",#N/A,TRUE,"TITLE";#N/A,#N/A,TRUE,"Paging subs";#N/A,#N/A,TRUE,"P&amp;L - Paging";#N/A,#N/A,TRUE,"Rev &amp; Usage Assump - Paging";#N/A,#N/A,TRUE,"Cost - Paging";"paging",#N/A,TRUE,"Capex "}</definedName>
    <definedName name="kojcjhsdjvhjlsdcv_3" localSheetId="4" hidden="1">{"paging",#N/A,TRUE,"TITLE";#N/A,#N/A,TRUE,"Paging subs";#N/A,#N/A,TRUE,"P&amp;L - Paging";#N/A,#N/A,TRUE,"Rev &amp; Usage Assump - Paging";#N/A,#N/A,TRUE,"Cost - Paging";"paging",#N/A,TRUE,"Capex "}</definedName>
    <definedName name="kojcjhsdjvhjlsdcv_3" localSheetId="6" hidden="1">{"paging",#N/A,TRUE,"TITLE";#N/A,#N/A,TRUE,"Paging subs";#N/A,#N/A,TRUE,"P&amp;L - Paging";#N/A,#N/A,TRUE,"Rev &amp; Usage Assump - Paging";#N/A,#N/A,TRUE,"Cost - Paging";"paging",#N/A,TRUE,"Capex "}</definedName>
    <definedName name="kojcjhsdjvhjlsdcv_3" hidden="1">{"paging",#N/A,TRUE,"TITLE";#N/A,#N/A,TRUE,"Paging subs";#N/A,#N/A,TRUE,"P&amp;L - Paging";#N/A,#N/A,TRUE,"Rev &amp; Usage Assump - Paging";#N/A,#N/A,TRUE,"Cost - Paging";"paging",#N/A,TRUE,"Capex "}</definedName>
    <definedName name="kontol"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kontol"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konto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Kuartal" localSheetId="4" hidden="1">{#N/A,#N/A,FALSE,"One Pager";#N/A,#N/A,FALSE,"Technical"}</definedName>
    <definedName name="Kuartal" localSheetId="6" hidden="1">{#N/A,#N/A,FALSE,"One Pager";#N/A,#N/A,FALSE,"Technical"}</definedName>
    <definedName name="Kuartal" hidden="1">{#N/A,#N/A,FALSE,"One Pager";#N/A,#N/A,FALSE,"Technical"}</definedName>
    <definedName name="l" hidden="1">[2]LOADDAT!#REF!</definedName>
    <definedName name="Lap" localSheetId="4" hidden="1">{"Aneh",#N/A,FALSE,"Sheet1"}</definedName>
    <definedName name="Lap" localSheetId="6" hidden="1">{"Aneh",#N/A,FALSE,"Sheet1"}</definedName>
    <definedName name="Lap" hidden="1">{"Aneh",#N/A,FALSE,"Sheet1"}</definedName>
    <definedName name="LDLD" localSheetId="4" hidden="1">#REF!</definedName>
    <definedName name="LDLD" localSheetId="6" hidden="1">#REF!</definedName>
    <definedName name="LDLD" hidden="1">#REF!</definedName>
    <definedName name="limcount" hidden="1">1</definedName>
    <definedName name="lllllllllllllll" localSheetId="4" hidden="1">#REF!</definedName>
    <definedName name="lllllllllllllll" localSheetId="6" hidden="1">#REF!</definedName>
    <definedName name="lllllllllllllll" hidden="1">#REF!</definedName>
    <definedName name="LOCAL_MYSQL_DATE_FORMAT" localSheetId="4"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8"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10"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pp" localSheetId="4" hidden="1">[17]MATERIALFINAL!#REF!</definedName>
    <definedName name="lpp" localSheetId="6" hidden="1">[17]MATERIALFINAL!#REF!</definedName>
    <definedName name="lpp" hidden="1">[17]MATERIALFINAL!#REF!</definedName>
    <definedName name="mar" localSheetId="4" hidden="1">#REF!</definedName>
    <definedName name="mar" localSheetId="6" hidden="1">#REF!</definedName>
    <definedName name="mar" hidden="1">#REF!</definedName>
    <definedName name="Maret" localSheetId="4" hidden="1">#REF!</definedName>
    <definedName name="Maret" localSheetId="6" hidden="1">#REF!</definedName>
    <definedName name="Maret" hidden="1">#REF!</definedName>
    <definedName name="MININT.USER" hidden="1">[14]cus!$48:$48</definedName>
    <definedName name="mm" localSheetId="4" hidden="1">{"adj95mult",#N/A,FALSE,"COMPCO";"adj95est",#N/A,FALSE,"COMPCO"}</definedName>
    <definedName name="mm" localSheetId="6" hidden="1">{"adj95mult",#N/A,FALSE,"COMPCO";"adj95est",#N/A,FALSE,"COMPCO"}</definedName>
    <definedName name="mm" hidden="1">{"adj95mult",#N/A,FALSE,"COMPCO";"adj95est",#N/A,FALSE,"COMPCO"}</definedName>
    <definedName name="mm_2" localSheetId="4" hidden="1">{"adj95mult",#N/A,FALSE,"COMPCO";"adj95est",#N/A,FALSE,"COMPCO"}</definedName>
    <definedName name="mm_2" localSheetId="6" hidden="1">{"adj95mult",#N/A,FALSE,"COMPCO";"adj95est",#N/A,FALSE,"COMPCO"}</definedName>
    <definedName name="mm_2" hidden="1">{"adj95mult",#N/A,FALSE,"COMPCO";"adj95est",#N/A,FALSE,"COMPCO"}</definedName>
    <definedName name="mm_3" localSheetId="4" hidden="1">{"adj95mult",#N/A,FALSE,"COMPCO";"adj95est",#N/A,FALSE,"COMPCO"}</definedName>
    <definedName name="mm_3" localSheetId="6" hidden="1">{"adj95mult",#N/A,FALSE,"COMPCO";"adj95est",#N/A,FALSE,"COMPCO"}</definedName>
    <definedName name="mm_3" hidden="1">{"adj95mult",#N/A,FALSE,"COMPCO";"adj95est",#N/A,FALSE,"COMPCO"}</definedName>
    <definedName name="mot" localSheetId="4" hidden="1">{#N/A,#N/A,FALSE,"Aging Summary";#N/A,#N/A,FALSE,"Ratio Analysis";#N/A,#N/A,FALSE,"Test 120 Day Accts";#N/A,#N/A,FALSE,"Tickmarks"}</definedName>
    <definedName name="mot" localSheetId="6" hidden="1">{#N/A,#N/A,FALSE,"Aging Summary";#N/A,#N/A,FALSE,"Ratio Analysis";#N/A,#N/A,FALSE,"Test 120 Day Accts";#N/A,#N/A,FALSE,"Tickmarks"}</definedName>
    <definedName name="mot" hidden="1">{#N/A,#N/A,FALSE,"Aging Summary";#N/A,#N/A,FALSE,"Ratio Analysis";#N/A,#N/A,FALSE,"Test 120 Day Accts";#N/A,#N/A,FALSE,"Tickmarks"}</definedName>
    <definedName name="NCAPMP.USER" hidden="1">[14]cus!$43:$43</definedName>
    <definedName name="nefo" localSheetId="4" hidden="1">{#N/A,#N/A,FALSE,"P&amp;L";#N/A,#N/A,FALSE,"CashFlow";#N/A,#N/A,FALSE,"Rev";#N/A,#N/A,FALSE,"Costs";#N/A,#N/A,FALSE,"CapexWC";#N/A,#N/A,FALSE,"CashDebt";#N/A,#N/A,FALSE,"Inv";#N/A,#N/A,FALSE,"Tax";#N/A,#N/A,FALSE,"Div";#N/A,#N/A,FALSE,"Equity"}</definedName>
    <definedName name="nefo" localSheetId="6" hidden="1">{#N/A,#N/A,FALSE,"P&amp;L";#N/A,#N/A,FALSE,"CashFlow";#N/A,#N/A,FALSE,"Rev";#N/A,#N/A,FALSE,"Costs";#N/A,#N/A,FALSE,"CapexWC";#N/A,#N/A,FALSE,"CashDebt";#N/A,#N/A,FALSE,"Inv";#N/A,#N/A,FALSE,"Tax";#N/A,#N/A,FALSE,"Div";#N/A,#N/A,FALSE,"Equity"}</definedName>
    <definedName name="nefo" hidden="1">{#N/A,#N/A,FALSE,"P&amp;L";#N/A,#N/A,FALSE,"CashFlow";#N/A,#N/A,FALSE,"Rev";#N/A,#N/A,FALSE,"Costs";#N/A,#N/A,FALSE,"CapexWC";#N/A,#N/A,FALSE,"CashDebt";#N/A,#N/A,FALSE,"Inv";#N/A,#N/A,FALSE,"Tax";#N/A,#N/A,FALSE,"Div";#N/A,#N/A,FALSE,"Equity"}</definedName>
    <definedName name="new" localSheetId="4" hidden="1">{"Graphic",#N/A,TRUE,"Graphic"}</definedName>
    <definedName name="new" localSheetId="6" hidden="1">{"Graphic",#N/A,TRUE,"Graphic"}</definedName>
    <definedName name="new" hidden="1">{"Graphic",#N/A,TRUE,"Graphic"}</definedName>
    <definedName name="new_2" localSheetId="4" hidden="1">{"Graphic",#N/A,TRUE,"Graphic"}</definedName>
    <definedName name="new_2" localSheetId="6" hidden="1">{"Graphic",#N/A,TRUE,"Graphic"}</definedName>
    <definedName name="new_2" hidden="1">{"Graphic",#N/A,TRUE,"Graphic"}</definedName>
    <definedName name="new_3" localSheetId="4" hidden="1">{"Graphic",#N/A,TRUE,"Graphic"}</definedName>
    <definedName name="new_3" localSheetId="6" hidden="1">{"Graphic",#N/A,TRUE,"Graphic"}</definedName>
    <definedName name="new_3" hidden="1">{"Graphic",#N/A,TRUE,"Graphic"}</definedName>
    <definedName name="NEWNAME" localSheetId="4" hidden="1">{#N/A,#N/A,FALSE,"CCTV"}</definedName>
    <definedName name="NEWNAME" localSheetId="6" hidden="1">{#N/A,#N/A,FALSE,"CCTV"}</definedName>
    <definedName name="NEWNAME" hidden="1">{#N/A,#N/A,FALSE,"CCTV"}</definedName>
    <definedName name="nm" localSheetId="4" hidden="1">{"DCF","UPSIDE CASE",FALSE,"Sheet1";"DCF","BASE CASE",FALSE,"Sheet1";"DCF","DOWNSIDE CASE",FALSE,"Sheet1"}</definedName>
    <definedName name="nm" localSheetId="6" hidden="1">{"DCF","UPSIDE CASE",FALSE,"Sheet1";"DCF","BASE CASE",FALSE,"Sheet1";"DCF","DOWNSIDE CASE",FALSE,"Sheet1"}</definedName>
    <definedName name="nm" hidden="1">{"DCF","UPSIDE CASE",FALSE,"Sheet1";"DCF","BASE CASE",FALSE,"Sheet1";"DCF","DOWNSIDE CASE",FALSE,"Sheet1"}</definedName>
    <definedName name="nm_2" localSheetId="4" hidden="1">{"DCF","UPSIDE CASE",FALSE,"Sheet1";"DCF","BASE CASE",FALSE,"Sheet1";"DCF","DOWNSIDE CASE",FALSE,"Sheet1"}</definedName>
    <definedName name="nm_2" localSheetId="6" hidden="1">{"DCF","UPSIDE CASE",FALSE,"Sheet1";"DCF","BASE CASE",FALSE,"Sheet1";"DCF","DOWNSIDE CASE",FALSE,"Sheet1"}</definedName>
    <definedName name="nm_2" hidden="1">{"DCF","UPSIDE CASE",FALSE,"Sheet1";"DCF","BASE CASE",FALSE,"Sheet1";"DCF","DOWNSIDE CASE",FALSE,"Sheet1"}</definedName>
    <definedName name="nm_3" localSheetId="4" hidden="1">{"DCF","UPSIDE CASE",FALSE,"Sheet1";"DCF","BASE CASE",FALSE,"Sheet1";"DCF","DOWNSIDE CASE",FALSE,"Sheet1"}</definedName>
    <definedName name="nm_3" localSheetId="6" hidden="1">{"DCF","UPSIDE CASE",FALSE,"Sheet1";"DCF","BASE CASE",FALSE,"Sheet1";"DCF","DOWNSIDE CASE",FALSE,"Sheet1"}</definedName>
    <definedName name="nm_3" hidden="1">{"DCF","UPSIDE CASE",FALSE,"Sheet1";"DCF","BASE CASE",FALSE,"Sheet1";"DCF","DOWNSIDE CASE",FALSE,"Sheet1"}</definedName>
    <definedName name="nn" localSheetId="4" hidden="1">{#N/A,#N/A,FALSE,"Aging Summary";#N/A,#N/A,FALSE,"Ratio Analysis";#N/A,#N/A,FALSE,"Test 120 Day Accts";#N/A,#N/A,FALSE,"Tickmarks"}</definedName>
    <definedName name="nn" localSheetId="6" hidden="1">{#N/A,#N/A,FALSE,"Aging Summary";#N/A,#N/A,FALSE,"Ratio Analysis";#N/A,#N/A,FALSE,"Test 120 Day Accts";#N/A,#N/A,FALSE,"Tickmarks"}</definedName>
    <definedName name="nn" hidden="1">{#N/A,#N/A,FALSE,"Aging Summary";#N/A,#N/A,FALSE,"Ratio Analysis";#N/A,#N/A,FALSE,"Test 120 Day Accts";#N/A,#N/A,FALSE,"Tickmarks"}</definedName>
    <definedName name="nnn" localSheetId="4" hidden="1">{"Graphic",#N/A,TRUE,"Graphic"}</definedName>
    <definedName name="nnn" localSheetId="6" hidden="1">{"Graphic",#N/A,TRUE,"Graphic"}</definedName>
    <definedName name="nnn" hidden="1">{"Graphic",#N/A,TRUE,"Graphic"}</definedName>
    <definedName name="nnn_2" localSheetId="4" hidden="1">{"Graphic",#N/A,TRUE,"Graphic"}</definedName>
    <definedName name="nnn_2" localSheetId="6" hidden="1">{"Graphic",#N/A,TRUE,"Graphic"}</definedName>
    <definedName name="nnn_2" hidden="1">{"Graphic",#N/A,TRUE,"Graphic"}</definedName>
    <definedName name="nnn_3" localSheetId="4" hidden="1">{"Graphic",#N/A,TRUE,"Graphic"}</definedName>
    <definedName name="nnn_3" localSheetId="6" hidden="1">{"Graphic",#N/A,TRUE,"Graphic"}</definedName>
    <definedName name="nnn_3" hidden="1">{"Graphic",#N/A,TRUE,"Graphic"}</definedName>
    <definedName name="NWC.USER" hidden="1">[14]cus!$42:$42</definedName>
    <definedName name="oke" hidden="1">[18]SCHEDULE!$L$90:$AO$90</definedName>
    <definedName name="oktober" localSheetId="4" hidden="1">{"Aneh",#N/A,FALSE,"Sheet1"}</definedName>
    <definedName name="oktober" localSheetId="6" hidden="1">{"Aneh",#N/A,FALSE,"Sheet1"}</definedName>
    <definedName name="oktober" hidden="1">{"Aneh",#N/A,FALSE,"Sheet1"}</definedName>
    <definedName name="OLTL.USER" hidden="1">[14]cus!$46:$46</definedName>
    <definedName name="one" localSheetId="4" hidden="1">{"adj95mult",#N/A,FALSE,"COMPCO";"adj95est",#N/A,FALSE,"COMPCO"}</definedName>
    <definedName name="one" localSheetId="6" hidden="1">{"adj95mult",#N/A,FALSE,"COMPCO";"adj95est",#N/A,FALSE,"COMPCO"}</definedName>
    <definedName name="one" hidden="1">{"adj95mult",#N/A,FALSE,"COMPCO";"adj95est",#N/A,FALSE,"COMPCO"}</definedName>
    <definedName name="one_2" localSheetId="4" hidden="1">{"adj95mult",#N/A,FALSE,"COMPCO";"adj95est",#N/A,FALSE,"COMPCO"}</definedName>
    <definedName name="one_2" localSheetId="6" hidden="1">{"adj95mult",#N/A,FALSE,"COMPCO";"adj95est",#N/A,FALSE,"COMPCO"}</definedName>
    <definedName name="one_2" hidden="1">{"adj95mult",#N/A,FALSE,"COMPCO";"adj95est",#N/A,FALSE,"COMPCO"}</definedName>
    <definedName name="one_3" localSheetId="4" hidden="1">{"adj95mult",#N/A,FALSE,"COMPCO";"adj95est",#N/A,FALSE,"COMPCO"}</definedName>
    <definedName name="one_3" localSheetId="6" hidden="1">{"adj95mult",#N/A,FALSE,"COMPCO";"adj95est",#N/A,FALSE,"COMPCO"}</definedName>
    <definedName name="one_3" hidden="1">{"adj95mult",#N/A,FALSE,"COMPCO";"adj95est",#N/A,FALSE,"COMPCO"}</definedName>
    <definedName name="ooo" localSheetId="4" hidden="1">{"Graphic",#N/A,TRUE,"Graphic"}</definedName>
    <definedName name="ooo" localSheetId="6" hidden="1">{"Graphic",#N/A,TRUE,"Graphic"}</definedName>
    <definedName name="ooo" hidden="1">{"Graphic",#N/A,TRUE,"Graphic"}</definedName>
    <definedName name="ooo_2" localSheetId="4" hidden="1">{"Graphic",#N/A,TRUE,"Graphic"}</definedName>
    <definedName name="ooo_2" localSheetId="6" hidden="1">{"Graphic",#N/A,TRUE,"Graphic"}</definedName>
    <definedName name="ooo_2" hidden="1">{"Graphic",#N/A,TRUE,"Graphic"}</definedName>
    <definedName name="ooo_3" localSheetId="4" hidden="1">{"Graphic",#N/A,TRUE,"Graphic"}</definedName>
    <definedName name="ooo_3" localSheetId="6" hidden="1">{"Graphic",#N/A,TRUE,"Graphic"}</definedName>
    <definedName name="ooo_3" hidden="1">{"Graphic",#N/A,TRUE,"Graphic"}</definedName>
    <definedName name="Orange" localSheetId="4" hidden="1">#REF!</definedName>
    <definedName name="Orange" localSheetId="6" hidden="1">#REF!</definedName>
    <definedName name="Orange" hidden="1">#REF!</definedName>
    <definedName name="OSBL" localSheetId="4" hidden="1">{"'장비'!$A$3:$M$12"}</definedName>
    <definedName name="OSBL" localSheetId="6" hidden="1">{"'장비'!$A$3:$M$12"}</definedName>
    <definedName name="OSBL" hidden="1">{"'장비'!$A$3:$M$12"}</definedName>
    <definedName name="OSBL1" localSheetId="4" hidden="1">{"'장비'!$A$3:$M$12"}</definedName>
    <definedName name="OSBL1" localSheetId="6" hidden="1">{"'장비'!$A$3:$M$12"}</definedName>
    <definedName name="OSBL1" hidden="1">{"'장비'!$A$3:$M$12"}</definedName>
    <definedName name="p_2" localSheetId="4" hidden="1">{"Graphic",#N/A,TRUE,"Graphic"}</definedName>
    <definedName name="p_2" localSheetId="6" hidden="1">{"Graphic",#N/A,TRUE,"Graphic"}</definedName>
    <definedName name="p_2" hidden="1">{"Graphic",#N/A,TRUE,"Graphic"}</definedName>
    <definedName name="p_3" localSheetId="4" hidden="1">{"Graphic",#N/A,TRUE,"Graphic"}</definedName>
    <definedName name="p_3" localSheetId="6" hidden="1">{"Graphic",#N/A,TRUE,"Graphic"}</definedName>
    <definedName name="p_3" hidden="1">{"Graphic",#N/A,TRUE,"Graphic"}</definedName>
    <definedName name="Pan" hidden="1">'[16]Daily Report'!#REF!</definedName>
    <definedName name="parse" localSheetId="4" hidden="1">#REF!</definedName>
    <definedName name="parse" localSheetId="6" hidden="1">#REF!</definedName>
    <definedName name="parse" hidden="1">#REF!</definedName>
    <definedName name="PGAS" localSheetId="4" hidden="1">{#N/A,#N/A,FALSE,"P&amp;L";#N/A,#N/A,FALSE,"CashFlow";#N/A,#N/A,FALSE,"Rev";#N/A,#N/A,FALSE,"Costs";#N/A,#N/A,FALSE,"CapexWC";#N/A,#N/A,FALSE,"CashDebt";#N/A,#N/A,FALSE,"Inv";#N/A,#N/A,FALSE,"Tax";#N/A,#N/A,FALSE,"Div";#N/A,#N/A,FALSE,"Equity"}</definedName>
    <definedName name="PGAS" localSheetId="6" hidden="1">{#N/A,#N/A,FALSE,"P&amp;L";#N/A,#N/A,FALSE,"CashFlow";#N/A,#N/A,FALSE,"Rev";#N/A,#N/A,FALSE,"Costs";#N/A,#N/A,FALSE,"CapexWC";#N/A,#N/A,FALSE,"CashDebt";#N/A,#N/A,FALSE,"Inv";#N/A,#N/A,FALSE,"Tax";#N/A,#N/A,FALSE,"Div";#N/A,#N/A,FALSE,"Equity"}</definedName>
    <definedName name="PGAS" hidden="1">{#N/A,#N/A,FALSE,"P&amp;L";#N/A,#N/A,FALSE,"CashFlow";#N/A,#N/A,FALSE,"Rev";#N/A,#N/A,FALSE,"Costs";#N/A,#N/A,FALSE,"CapexWC";#N/A,#N/A,FALSE,"CashDebt";#N/A,#N/A,FALSE,"Inv";#N/A,#N/A,FALSE,"Tax";#N/A,#N/A,FALSE,"Div";#N/A,#N/A,FALSE,"Equity"}</definedName>
    <definedName name="PL11A" localSheetId="4" hidden="1">{#N/A,#N/A,FALSE,"Aging Summary";#N/A,#N/A,FALSE,"Ratio Analysis";#N/A,#N/A,FALSE,"Test 120 Day Accts";#N/A,#N/A,FALSE,"Tickmarks"}</definedName>
    <definedName name="PL11A" localSheetId="6" hidden="1">{#N/A,#N/A,FALSE,"Aging Summary";#N/A,#N/A,FALSE,"Ratio Analysis";#N/A,#N/A,FALSE,"Test 120 Day Accts";#N/A,#N/A,FALSE,"Tickmarks"}</definedName>
    <definedName name="PL11A" hidden="1">{#N/A,#N/A,FALSE,"Aging Summary";#N/A,#N/A,FALSE,"Ratio Analysis";#N/A,#N/A,FALSE,"Test 120 Day Accts";#N/A,#N/A,FALSE,"Tickmarks"}</definedName>
    <definedName name="PL21a" localSheetId="4" hidden="1">{#N/A,#N/A,FALSE,"Aging Summary";#N/A,#N/A,FALSE,"Ratio Analysis";#N/A,#N/A,FALSE,"Test 120 Day Accts";#N/A,#N/A,FALSE,"Tickmarks"}</definedName>
    <definedName name="PL21a" localSheetId="6" hidden="1">{#N/A,#N/A,FALSE,"Aging Summary";#N/A,#N/A,FALSE,"Ratio Analysis";#N/A,#N/A,FALSE,"Test 120 Day Accts";#N/A,#N/A,FALSE,"Tickmarks"}</definedName>
    <definedName name="PL21a" hidden="1">{#N/A,#N/A,FALSE,"Aging Summary";#N/A,#N/A,FALSE,"Ratio Analysis";#N/A,#N/A,FALSE,"Test 120 Day Accts";#N/A,#N/A,FALSE,"Tickmarks"}</definedName>
    <definedName name="PL21AA" localSheetId="4" hidden="1">{#N/A,#N/A,FALSE,"Aging Summary";#N/A,#N/A,FALSE,"Ratio Analysis";#N/A,#N/A,FALSE,"Test 120 Day Accts";#N/A,#N/A,FALSE,"Tickmarks"}</definedName>
    <definedName name="PL21AA" localSheetId="6" hidden="1">{#N/A,#N/A,FALSE,"Aging Summary";#N/A,#N/A,FALSE,"Ratio Analysis";#N/A,#N/A,FALSE,"Test 120 Day Accts";#N/A,#N/A,FALSE,"Tickmarks"}</definedName>
    <definedName name="PL21AA" hidden="1">{#N/A,#N/A,FALSE,"Aging Summary";#N/A,#N/A,FALSE,"Ratio Analysis";#N/A,#N/A,FALSE,"Test 120 Day Accts";#N/A,#N/A,FALSE,"Tickmarks"}</definedName>
    <definedName name="PL21B" localSheetId="4" hidden="1">{#N/A,#N/A,FALSE,"Aging Summary";#N/A,#N/A,FALSE,"Ratio Analysis";#N/A,#N/A,FALSE,"Test 120 Day Accts";#N/A,#N/A,FALSE,"Tickmarks"}</definedName>
    <definedName name="PL21B" localSheetId="6" hidden="1">{#N/A,#N/A,FALSE,"Aging Summary";#N/A,#N/A,FALSE,"Ratio Analysis";#N/A,#N/A,FALSE,"Test 120 Day Accts";#N/A,#N/A,FALSE,"Tickmarks"}</definedName>
    <definedName name="PL21B" hidden="1">{#N/A,#N/A,FALSE,"Aging Summary";#N/A,#N/A,FALSE,"Ratio Analysis";#N/A,#N/A,FALSE,"Test 120 Day Accts";#N/A,#N/A,FALSE,"Tickmarks"}</definedName>
    <definedName name="pl2d" localSheetId="4" hidden="1">{#N/A,#N/A,FALSE,"Aging Summary";#N/A,#N/A,FALSE,"Ratio Analysis";#N/A,#N/A,FALSE,"Test 120 Day Accts";#N/A,#N/A,FALSE,"Tickmarks"}</definedName>
    <definedName name="pl2d" localSheetId="6" hidden="1">{#N/A,#N/A,FALSE,"Aging Summary";#N/A,#N/A,FALSE,"Ratio Analysis";#N/A,#N/A,FALSE,"Test 120 Day Accts";#N/A,#N/A,FALSE,"Tickmarks"}</definedName>
    <definedName name="pl2d" hidden="1">{#N/A,#N/A,FALSE,"Aging Summary";#N/A,#N/A,FALSE,"Ratio Analysis";#N/A,#N/A,FALSE,"Test 120 Day Accts";#N/A,#N/A,FALSE,"Tickmarks"}</definedName>
    <definedName name="pl2d1" localSheetId="4" hidden="1">{#N/A,#N/A,FALSE,"Aging Summary";#N/A,#N/A,FALSE,"Ratio Analysis";#N/A,#N/A,FALSE,"Test 120 Day Accts";#N/A,#N/A,FALSE,"Tickmarks"}</definedName>
    <definedName name="pl2d1" localSheetId="6" hidden="1">{#N/A,#N/A,FALSE,"Aging Summary";#N/A,#N/A,FALSE,"Ratio Analysis";#N/A,#N/A,FALSE,"Test 120 Day Accts";#N/A,#N/A,FALSE,"Tickmarks"}</definedName>
    <definedName name="pl2d1" hidden="1">{#N/A,#N/A,FALSE,"Aging Summary";#N/A,#N/A,FALSE,"Ratio Analysis";#N/A,#N/A,FALSE,"Test 120 Day Accts";#N/A,#N/A,FALSE,"Tickmarks"}</definedName>
    <definedName name="po" localSheetId="4" hidden="1">{"paging",#N/A,TRUE,"TITLE";#N/A,#N/A,TRUE,"Paging subs";#N/A,#N/A,TRUE,"P&amp;L - Paging";#N/A,#N/A,TRUE,"Rev &amp; Usage Assump - Paging";#N/A,#N/A,TRUE,"Cost - Paging";"paging",#N/A,TRUE,"Capex "}</definedName>
    <definedName name="po" localSheetId="6" hidden="1">{"paging",#N/A,TRUE,"TITLE";#N/A,#N/A,TRUE,"Paging subs";#N/A,#N/A,TRUE,"P&amp;L - Paging";#N/A,#N/A,TRUE,"Rev &amp; Usage Assump - Paging";#N/A,#N/A,TRUE,"Cost - Paging";"paging",#N/A,TRUE,"Capex "}</definedName>
    <definedName name="po" hidden="1">{"paging",#N/A,TRUE,"TITLE";#N/A,#N/A,TRUE,"Paging subs";#N/A,#N/A,TRUE,"P&amp;L - Paging";#N/A,#N/A,TRUE,"Rev &amp; Usage Assump - Paging";#N/A,#N/A,TRUE,"Cost - Paging";"paging",#N/A,TRUE,"Capex "}</definedName>
    <definedName name="po_2" localSheetId="4" hidden="1">{"paging",#N/A,TRUE,"TITLE";#N/A,#N/A,TRUE,"Paging subs";#N/A,#N/A,TRUE,"P&amp;L - Paging";#N/A,#N/A,TRUE,"Rev &amp; Usage Assump - Paging";#N/A,#N/A,TRUE,"Cost - Paging";"paging",#N/A,TRUE,"Capex "}</definedName>
    <definedName name="po_2" localSheetId="6" hidden="1">{"paging",#N/A,TRUE,"TITLE";#N/A,#N/A,TRUE,"Paging subs";#N/A,#N/A,TRUE,"P&amp;L - Paging";#N/A,#N/A,TRUE,"Rev &amp; Usage Assump - Paging";#N/A,#N/A,TRUE,"Cost - Paging";"paging",#N/A,TRUE,"Capex "}</definedName>
    <definedName name="po_2" hidden="1">{"paging",#N/A,TRUE,"TITLE";#N/A,#N/A,TRUE,"Paging subs";#N/A,#N/A,TRUE,"P&amp;L - Paging";#N/A,#N/A,TRUE,"Rev &amp; Usage Assump - Paging";#N/A,#N/A,TRUE,"Cost - Paging";"paging",#N/A,TRUE,"Capex "}</definedName>
    <definedName name="po_3" localSheetId="4" hidden="1">{"paging",#N/A,TRUE,"TITLE";#N/A,#N/A,TRUE,"Paging subs";#N/A,#N/A,TRUE,"P&amp;L - Paging";#N/A,#N/A,TRUE,"Rev &amp; Usage Assump - Paging";#N/A,#N/A,TRUE,"Cost - Paging";"paging",#N/A,TRUE,"Capex "}</definedName>
    <definedName name="po_3" localSheetId="6" hidden="1">{"paging",#N/A,TRUE,"TITLE";#N/A,#N/A,TRUE,"Paging subs";#N/A,#N/A,TRUE,"P&amp;L - Paging";#N/A,#N/A,TRUE,"Rev &amp; Usage Assump - Paging";#N/A,#N/A,TRUE,"Cost - Paging";"paging",#N/A,TRUE,"Capex "}</definedName>
    <definedName name="po_3" hidden="1">{"paging",#N/A,TRUE,"TITLE";#N/A,#N/A,TRUE,"Paging subs";#N/A,#N/A,TRUE,"P&amp;L - Paging";#N/A,#N/A,TRUE,"Rev &amp; Usage Assump - Paging";#N/A,#N/A,TRUE,"Cost - Paging";"paging",#N/A,TRUE,"Capex "}</definedName>
    <definedName name="podeng" localSheetId="4" hidden="1">{#N/A,#N/A,FALSE,"P&amp;L";#N/A,#N/A,FALSE,"CashFlow";#N/A,#N/A,FALSE,"Rev";#N/A,#N/A,FALSE,"Costs";#N/A,#N/A,FALSE,"CapexWC";#N/A,#N/A,FALSE,"CashDebt";#N/A,#N/A,FALSE,"Inv";#N/A,#N/A,FALSE,"Tax";#N/A,#N/A,FALSE,"Div";#N/A,#N/A,FALSE,"Equity"}</definedName>
    <definedName name="podeng" localSheetId="6" hidden="1">{#N/A,#N/A,FALSE,"P&amp;L";#N/A,#N/A,FALSE,"CashFlow";#N/A,#N/A,FALSE,"Rev";#N/A,#N/A,FALSE,"Costs";#N/A,#N/A,FALSE,"CapexWC";#N/A,#N/A,FALSE,"CashDebt";#N/A,#N/A,FALSE,"Inv";#N/A,#N/A,FALSE,"Tax";#N/A,#N/A,FALSE,"Div";#N/A,#N/A,FALSE,"Equity"}</definedName>
    <definedName name="podeng" hidden="1">{#N/A,#N/A,FALSE,"P&amp;L";#N/A,#N/A,FALSE,"CashFlow";#N/A,#N/A,FALSE,"Rev";#N/A,#N/A,FALSE,"Costs";#N/A,#N/A,FALSE,"CapexWC";#N/A,#N/A,FALSE,"CashDebt";#N/A,#N/A,FALSE,"Inv";#N/A,#N/A,FALSE,"Tax";#N/A,#N/A,FALSE,"Div";#N/A,#N/A,FALSE,"Equity"}</definedName>
    <definedName name="potlot" localSheetId="4" hidden="1">{#N/A,#N/A,FALSE,"One Pager";#N/A,#N/A,FALSE,"Technical"}</definedName>
    <definedName name="potlot" localSheetId="6" hidden="1">{#N/A,#N/A,FALSE,"One Pager";#N/A,#N/A,FALSE,"Technical"}</definedName>
    <definedName name="potlot" hidden="1">{#N/A,#N/A,FALSE,"One Pager";#N/A,#N/A,FALSE,"Technical"}</definedName>
    <definedName name="pp" localSheetId="4" hidden="1">{"DCF","UPSIDE CASE",FALSE,"Sheet1";"DCF","BASE CASE",FALSE,"Sheet1";"DCF","DOWNSIDE CASE",FALSE,"Sheet1"}</definedName>
    <definedName name="pp" localSheetId="6" hidden="1">{"DCF","UPSIDE CASE",FALSE,"Sheet1";"DCF","BASE CASE",FALSE,"Sheet1";"DCF","DOWNSIDE CASE",FALSE,"Sheet1"}</definedName>
    <definedName name="pp" hidden="1">{"DCF","UPSIDE CASE",FALSE,"Sheet1";"DCF","BASE CASE",FALSE,"Sheet1";"DCF","DOWNSIDE CASE",FALSE,"Sheet1"}</definedName>
    <definedName name="pp_2" localSheetId="4" hidden="1">{"DCF","UPSIDE CASE",FALSE,"Sheet1";"DCF","BASE CASE",FALSE,"Sheet1";"DCF","DOWNSIDE CASE",FALSE,"Sheet1"}</definedName>
    <definedName name="pp_2" localSheetId="6" hidden="1">{"DCF","UPSIDE CASE",FALSE,"Sheet1";"DCF","BASE CASE",FALSE,"Sheet1";"DCF","DOWNSIDE CASE",FALSE,"Sheet1"}</definedName>
    <definedName name="pp_2" hidden="1">{"DCF","UPSIDE CASE",FALSE,"Sheet1";"DCF","BASE CASE",FALSE,"Sheet1";"DCF","DOWNSIDE CASE",FALSE,"Sheet1"}</definedName>
    <definedName name="pp_3" localSheetId="4" hidden="1">{"DCF","UPSIDE CASE",FALSE,"Sheet1";"DCF","BASE CASE",FALSE,"Sheet1";"DCF","DOWNSIDE CASE",FALSE,"Sheet1"}</definedName>
    <definedName name="pp_3" localSheetId="6" hidden="1">{"DCF","UPSIDE CASE",FALSE,"Sheet1";"DCF","BASE CASE",FALSE,"Sheet1";"DCF","DOWNSIDE CASE",FALSE,"Sheet1"}</definedName>
    <definedName name="pp_3" hidden="1">{"DCF","UPSIDE CASE",FALSE,"Sheet1";"DCF","BASE CASE",FALSE,"Sheet1";"DCF","DOWNSIDE CASE",FALSE,"Sheet1"}</definedName>
    <definedName name="ppppttttttttttttttttttttttmjfvvvvvvvvvvvvv" localSheetId="4" hidden="1">{"Variance Q4",#N/A,FALSE,"Var"}</definedName>
    <definedName name="ppppttttttttttttttttttttttmjfvvvvvvvvvvvvv" localSheetId="6" hidden="1">{"Variance Q4",#N/A,FALSE,"Var"}</definedName>
    <definedName name="ppppttttttttttttttttttttttmjfvvvvvvvvvvvvv" hidden="1">{"Variance Q4",#N/A,FALSE,"Var"}</definedName>
    <definedName name="ppppttttttttttttttttttttttmjfvvvvvvvvvvvvv_2" localSheetId="4" hidden="1">{"Variance Q4",#N/A,FALSE,"Var"}</definedName>
    <definedName name="ppppttttttttttttttttttttttmjfvvvvvvvvvvvvv_2" localSheetId="6" hidden="1">{"Variance Q4",#N/A,FALSE,"Var"}</definedName>
    <definedName name="ppppttttttttttttttttttttttmjfvvvvvvvvvvvvv_2" hidden="1">{"Variance Q4",#N/A,FALSE,"Var"}</definedName>
    <definedName name="ppppttttttttttttttttttttttmjfvvvvvvvvvvvvv_3" localSheetId="4" hidden="1">{"Variance Q4",#N/A,FALSE,"Var"}</definedName>
    <definedName name="ppppttttttttttttttttttttttmjfvvvvvvvvvvvvv_3" localSheetId="6" hidden="1">{"Variance Q4",#N/A,FALSE,"Var"}</definedName>
    <definedName name="ppppttttttttttttttttttttttmjfvvvvvvvvvvvvv_3" hidden="1">{"Variance Q4",#N/A,FALSE,"Var"}</definedName>
    <definedName name="PROVBL.USER" hidden="1">[14]cus!$45:$45</definedName>
    <definedName name="PTBA" localSheetId="4" hidden="1">{#N/A,#N/A,FALSE,"P&amp;L";#N/A,#N/A,FALSE,"CashFlow";#N/A,#N/A,FALSE,"Rev";#N/A,#N/A,FALSE,"Costs";#N/A,#N/A,FALSE,"CapexWC";#N/A,#N/A,FALSE,"CashDebt";#N/A,#N/A,FALSE,"Inv";#N/A,#N/A,FALSE,"Tax";#N/A,#N/A,FALSE,"Div";#N/A,#N/A,FALSE,"Equity"}</definedName>
    <definedName name="PTBA" localSheetId="6" hidden="1">{#N/A,#N/A,FALSE,"P&amp;L";#N/A,#N/A,FALSE,"CashFlow";#N/A,#N/A,FALSE,"Rev";#N/A,#N/A,FALSE,"Costs";#N/A,#N/A,FALSE,"CapexWC";#N/A,#N/A,FALSE,"CashDebt";#N/A,#N/A,FALSE,"Inv";#N/A,#N/A,FALSE,"Tax";#N/A,#N/A,FALSE,"Div";#N/A,#N/A,FALSE,"Equity"}</definedName>
    <definedName name="PTBA" hidden="1">{#N/A,#N/A,FALSE,"P&amp;L";#N/A,#N/A,FALSE,"CashFlow";#N/A,#N/A,FALSE,"Rev";#N/A,#N/A,FALSE,"Costs";#N/A,#N/A,FALSE,"CapexWC";#N/A,#N/A,FALSE,"CashDebt";#N/A,#N/A,FALSE,"Inv";#N/A,#N/A,FALSE,"Tax";#N/A,#N/A,FALSE,"Div";#N/A,#N/A,FALSE,"Equity"}</definedName>
    <definedName name="q"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_2" localSheetId="4" hidden="1">{"Qtr Op Mgd Q2",#N/A,FALSE,"Qtr-Op (Mng)";"Qtr Op Rpt Q2",#N/A,FALSE,"Qtr-Op (Rpt)";"Operating Vs Reported",#N/A,FALSE,"Rpt-Op Inc"}</definedName>
    <definedName name="q_2" localSheetId="6" hidden="1">{"Qtr Op Mgd Q2",#N/A,FALSE,"Qtr-Op (Mng)";"Qtr Op Rpt Q2",#N/A,FALSE,"Qtr-Op (Rpt)";"Operating Vs Reported",#N/A,FALSE,"Rpt-Op Inc"}</definedName>
    <definedName name="q_2" hidden="1">{"Qtr Op Mgd Q2",#N/A,FALSE,"Qtr-Op (Mng)";"Qtr Op Rpt Q2",#N/A,FALSE,"Qtr-Op (Rpt)";"Operating Vs Reported",#N/A,FALSE,"Rpt-Op Inc"}</definedName>
    <definedName name="q_3" localSheetId="4" hidden="1">{"Qtr Op Mgd Q2",#N/A,FALSE,"Qtr-Op (Mng)";"Qtr Op Rpt Q2",#N/A,FALSE,"Qtr-Op (Rpt)";"Operating Vs Reported",#N/A,FALSE,"Rpt-Op Inc"}</definedName>
    <definedName name="q_3" localSheetId="6" hidden="1">{"Qtr Op Mgd Q2",#N/A,FALSE,"Qtr-Op (Mng)";"Qtr Op Rpt Q2",#N/A,FALSE,"Qtr-Op (Rpt)";"Operating Vs Reported",#N/A,FALSE,"Rpt-Op Inc"}</definedName>
    <definedName name="q_3" hidden="1">{"Qtr Op Mgd Q2",#N/A,FALSE,"Qtr-Op (Mng)";"Qtr Op Rpt Q2",#N/A,FALSE,"Qtr-Op (Rpt)";"Operating Vs Reported",#N/A,FALSE,"Rpt-Op Inc"}</definedName>
    <definedName name="qq" localSheetId="4" hidden="1">{"mult96",#N/A,FALSE,"PETCOMP";"est96",#N/A,FALSE,"PETCOMP";"mult95",#N/A,FALSE,"PETCOMP";"est95",#N/A,FALSE,"PETCOMP";"multltm",#N/A,FALSE,"PETCOMP";"resultltm",#N/A,FALSE,"PETCOMP"}</definedName>
    <definedName name="qq" localSheetId="6" hidden="1">{"mult96",#N/A,FALSE,"PETCOMP";"est96",#N/A,FALSE,"PETCOMP";"mult95",#N/A,FALSE,"PETCOMP";"est95",#N/A,FALSE,"PETCOMP";"multltm",#N/A,FALSE,"PETCOMP";"resultltm",#N/A,FALSE,"PETCOMP"}</definedName>
    <definedName name="qq" hidden="1">{"mult96",#N/A,FALSE,"PETCOMP";"est96",#N/A,FALSE,"PETCOMP";"mult95",#N/A,FALSE,"PETCOMP";"est95",#N/A,FALSE,"PETCOMP";"multltm",#N/A,FALSE,"PETCOMP";"resultltm",#N/A,FALSE,"PETCOMP"}</definedName>
    <definedName name="qq_2" localSheetId="4" hidden="1">{"mult96",#N/A,FALSE,"PETCOMP";"est96",#N/A,FALSE,"PETCOMP";"mult95",#N/A,FALSE,"PETCOMP";"est95",#N/A,FALSE,"PETCOMP";"multltm",#N/A,FALSE,"PETCOMP";"resultltm",#N/A,FALSE,"PETCOMP"}</definedName>
    <definedName name="qq_2" localSheetId="6" hidden="1">{"mult96",#N/A,FALSE,"PETCOMP";"est96",#N/A,FALSE,"PETCOMP";"mult95",#N/A,FALSE,"PETCOMP";"est95",#N/A,FALSE,"PETCOMP";"multltm",#N/A,FALSE,"PETCOMP";"resultltm",#N/A,FALSE,"PETCOMP"}</definedName>
    <definedName name="qq_2" hidden="1">{"mult96",#N/A,FALSE,"PETCOMP";"est96",#N/A,FALSE,"PETCOMP";"mult95",#N/A,FALSE,"PETCOMP";"est95",#N/A,FALSE,"PETCOMP";"multltm",#N/A,FALSE,"PETCOMP";"resultltm",#N/A,FALSE,"PETCOMP"}</definedName>
    <definedName name="qq_3" localSheetId="4" hidden="1">{"mult96",#N/A,FALSE,"PETCOMP";"est96",#N/A,FALSE,"PETCOMP";"mult95",#N/A,FALSE,"PETCOMP";"est95",#N/A,FALSE,"PETCOMP";"multltm",#N/A,FALSE,"PETCOMP";"resultltm",#N/A,FALSE,"PETCOMP"}</definedName>
    <definedName name="qq_3" localSheetId="6" hidden="1">{"mult96",#N/A,FALSE,"PETCOMP";"est96",#N/A,FALSE,"PETCOMP";"mult95",#N/A,FALSE,"PETCOMP";"est95",#N/A,FALSE,"PETCOMP";"multltm",#N/A,FALSE,"PETCOMP";"resultltm",#N/A,FALSE,"PETCOMP"}</definedName>
    <definedName name="qq_3" hidden="1">{"mult96",#N/A,FALSE,"PETCOMP";"est96",#N/A,FALSE,"PETCOMP";"mult95",#N/A,FALSE,"PETCOMP";"est95",#N/A,FALSE,"PETCOMP";"multltm",#N/A,FALSE,"PETCOMP";"resultltm",#N/A,FALSE,"PETCOMP"}</definedName>
    <definedName name="Quarterly"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Quarterly"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Quarterly"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qw" localSheetId="4" hidden="1">{"Aneh",#N/A,FALSE,"Sheet1"}</definedName>
    <definedName name="qw" localSheetId="6" hidden="1">{"Aneh",#N/A,FALSE,"Sheet1"}</definedName>
    <definedName name="qw" hidden="1">{"Aneh",#N/A,FALSE,"Sheet1"}</definedName>
    <definedName name="qwe" localSheetId="6" hidden="1">'[1]ocean voyage'!#REF!</definedName>
    <definedName name="qwe" hidden="1">'[1]ocean voyage'!#REF!</definedName>
    <definedName name="qwee" localSheetId="4" hidden="1">{#N/A,#N/A,FALSE,"Aging Summary";#N/A,#N/A,FALSE,"Ratio Analysis";#N/A,#N/A,FALSE,"Test 120 Day Accts";#N/A,#N/A,FALSE,"Tickmarks"}</definedName>
    <definedName name="qwee" localSheetId="6" hidden="1">{#N/A,#N/A,FALSE,"Aging Summary";#N/A,#N/A,FALSE,"Ratio Analysis";#N/A,#N/A,FALSE,"Test 120 Day Accts";#N/A,#N/A,FALSE,"Tickmarks"}</definedName>
    <definedName name="qwee" hidden="1">{#N/A,#N/A,FALSE,"Aging Summary";#N/A,#N/A,FALSE,"Ratio Analysis";#N/A,#N/A,FALSE,"Test 120 Day Accts";#N/A,#N/A,FALSE,"Tickmarks"}</definedName>
    <definedName name="qwsuitye" localSheetId="4" hidden="1">{#N/A,#N/A,FALSE,"Aging Summary";#N/A,#N/A,FALSE,"Ratio Analysis";#N/A,#N/A,FALSE,"Test 120 Day Accts";#N/A,#N/A,FALSE,"Tickmarks"}</definedName>
    <definedName name="qwsuitye" localSheetId="6" hidden="1">{#N/A,#N/A,FALSE,"Aging Summary";#N/A,#N/A,FALSE,"Ratio Analysis";#N/A,#N/A,FALSE,"Test 120 Day Accts";#N/A,#N/A,FALSE,"Tickmarks"}</definedName>
    <definedName name="qwsuitye" hidden="1">{#N/A,#N/A,FALSE,"Aging Summary";#N/A,#N/A,FALSE,"Ratio Analysis";#N/A,#N/A,FALSE,"Test 120 Day Accts";#N/A,#N/A,FALSE,"Tickmarks"}</definedName>
    <definedName name="qwtps" localSheetId="4" hidden="1">{#N/A,#N/A,FALSE,"Aging Summary";#N/A,#N/A,FALSE,"Ratio Analysis";#N/A,#N/A,FALSE,"Test 120 Day Accts";#N/A,#N/A,FALSE,"Tickmarks"}</definedName>
    <definedName name="qwtps" localSheetId="6" hidden="1">{#N/A,#N/A,FALSE,"Aging Summary";#N/A,#N/A,FALSE,"Ratio Analysis";#N/A,#N/A,FALSE,"Test 120 Day Accts";#N/A,#N/A,FALSE,"Tickmarks"}</definedName>
    <definedName name="qwtps" hidden="1">{#N/A,#N/A,FALSE,"Aging Summary";#N/A,#N/A,FALSE,"Ratio Analysis";#N/A,#N/A,FALSE,"Test 120 Day Accts";#N/A,#N/A,FALSE,"Tickmarks"}</definedName>
    <definedName name="QWTPS1" localSheetId="4" hidden="1">{#N/A,#N/A,FALSE,"Aging Summary";#N/A,#N/A,FALSE,"Ratio Analysis";#N/A,#N/A,FALSE,"Test 120 Day Accts";#N/A,#N/A,FALSE,"Tickmarks"}</definedName>
    <definedName name="QWTPS1" localSheetId="6" hidden="1">{#N/A,#N/A,FALSE,"Aging Summary";#N/A,#N/A,FALSE,"Ratio Analysis";#N/A,#N/A,FALSE,"Test 120 Day Accts";#N/A,#N/A,FALSE,"Tickmarks"}</definedName>
    <definedName name="QWTPS1" hidden="1">{#N/A,#N/A,FALSE,"Aging Summary";#N/A,#N/A,FALSE,"Ratio Analysis";#N/A,#N/A,FALSE,"Test 120 Day Accts";#N/A,#N/A,FALSE,"Tickmarks"}</definedName>
    <definedName name="recep" localSheetId="4" hidden="1">{#N/A,#N/A,FALSE,"CCTV"}</definedName>
    <definedName name="recep" localSheetId="6" hidden="1">{#N/A,#N/A,FALSE,"CCTV"}</definedName>
    <definedName name="recep" hidden="1">{#N/A,#N/A,FALSE,"CCTV"}</definedName>
    <definedName name="reee" hidden="1">'[1]ocean voyage'!#REF!</definedName>
    <definedName name="rep" localSheetId="4" hidden="1">{#N/A,#N/A,FALSE,"COVER";#N/A,#N/A,FALSE,"VALUATION";#N/A,#N/A,FALSE,"FORECAST";#N/A,#N/A,FALSE,"FY ANALYSIS ";#N/A,#N/A,FALSE," HY ANALYSIS"}</definedName>
    <definedName name="rep" localSheetId="6" hidden="1">{#N/A,#N/A,FALSE,"COVER";#N/A,#N/A,FALSE,"VALUATION";#N/A,#N/A,FALSE,"FORECAST";#N/A,#N/A,FALSE,"FY ANALYSIS ";#N/A,#N/A,FALSE," HY ANALYSIS"}</definedName>
    <definedName name="rep" hidden="1">{#N/A,#N/A,FALSE,"COVER";#N/A,#N/A,FALSE,"VALUATION";#N/A,#N/A,FALSE,"FORECAST";#N/A,#N/A,FALSE,"FY ANALYSIS ";#N/A,#N/A,FALSE," HY ANALYSIS"}</definedName>
    <definedName name="rep_2" localSheetId="4" hidden="1">{#N/A,#N/A,FALSE,"COVER";#N/A,#N/A,FALSE,"VALUATION";#N/A,#N/A,FALSE,"FORECAST";#N/A,#N/A,FALSE,"FY ANALYSIS ";#N/A,#N/A,FALSE," HY ANALYSIS"}</definedName>
    <definedName name="rep_2" localSheetId="6" hidden="1">{#N/A,#N/A,FALSE,"COVER";#N/A,#N/A,FALSE,"VALUATION";#N/A,#N/A,FALSE,"FORECAST";#N/A,#N/A,FALSE,"FY ANALYSIS ";#N/A,#N/A,FALSE," HY ANALYSIS"}</definedName>
    <definedName name="rep_2" hidden="1">{#N/A,#N/A,FALSE,"COVER";#N/A,#N/A,FALSE,"VALUATION";#N/A,#N/A,FALSE,"FORECAST";#N/A,#N/A,FALSE,"FY ANALYSIS ";#N/A,#N/A,FALSE," HY ANALYSIS"}</definedName>
    <definedName name="rep_3" localSheetId="4" hidden="1">{#N/A,#N/A,FALSE,"COVER";#N/A,#N/A,FALSE,"VALUATION";#N/A,#N/A,FALSE,"FORECAST";#N/A,#N/A,FALSE,"FY ANALYSIS ";#N/A,#N/A,FALSE," HY ANALYSIS"}</definedName>
    <definedName name="rep_3" localSheetId="6" hidden="1">{#N/A,#N/A,FALSE,"COVER";#N/A,#N/A,FALSE,"VALUATION";#N/A,#N/A,FALSE,"FORECAST";#N/A,#N/A,FALSE,"FY ANALYSIS ";#N/A,#N/A,FALSE," HY ANALYSIS"}</definedName>
    <definedName name="rep_3" hidden="1">{#N/A,#N/A,FALSE,"COVER";#N/A,#N/A,FALSE,"VALUATION";#N/A,#N/A,FALSE,"FORECAST";#N/A,#N/A,FALSE,"FY ANALYSIS ";#N/A,#N/A,FALSE," HY ANALYSIS"}</definedName>
    <definedName name="rrrrr" localSheetId="4" hidden="1">{#N/A,#N/A,FALSE,"Aging Summary";#N/A,#N/A,FALSE,"Ratio Analysis";#N/A,#N/A,FALSE,"Test 120 Day Accts";#N/A,#N/A,FALSE,"Tickmarks"}</definedName>
    <definedName name="rrrrr" localSheetId="6" hidden="1">{#N/A,#N/A,FALSE,"Aging Summary";#N/A,#N/A,FALSE,"Ratio Analysis";#N/A,#N/A,FALSE,"Test 120 Day Accts";#N/A,#N/A,FALSE,"Tickmarks"}</definedName>
    <definedName name="rrrrr" hidden="1">{#N/A,#N/A,FALSE,"Aging Summary";#N/A,#N/A,FALSE,"Ratio Analysis";#N/A,#N/A,FALSE,"Test 120 Day Accts";#N/A,#N/A,FALSE,"Tickmarks"}</definedName>
    <definedName name="s"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_2" localSheetId="4" hidden="1">{"EVA",#N/A,FALSE,"EVA";"WACC",#N/A,FALSE,"WACC"}</definedName>
    <definedName name="s_2" localSheetId="6" hidden="1">{"EVA",#N/A,FALSE,"EVA";"WACC",#N/A,FALSE,"WACC"}</definedName>
    <definedName name="s_2" hidden="1">{"EVA",#N/A,FALSE,"EVA";"WACC",#N/A,FALSE,"WACC"}</definedName>
    <definedName name="s_3" localSheetId="4" hidden="1">{"EVA",#N/A,FALSE,"EVA";"WACC",#N/A,FALSE,"WACC"}</definedName>
    <definedName name="s_3" localSheetId="6" hidden="1">{"EVA",#N/A,FALSE,"EVA";"WACC",#N/A,FALSE,"WACC"}</definedName>
    <definedName name="s_3" hidden="1">{"EVA",#N/A,FALSE,"EVA";"WACC",#N/A,FALSE,"WACC"}</definedName>
    <definedName name="saaf" localSheetId="4" hidden="1">{"Aneh",#N/A,FALSE,"Sheet1"}</definedName>
    <definedName name="saaf" localSheetId="6" hidden="1">{"Aneh",#N/A,FALSE,"Sheet1"}</definedName>
    <definedName name="saaf" hidden="1">{"Aneh",#N/A,FALSE,"Sheet1"}</definedName>
    <definedName name="sacacacasc" localSheetId="4" hidden="1">{"Aneh",#N/A,FALSE,"Sheet1"}</definedName>
    <definedName name="sacacacasc" localSheetId="6" hidden="1">{"Aneh",#N/A,FALSE,"Sheet1"}</definedName>
    <definedName name="sacacacasc" hidden="1">{"Aneh",#N/A,FALSE,"Sheet1"}</definedName>
    <definedName name="samo" hidden="1">'[1]ocean voyage'!#REF!</definedName>
    <definedName name="SAPBEXdnldView" hidden="1">"43M771ABQ90KBKZLSQ6ZURRX7"</definedName>
    <definedName name="SAPBEXsysID" hidden="1">"BPR"</definedName>
    <definedName name="SAS" localSheetId="4" hidden="1">{"Aneh",#N/A,FALSE,"Sheet1"}</definedName>
    <definedName name="SAS" localSheetId="6" hidden="1">{"Aneh",#N/A,FALSE,"Sheet1"}</definedName>
    <definedName name="SAS" hidden="1">{"Aneh",#N/A,FALSE,"Sheet1"}</definedName>
    <definedName name="sasa" localSheetId="6" hidden="1">'[4]4334-Summary'!#REF!</definedName>
    <definedName name="sasa" hidden="1">'[4]4334-Summary'!#REF!</definedName>
    <definedName name="sat" localSheetId="4" hidden="1">#REF!</definedName>
    <definedName name="sat" localSheetId="6" hidden="1">#REF!</definedName>
    <definedName name="sat" hidden="1">#REF!</definedName>
    <definedName name="scascasca" localSheetId="4" hidden="1">{"Aneh",#N/A,FALSE,"Sheet1"}</definedName>
    <definedName name="scascasca" localSheetId="6" hidden="1">{"Aneh",#N/A,FALSE,"Sheet1"}</definedName>
    <definedName name="scascasca" hidden="1">{"Aneh",#N/A,FALSE,"Sheet1"}</definedName>
    <definedName name="Schedule" localSheetId="4" hidden="1">{#N/A,#N/A,FALSE,"WP [10]"}</definedName>
    <definedName name="Schedule" localSheetId="6" hidden="1">{#N/A,#N/A,FALSE,"WP [10]"}</definedName>
    <definedName name="Schedule" hidden="1">{#N/A,#N/A,FALSE,"WP [10]"}</definedName>
    <definedName name="sd" localSheetId="6" hidden="1">'[19]0220'!#REF!</definedName>
    <definedName name="sd" hidden="1">'[19]0220'!#REF!</definedName>
    <definedName name="sda" localSheetId="4" hidden="1">#REF!</definedName>
    <definedName name="sda" localSheetId="6" hidden="1">#REF!</definedName>
    <definedName name="sda" hidden="1">#REF!</definedName>
    <definedName name="sdf" localSheetId="4" hidden="1">{#N/A,#N/A,FALSE,"Aging Summary";#N/A,#N/A,FALSE,"Ratio Analysis";#N/A,#N/A,FALSE,"Test 120 Day Accts";#N/A,#N/A,FALSE,"Tickmarks"}</definedName>
    <definedName name="sdf" localSheetId="6" hidden="1">{#N/A,#N/A,FALSE,"Aging Summary";#N/A,#N/A,FALSE,"Ratio Analysis";#N/A,#N/A,FALSE,"Test 120 Day Accts";#N/A,#N/A,FALSE,"Tickmarks"}</definedName>
    <definedName name="sdf" hidden="1">{#N/A,#N/A,FALSE,"Aging Summary";#N/A,#N/A,FALSE,"Ratio Analysis";#N/A,#N/A,FALSE,"Test 120 Day Accts";#N/A,#N/A,FALSE,"Tickmarks"}</definedName>
    <definedName name="SDS" localSheetId="4" hidden="1">{"Aneh",#N/A,FALSE,"Sheet1"}</definedName>
    <definedName name="SDS" localSheetId="6" hidden="1">{"Aneh",#N/A,FALSE,"Sheet1"}</definedName>
    <definedName name="SDS" hidden="1">{"Aneh",#N/A,FALSE,"Sheet1"}</definedName>
    <definedName name="SDSE" localSheetId="4" hidden="1">{"Aneh",#N/A,FALSE,"Sheet1"}</definedName>
    <definedName name="SDSE" localSheetId="6" hidden="1">{"Aneh",#N/A,FALSE,"Sheet1"}</definedName>
    <definedName name="SDSE" hidden="1">{"Aneh",#N/A,FALSE,"Sheet1"}</definedName>
    <definedName name="sencount" hidden="1">1</definedName>
    <definedName name="Sept" localSheetId="4" hidden="1">#REF!</definedName>
    <definedName name="Sept" hidden="1">#REF!</definedName>
    <definedName name="sfsafas" localSheetId="4" hidden="1">{"Aneh",#N/A,FALSE,"Sheet1"}</definedName>
    <definedName name="sfsafas" localSheetId="6" hidden="1">{"Aneh",#N/A,FALSE,"Sheet1"}</definedName>
    <definedName name="sfsafas" hidden="1">{"Aneh",#N/A,FALSE,"Sheet1"}</definedName>
    <definedName name="sfsafasf" localSheetId="4" hidden="1">{"Aneh",#N/A,FALSE,"Sheet1"}</definedName>
    <definedName name="sfsafasf" localSheetId="6" hidden="1">{"Aneh",#N/A,FALSE,"Sheet1"}</definedName>
    <definedName name="sfsafasf" hidden="1">{"Aneh",#N/A,FALSE,"Sheet1"}</definedName>
    <definedName name="sfsafs" localSheetId="4" hidden="1">{"Aneh",#N/A,FALSE,"Sheet1"}</definedName>
    <definedName name="sfsafs" localSheetId="6" hidden="1">{"Aneh",#N/A,FALSE,"Sheet1"}</definedName>
    <definedName name="sfsafs" hidden="1">{"Aneh",#N/A,FALSE,"Sheet1"}</definedName>
    <definedName name="sfsfasfs" localSheetId="4" hidden="1">{"Aneh",#N/A,FALSE,"Sheet1"}</definedName>
    <definedName name="sfsfasfs" localSheetId="6" hidden="1">{"Aneh",#N/A,FALSE,"Sheet1"}</definedName>
    <definedName name="sfsfasfs" hidden="1">{"Aneh",#N/A,FALSE,"Sheet1"}</definedName>
    <definedName name="shjcbdjhfnbwdfnj" localSheetId="4" hidden="1">#REF!</definedName>
    <definedName name="shjcbdjhfnbwdfnj" hidden="1">#REF!</definedName>
    <definedName name="SITE" localSheetId="4" hidden="1">{"'장비'!$A$3:$M$12"}</definedName>
    <definedName name="SITE" localSheetId="6" hidden="1">{"'장비'!$A$3:$M$12"}</definedName>
    <definedName name="SITE" hidden="1">{"'장비'!$A$3:$M$12"}</definedName>
    <definedName name="Snapshot" localSheetId="4" hidden="1">{#N/A,#N/A,FALSE,"Aging Summary";#N/A,#N/A,FALSE,"Ratio Analysis";#N/A,#N/A,FALSE,"Test 120 Day Accts";#N/A,#N/A,FALSE,"Tickmarks"}</definedName>
    <definedName name="Snapshot" localSheetId="6" hidden="1">{#N/A,#N/A,FALSE,"Aging Summary";#N/A,#N/A,FALSE,"Ratio Analysis";#N/A,#N/A,FALSE,"Test 120 Day Accts";#N/A,#N/A,FALSE,"Tickmarks"}</definedName>
    <definedName name="Snapshot" hidden="1">{#N/A,#N/A,FALSE,"Aging Summary";#N/A,#N/A,FALSE,"Ratio Analysis";#N/A,#N/A,FALSE,"Test 120 Day Accts";#N/A,#N/A,FALSE,"Tickmarks"}</definedName>
    <definedName name="SnapshotA" localSheetId="4" hidden="1">{#N/A,#N/A,FALSE,"Aging Summary";#N/A,#N/A,FALSE,"Ratio Analysis";#N/A,#N/A,FALSE,"Test 120 Day Accts";#N/A,#N/A,FALSE,"Tickmarks"}</definedName>
    <definedName name="SnapshotA" localSheetId="6" hidden="1">{#N/A,#N/A,FALSE,"Aging Summary";#N/A,#N/A,FALSE,"Ratio Analysis";#N/A,#N/A,FALSE,"Test 120 Day Accts";#N/A,#N/A,FALSE,"Tickmarks"}</definedName>
    <definedName name="SnapshotA" hidden="1">{#N/A,#N/A,FALSE,"Aging Summary";#N/A,#N/A,FALSE,"Ratio Analysis";#N/A,#N/A,FALSE,"Test 120 Day Accts";#N/A,#N/A,FALSE,"Tickmarks"}</definedName>
    <definedName name="SNM" localSheetId="4" hidden="1">{"'장비'!$A$3:$M$12"}</definedName>
    <definedName name="SNM" localSheetId="6" hidden="1">{"'장비'!$A$3:$M$12"}</definedName>
    <definedName name="SNM" hidden="1">{"'장비'!$A$3:$M$12"}</definedName>
    <definedName name="solver_lin" hidden="1">0</definedName>
    <definedName name="solver_num" hidden="1">0</definedName>
    <definedName name="solver_typ" hidden="1">3</definedName>
    <definedName name="solver_val" hidden="1">0</definedName>
    <definedName name="spp" localSheetId="4" hidden="1">#REF!</definedName>
    <definedName name="spp" hidden="1">#REF!</definedName>
    <definedName name="Sqr"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qr"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q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SC" localSheetId="4" hidden="1">{#N/A,#N/A,FALSE,"Aging Summary";#N/A,#N/A,FALSE,"Ratio Analysis";#N/A,#N/A,FALSE,"Test 120 Day Accts";#N/A,#N/A,FALSE,"Tickmarks"}</definedName>
    <definedName name="SSC" localSheetId="6" hidden="1">{#N/A,#N/A,FALSE,"Aging Summary";#N/A,#N/A,FALSE,"Ratio Analysis";#N/A,#N/A,FALSE,"Test 120 Day Accts";#N/A,#N/A,FALSE,"Tickmarks"}</definedName>
    <definedName name="SSC" hidden="1">{#N/A,#N/A,FALSE,"Aging Summary";#N/A,#N/A,FALSE,"Ratio Analysis";#N/A,#N/A,FALSE,"Test 120 Day Accts";#N/A,#N/A,FALSE,"Tickmarks"}</definedName>
    <definedName name="sss" localSheetId="6" hidden="1">'[8]1999'!#REF!</definedName>
    <definedName name="sss" hidden="1">'[8]1999'!#REF!</definedName>
    <definedName name="sssss" localSheetId="4" hidden="1">{#N/A,#N/A,FALSE,"Aging Summary";#N/A,#N/A,FALSE,"Ratio Analysis";#N/A,#N/A,FALSE,"Test 120 Day Accts";#N/A,#N/A,FALSE,"Tickmarks"}</definedName>
    <definedName name="sssss" localSheetId="6" hidden="1">{#N/A,#N/A,FALSE,"Aging Summary";#N/A,#N/A,FALSE,"Ratio Analysis";#N/A,#N/A,FALSE,"Test 120 Day Accts";#N/A,#N/A,FALSE,"Tickmarks"}</definedName>
    <definedName name="sssss" hidden="1">{#N/A,#N/A,FALSE,"Aging Summary";#N/A,#N/A,FALSE,"Ratio Analysis";#N/A,#N/A,FALSE,"Test 120 Day Accts";#N/A,#N/A,FALSE,"Tickmarks"}</definedName>
    <definedName name="stp" localSheetId="4" hidden="1">#REF!</definedName>
    <definedName name="stp" hidden="1">#REF!</definedName>
    <definedName name="summary" hidden="1">#REF!</definedName>
    <definedName name="summary1" localSheetId="4" hidden="1">'[11]Daily Report'!#REF!</definedName>
    <definedName name="summary1" localSheetId="6" hidden="1">'[11]Daily Report'!#REF!</definedName>
    <definedName name="summary1" hidden="1">'[11]Daily Report'!#REF!</definedName>
    <definedName name="t_2" localSheetId="4" hidden="1">{"Qtr Op Mgd Q1",#N/A,FALSE,"Qtr-Op (Mng)";"Qtr Op Rpt Q1",#N/A,FALSE,"Qtr-Op (Rpt)";"Operating Vs Reported",#N/A,FALSE,"Rpt-Op Inc"}</definedName>
    <definedName name="t_2" localSheetId="6" hidden="1">{"Qtr Op Mgd Q1",#N/A,FALSE,"Qtr-Op (Mng)";"Qtr Op Rpt Q1",#N/A,FALSE,"Qtr-Op (Rpt)";"Operating Vs Reported",#N/A,FALSE,"Rpt-Op Inc"}</definedName>
    <definedName name="t_2" hidden="1">{"Qtr Op Mgd Q1",#N/A,FALSE,"Qtr-Op (Mng)";"Qtr Op Rpt Q1",#N/A,FALSE,"Qtr-Op (Rpt)";"Operating Vs Reported",#N/A,FALSE,"Rpt-Op Inc"}</definedName>
    <definedName name="t_3" localSheetId="4" hidden="1">{"Qtr Op Mgd Q1",#N/A,FALSE,"Qtr-Op (Mng)";"Qtr Op Rpt Q1",#N/A,FALSE,"Qtr-Op (Rpt)";"Operating Vs Reported",#N/A,FALSE,"Rpt-Op Inc"}</definedName>
    <definedName name="t_3" localSheetId="6" hidden="1">{"Qtr Op Mgd Q1",#N/A,FALSE,"Qtr-Op (Mng)";"Qtr Op Rpt Q1",#N/A,FALSE,"Qtr-Op (Rpt)";"Operating Vs Reported",#N/A,FALSE,"Rpt-Op Inc"}</definedName>
    <definedName name="t_3" hidden="1">{"Qtr Op Mgd Q1",#N/A,FALSE,"Qtr-Op (Mng)";"Qtr Op Rpt Q1",#N/A,FALSE,"Qtr-Op (Rpt)";"Operating Vs Reported",#N/A,FALSE,"Rpt-Op Inc"}</definedName>
    <definedName name="TAMPILAN" localSheetId="4" hidden="1">{#N/A,#N/A,FALSE,"REK";#N/A,#N/A,FALSE,"Bq-ARS"}</definedName>
    <definedName name="TAMPILAN" localSheetId="6" hidden="1">{#N/A,#N/A,FALSE,"REK";#N/A,#N/A,FALSE,"Bq-ARS"}</definedName>
    <definedName name="TAMPILAN" hidden="1">{#N/A,#N/A,FALSE,"REK";#N/A,#N/A,FALSE,"Bq-ARS"}</definedName>
    <definedName name="ter" localSheetId="4" hidden="1">{"Variance Q4",#N/A,FALSE,"Var"}</definedName>
    <definedName name="ter" localSheetId="6" hidden="1">{"Variance Q4",#N/A,FALSE,"Var"}</definedName>
    <definedName name="ter" hidden="1">{"Variance Q4",#N/A,FALSE,"Var"}</definedName>
    <definedName name="ter_2" localSheetId="4" hidden="1">{"Variance Q4",#N/A,FALSE,"Var"}</definedName>
    <definedName name="ter_2" localSheetId="6" hidden="1">{"Variance Q4",#N/A,FALSE,"Var"}</definedName>
    <definedName name="ter_2" hidden="1">{"Variance Q4",#N/A,FALSE,"Var"}</definedName>
    <definedName name="ter_3" localSheetId="4" hidden="1">{"Variance Q4",#N/A,FALSE,"Var"}</definedName>
    <definedName name="ter_3" localSheetId="6" hidden="1">{"Variance Q4",#N/A,FALSE,"Var"}</definedName>
    <definedName name="ter_3" hidden="1">{"Variance Q4",#N/A,FALSE,"Var"}</definedName>
    <definedName name="tes" localSheetId="4" hidden="1">{#N/A,#N/A,FALSE,"P&amp;L";#N/A,#N/A,FALSE,"CashFlow";#N/A,#N/A,FALSE,"Rev";#N/A,#N/A,FALSE,"Costs";#N/A,#N/A,FALSE,"CapexWC";#N/A,#N/A,FALSE,"CashDebt";#N/A,#N/A,FALSE,"Inv";#N/A,#N/A,FALSE,"Tax";#N/A,#N/A,FALSE,"Div";#N/A,#N/A,FALSE,"Equity"}</definedName>
    <definedName name="tes" localSheetId="6" hidden="1">{#N/A,#N/A,FALSE,"P&amp;L";#N/A,#N/A,FALSE,"CashFlow";#N/A,#N/A,FALSE,"Rev";#N/A,#N/A,FALSE,"Costs";#N/A,#N/A,FALSE,"CapexWC";#N/A,#N/A,FALSE,"CashDebt";#N/A,#N/A,FALSE,"Inv";#N/A,#N/A,FALSE,"Tax";#N/A,#N/A,FALSE,"Div";#N/A,#N/A,FALSE,"Equity"}</definedName>
    <definedName name="tes" hidden="1">{#N/A,#N/A,FALSE,"P&amp;L";#N/A,#N/A,FALSE,"CashFlow";#N/A,#N/A,FALSE,"Rev";#N/A,#N/A,FALSE,"Costs";#N/A,#N/A,FALSE,"CapexWC";#N/A,#N/A,FALSE,"CashDebt";#N/A,#N/A,FALSE,"Inv";#N/A,#N/A,FALSE,"Tax";#N/A,#N/A,FALSE,"Div";#N/A,#N/A,FALSE,"Equity"}</definedName>
    <definedName name="tesssssssssssss"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esssssssssssss"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esssssssssssss"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test" localSheetId="4" hidden="1">{#N/A,#N/A,FALSE,"P&amp;L";#N/A,#N/A,FALSE,"CashFlow";#N/A,#N/A,FALSE,"Rev";#N/A,#N/A,FALSE,"Costs";#N/A,#N/A,FALSE,"CapexWC";#N/A,#N/A,FALSE,"CashDebt";#N/A,#N/A,FALSE,"Inv";#N/A,#N/A,FALSE,"Tax";#N/A,#N/A,FALSE,"Div";#N/A,#N/A,FALSE,"Equity"}</definedName>
    <definedName name="test" localSheetId="6" hidden="1">{#N/A,#N/A,FALSE,"P&amp;L";#N/A,#N/A,FALSE,"CashFlow";#N/A,#N/A,FALSE,"Rev";#N/A,#N/A,FALSE,"Costs";#N/A,#N/A,FALSE,"CapexWC";#N/A,#N/A,FALSE,"CashDebt";#N/A,#N/A,FALSE,"Inv";#N/A,#N/A,FALSE,"Tax";#N/A,#N/A,FALSE,"Div";#N/A,#N/A,FALSE,"Equity"}</definedName>
    <definedName name="test" hidden="1">{#N/A,#N/A,FALSE,"P&amp;L";#N/A,#N/A,FALSE,"CashFlow";#N/A,#N/A,FALSE,"Rev";#N/A,#N/A,FALSE,"Costs";#N/A,#N/A,FALSE,"CapexWC";#N/A,#N/A,FALSE,"CashDebt";#N/A,#N/A,FALSE,"Inv";#N/A,#N/A,FALSE,"Tax";#N/A,#N/A,FALSE,"Div";#N/A,#N/A,FALSE,"Equity"}</definedName>
    <definedName name="test_2" localSheetId="4" hidden="1">{"DCF","UPSIDE CASE",FALSE,"Sheet1";"DCF","BASE CASE",FALSE,"Sheet1";"DCF","DOWNSIDE CASE",FALSE,"Sheet1"}</definedName>
    <definedName name="test_2" localSheetId="6" hidden="1">{"DCF","UPSIDE CASE",FALSE,"Sheet1";"DCF","BASE CASE",FALSE,"Sheet1";"DCF","DOWNSIDE CASE",FALSE,"Sheet1"}</definedName>
    <definedName name="test_2" hidden="1">{"DCF","UPSIDE CASE",FALSE,"Sheet1";"DCF","BASE CASE",FALSE,"Sheet1";"DCF","DOWNSIDE CASE",FALSE,"Sheet1"}</definedName>
    <definedName name="test_3" localSheetId="4" hidden="1">{"DCF","UPSIDE CASE",FALSE,"Sheet1";"DCF","BASE CASE",FALSE,"Sheet1";"DCF","DOWNSIDE CASE",FALSE,"Sheet1"}</definedName>
    <definedName name="test_3" localSheetId="6" hidden="1">{"DCF","UPSIDE CASE",FALSE,"Sheet1";"DCF","BASE CASE",FALSE,"Sheet1";"DCF","DOWNSIDE CASE",FALSE,"Sheet1"}</definedName>
    <definedName name="test_3" hidden="1">{"DCF","UPSIDE CASE",FALSE,"Sheet1";"DCF","BASE CASE",FALSE,"Sheet1";"DCF","DOWNSIDE CASE",FALSE,"Sheet1"}</definedName>
    <definedName name="test1_2" localSheetId="4" hidden="1">{"DCF","UPSIDE CASE",FALSE,"Sheet1";"DCF","BASE CASE",FALSE,"Sheet1";"DCF","DOWNSIDE CASE",FALSE,"Sheet1"}</definedName>
    <definedName name="test1_2" localSheetId="6" hidden="1">{"DCF","UPSIDE CASE",FALSE,"Sheet1";"DCF","BASE CASE",FALSE,"Sheet1";"DCF","DOWNSIDE CASE",FALSE,"Sheet1"}</definedName>
    <definedName name="test1_2" hidden="1">{"DCF","UPSIDE CASE",FALSE,"Sheet1";"DCF","BASE CASE",FALSE,"Sheet1";"DCF","DOWNSIDE CASE",FALSE,"Sheet1"}</definedName>
    <definedName name="test1_3" localSheetId="4" hidden="1">{"DCF","UPSIDE CASE",FALSE,"Sheet1";"DCF","BASE CASE",FALSE,"Sheet1";"DCF","DOWNSIDE CASE",FALSE,"Sheet1"}</definedName>
    <definedName name="test1_3" localSheetId="6" hidden="1">{"DCF","UPSIDE CASE",FALSE,"Sheet1";"DCF","BASE CASE",FALSE,"Sheet1";"DCF","DOWNSIDE CASE",FALSE,"Sheet1"}</definedName>
    <definedName name="test1_3" hidden="1">{"DCF","UPSIDE CASE",FALSE,"Sheet1";"DCF","BASE CASE",FALSE,"Sheet1";"DCF","DOWNSIDE CASE",FALSE,"Sheet1"}</definedName>
    <definedName name="TESTING" localSheetId="4" hidden="1">{#N/A,#N/A,FALSE,"P&amp;L";#N/A,#N/A,FALSE,"CashFlow";#N/A,#N/A,FALSE,"Rev";#N/A,#N/A,FALSE,"Costs";#N/A,#N/A,FALSE,"CapexWC";#N/A,#N/A,FALSE,"CashDebt";#N/A,#N/A,FALSE,"Inv";#N/A,#N/A,FALSE,"Tax";#N/A,#N/A,FALSE,"Div";#N/A,#N/A,FALSE,"Equity"}</definedName>
    <definedName name="TESTING" localSheetId="6" hidden="1">{#N/A,#N/A,FALSE,"P&amp;L";#N/A,#N/A,FALSE,"CashFlow";#N/A,#N/A,FALSE,"Rev";#N/A,#N/A,FALSE,"Costs";#N/A,#N/A,FALSE,"CapexWC";#N/A,#N/A,FALSE,"CashDebt";#N/A,#N/A,FALSE,"Inv";#N/A,#N/A,FALSE,"Tax";#N/A,#N/A,FALSE,"Div";#N/A,#N/A,FALSE,"Equity"}</definedName>
    <definedName name="TESTING" hidden="1">{#N/A,#N/A,FALSE,"P&amp;L";#N/A,#N/A,FALSE,"CashFlow";#N/A,#N/A,FALSE,"Rev";#N/A,#N/A,FALSE,"Costs";#N/A,#N/A,FALSE,"CapexWC";#N/A,#N/A,FALSE,"CashDebt";#N/A,#N/A,FALSE,"Inv";#N/A,#N/A,FALSE,"Tax";#N/A,#N/A,FALSE,"Div";#N/A,#N/A,FALSE,"Equity"}</definedName>
    <definedName name="tets" localSheetId="4" hidden="1">{#N/A,#N/A,FALSE,"One Pager";#N/A,#N/A,FALSE,"Technical"}</definedName>
    <definedName name="tets" localSheetId="6" hidden="1">{#N/A,#N/A,FALSE,"One Pager";#N/A,#N/A,FALSE,"Technical"}</definedName>
    <definedName name="tets" hidden="1">{#N/A,#N/A,FALSE,"One Pager";#N/A,#N/A,FALSE,"Technical"}</definedName>
    <definedName name="TextRefCopyRangeCount" hidden="1">1</definedName>
    <definedName name="TFA.USER" hidden="1">[14]cus!$39:$39</definedName>
    <definedName name="TGI" localSheetId="4" hidden="1">{#N/A,#N/A,FALSE,"P&amp;L";#N/A,#N/A,FALSE,"CashFlow";#N/A,#N/A,FALSE,"Rev";#N/A,#N/A,FALSE,"Costs";#N/A,#N/A,FALSE,"CapexWC";#N/A,#N/A,FALSE,"CashDebt";#N/A,#N/A,FALSE,"Inv";#N/A,#N/A,FALSE,"Tax";#N/A,#N/A,FALSE,"Div";#N/A,#N/A,FALSE,"Equity"}</definedName>
    <definedName name="TGI" localSheetId="6" hidden="1">{#N/A,#N/A,FALSE,"P&amp;L";#N/A,#N/A,FALSE,"CashFlow";#N/A,#N/A,FALSE,"Rev";#N/A,#N/A,FALSE,"Costs";#N/A,#N/A,FALSE,"CapexWC";#N/A,#N/A,FALSE,"CashDebt";#N/A,#N/A,FALSE,"Inv";#N/A,#N/A,FALSE,"Tax";#N/A,#N/A,FALSE,"Div";#N/A,#N/A,FALSE,"Equity"}</definedName>
    <definedName name="TGI" hidden="1">{#N/A,#N/A,FALSE,"P&amp;L";#N/A,#N/A,FALSE,"CashFlow";#N/A,#N/A,FALSE,"Rev";#N/A,#N/A,FALSE,"Costs";#N/A,#N/A,FALSE,"CapexWC";#N/A,#N/A,FALSE,"CashDebt";#N/A,#N/A,FALSE,"Inv";#N/A,#N/A,FALSE,"Tax";#N/A,#N/A,FALSE,"Div";#N/A,#N/A,FALSE,"Equity"}</definedName>
    <definedName name="Trend._.Analysis" localSheetId="4" hidden="1">{#N/A,#N/A,FALSE,"Aging Summary";#N/A,#N/A,FALSE,"Ratio Analysis";#N/A,#N/A,FALSE,"Test 120 Day Accts";#N/A,#N/A,FALSE,"Tickmarks"}</definedName>
    <definedName name="Trend._.Analysis" localSheetId="6" hidden="1">{#N/A,#N/A,FALSE,"Aging Summary";#N/A,#N/A,FALSE,"Ratio Analysis";#N/A,#N/A,FALSE,"Test 120 Day Accts";#N/A,#N/A,FALSE,"Tickmarks"}</definedName>
    <definedName name="Trend._.Analysis" hidden="1">{#N/A,#N/A,FALSE,"Aging Summary";#N/A,#N/A,FALSE,"Ratio Analysis";#N/A,#N/A,FALSE,"Test 120 Day Accts";#N/A,#N/A,FALSE,"Tickmarks"}</definedName>
    <definedName name="TrendA" localSheetId="4" hidden="1">{#N/A,#N/A,FALSE,"Aging Summary";#N/A,#N/A,FALSE,"Ratio Analysis";#N/A,#N/A,FALSE,"Test 120 Day Accts";#N/A,#N/A,FALSE,"Tickmarks"}</definedName>
    <definedName name="TrendA" localSheetId="6" hidden="1">{#N/A,#N/A,FALSE,"Aging Summary";#N/A,#N/A,FALSE,"Ratio Analysis";#N/A,#N/A,FALSE,"Test 120 Day Accts";#N/A,#N/A,FALSE,"Tickmarks"}</definedName>
    <definedName name="TrendA" hidden="1">{#N/A,#N/A,FALSE,"Aging Summary";#N/A,#N/A,FALSE,"Ratio Analysis";#N/A,#N/A,FALSE,"Test 120 Day Accts";#N/A,#N/A,FALSE,"Tickmarks"}</definedName>
    <definedName name="tsl" localSheetId="4" hidden="1">{#N/A,#N/A,FALSE,"Aging Summary";#N/A,#N/A,FALSE,"Ratio Analysis";#N/A,#N/A,FALSE,"Test 120 Day Accts";#N/A,#N/A,FALSE,"Tickmarks"}</definedName>
    <definedName name="tsl" localSheetId="6" hidden="1">{#N/A,#N/A,FALSE,"Aging Summary";#N/A,#N/A,FALSE,"Ratio Analysis";#N/A,#N/A,FALSE,"Test 120 Day Accts";#N/A,#N/A,FALSE,"Tickmarks"}</definedName>
    <definedName name="tsl" hidden="1">{#N/A,#N/A,FALSE,"Aging Summary";#N/A,#N/A,FALSE,"Ratio Analysis";#N/A,#N/A,FALSE,"Test 120 Day Accts";#N/A,#N/A,FALSE,"Tickmarks"}</definedName>
    <definedName name="tsltsl" localSheetId="4" hidden="1">{#N/A,#N/A,FALSE,"Aging Summary";#N/A,#N/A,FALSE,"Ratio Analysis";#N/A,#N/A,FALSE,"Test 120 Day Accts";#N/A,#N/A,FALSE,"Tickmarks"}</definedName>
    <definedName name="tsltsl" localSheetId="6" hidden="1">{#N/A,#N/A,FALSE,"Aging Summary";#N/A,#N/A,FALSE,"Ratio Analysis";#N/A,#N/A,FALSE,"Test 120 Day Accts";#N/A,#N/A,FALSE,"Tickmarks"}</definedName>
    <definedName name="tsltsl" hidden="1">{#N/A,#N/A,FALSE,"Aging Summary";#N/A,#N/A,FALSE,"Ratio Analysis";#N/A,#N/A,FALSE,"Test 120 Day Accts";#N/A,#N/A,FALSE,"Tickmarks"}</definedName>
    <definedName name="u_2" localSheetId="4" hidden="1">{"Graphic",#N/A,TRUE,"Graphic"}</definedName>
    <definedName name="u_2" localSheetId="6" hidden="1">{"Graphic",#N/A,TRUE,"Graphic"}</definedName>
    <definedName name="u_2" hidden="1">{"Graphic",#N/A,TRUE,"Graphic"}</definedName>
    <definedName name="u_3" localSheetId="4" hidden="1">{"Graphic",#N/A,TRUE,"Graphic"}</definedName>
    <definedName name="u_3" localSheetId="6" hidden="1">{"Graphic",#N/A,TRUE,"Graphic"}</definedName>
    <definedName name="u_3" hidden="1">{"Graphic",#N/A,TRUE,"Graphic"}</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PDATE_LAB_ANALYSIS" localSheetId="4" hidden="1">#REF!</definedName>
    <definedName name="UPDATE_LAB_ANALYSIS" localSheetId="6" hidden="1">#REF!</definedName>
    <definedName name="UPDATE_LAB_ANALYSIS" hidden="1">#REF!</definedName>
    <definedName name="uu" localSheetId="4" hidden="1">{"mult96",#N/A,FALSE,"PETCOMP";"est96",#N/A,FALSE,"PETCOMP";"mult95",#N/A,FALSE,"PETCOMP";"est95",#N/A,FALSE,"PETCOMP";"multltm",#N/A,FALSE,"PETCOMP";"resultltm",#N/A,FALSE,"PETCOMP"}</definedName>
    <definedName name="uu" localSheetId="6" hidden="1">{"mult96",#N/A,FALSE,"PETCOMP";"est96",#N/A,FALSE,"PETCOMP";"mult95",#N/A,FALSE,"PETCOMP";"est95",#N/A,FALSE,"PETCOMP";"multltm",#N/A,FALSE,"PETCOMP";"resultltm",#N/A,FALSE,"PETCOMP"}</definedName>
    <definedName name="uu" hidden="1">{"mult96",#N/A,FALSE,"PETCOMP";"est96",#N/A,FALSE,"PETCOMP";"mult95",#N/A,FALSE,"PETCOMP";"est95",#N/A,FALSE,"PETCOMP";"multltm",#N/A,FALSE,"PETCOMP";"resultltm",#N/A,FALSE,"PETCOMP"}</definedName>
    <definedName name="uu_2" localSheetId="4" hidden="1">{"mult96",#N/A,FALSE,"PETCOMP";"est96",#N/A,FALSE,"PETCOMP";"mult95",#N/A,FALSE,"PETCOMP";"est95",#N/A,FALSE,"PETCOMP";"multltm",#N/A,FALSE,"PETCOMP";"resultltm",#N/A,FALSE,"PETCOMP"}</definedName>
    <definedName name="uu_2" localSheetId="6" hidden="1">{"mult96",#N/A,FALSE,"PETCOMP";"est96",#N/A,FALSE,"PETCOMP";"mult95",#N/A,FALSE,"PETCOMP";"est95",#N/A,FALSE,"PETCOMP";"multltm",#N/A,FALSE,"PETCOMP";"resultltm",#N/A,FALSE,"PETCOMP"}</definedName>
    <definedName name="uu_2" hidden="1">{"mult96",#N/A,FALSE,"PETCOMP";"est96",#N/A,FALSE,"PETCOMP";"mult95",#N/A,FALSE,"PETCOMP";"est95",#N/A,FALSE,"PETCOMP";"multltm",#N/A,FALSE,"PETCOMP";"resultltm",#N/A,FALSE,"PETCOMP"}</definedName>
    <definedName name="uu_3" localSheetId="4" hidden="1">{"mult96",#N/A,FALSE,"PETCOMP";"est96",#N/A,FALSE,"PETCOMP";"mult95",#N/A,FALSE,"PETCOMP";"est95",#N/A,FALSE,"PETCOMP";"multltm",#N/A,FALSE,"PETCOMP";"resultltm",#N/A,FALSE,"PETCOMP"}</definedName>
    <definedName name="uu_3" localSheetId="6" hidden="1">{"mult96",#N/A,FALSE,"PETCOMP";"est96",#N/A,FALSE,"PETCOMP";"mult95",#N/A,FALSE,"PETCOMP";"est95",#N/A,FALSE,"PETCOMP";"multltm",#N/A,FALSE,"PETCOMP";"resultltm",#N/A,FALSE,"PETCOMP"}</definedName>
    <definedName name="uu_3" hidden="1">{"mult96",#N/A,FALSE,"PETCOMP";"est96",#N/A,FALSE,"PETCOMP";"mult95",#N/A,FALSE,"PETCOMP";"est95",#N/A,FALSE,"PETCOMP";"multltm",#N/A,FALSE,"PETCOMP";"resultltm",#N/A,FALSE,"PETCOMP"}</definedName>
    <definedName name="vgr" localSheetId="4" hidden="1">{#N/A,#N/A,TRUE,"TITLE";#N/A,#N/A,TRUE,"MKT Cellular Subs";#N/A,#N/A,TRUE,"Cellular sub ";#N/A,#N/A,TRUE,"P&amp;L - Cell";#N/A,#N/A,TRUE,"Rev &amp; Usage assump - Cell";#N/A,#N/A,TRUE,"Cost -  Cellular";"cellular",#N/A,TRUE,"Capex "}</definedName>
    <definedName name="vgr" localSheetId="6" hidden="1">{#N/A,#N/A,TRUE,"TITLE";#N/A,#N/A,TRUE,"MKT Cellular Subs";#N/A,#N/A,TRUE,"Cellular sub ";#N/A,#N/A,TRUE,"P&amp;L - Cell";#N/A,#N/A,TRUE,"Rev &amp; Usage assump - Cell";#N/A,#N/A,TRUE,"Cost -  Cellular";"cellular",#N/A,TRUE,"Capex "}</definedName>
    <definedName name="vgr" hidden="1">{#N/A,#N/A,TRUE,"TITLE";#N/A,#N/A,TRUE,"MKT Cellular Subs";#N/A,#N/A,TRUE,"Cellular sub ";#N/A,#N/A,TRUE,"P&amp;L - Cell";#N/A,#N/A,TRUE,"Rev &amp; Usage assump - Cell";#N/A,#N/A,TRUE,"Cost -  Cellular";"cellular",#N/A,TRUE,"Capex "}</definedName>
    <definedName name="vgr_2" localSheetId="4" hidden="1">{#N/A,#N/A,TRUE,"TITLE";#N/A,#N/A,TRUE,"MKT Cellular Subs";#N/A,#N/A,TRUE,"Cellular sub ";#N/A,#N/A,TRUE,"P&amp;L - Cell";#N/A,#N/A,TRUE,"Rev &amp; Usage assump - Cell";#N/A,#N/A,TRUE,"Cost -  Cellular";"cellular",#N/A,TRUE,"Capex "}</definedName>
    <definedName name="vgr_2" localSheetId="6" hidden="1">{#N/A,#N/A,TRUE,"TITLE";#N/A,#N/A,TRUE,"MKT Cellular Subs";#N/A,#N/A,TRUE,"Cellular sub ";#N/A,#N/A,TRUE,"P&amp;L - Cell";#N/A,#N/A,TRUE,"Rev &amp; Usage assump - Cell";#N/A,#N/A,TRUE,"Cost -  Cellular";"cellular",#N/A,TRUE,"Capex "}</definedName>
    <definedName name="vgr_2" hidden="1">{#N/A,#N/A,TRUE,"TITLE";#N/A,#N/A,TRUE,"MKT Cellular Subs";#N/A,#N/A,TRUE,"Cellular sub ";#N/A,#N/A,TRUE,"P&amp;L - Cell";#N/A,#N/A,TRUE,"Rev &amp; Usage assump - Cell";#N/A,#N/A,TRUE,"Cost -  Cellular";"cellular",#N/A,TRUE,"Capex "}</definedName>
    <definedName name="vgr_3" localSheetId="4" hidden="1">{#N/A,#N/A,TRUE,"TITLE";#N/A,#N/A,TRUE,"MKT Cellular Subs";#N/A,#N/A,TRUE,"Cellular sub ";#N/A,#N/A,TRUE,"P&amp;L - Cell";#N/A,#N/A,TRUE,"Rev &amp; Usage assump - Cell";#N/A,#N/A,TRUE,"Cost -  Cellular";"cellular",#N/A,TRUE,"Capex "}</definedName>
    <definedName name="vgr_3" localSheetId="6" hidden="1">{#N/A,#N/A,TRUE,"TITLE";#N/A,#N/A,TRUE,"MKT Cellular Subs";#N/A,#N/A,TRUE,"Cellular sub ";#N/A,#N/A,TRUE,"P&amp;L - Cell";#N/A,#N/A,TRUE,"Rev &amp; Usage assump - Cell";#N/A,#N/A,TRUE,"Cost -  Cellular";"cellular",#N/A,TRUE,"Capex "}</definedName>
    <definedName name="vgr_3" hidden="1">{#N/A,#N/A,TRUE,"TITLE";#N/A,#N/A,TRUE,"MKT Cellular Subs";#N/A,#N/A,TRUE,"Cellular sub ";#N/A,#N/A,TRUE,"P&amp;L - Cell";#N/A,#N/A,TRUE,"Rev &amp; Usage assump - Cell";#N/A,#N/A,TRUE,"Cost -  Cellular";"cellular",#N/A,TRUE,"Capex "}</definedName>
    <definedName name="vvv" localSheetId="4" hidden="1">{"DCF","UPSIDE CASE",FALSE,"Sheet1";"DCF","BASE CASE",FALSE,"Sheet1";"DCF","DOWNSIDE CASE",FALSE,"Sheet1"}</definedName>
    <definedName name="vvv" localSheetId="6" hidden="1">{"DCF","UPSIDE CASE",FALSE,"Sheet1";"DCF","BASE CASE",FALSE,"Sheet1";"DCF","DOWNSIDE CASE",FALSE,"Sheet1"}</definedName>
    <definedName name="vvv" hidden="1">{"DCF","UPSIDE CASE",FALSE,"Sheet1";"DCF","BASE CASE",FALSE,"Sheet1";"DCF","DOWNSIDE CASE",FALSE,"Sheet1"}</definedName>
    <definedName name="vvv_2" localSheetId="4" hidden="1">{"DCF","UPSIDE CASE",FALSE,"Sheet1";"DCF","BASE CASE",FALSE,"Sheet1";"DCF","DOWNSIDE CASE",FALSE,"Sheet1"}</definedName>
    <definedName name="vvv_2" localSheetId="6" hidden="1">{"DCF","UPSIDE CASE",FALSE,"Sheet1";"DCF","BASE CASE",FALSE,"Sheet1";"DCF","DOWNSIDE CASE",FALSE,"Sheet1"}</definedName>
    <definedName name="vvv_2" hidden="1">{"DCF","UPSIDE CASE",FALSE,"Sheet1";"DCF","BASE CASE",FALSE,"Sheet1";"DCF","DOWNSIDE CASE",FALSE,"Sheet1"}</definedName>
    <definedName name="vvv_3" localSheetId="4" hidden="1">{"DCF","UPSIDE CASE",FALSE,"Sheet1";"DCF","BASE CASE",FALSE,"Sheet1";"DCF","DOWNSIDE CASE",FALSE,"Sheet1"}</definedName>
    <definedName name="vvv_3" localSheetId="6" hidden="1">{"DCF","UPSIDE CASE",FALSE,"Sheet1";"DCF","BASE CASE",FALSE,"Sheet1";"DCF","DOWNSIDE CASE",FALSE,"Sheet1"}</definedName>
    <definedName name="vvv_3" hidden="1">{"DCF","UPSIDE CASE",FALSE,"Sheet1";"DCF","BASE CASE",FALSE,"Sheet1";"DCF","DOWNSIDE CASE",FALSE,"Sheet1"}</definedName>
    <definedName name="vvvvv"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vvvv"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vvv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APU23" localSheetId="4" hidden="1">#REF!</definedName>
    <definedName name="WAPU23" localSheetId="6" hidden="1">#REF!</definedName>
    <definedName name="WAPU23" hidden="1">#REF!</definedName>
    <definedName name="wedus" localSheetId="4" hidden="1">#REF!</definedName>
    <definedName name="wedus" localSheetId="6" hidden="1">#REF!</definedName>
    <definedName name="wedus" hidden="1">#REF!</definedName>
    <definedName name="Week.45" localSheetId="4" hidden="1">{"Aneh",#N/A,FALSE,"Sheet1"}</definedName>
    <definedName name="Week.45" localSheetId="6" hidden="1">{"Aneh",#N/A,FALSE,"Sheet1"}</definedName>
    <definedName name="Week.45" hidden="1">{"Aneh",#N/A,FALSE,"Sheet1"}</definedName>
    <definedName name="wewe" localSheetId="4" hidden="1">{#N/A,#N/A,FALSE,"P&amp;L";#N/A,#N/A,FALSE,"CashFlow";#N/A,#N/A,FALSE,"Rev";#N/A,#N/A,FALSE,"Costs";#N/A,#N/A,FALSE,"CapexWC";#N/A,#N/A,FALSE,"CashDebt";#N/A,#N/A,FALSE,"Inv";#N/A,#N/A,FALSE,"Tax";#N/A,#N/A,FALSE,"Div";#N/A,#N/A,FALSE,"Equity"}</definedName>
    <definedName name="wewe" localSheetId="6" hidden="1">{#N/A,#N/A,FALSE,"P&amp;L";#N/A,#N/A,FALSE,"CashFlow";#N/A,#N/A,FALSE,"Rev";#N/A,#N/A,FALSE,"Costs";#N/A,#N/A,FALSE,"CapexWC";#N/A,#N/A,FALSE,"CashDebt";#N/A,#N/A,FALSE,"Inv";#N/A,#N/A,FALSE,"Tax";#N/A,#N/A,FALSE,"Div";#N/A,#N/A,FALSE,"Equity"}</definedName>
    <definedName name="wewe" hidden="1">{#N/A,#N/A,FALSE,"P&amp;L";#N/A,#N/A,FALSE,"CashFlow";#N/A,#N/A,FALSE,"Rev";#N/A,#N/A,FALSE,"Costs";#N/A,#N/A,FALSE,"CapexWC";#N/A,#N/A,FALSE,"CashDebt";#N/A,#N/A,FALSE,"Inv";#N/A,#N/A,FALSE,"Tax";#N/A,#N/A,FALSE,"Div";#N/A,#N/A,FALSE,"Equity"}</definedName>
    <definedName name="WIDA" localSheetId="4" hidden="1">{#N/A,#N/A,FALSE,"WP [10]"}</definedName>
    <definedName name="WIDA" localSheetId="6" hidden="1">{#N/A,#N/A,FALSE,"WP [10]"}</definedName>
    <definedName name="WIDA" hidden="1">{#N/A,#N/A,FALSE,"WP [10]"}</definedName>
    <definedName name="WRITE" localSheetId="4" hidden="1">{#N/A,#N/A,FALSE,"CCTV"}</definedName>
    <definedName name="WRITE" localSheetId="6" hidden="1">{#N/A,#N/A,FALSE,"CCTV"}</definedName>
    <definedName name="WRITE" hidden="1">{#N/A,#N/A,FALSE,"CCTV"}</definedName>
    <definedName name="wrn.1." localSheetId="4" hidden="1">{"Aneh",#N/A,FALSE,"Sheet1"}</definedName>
    <definedName name="wrn.1." localSheetId="6" hidden="1">{"Aneh",#N/A,FALSE,"Sheet1"}</definedName>
    <definedName name="wrn.1." hidden="1">{"Aneh",#N/A,FALSE,"Sheet1"}</definedName>
    <definedName name="wrn.2._.pagers." localSheetId="4" hidden="1">{"Cover",#N/A,FALSE,"Cover";"Summary",#N/A,FALSE,"Summarpage"}</definedName>
    <definedName name="wrn.2._.pagers." localSheetId="6" hidden="1">{"Cover",#N/A,FALSE,"Cover";"Summary",#N/A,FALSE,"Summarpage"}</definedName>
    <definedName name="wrn.2._.pagers." hidden="1">{"Cover",#N/A,FALSE,"Cover";"Summary",#N/A,FALSE,"Summarpage"}</definedName>
    <definedName name="wrn.2._.pagers._2" localSheetId="4" hidden="1">{"Cover",#N/A,FALSE,"Cover";"Summary",#N/A,FALSE,"Summarpage"}</definedName>
    <definedName name="wrn.2._.pagers._2" localSheetId="6" hidden="1">{"Cover",#N/A,FALSE,"Cover";"Summary",#N/A,FALSE,"Summarpage"}</definedName>
    <definedName name="wrn.2._.pagers._2" hidden="1">{"Cover",#N/A,FALSE,"Cover";"Summary",#N/A,FALSE,"Summarpage"}</definedName>
    <definedName name="wrn.2._.pagers._3" localSheetId="4" hidden="1">{"Cover",#N/A,FALSE,"Cover";"Summary",#N/A,FALSE,"Summarpage"}</definedName>
    <definedName name="wrn.2._.pagers._3" localSheetId="6" hidden="1">{"Cover",#N/A,FALSE,"Cover";"Summary",#N/A,FALSE,"Summarpage"}</definedName>
    <definedName name="wrn.2._.pagers._3" hidden="1">{"Cover",#N/A,FALSE,"Cover";"Summary",#N/A,FALSE,"Summarpage"}</definedName>
    <definedName name="wrn.AAA." localSheetId="4" hidden="1">{#N/A,#N/A,FALSE,"REK";#N/A,#N/A,FALSE,"Bq-ARS"}</definedName>
    <definedName name="wrn.AAA." localSheetId="6" hidden="1">{#N/A,#N/A,FALSE,"REK";#N/A,#N/A,FALSE,"Bq-ARS"}</definedName>
    <definedName name="wrn.AAA." hidden="1">{#N/A,#N/A,FALSE,"REK";#N/A,#N/A,FALSE,"Bq-ARS"}</definedName>
    <definedName name="wrn.Acquisition_matrix." localSheetId="4" hidden="1">{"Acq_matrix",#N/A,FALSE,"Acquisition Matrix"}</definedName>
    <definedName name="wrn.Acquisition_matrix." localSheetId="6" hidden="1">{"Acq_matrix",#N/A,FALSE,"Acquisition Matrix"}</definedName>
    <definedName name="wrn.Acquisition_matrix." hidden="1">{"Acq_matrix",#N/A,FALSE,"Acquisition Matrix"}</definedName>
    <definedName name="wrn.Acquisition_matrix._2" localSheetId="4" hidden="1">{"Acq_matrix",#N/A,FALSE,"Acquisition Matrix"}</definedName>
    <definedName name="wrn.Acquisition_matrix._2" localSheetId="6" hidden="1">{"Acq_matrix",#N/A,FALSE,"Acquisition Matrix"}</definedName>
    <definedName name="wrn.Acquisition_matrix._2" hidden="1">{"Acq_matrix",#N/A,FALSE,"Acquisition Matrix"}</definedName>
    <definedName name="wrn.Acquisition_matrix._3" localSheetId="4" hidden="1">{"Acq_matrix",#N/A,FALSE,"Acquisition Matrix"}</definedName>
    <definedName name="wrn.Acquisition_matrix._3" localSheetId="6" hidden="1">{"Acq_matrix",#N/A,FALSE,"Acquisition Matrix"}</definedName>
    <definedName name="wrn.Acquisition_matrix._3" hidden="1">{"Acq_matrix",#N/A,FALSE,"Acquisition Matrix"}</definedName>
    <definedName name="wrn.adj95." localSheetId="4" hidden="1">{"adj95mult",#N/A,FALSE,"COMPCO";"adj95est",#N/A,FALSE,"COMPCO"}</definedName>
    <definedName name="wrn.adj95." localSheetId="6" hidden="1">{"adj95mult",#N/A,FALSE,"COMPCO";"adj95est",#N/A,FALSE,"COMPCO"}</definedName>
    <definedName name="wrn.adj95." hidden="1">{"adj95mult",#N/A,FALSE,"COMPCO";"adj95est",#N/A,FALSE,"COMPCO"}</definedName>
    <definedName name="wrn.adj95._2" localSheetId="4" hidden="1">{"adj95mult",#N/A,FALSE,"COMPCO";"adj95est",#N/A,FALSE,"COMPCO"}</definedName>
    <definedName name="wrn.adj95._2" localSheetId="6" hidden="1">{"adj95mult",#N/A,FALSE,"COMPCO";"adj95est",#N/A,FALSE,"COMPCO"}</definedName>
    <definedName name="wrn.adj95._2" hidden="1">{"adj95mult",#N/A,FALSE,"COMPCO";"adj95est",#N/A,FALSE,"COMPCO"}</definedName>
    <definedName name="wrn.adj95._3" localSheetId="4" hidden="1">{"adj95mult",#N/A,FALSE,"COMPCO";"adj95est",#N/A,FALSE,"COMPCO"}</definedName>
    <definedName name="wrn.adj95._3" localSheetId="6" hidden="1">{"adj95mult",#N/A,FALSE,"COMPCO";"adj95est",#N/A,FALSE,"COMPCO"}</definedName>
    <definedName name="wrn.adj95._3" hidden="1">{"adj95mult",#N/A,FALSE,"COMPCO";"adj95est",#N/A,FALSE,"COMPCO"}</definedName>
    <definedName name="wrn.Aging._.and._.Trend._.Analysis." localSheetId="4" hidden="1">{#N/A,#N/A,FALSE,"Aging Summary";#N/A,#N/A,FALSE,"Ratio Analysis";#N/A,#N/A,FALSE,"Test 120 Day Accts";#N/A,#N/A,FALSE,"Tickmarks"}</definedName>
    <definedName name="wrn.Aging._.and._.Trend._.Analysis." localSheetId="6"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ll." localSheetId="4"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localSheetId="6"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 hidden="1">{#N/A,#N/A,TRUE,"Introduction";#N/A,#N/A,TRUE,"Operating Statistics";#N/A,#N/A,TRUE,"Capex &amp; Depreciation";#N/A,#N/A,TRUE,"Equity";#N/A,#N/A,TRUE,"Debt";#N/A,#N/A,TRUE,"Debt (2)";#N/A,#N/A,TRUE,"Financials";#N/A,#N/A,TRUE,"Market Info";#N/A,#N/A,TRUE,"Company Card";#N/A,#N/A,TRUE,"One Pager";#N/A,#N/A,TRUE,"First Page";#N/A,#N/A,TRUE,"Technical";#N/A,#N/A,TRUE,"Range Names"}</definedName>
    <definedName name="wrn.All._.Pages."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2"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localSheetId="4"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localSheetId="6"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3"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pages." localSheetId="4" hidden="1">{#N/A,#N/A,TRUE,"Historicals";#N/A,#N/A,TRUE,"Charts";#N/A,#N/A,TRUE,"Forecasts"}</definedName>
    <definedName name="wrn.allpages." localSheetId="6" hidden="1">{#N/A,#N/A,TRUE,"Historicals";#N/A,#N/A,TRUE,"Charts";#N/A,#N/A,TRUE,"Forecasts"}</definedName>
    <definedName name="wrn.allpages." hidden="1">{#N/A,#N/A,TRUE,"Historicals";#N/A,#N/A,TRUE,"Charts";#N/A,#N/A,TRUE,"Forecasts"}</definedName>
    <definedName name="wrn.allpages._2" localSheetId="4" hidden="1">{#N/A,#N/A,TRUE,"Historicals";#N/A,#N/A,TRUE,"Charts";#N/A,#N/A,TRUE,"Forecasts"}</definedName>
    <definedName name="wrn.allpages._2" localSheetId="6" hidden="1">{#N/A,#N/A,TRUE,"Historicals";#N/A,#N/A,TRUE,"Charts";#N/A,#N/A,TRUE,"Forecasts"}</definedName>
    <definedName name="wrn.allpages._2" hidden="1">{#N/A,#N/A,TRUE,"Historicals";#N/A,#N/A,TRUE,"Charts";#N/A,#N/A,TRUE,"Forecasts"}</definedName>
    <definedName name="wrn.allpages._3" localSheetId="4" hidden="1">{#N/A,#N/A,TRUE,"Historicals";#N/A,#N/A,TRUE,"Charts";#N/A,#N/A,TRUE,"Forecasts"}</definedName>
    <definedName name="wrn.allpages._3" localSheetId="6" hidden="1">{#N/A,#N/A,TRUE,"Historicals";#N/A,#N/A,TRUE,"Charts";#N/A,#N/A,TRUE,"Forecasts"}</definedName>
    <definedName name="wrn.allpages._3" hidden="1">{#N/A,#N/A,TRUE,"Historicals";#N/A,#N/A,TRUE,"Charts";#N/A,#N/A,TRUE,"Forecasts"}</definedName>
    <definedName name="wrn.Annual._.Operating._.Earnings." localSheetId="4" hidden="1">{"Annual 1996",#N/A,FALSE,"Ann-Op (Mng)";"Annual 1996",#N/A,FALSE,"Ann-Op (Rep)";"Operating Vs. Reported Earnings",#N/A,FALSE,"Rpt-Op Inc"}</definedName>
    <definedName name="wrn.Annual._.Operating._.Earnings." localSheetId="6" hidden="1">{"Annual 1996",#N/A,FALSE,"Ann-Op (Mng)";"Annual 1996",#N/A,FALSE,"Ann-Op (Rep)";"Operating Vs. Reported Earnings",#N/A,FALSE,"Rpt-Op Inc"}</definedName>
    <definedName name="wrn.Annual._.Operating._.Earnings." hidden="1">{"Annual 1996",#N/A,FALSE,"Ann-Op (Mng)";"Annual 1996",#N/A,FALSE,"Ann-Op (Rep)";"Operating Vs. Reported Earnings",#N/A,FALSE,"Rpt-Op Inc"}</definedName>
    <definedName name="wrn.Annual._.Operating._.Earnings._2" localSheetId="4" hidden="1">{"Annual 1996",#N/A,FALSE,"Ann-Op (Mng)";"Annual 1996",#N/A,FALSE,"Ann-Op (Rep)";"Operating Vs. Reported Earnings",#N/A,FALSE,"Rpt-Op Inc"}</definedName>
    <definedName name="wrn.Annual._.Operating._.Earnings._2" localSheetId="6" hidden="1">{"Annual 1996",#N/A,FALSE,"Ann-Op (Mng)";"Annual 1996",#N/A,FALSE,"Ann-Op (Rep)";"Operating Vs. Reported Earnings",#N/A,FALSE,"Rpt-Op Inc"}</definedName>
    <definedName name="wrn.Annual._.Operating._.Earnings._2" hidden="1">{"Annual 1996",#N/A,FALSE,"Ann-Op (Mng)";"Annual 1996",#N/A,FALSE,"Ann-Op (Rep)";"Operating Vs. Reported Earnings",#N/A,FALSE,"Rpt-Op Inc"}</definedName>
    <definedName name="wrn.Annual._.Operating._.Earnings._3" localSheetId="4" hidden="1">{"Annual 1996",#N/A,FALSE,"Ann-Op (Mng)";"Annual 1996",#N/A,FALSE,"Ann-Op (Rep)";"Operating Vs. Reported Earnings",#N/A,FALSE,"Rpt-Op Inc"}</definedName>
    <definedName name="wrn.Annual._.Operating._.Earnings._3" localSheetId="6" hidden="1">{"Annual 1996",#N/A,FALSE,"Ann-Op (Mng)";"Annual 1996",#N/A,FALSE,"Ann-Op (Rep)";"Operating Vs. Reported Earnings",#N/A,FALSE,"Rpt-Op Inc"}</definedName>
    <definedName name="wrn.Annual._.Operating._.Earnings._3" hidden="1">{"Annual 1996",#N/A,FALSE,"Ann-Op (Mng)";"Annual 1996",#N/A,FALSE,"Ann-Op (Rep)";"Operating Vs. Reported Earnings",#N/A,FALSE,"Rpt-Op Inc"}</definedName>
    <definedName name="wrn.Annual._.Operating._.Earnings1." localSheetId="4" hidden="1">{"Annual 1996",#N/A,FALSE,"Ann-Op (Mng)";"Annual 1996",#N/A,FALSE,"Ann-Op (Rep)";"Operating Vs. Reported Earnings",#N/A,FALSE,"Rpt-Op Inc"}</definedName>
    <definedName name="wrn.Annual._.Operating._.Earnings1." localSheetId="6" hidden="1">{"Annual 1996",#N/A,FALSE,"Ann-Op (Mng)";"Annual 1996",#N/A,FALSE,"Ann-Op (Rep)";"Operating Vs. Reported Earnings",#N/A,FALSE,"Rpt-Op Inc"}</definedName>
    <definedName name="wrn.Annual._.Operating._.Earnings1." hidden="1">{"Annual 1996",#N/A,FALSE,"Ann-Op (Mng)";"Annual 1996",#N/A,FALSE,"Ann-Op (Rep)";"Operating Vs. Reported Earnings",#N/A,FALSE,"Rpt-Op Inc"}</definedName>
    <definedName name="wrn.Annual._.Operating._.Earnings1._2" localSheetId="4" hidden="1">{"Annual 1996",#N/A,FALSE,"Ann-Op (Mng)";"Annual 1996",#N/A,FALSE,"Ann-Op (Rep)";"Operating Vs. Reported Earnings",#N/A,FALSE,"Rpt-Op Inc"}</definedName>
    <definedName name="wrn.Annual._.Operating._.Earnings1._2" localSheetId="6" hidden="1">{"Annual 1996",#N/A,FALSE,"Ann-Op (Mng)";"Annual 1996",#N/A,FALSE,"Ann-Op (Rep)";"Operating Vs. Reported Earnings",#N/A,FALSE,"Rpt-Op Inc"}</definedName>
    <definedName name="wrn.Annual._.Operating._.Earnings1._2" hidden="1">{"Annual 1996",#N/A,FALSE,"Ann-Op (Mng)";"Annual 1996",#N/A,FALSE,"Ann-Op (Rep)";"Operating Vs. Reported Earnings",#N/A,FALSE,"Rpt-Op Inc"}</definedName>
    <definedName name="wrn.Annual._.Operating._.Earnings1._3" localSheetId="4" hidden="1">{"Annual 1996",#N/A,FALSE,"Ann-Op (Mng)";"Annual 1996",#N/A,FALSE,"Ann-Op (Rep)";"Operating Vs. Reported Earnings",#N/A,FALSE,"Rpt-Op Inc"}</definedName>
    <definedName name="wrn.Annual._.Operating._.Earnings1._3" localSheetId="6" hidden="1">{"Annual 1996",#N/A,FALSE,"Ann-Op (Mng)";"Annual 1996",#N/A,FALSE,"Ann-Op (Rep)";"Operating Vs. Reported Earnings",#N/A,FALSE,"Rpt-Op Inc"}</definedName>
    <definedName name="wrn.Annual._.Operating._.Earnings1._3" hidden="1">{"Annual 1996",#N/A,FALSE,"Ann-Op (Mng)";"Annual 1996",#N/A,FALSE,"Ann-Op (Rep)";"Operating Vs. Reported Earnings",#N/A,FALSE,"Rpt-Op Inc"}</definedName>
    <definedName name="wrn.AQUIROR._.DCF." localSheetId="4" hidden="1">{"AQUIRORDCF",#N/A,FALSE,"Merger consequences";"Acquirorassns",#N/A,FALSE,"Merger consequences"}</definedName>
    <definedName name="wrn.AQUIROR._.DCF." localSheetId="6" hidden="1">{"AQUIRORDCF",#N/A,FALSE,"Merger consequences";"Acquirorassns",#N/A,FALSE,"Merger consequences"}</definedName>
    <definedName name="wrn.AQUIROR._.DCF." hidden="1">{"AQUIRORDCF",#N/A,FALSE,"Merger consequences";"Acquirorassns",#N/A,FALSE,"Merger consequences"}</definedName>
    <definedName name="wrn.AQUIROR._.DCF._2" localSheetId="4" hidden="1">{"AQUIRORDCF",#N/A,FALSE,"Merger consequences";"Acquirorassns",#N/A,FALSE,"Merger consequences"}</definedName>
    <definedName name="wrn.AQUIROR._.DCF._2" localSheetId="6" hidden="1">{"AQUIRORDCF",#N/A,FALSE,"Merger consequences";"Acquirorassns",#N/A,FALSE,"Merger consequences"}</definedName>
    <definedName name="wrn.AQUIROR._.DCF._2" hidden="1">{"AQUIRORDCF",#N/A,FALSE,"Merger consequences";"Acquirorassns",#N/A,FALSE,"Merger consequences"}</definedName>
    <definedName name="wrn.AQUIROR._.DCF._3" localSheetId="4" hidden="1">{"AQUIRORDCF",#N/A,FALSE,"Merger consequences";"Acquirorassns",#N/A,FALSE,"Merger consequences"}</definedName>
    <definedName name="wrn.AQUIROR._.DCF._3" localSheetId="6" hidden="1">{"AQUIRORDCF",#N/A,FALSE,"Merger consequences";"Acquirorassns",#N/A,FALSE,"Merger consequences"}</definedName>
    <definedName name="wrn.AQUIROR._.DCF._3" hidden="1">{"AQUIRORDCF",#N/A,FALSE,"Merger consequences";"Acquirorassns",#N/A,FALSE,"Merger consequences"}</definedName>
    <definedName name="wrn.BM." localSheetId="4" hidden="1">{#N/A,#N/A,FALSE,"CCTV"}</definedName>
    <definedName name="wrn.BM." localSheetId="6" hidden="1">{#N/A,#N/A,FALSE,"CCTV"}</definedName>
    <definedName name="wrn.BM." hidden="1">{#N/A,#N/A,FALSE,"CCTV"}</definedName>
    <definedName name="wrn.CBA."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ellular." localSheetId="4" hidden="1">{#N/A,#N/A,TRUE,"TITLE";#N/A,#N/A,TRUE,"MKT Cellular Subs";#N/A,#N/A,TRUE,"Cellular sub ";#N/A,#N/A,TRUE,"P&amp;L - Cell";#N/A,#N/A,TRUE,"Rev &amp; Usage assump - Cell";#N/A,#N/A,TRUE,"Cost -  Cellular";"cellular",#N/A,TRUE,"Capex "}</definedName>
    <definedName name="wrn.cellular." localSheetId="6" hidden="1">{#N/A,#N/A,TRUE,"TITLE";#N/A,#N/A,TRUE,"MKT Cellular Subs";#N/A,#N/A,TRUE,"Cellular sub ";#N/A,#N/A,TRUE,"P&amp;L - Cell";#N/A,#N/A,TRUE,"Rev &amp; Usage assump - Cell";#N/A,#N/A,TRUE,"Cost -  Cellular";"cellular",#N/A,TRUE,"Capex "}</definedName>
    <definedName name="wrn.cellular." hidden="1">{#N/A,#N/A,TRUE,"TITLE";#N/A,#N/A,TRUE,"MKT Cellular Subs";#N/A,#N/A,TRUE,"Cellular sub ";#N/A,#N/A,TRUE,"P&amp;L - Cell";#N/A,#N/A,TRUE,"Rev &amp; Usage assump - Cell";#N/A,#N/A,TRUE,"Cost -  Cellular";"cellular",#N/A,TRUE,"Capex "}</definedName>
    <definedName name="wrn.cellular._2" localSheetId="4" hidden="1">{#N/A,#N/A,TRUE,"TITLE";#N/A,#N/A,TRUE,"MKT Cellular Subs";#N/A,#N/A,TRUE,"Cellular sub ";#N/A,#N/A,TRUE,"P&amp;L - Cell";#N/A,#N/A,TRUE,"Rev &amp; Usage assump - Cell";#N/A,#N/A,TRUE,"Cost -  Cellular";"cellular",#N/A,TRUE,"Capex "}</definedName>
    <definedName name="wrn.cellular._2" localSheetId="6" hidden="1">{#N/A,#N/A,TRUE,"TITLE";#N/A,#N/A,TRUE,"MKT Cellular Subs";#N/A,#N/A,TRUE,"Cellular sub ";#N/A,#N/A,TRUE,"P&amp;L - Cell";#N/A,#N/A,TRUE,"Rev &amp; Usage assump - Cell";#N/A,#N/A,TRUE,"Cost -  Cellular";"cellular",#N/A,TRUE,"Capex "}</definedName>
    <definedName name="wrn.cellular._2" hidden="1">{#N/A,#N/A,TRUE,"TITLE";#N/A,#N/A,TRUE,"MKT Cellular Subs";#N/A,#N/A,TRUE,"Cellular sub ";#N/A,#N/A,TRUE,"P&amp;L - Cell";#N/A,#N/A,TRUE,"Rev &amp; Usage assump - Cell";#N/A,#N/A,TRUE,"Cost -  Cellular";"cellular",#N/A,TRUE,"Capex "}</definedName>
    <definedName name="wrn.cellular._3" localSheetId="4" hidden="1">{#N/A,#N/A,TRUE,"TITLE";#N/A,#N/A,TRUE,"MKT Cellular Subs";#N/A,#N/A,TRUE,"Cellular sub ";#N/A,#N/A,TRUE,"P&amp;L - Cell";#N/A,#N/A,TRUE,"Rev &amp; Usage assump - Cell";#N/A,#N/A,TRUE,"Cost -  Cellular";"cellular",#N/A,TRUE,"Capex "}</definedName>
    <definedName name="wrn.cellular._3" localSheetId="6" hidden="1">{#N/A,#N/A,TRUE,"TITLE";#N/A,#N/A,TRUE,"MKT Cellular Subs";#N/A,#N/A,TRUE,"Cellular sub ";#N/A,#N/A,TRUE,"P&amp;L - Cell";#N/A,#N/A,TRUE,"Rev &amp; Usage assump - Cell";#N/A,#N/A,TRUE,"Cost -  Cellular";"cellular",#N/A,TRUE,"Capex "}</definedName>
    <definedName name="wrn.cellular._3" hidden="1">{#N/A,#N/A,TRUE,"TITLE";#N/A,#N/A,TRUE,"MKT Cellular Subs";#N/A,#N/A,TRUE,"Cellular sub ";#N/A,#N/A,TRUE,"P&amp;L - Cell";#N/A,#N/A,TRUE,"Rev &amp; Usage assump - Cell";#N/A,#N/A,TRUE,"Cost -  Cellular";"cellular",#N/A,TRUE,"Capex "}</definedName>
    <definedName name="wrn.compco." localSheetId="4" hidden="1">{"mult96",#N/A,FALSE,"PETCOMP";"est96",#N/A,FALSE,"PETCOMP";"mult95",#N/A,FALSE,"PETCOMP";"est95",#N/A,FALSE,"PETCOMP";"multltm",#N/A,FALSE,"PETCOMP";"resultltm",#N/A,FALSE,"PETCOMP"}</definedName>
    <definedName name="wrn.compco." localSheetId="6" hidden="1">{"mult96",#N/A,FALSE,"PETCOMP";"est96",#N/A,FALSE,"PETCOMP";"mult95",#N/A,FALSE,"PETCOMP";"est95",#N/A,FALSE,"PETCOMP";"multltm",#N/A,FALSE,"PETCOMP";"resultltm",#N/A,FALSE,"PETCOMP"}</definedName>
    <definedName name="wrn.compco." hidden="1">{"mult96",#N/A,FALSE,"PETCOMP";"est96",#N/A,FALSE,"PETCOMP";"mult95",#N/A,FALSE,"PETCOMP";"est95",#N/A,FALSE,"PETCOMP";"multltm",#N/A,FALSE,"PETCOMP";"resultltm",#N/A,FALSE,"PETCOMP"}</definedName>
    <definedName name="wrn.compco._2" localSheetId="4" hidden="1">{"mult96",#N/A,FALSE,"PETCOMP";"est96",#N/A,FALSE,"PETCOMP";"mult95",#N/A,FALSE,"PETCOMP";"est95",#N/A,FALSE,"PETCOMP";"multltm",#N/A,FALSE,"PETCOMP";"resultltm",#N/A,FALSE,"PETCOMP"}</definedName>
    <definedName name="wrn.compco._2" localSheetId="6" hidden="1">{"mult96",#N/A,FALSE,"PETCOMP";"est96",#N/A,FALSE,"PETCOMP";"mult95",#N/A,FALSE,"PETCOMP";"est95",#N/A,FALSE,"PETCOMP";"multltm",#N/A,FALSE,"PETCOMP";"resultltm",#N/A,FALSE,"PETCOMP"}</definedName>
    <definedName name="wrn.compco._2" hidden="1">{"mult96",#N/A,FALSE,"PETCOMP";"est96",#N/A,FALSE,"PETCOMP";"mult95",#N/A,FALSE,"PETCOMP";"est95",#N/A,FALSE,"PETCOMP";"multltm",#N/A,FALSE,"PETCOMP";"resultltm",#N/A,FALSE,"PETCOMP"}</definedName>
    <definedName name="wrn.compco._3" localSheetId="4" hidden="1">{"mult96",#N/A,FALSE,"PETCOMP";"est96",#N/A,FALSE,"PETCOMP";"mult95",#N/A,FALSE,"PETCOMP";"est95",#N/A,FALSE,"PETCOMP";"multltm",#N/A,FALSE,"PETCOMP";"resultltm",#N/A,FALSE,"PETCOMP"}</definedName>
    <definedName name="wrn.compco._3" localSheetId="6" hidden="1">{"mult96",#N/A,FALSE,"PETCOMP";"est96",#N/A,FALSE,"PETCOMP";"mult95",#N/A,FALSE,"PETCOMP";"est95",#N/A,FALSE,"PETCOMP";"multltm",#N/A,FALSE,"PETCOMP";"resultltm",#N/A,FALSE,"PETCOMP"}</definedName>
    <definedName name="wrn.compco._3" hidden="1">{"mult96",#N/A,FALSE,"PETCOMP";"est96",#N/A,FALSE,"PETCOMP";"mult95",#N/A,FALSE,"PETCOMP";"est95",#N/A,FALSE,"PETCOMP";"multltm",#N/A,FALSE,"PETCOMP";"resultltm",#N/A,FALSE,"PETCOMP"}</definedName>
    <definedName name="wrn.Complete."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localSheetId="4"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localSheetId="6"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DCF_Terminal_Value_qchm." localSheetId="4" hidden="1">{"qchm_dcf",#N/A,FALSE,"QCHMDCF2";"qchm_terminal",#N/A,FALSE,"QCHMDCF2"}</definedName>
    <definedName name="wrn.DCF_Terminal_Value_qchm." localSheetId="6" hidden="1">{"qchm_dcf",#N/A,FALSE,"QCHMDCF2";"qchm_terminal",#N/A,FALSE,"QCHMDCF2"}</definedName>
    <definedName name="wrn.DCF_Terminal_Value_qchm." hidden="1">{"qchm_dcf",#N/A,FALSE,"QCHMDCF2";"qchm_terminal",#N/A,FALSE,"QCHMDCF2"}</definedName>
    <definedName name="wrn.DCF_Terminal_Value_qchm._2" localSheetId="4" hidden="1">{"qchm_dcf",#N/A,FALSE,"QCHMDCF2";"qchm_terminal",#N/A,FALSE,"QCHMDCF2"}</definedName>
    <definedName name="wrn.DCF_Terminal_Value_qchm._2" localSheetId="6" hidden="1">{"qchm_dcf",#N/A,FALSE,"QCHMDCF2";"qchm_terminal",#N/A,FALSE,"QCHMDCF2"}</definedName>
    <definedName name="wrn.DCF_Terminal_Value_qchm._2" hidden="1">{"qchm_dcf",#N/A,FALSE,"QCHMDCF2";"qchm_terminal",#N/A,FALSE,"QCHMDCF2"}</definedName>
    <definedName name="wrn.DCF_Terminal_Value_qchm._3" localSheetId="4" hidden="1">{"qchm_dcf",#N/A,FALSE,"QCHMDCF2";"qchm_terminal",#N/A,FALSE,"QCHMDCF2"}</definedName>
    <definedName name="wrn.DCF_Terminal_Value_qchm._3" localSheetId="6" hidden="1">{"qchm_dcf",#N/A,FALSE,"QCHMDCF2";"qchm_terminal",#N/A,FALSE,"QCHMDCF2"}</definedName>
    <definedName name="wrn.DCF_Terminal_Value_qchm._3" hidden="1">{"qchm_dcf",#N/A,FALSE,"QCHMDCF2";"qchm_terminal",#N/A,FALSE,"QCHMDCF2"}</definedName>
    <definedName name="wrn.Economic._.Value._.Added._.Analysis." localSheetId="4" hidden="1">{"EVA",#N/A,FALSE,"EVA";"WACC",#N/A,FALSE,"WACC"}</definedName>
    <definedName name="wrn.Economic._.Value._.Added._.Analysis." localSheetId="6" hidden="1">{"EVA",#N/A,FALSE,"EVA";"WACC",#N/A,FALSE,"WACC"}</definedName>
    <definedName name="wrn.Economic._.Value._.Added._.Analysis." hidden="1">{"EVA",#N/A,FALSE,"EVA";"WACC",#N/A,FALSE,"WACC"}</definedName>
    <definedName name="wrn.Economic._.Value._.Added._.Analysis._2" localSheetId="4" hidden="1">{"EVA",#N/A,FALSE,"EVA";"WACC",#N/A,FALSE,"WACC"}</definedName>
    <definedName name="wrn.Economic._.Value._.Added._.Analysis._2" localSheetId="6" hidden="1">{"EVA",#N/A,FALSE,"EVA";"WACC",#N/A,FALSE,"WACC"}</definedName>
    <definedName name="wrn.Economic._.Value._.Added._.Analysis._2" hidden="1">{"EVA",#N/A,FALSE,"EVA";"WACC",#N/A,FALSE,"WACC"}</definedName>
    <definedName name="wrn.Economic._.Value._.Added._.Analysis._3" localSheetId="4" hidden="1">{"EVA",#N/A,FALSE,"EVA";"WACC",#N/A,FALSE,"WACC"}</definedName>
    <definedName name="wrn.Economic._.Value._.Added._.Analysis._3" localSheetId="6" hidden="1">{"EVA",#N/A,FALSE,"EVA";"WACC",#N/A,FALSE,"WACC"}</definedName>
    <definedName name="wrn.Economic._.Value._.Added._.Analysis._3" hidden="1">{"EVA",#N/A,FALSE,"EVA";"WACC",#N/A,FALSE,"WACC"}</definedName>
    <definedName name="wrn.EO." localSheetId="4" hidden="1">{#N/A,#N/A,TRUE,"TITLE";#N/A,#N/A,TRUE,"Macro assumptions";#N/A,#N/A,TRUE,"Line roll out schedule";#N/A,#N/A,TRUE,"P&amp;L 109";#N/A,#N/A,TRUE,"EO109 BIZ ";#N/A,#N/A,TRUE,"Rev - 109";#N/A,#N/A,TRUE,"Costs-109";#N/A,#N/A,TRUE,"Capex - 109";#N/A,#N/A,TRUE,"Revenue shares"}</definedName>
    <definedName name="wrn.EO." localSheetId="6" hidden="1">{#N/A,#N/A,TRUE,"TITLE";#N/A,#N/A,TRUE,"Macro assumptions";#N/A,#N/A,TRUE,"Line roll out schedule";#N/A,#N/A,TRUE,"P&amp;L 109";#N/A,#N/A,TRUE,"EO109 BIZ ";#N/A,#N/A,TRUE,"Rev - 109";#N/A,#N/A,TRUE,"Costs-109";#N/A,#N/A,TRUE,"Capex - 109";#N/A,#N/A,TRUE,"Revenue shares"}</definedName>
    <definedName name="wrn.EO." hidden="1">{#N/A,#N/A,TRUE,"TITLE";#N/A,#N/A,TRUE,"Macro assumptions";#N/A,#N/A,TRUE,"Line roll out schedule";#N/A,#N/A,TRUE,"P&amp;L 109";#N/A,#N/A,TRUE,"EO109 BIZ ";#N/A,#N/A,TRUE,"Rev - 109";#N/A,#N/A,TRUE,"Costs-109";#N/A,#N/A,TRUE,"Capex - 109";#N/A,#N/A,TRUE,"Revenue shares"}</definedName>
    <definedName name="wrn.EO._2" localSheetId="4" hidden="1">{#N/A,#N/A,TRUE,"TITLE";#N/A,#N/A,TRUE,"Macro assumptions";#N/A,#N/A,TRUE,"Line roll out schedule";#N/A,#N/A,TRUE,"P&amp;L 109";#N/A,#N/A,TRUE,"EO109 BIZ ";#N/A,#N/A,TRUE,"Rev - 109";#N/A,#N/A,TRUE,"Costs-109";#N/A,#N/A,TRUE,"Capex - 109";#N/A,#N/A,TRUE,"Revenue shares"}</definedName>
    <definedName name="wrn.EO._2" localSheetId="6" hidden="1">{#N/A,#N/A,TRUE,"TITLE";#N/A,#N/A,TRUE,"Macro assumptions";#N/A,#N/A,TRUE,"Line roll out schedule";#N/A,#N/A,TRUE,"P&amp;L 109";#N/A,#N/A,TRUE,"EO109 BIZ ";#N/A,#N/A,TRUE,"Rev - 109";#N/A,#N/A,TRUE,"Costs-109";#N/A,#N/A,TRUE,"Capex - 109";#N/A,#N/A,TRUE,"Revenue shares"}</definedName>
    <definedName name="wrn.EO._2" hidden="1">{#N/A,#N/A,TRUE,"TITLE";#N/A,#N/A,TRUE,"Macro assumptions";#N/A,#N/A,TRUE,"Line roll out schedule";#N/A,#N/A,TRUE,"P&amp;L 109";#N/A,#N/A,TRUE,"EO109 BIZ ";#N/A,#N/A,TRUE,"Rev - 109";#N/A,#N/A,TRUE,"Costs-109";#N/A,#N/A,TRUE,"Capex - 109";#N/A,#N/A,TRUE,"Revenue shares"}</definedName>
    <definedName name="wrn.EO._3" localSheetId="4" hidden="1">{#N/A,#N/A,TRUE,"TITLE";#N/A,#N/A,TRUE,"Macro assumptions";#N/A,#N/A,TRUE,"Line roll out schedule";#N/A,#N/A,TRUE,"P&amp;L 109";#N/A,#N/A,TRUE,"EO109 BIZ ";#N/A,#N/A,TRUE,"Rev - 109";#N/A,#N/A,TRUE,"Costs-109";#N/A,#N/A,TRUE,"Capex - 109";#N/A,#N/A,TRUE,"Revenue shares"}</definedName>
    <definedName name="wrn.EO._3" localSheetId="6" hidden="1">{#N/A,#N/A,TRUE,"TITLE";#N/A,#N/A,TRUE,"Macro assumptions";#N/A,#N/A,TRUE,"Line roll out schedule";#N/A,#N/A,TRUE,"P&amp;L 109";#N/A,#N/A,TRUE,"EO109 BIZ ";#N/A,#N/A,TRUE,"Rev - 109";#N/A,#N/A,TRUE,"Costs-109";#N/A,#N/A,TRUE,"Capex - 109";#N/A,#N/A,TRUE,"Revenue shares"}</definedName>
    <definedName name="wrn.EO._3" hidden="1">{#N/A,#N/A,TRUE,"TITLE";#N/A,#N/A,TRUE,"Macro assumptions";#N/A,#N/A,TRUE,"Line roll out schedule";#N/A,#N/A,TRUE,"P&amp;L 109";#N/A,#N/A,TRUE,"EO109 BIZ ";#N/A,#N/A,TRUE,"Rev - 109";#N/A,#N/A,TRUE,"Costs-109";#N/A,#N/A,TRUE,"Capex - 109";#N/A,#N/A,TRUE,"Revenue shares"}</definedName>
    <definedName name="wrn.Forecast._.Q1." localSheetId="4" hidden="1">{"cover a","1q",FALSE,"Cover";"Op Earn Mgd Q1",#N/A,FALSE,"Op-Earn (Mng)";"Op Earn Rpt Q1",#N/A,FALSE,"Op-Earn (Rpt)";"Loans",#N/A,FALSE,"Loans";"Credit Costs",#N/A,FALSE,"CCosts";"Net Interest Margin",#N/A,FALSE,"Margin";"Nonint Income",#N/A,FALSE,"NonII";"Nonint Exp",#N/A,FALSE,"NonIE";"Valuation",#N/A,FALSE,"Valuation"}</definedName>
    <definedName name="wrn.Forecast._.Q1." localSheetId="6" hidden="1">{"cover a","1q",FALSE,"Cover";"Op Earn Mgd Q1",#N/A,FALSE,"Op-Earn (Mng)";"Op Earn Rpt Q1",#N/A,FALSE,"Op-Earn (Rpt)";"Loans",#N/A,FALSE,"Loans";"Credit Costs",#N/A,FALSE,"CCosts";"Net Interest Margin",#N/A,FALSE,"Margin";"Nonint Income",#N/A,FALSE,"NonII";"Nonint Exp",#N/A,FALSE,"NonIE";"Valuation",#N/A,FALSE,"Valuation"}</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1._2" localSheetId="4" hidden="1">{"cover a","1q",FALSE,"Cover";"Op Earn Mgd Q1",#N/A,FALSE,"Op-Earn (Mng)";"Op Earn Rpt Q1",#N/A,FALSE,"Op-Earn (Rpt)";"Loans",#N/A,FALSE,"Loans";"Credit Costs",#N/A,FALSE,"CCosts";"Net Interest Margin",#N/A,FALSE,"Margin";"Nonint Income",#N/A,FALSE,"NonII";"Nonint Exp",#N/A,FALSE,"NonIE";"Valuation",#N/A,FALSE,"Valuation"}</definedName>
    <definedName name="wrn.Forecast._.Q1._2" localSheetId="6" hidden="1">{"cover a","1q",FALSE,"Cover";"Op Earn Mgd Q1",#N/A,FALSE,"Op-Earn (Mng)";"Op Earn Rpt Q1",#N/A,FALSE,"Op-Earn (Rpt)";"Loans",#N/A,FALSE,"Loans";"Credit Costs",#N/A,FALSE,"CCosts";"Net Interest Margin",#N/A,FALSE,"Margin";"Nonint Income",#N/A,FALSE,"NonII";"Nonint Exp",#N/A,FALSE,"NonIE";"Valuation",#N/A,FALSE,"Valuation"}</definedName>
    <definedName name="wrn.Forecast._.Q1._2" hidden="1">{"cover a","1q",FALSE,"Cover";"Op Earn Mgd Q1",#N/A,FALSE,"Op-Earn (Mng)";"Op Earn Rpt Q1",#N/A,FALSE,"Op-Earn (Rpt)";"Loans",#N/A,FALSE,"Loans";"Credit Costs",#N/A,FALSE,"CCosts";"Net Interest Margin",#N/A,FALSE,"Margin";"Nonint Income",#N/A,FALSE,"NonII";"Nonint Exp",#N/A,FALSE,"NonIE";"Valuation",#N/A,FALSE,"Valuation"}</definedName>
    <definedName name="wrn.Forecast._.Q1._3" localSheetId="4" hidden="1">{"cover a","1q",FALSE,"Cover";"Op Earn Mgd Q1",#N/A,FALSE,"Op-Earn (Mng)";"Op Earn Rpt Q1",#N/A,FALSE,"Op-Earn (Rpt)";"Loans",#N/A,FALSE,"Loans";"Credit Costs",#N/A,FALSE,"CCosts";"Net Interest Margin",#N/A,FALSE,"Margin";"Nonint Income",#N/A,FALSE,"NonII";"Nonint Exp",#N/A,FALSE,"NonIE";"Valuation",#N/A,FALSE,"Valuation"}</definedName>
    <definedName name="wrn.Forecast._.Q1._3" localSheetId="6" hidden="1">{"cover a","1q",FALSE,"Cover";"Op Earn Mgd Q1",#N/A,FALSE,"Op-Earn (Mng)";"Op Earn Rpt Q1",#N/A,FALSE,"Op-Earn (Rpt)";"Loans",#N/A,FALSE,"Loans";"Credit Costs",#N/A,FALSE,"CCosts";"Net Interest Margin",#N/A,FALSE,"Margin";"Nonint Income",#N/A,FALSE,"NonII";"Nonint Exp",#N/A,FALSE,"NonIE";"Valuation",#N/A,FALSE,"Valuation"}</definedName>
    <definedName name="wrn.Forecast._.Q1._3" hidden="1">{"cover a","1q",FALSE,"Cover";"Op Earn Mgd Q1",#N/A,FALSE,"Op-Earn (Mng)";"Op Earn Rpt Q1",#N/A,FALSE,"Op-Earn (Rpt)";"Loans",#N/A,FALSE,"Loans";"Credit Costs",#N/A,FALSE,"CCosts";"Net Interest Margin",#N/A,FALSE,"Margin";"Nonint Income",#N/A,FALSE,"NonII";"Nonint Exp",#N/A,FALSE,"NonIE";"Valuation",#N/A,FALSE,"Valuation"}</definedName>
    <definedName name="wrn.Forecast._.Q2."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 localSheetId="6" hidden="1">{"cover a","2q",FALSE,"Cover";"Op Earn Mgd Q2",#N/A,FALSE,"Op-Earn (Mng)";"Op Earn Rpt Q2",#N/A,FALSE,"Op-Earn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_2"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_2" localSheetId="6" hidden="1">{"cover a","2q",FALSE,"Cover";"Op Earn Mgd Q2",#N/A,FALSE,"Op-Earn (Mng)";"Op Earn Rpt Q2",#N/A,FALSE,"Op-Earn (Rpt)";"Loans",#N/A,FALSE,"Loans";"Credit Costs",#N/A,FALSE,"CCosts";"Net Interest Margin",#N/A,FALSE,"Margin";"Nonint Income",#N/A,FALSE,"NonII";"Nonint Exp",#N/A,FALSE,"NonIE";"Valuation",#N/A,FALSE,"Valuation"}</definedName>
    <definedName name="wrn.Forecast._.Q2._2" hidden="1">{"cover a","2q",FALSE,"Cover";"Op Earn Mgd Q2",#N/A,FALSE,"Op-Earn (Mng)";"Op Earn Rpt Q2",#N/A,FALSE,"Op-Earn (Rpt)";"Loans",#N/A,FALSE,"Loans";"Credit Costs",#N/A,FALSE,"CCosts";"Net Interest Margin",#N/A,FALSE,"Margin";"Nonint Income",#N/A,FALSE,"NonII";"Nonint Exp",#N/A,FALSE,"NonIE";"Valuation",#N/A,FALSE,"Valuation"}</definedName>
    <definedName name="wrn.Forecast._.Q2._3"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_3" localSheetId="6" hidden="1">{"cover a","2q",FALSE,"Cover";"Op Earn Mgd Q2",#N/A,FALSE,"Op-Earn (Mng)";"Op Earn Rpt Q2",#N/A,FALSE,"Op-Earn (Rpt)";"Loans",#N/A,FALSE,"Loans";"Credit Costs",#N/A,FALSE,"CCosts";"Net Interest Margin",#N/A,FALSE,"Margin";"Nonint Income",#N/A,FALSE,"NonII";"Nonint Exp",#N/A,FALSE,"NonIE";"Valuation",#N/A,FALSE,"Valuation"}</definedName>
    <definedName name="wrn.Forecast._.Q2._3"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a." localSheetId="6" hidden="1">{"cover a","2q",FALSE,"Cover";"Op Earn Mgd Q2",#N/A,FALSE,"Op-Earn (Mng)";"Op Earn Rpt Q2",#N/A,FALSE,"Op-Earn (Rpt)";"Loans",#N/A,FALSE,"Loans";"Credit Costs",#N/A,FALSE,"CCosts";"Net Interest Margin",#N/A,FALSE,"Margin";"Nonint Income",#N/A,FALSE,"NonII";"Nonint Exp",#N/A,FALSE,"NonIE";"Valuation",#N/A,FALSE,"Valuation"}</definedName>
    <definedName name="wrn.Forecast._.Q2a." hidden="1">{"cover a","2q",FALSE,"Cover";"Op Earn Mgd Q2",#N/A,FALSE,"Op-Earn (Mng)";"Op Earn Rpt Q2",#N/A,FALSE,"Op-Earn (Rpt)";"Loans",#N/A,FALSE,"Loans";"Credit Costs",#N/A,FALSE,"CCosts";"Net Interest Margin",#N/A,FALSE,"Margin";"Nonint Income",#N/A,FALSE,"NonII";"Nonint Exp",#N/A,FALSE,"NonIE";"Valuation",#N/A,FALSE,"Valuation"}</definedName>
    <definedName name="wrn.Forecast._.Q2a._2"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a._2" localSheetId="6" hidden="1">{"cover a","2q",FALSE,"Cover";"Op Earn Mgd Q2",#N/A,FALSE,"Op-Earn (Mng)";"Op Earn Rpt Q2",#N/A,FALSE,"Op-Earn (Rpt)";"Loans",#N/A,FALSE,"Loans";"Credit Costs",#N/A,FALSE,"CCosts";"Net Interest Margin",#N/A,FALSE,"Margin";"Nonint Income",#N/A,FALSE,"NonII";"Nonint Exp",#N/A,FALSE,"NonIE";"Valuation",#N/A,FALSE,"Valuation"}</definedName>
    <definedName name="wrn.Forecast._.Q2a._2" hidden="1">{"cover a","2q",FALSE,"Cover";"Op Earn Mgd Q2",#N/A,FALSE,"Op-Earn (Mng)";"Op Earn Rpt Q2",#N/A,FALSE,"Op-Earn (Rpt)";"Loans",#N/A,FALSE,"Loans";"Credit Costs",#N/A,FALSE,"CCosts";"Net Interest Margin",#N/A,FALSE,"Margin";"Nonint Income",#N/A,FALSE,"NonII";"Nonint Exp",#N/A,FALSE,"NonIE";"Valuation",#N/A,FALSE,"Valuation"}</definedName>
    <definedName name="wrn.Forecast._.Q2a._3" localSheetId="4" hidden="1">{"cover a","2q",FALSE,"Cover";"Op Earn Mgd Q2",#N/A,FALSE,"Op-Earn (Mng)";"Op Earn Rpt Q2",#N/A,FALSE,"Op-Earn (Rpt)";"Loans",#N/A,FALSE,"Loans";"Credit Costs",#N/A,FALSE,"CCosts";"Net Interest Margin",#N/A,FALSE,"Margin";"Nonint Income",#N/A,FALSE,"NonII";"Nonint Exp",#N/A,FALSE,"NonIE";"Valuation",#N/A,FALSE,"Valuation"}</definedName>
    <definedName name="wrn.Forecast._.Q2a._3" localSheetId="6" hidden="1">{"cover a","2q",FALSE,"Cover";"Op Earn Mgd Q2",#N/A,FALSE,"Op-Earn (Mng)";"Op Earn Rpt Q2",#N/A,FALSE,"Op-Earn (Rpt)";"Loans",#N/A,FALSE,"Loans";"Credit Costs",#N/A,FALSE,"CCosts";"Net Interest Margin",#N/A,FALSE,"Margin";"Nonint Income",#N/A,FALSE,"NonII";"Nonint Exp",#N/A,FALSE,"NonIE";"Valuation",#N/A,FALSE,"Valuation"}</definedName>
    <definedName name="wrn.Forecast._.Q2a._3" hidden="1">{"cover a","2q",FALSE,"Cover";"Op Earn Mgd Q2",#N/A,FALSE,"Op-Earn (Mng)";"Op Earn Rpt Q2",#N/A,FALSE,"Op-Earn (Rpt)";"Loans",#N/A,FALSE,"Loans";"Credit Costs",#N/A,FALSE,"CCosts";"Net Interest Margin",#N/A,FALSE,"Margin";"Nonint Income",#N/A,FALSE,"NonII";"Nonint Exp",#N/A,FALSE,"NonIE";"Valuation",#N/A,FALSE,"Valuation"}</definedName>
    <definedName name="wrn.Forecast._.Q3." localSheetId="4" hidden="1">{"cover a","3q",FALSE,"Cover";"Op Earn Mgd Q3",#N/A,FALSE,"Op-Earn (Mng)";"Op Earn Rpt Q3",#N/A,FALSE,"Op-Earn (Rpt)";"Loans",#N/A,FALSE,"Loans";"Credit Costs",#N/A,FALSE,"CCosts";"Net Interest Margin",#N/A,FALSE,"Margin";"Nonint Income",#N/A,FALSE,"NonII";"Nonint Exp",#N/A,FALSE,"NonIE";"Valuation",#N/A,FALSE,"Valuation"}</definedName>
    <definedName name="wrn.Forecast._.Q3." localSheetId="6" hidden="1">{"cover a","3q",FALSE,"Cover";"Op Earn Mgd Q3",#N/A,FALSE,"Op-Earn (Mng)";"Op Earn Rpt Q3",#N/A,FALSE,"Op-Earn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3._2" localSheetId="4" hidden="1">{"cover a","3q",FALSE,"Cover";"Op Earn Mgd Q3",#N/A,FALSE,"Op-Earn (Mng)";"Op Earn Rpt Q3",#N/A,FALSE,"Op-Earn (Rpt)";"Loans",#N/A,FALSE,"Loans";"Credit Costs",#N/A,FALSE,"CCosts";"Net Interest Margin",#N/A,FALSE,"Margin";"Nonint Income",#N/A,FALSE,"NonII";"Nonint Exp",#N/A,FALSE,"NonIE";"Valuation",#N/A,FALSE,"Valuation"}</definedName>
    <definedName name="wrn.Forecast._.Q3._2" localSheetId="6" hidden="1">{"cover a","3q",FALSE,"Cover";"Op Earn Mgd Q3",#N/A,FALSE,"Op-Earn (Mng)";"Op Earn Rpt Q3",#N/A,FALSE,"Op-Earn (Rpt)";"Loans",#N/A,FALSE,"Loans";"Credit Costs",#N/A,FALSE,"CCosts";"Net Interest Margin",#N/A,FALSE,"Margin";"Nonint Income",#N/A,FALSE,"NonII";"Nonint Exp",#N/A,FALSE,"NonIE";"Valuation",#N/A,FALSE,"Valuation"}</definedName>
    <definedName name="wrn.Forecast._.Q3._2" hidden="1">{"cover a","3q",FALSE,"Cover";"Op Earn Mgd Q3",#N/A,FALSE,"Op-Earn (Mng)";"Op Earn Rpt Q3",#N/A,FALSE,"Op-Earn (Rpt)";"Loans",#N/A,FALSE,"Loans";"Credit Costs",#N/A,FALSE,"CCosts";"Net Interest Margin",#N/A,FALSE,"Margin";"Nonint Income",#N/A,FALSE,"NonII";"Nonint Exp",#N/A,FALSE,"NonIE";"Valuation",#N/A,FALSE,"Valuation"}</definedName>
    <definedName name="wrn.Forecast._.Q3._3" localSheetId="4" hidden="1">{"cover a","3q",FALSE,"Cover";"Op Earn Mgd Q3",#N/A,FALSE,"Op-Earn (Mng)";"Op Earn Rpt Q3",#N/A,FALSE,"Op-Earn (Rpt)";"Loans",#N/A,FALSE,"Loans";"Credit Costs",#N/A,FALSE,"CCosts";"Net Interest Margin",#N/A,FALSE,"Margin";"Nonint Income",#N/A,FALSE,"NonII";"Nonint Exp",#N/A,FALSE,"NonIE";"Valuation",#N/A,FALSE,"Valuation"}</definedName>
    <definedName name="wrn.Forecast._.Q3._3" localSheetId="6" hidden="1">{"cover a","3q",FALSE,"Cover";"Op Earn Mgd Q3",#N/A,FALSE,"Op-Earn (Mng)";"Op Earn Rpt Q3",#N/A,FALSE,"Op-Earn (Rpt)";"Loans",#N/A,FALSE,"Loans";"Credit Costs",#N/A,FALSE,"CCosts";"Net Interest Margin",#N/A,FALSE,"Margin";"Nonint Income",#N/A,FALSE,"NonII";"Nonint Exp",#N/A,FALSE,"NonIE";"Valuation",#N/A,FALSE,"Valuation"}</definedName>
    <definedName name="wrn.Forecast._.Q3._3" hidden="1">{"cover a","3q",FALSE,"Cover";"Op Earn Mgd Q3",#N/A,FALSE,"Op-Earn (Mng)";"Op Earn Rpt Q3",#N/A,FALSE,"Op-Earn (Rpt)";"Loans",#N/A,FALSE,"Loans";"Credit Costs",#N/A,FALSE,"CCosts";"Net Interest Margin",#N/A,FALSE,"Margin";"Nonint Income",#N/A,FALSE,"NonII";"Nonint Exp",#N/A,FALSE,"NonIE";"Valuation",#N/A,FALSE,"Valuation"}</definedName>
    <definedName name="wrn.Forecast._.Q4."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 localSheetId="6" hidden="1">{"cover a","4q",FALSE,"Cover";"Op Earn Mgd Q4",#N/A,FALSE,"Op-Earn (Mng)";"Op Earn Rpt Q4",#N/A,FALSE,"Op-Earn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_2"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_2" localSheetId="6" hidden="1">{"cover a","4q",FALSE,"Cover";"Op Earn Mgd Q4",#N/A,FALSE,"Op-Earn (Mng)";"Op Earn Rpt Q4",#N/A,FALSE,"Op-Earn (Rpt)";"Loans",#N/A,FALSE,"Loans";"Credit Costs",#N/A,FALSE,"CCosts";"Net Interest Margin",#N/A,FALSE,"Margin";"Nonint Income",#N/A,FALSE,"NonII";"Nonint Exp",#N/A,FALSE,"NonIE";"Valuation",#N/A,FALSE,"Valuation"}</definedName>
    <definedName name="wrn.Forecast._.Q4._2" hidden="1">{"cover a","4q",FALSE,"Cover";"Op Earn Mgd Q4",#N/A,FALSE,"Op-Earn (Mng)";"Op Earn Rpt Q4",#N/A,FALSE,"Op-Earn (Rpt)";"Loans",#N/A,FALSE,"Loans";"Credit Costs",#N/A,FALSE,"CCosts";"Net Interest Margin",#N/A,FALSE,"Margin";"Nonint Income",#N/A,FALSE,"NonII";"Nonint Exp",#N/A,FALSE,"NonIE";"Valuation",#N/A,FALSE,"Valuation"}</definedName>
    <definedName name="wrn.Forecast._.Q4._3"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_3" localSheetId="6" hidden="1">{"cover a","4q",FALSE,"Cover";"Op Earn Mgd Q4",#N/A,FALSE,"Op-Earn (Mng)";"Op Earn Rpt Q4",#N/A,FALSE,"Op-Earn (Rpt)";"Loans",#N/A,FALSE,"Loans";"Credit Costs",#N/A,FALSE,"CCosts";"Net Interest Margin",#N/A,FALSE,"Margin";"Nonint Income",#N/A,FALSE,"NonII";"Nonint Exp",#N/A,FALSE,"NonIE";"Valuation",#N/A,FALSE,"Valuation"}</definedName>
    <definedName name="wrn.Forecast._.Q4._3"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a" localSheetId="6"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Q4a_2"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a_2" localSheetId="6" hidden="1">{"cover a","4q",FALSE,"Cover";"Op Earn Mgd Q4",#N/A,FALSE,"Op-Earn (Mng)";"Op Earn Rpt Q4",#N/A,FALSE,"Op-Earn (Rpt)";"Loans",#N/A,FALSE,"Loans";"Credit Costs",#N/A,FALSE,"CCosts";"Net Interest Margin",#N/A,FALSE,"Margin";"Nonint Income",#N/A,FALSE,"NonII";"Nonint Exp",#N/A,FALSE,"NonIE";"Valuation",#N/A,FALSE,"Valuation"}</definedName>
    <definedName name="wrn.Forecast._.Q4a_2" hidden="1">{"cover a","4q",FALSE,"Cover";"Op Earn Mgd Q4",#N/A,FALSE,"Op-Earn (Mng)";"Op Earn Rpt Q4",#N/A,FALSE,"Op-Earn (Rpt)";"Loans",#N/A,FALSE,"Loans";"Credit Costs",#N/A,FALSE,"CCosts";"Net Interest Margin",#N/A,FALSE,"Margin";"Nonint Income",#N/A,FALSE,"NonII";"Nonint Exp",#N/A,FALSE,"NonIE";"Valuation",#N/A,FALSE,"Valuation"}</definedName>
    <definedName name="wrn.Forecast._.Q4a_3" localSheetId="4" hidden="1">{"cover a","4q",FALSE,"Cover";"Op Earn Mgd Q4",#N/A,FALSE,"Op-Earn (Mng)";"Op Earn Rpt Q4",#N/A,FALSE,"Op-Earn (Rpt)";"Loans",#N/A,FALSE,"Loans";"Credit Costs",#N/A,FALSE,"CCosts";"Net Interest Margin",#N/A,FALSE,"Margin";"Nonint Income",#N/A,FALSE,"NonII";"Nonint Exp",#N/A,FALSE,"NonIE";"Valuation",#N/A,FALSE,"Valuation"}</definedName>
    <definedName name="wrn.Forecast._.Q4a_3" localSheetId="6" hidden="1">{"cover a","4q",FALSE,"Cover";"Op Earn Mgd Q4",#N/A,FALSE,"Op-Earn (Mng)";"Op Earn Rpt Q4",#N/A,FALSE,"Op-Earn (Rpt)";"Loans",#N/A,FALSE,"Loans";"Credit Costs",#N/A,FALSE,"CCosts";"Net Interest Margin",#N/A,FALSE,"Margin";"Nonint Income",#N/A,FALSE,"NonII";"Nonint Exp",#N/A,FALSE,"NonIE";"Valuation",#N/A,FALSE,"Valuation"}</definedName>
    <definedName name="wrn.Forecast._.Q4a_3" hidden="1">{"cover a","4q",FALSE,"Cover";"Op Earn Mgd Q4",#N/A,FALSE,"Op-Earn (Mng)";"Op Earn Rpt Q4",#N/A,FALSE,"Op-Earn (Rpt)";"Loans",#N/A,FALSE,"Loans";"Credit Costs",#N/A,FALSE,"CCosts";"Net Interest Margin",#N/A,FALSE,"Margin";"Nonint Income",#N/A,FALSE,"NonII";"Nonint Exp",#N/A,FALSE,"NonIE";"Valuation",#N/A,FALSE,"Valuation"}</definedName>
    <definedName name="wrn.full." localSheetId="4" hidden="1">{#N/A,#N/A,FALSE,"Income Statement";#N/A,#N/A,FALSE,"Balance Sheet";#N/A,#N/A,FALSE,"Cash Flow";#N/A,#N/A,FALSE,"D&amp;A";#N/A,#N/A,FALSE,"Capitalization";#N/A,#N/A,FALSE,"Debt Amortization";#N/A,#N/A,FALSE,"Deferred Taxes"}</definedName>
    <definedName name="wrn.full." localSheetId="6" hidden="1">{#N/A,#N/A,FALSE,"Income Statement";#N/A,#N/A,FALSE,"Balance Sheet";#N/A,#N/A,FALSE,"Cash Flow";#N/A,#N/A,FALSE,"D&amp;A";#N/A,#N/A,FALSE,"Capitalization";#N/A,#N/A,FALSE,"Debt Amortization";#N/A,#N/A,FALSE,"Deferred Taxes"}</definedName>
    <definedName name="wrn.full." hidden="1">{#N/A,#N/A,FALSE,"Income Statement";#N/A,#N/A,FALSE,"Balance Sheet";#N/A,#N/A,FALSE,"Cash Flow";#N/A,#N/A,FALSE,"D&amp;A";#N/A,#N/A,FALSE,"Capitalization";#N/A,#N/A,FALSE,"Debt Amortization";#N/A,#N/A,FALSE,"Deferred Taxes"}</definedName>
    <definedName name="wrn.Full._.Financials." localSheetId="4" hidden="1">{#N/A,#N/A,TRUE,"Financials";#N/A,#N/A,TRUE,"Operating Statistics";#N/A,#N/A,TRUE,"Capex &amp; Depreciation";#N/A,#N/A,TRUE,"Debt"}</definedName>
    <definedName name="wrn.Full._.Financials." localSheetId="6" hidden="1">{#N/A,#N/A,TRUE,"Financials";#N/A,#N/A,TRUE,"Operating Statistics";#N/A,#N/A,TRUE,"Capex &amp; Depreciation";#N/A,#N/A,TRUE,"Debt"}</definedName>
    <definedName name="wrn.Full._.Financials." hidden="1">{#N/A,#N/A,TRUE,"Financials";#N/A,#N/A,TRUE,"Operating Statistics";#N/A,#N/A,TRUE,"Capex &amp; Depreciation";#N/A,#N/A,TRUE,"Debt"}</definedName>
    <definedName name="wrn.Full._.Model." localSheetId="4" hidden="1">{#N/A,#N/A,FALSE,"P&amp;L";#N/A,#N/A,FALSE,"CashFlow";#N/A,#N/A,FALSE,"Rev";#N/A,#N/A,FALSE,"Costs";#N/A,#N/A,FALSE,"CapexWC";#N/A,#N/A,FALSE,"CashDebt";#N/A,#N/A,FALSE,"Inv";#N/A,#N/A,FALSE,"Tax";#N/A,#N/A,FALSE,"Div";#N/A,#N/A,FALSE,"Equity"}</definedName>
    <definedName name="wrn.Full._.Model." localSheetId="6" hidden="1">{#N/A,#N/A,FALSE,"P&amp;L";#N/A,#N/A,FALSE,"CashFlow";#N/A,#N/A,FALSE,"Rev";#N/A,#N/A,FALSE,"Costs";#N/A,#N/A,FALSE,"CapexWC";#N/A,#N/A,FALSE,"CashDebt";#N/A,#N/A,FALSE,"Inv";#N/A,#N/A,FALSE,"Tax";#N/A,#N/A,FALSE,"Div";#N/A,#N/A,FALSE,"Equity"}</definedName>
    <definedName name="wrn.Full._.Model." hidden="1">{#N/A,#N/A,FALSE,"P&amp;L";#N/A,#N/A,FALSE,"CashFlow";#N/A,#N/A,FALSE,"Rev";#N/A,#N/A,FALSE,"Costs";#N/A,#N/A,FALSE,"CapexWC";#N/A,#N/A,FALSE,"CashDebt";#N/A,#N/A,FALSE,"Inv";#N/A,#N/A,FALSE,"Tax";#N/A,#N/A,FALSE,"Div";#N/A,#N/A,FALSE,"Equity"}</definedName>
    <definedName name="wrn.Full._.Report." localSheetId="4" hidden="1">{#N/A,#N/A,FALSE,"COVER";#N/A,#N/A,FALSE,"VALUATION";#N/A,#N/A,FALSE,"FORECAST";#N/A,#N/A,FALSE,"FY ANALYSIS ";#N/A,#N/A,FALSE," HY ANALYSIS"}</definedName>
    <definedName name="wrn.Full._.Report." localSheetId="6" hidden="1">{#N/A,#N/A,FALSE,"COVER";#N/A,#N/A,FALSE,"VALUATION";#N/A,#N/A,FALSE,"FORECAST";#N/A,#N/A,FALSE,"FY ANALYSIS ";#N/A,#N/A,FALSE," HY ANALYSIS"}</definedName>
    <definedName name="wrn.Full._.Report." hidden="1">{#N/A,#N/A,FALSE,"COVER";#N/A,#N/A,FALSE,"VALUATION";#N/A,#N/A,FALSE,"FORECAST";#N/A,#N/A,FALSE,"FY ANALYSIS ";#N/A,#N/A,FALSE," HY ANALYSIS"}</definedName>
    <definedName name="wrn.Full._.Report._2" localSheetId="4" hidden="1">{#N/A,#N/A,FALSE,"COVER";#N/A,#N/A,FALSE,"VALUATION";#N/A,#N/A,FALSE,"FORECAST";#N/A,#N/A,FALSE,"FY ANALYSIS ";#N/A,#N/A,FALSE," HY ANALYSIS"}</definedName>
    <definedName name="wrn.Full._.Report._2" localSheetId="6" hidden="1">{#N/A,#N/A,FALSE,"COVER";#N/A,#N/A,FALSE,"VALUATION";#N/A,#N/A,FALSE,"FORECAST";#N/A,#N/A,FALSE,"FY ANALYSIS ";#N/A,#N/A,FALSE," HY ANALYSIS"}</definedName>
    <definedName name="wrn.Full._.Report._2" hidden="1">{#N/A,#N/A,FALSE,"COVER";#N/A,#N/A,FALSE,"VALUATION";#N/A,#N/A,FALSE,"FORECAST";#N/A,#N/A,FALSE,"FY ANALYSIS ";#N/A,#N/A,FALSE," HY ANALYSIS"}</definedName>
    <definedName name="wrn.Full._.Report._3" localSheetId="4" hidden="1">{#N/A,#N/A,FALSE,"COVER";#N/A,#N/A,FALSE,"VALUATION";#N/A,#N/A,FALSE,"FORECAST";#N/A,#N/A,FALSE,"FY ANALYSIS ";#N/A,#N/A,FALSE," HY ANALYSIS"}</definedName>
    <definedName name="wrn.Full._.Report._3" localSheetId="6" hidden="1">{#N/A,#N/A,FALSE,"COVER";#N/A,#N/A,FALSE,"VALUATION";#N/A,#N/A,FALSE,"FORECAST";#N/A,#N/A,FALSE,"FY ANALYSIS ";#N/A,#N/A,FALSE," HY ANALYSIS"}</definedName>
    <definedName name="wrn.Full._.Report._3" hidden="1">{#N/A,#N/A,FALSE,"COVER";#N/A,#N/A,FALSE,"VALUATION";#N/A,#N/A,FALSE,"FORECAST";#N/A,#N/A,FALSE,"FY ANALYSIS ";#N/A,#N/A,FALSE," HY ANALYSIS"}</definedName>
    <definedName name="wrn.full._2" localSheetId="4" hidden="1">{#N/A,#N/A,FALSE,"Income Statement";#N/A,#N/A,FALSE,"Balance Sheet";#N/A,#N/A,FALSE,"Cash Flow";#N/A,#N/A,FALSE,"D&amp;A";#N/A,#N/A,FALSE,"Capitalization";#N/A,#N/A,FALSE,"Debt Amortization";#N/A,#N/A,FALSE,"Deferred Taxes"}</definedName>
    <definedName name="wrn.full._2" localSheetId="6" hidden="1">{#N/A,#N/A,FALSE,"Income Statement";#N/A,#N/A,FALSE,"Balance Sheet";#N/A,#N/A,FALSE,"Cash Flow";#N/A,#N/A,FALSE,"D&amp;A";#N/A,#N/A,FALSE,"Capitalization";#N/A,#N/A,FALSE,"Debt Amortization";#N/A,#N/A,FALSE,"Deferred Taxes"}</definedName>
    <definedName name="wrn.full._2" hidden="1">{#N/A,#N/A,FALSE,"Income Statement";#N/A,#N/A,FALSE,"Balance Sheet";#N/A,#N/A,FALSE,"Cash Flow";#N/A,#N/A,FALSE,"D&amp;A";#N/A,#N/A,FALSE,"Capitalization";#N/A,#N/A,FALSE,"Debt Amortization";#N/A,#N/A,FALSE,"Deferred Taxes"}</definedName>
    <definedName name="wrn.full._3" localSheetId="4" hidden="1">{#N/A,#N/A,FALSE,"Income Statement";#N/A,#N/A,FALSE,"Balance Sheet";#N/A,#N/A,FALSE,"Cash Flow";#N/A,#N/A,FALSE,"D&amp;A";#N/A,#N/A,FALSE,"Capitalization";#N/A,#N/A,FALSE,"Debt Amortization";#N/A,#N/A,FALSE,"Deferred Taxes"}</definedName>
    <definedName name="wrn.full._3" localSheetId="6" hidden="1">{#N/A,#N/A,FALSE,"Income Statement";#N/A,#N/A,FALSE,"Balance Sheet";#N/A,#N/A,FALSE,"Cash Flow";#N/A,#N/A,FALSE,"D&amp;A";#N/A,#N/A,FALSE,"Capitalization";#N/A,#N/A,FALSE,"Debt Amortization";#N/A,#N/A,FALSE,"Deferred Taxes"}</definedName>
    <definedName name="wrn.full._3" hidden="1">{#N/A,#N/A,FALSE,"Income Statement";#N/A,#N/A,FALSE,"Balance Sheet";#N/A,#N/A,FALSE,"Cash Flow";#N/A,#N/A,FALSE,"D&amp;A";#N/A,#N/A,FALSE,"Capitalization";#N/A,#N/A,FALSE,"Debt Amortization";#N/A,#N/A,FALSE,"Deferred Taxes"}</definedName>
    <definedName name="wrn.Global._.CompCo." localSheetId="4" hidden="1">{"Outputs",#N/A,TRUE,"North America";"Outputs",#N/A,TRUE,"Europe";"Outputs",#N/A,TRUE,"Asia Pacific";"Outputs",#N/A,TRUE,"Latin America";"Outputs",#N/A,TRUE,"Wireless"}</definedName>
    <definedName name="wrn.Global._.CompCo." localSheetId="6" hidden="1">{"Outputs",#N/A,TRUE,"North America";"Outputs",#N/A,TRUE,"Europe";"Outputs",#N/A,TRUE,"Asia Pacific";"Outputs",#N/A,TRUE,"Latin America";"Outputs",#N/A,TRUE,"Wireless"}</definedName>
    <definedName name="wrn.Global._.CompCo." hidden="1">{"Outputs",#N/A,TRUE,"North America";"Outputs",#N/A,TRUE,"Europe";"Outputs",#N/A,TRUE,"Asia Pacific";"Outputs",#N/A,TRUE,"Latin America";"Outputs",#N/A,TRUE,"Wireless"}</definedName>
    <definedName name="wrn.Global._.CompCo._2" localSheetId="4" hidden="1">{"Outputs",#N/A,TRUE,"North America";"Outputs",#N/A,TRUE,"Europe";"Outputs",#N/A,TRUE,"Asia Pacific";"Outputs",#N/A,TRUE,"Latin America";"Outputs",#N/A,TRUE,"Wireless"}</definedName>
    <definedName name="wrn.Global._.CompCo._2" localSheetId="6" hidden="1">{"Outputs",#N/A,TRUE,"North America";"Outputs",#N/A,TRUE,"Europe";"Outputs",#N/A,TRUE,"Asia Pacific";"Outputs",#N/A,TRUE,"Latin America";"Outputs",#N/A,TRUE,"Wireless"}</definedName>
    <definedName name="wrn.Global._.CompCo._2" hidden="1">{"Outputs",#N/A,TRUE,"North America";"Outputs",#N/A,TRUE,"Europe";"Outputs",#N/A,TRUE,"Asia Pacific";"Outputs",#N/A,TRUE,"Latin America";"Outputs",#N/A,TRUE,"Wireless"}</definedName>
    <definedName name="wrn.Global._.CompCo._3" localSheetId="4" hidden="1">{"Outputs",#N/A,TRUE,"North America";"Outputs",#N/A,TRUE,"Europe";"Outputs",#N/A,TRUE,"Asia Pacific";"Outputs",#N/A,TRUE,"Latin America";"Outputs",#N/A,TRUE,"Wireless"}</definedName>
    <definedName name="wrn.Global._.CompCo._3" localSheetId="6" hidden="1">{"Outputs",#N/A,TRUE,"North America";"Outputs",#N/A,TRUE,"Europe";"Outputs",#N/A,TRUE,"Asia Pacific";"Outputs",#N/A,TRUE,"Latin America";"Outputs",#N/A,TRUE,"Wireless"}</definedName>
    <definedName name="wrn.Global._.CompCo._3" hidden="1">{"Outputs",#N/A,TRUE,"North America";"Outputs",#N/A,TRUE,"Europe";"Outputs",#N/A,TRUE,"Asia Pacific";"Outputs",#N/A,TRUE,"Latin America";"Outputs",#N/A,TRUE,"Wireless"}</definedName>
    <definedName name="wrn.Industry.xls." localSheetId="4" hidden="1">{#N/A,#N/A,FALSE,"Earnings";#N/A,#N/A,FALSE,"Overview";#N/A,#N/A,FALSE,"Summary";#N/A,#N/A,FALSE,"Summary II";#N/A,#N/A,FALSE,"R&amp;D";#N/A,#N/A,FALSE,"R&amp;D Forecast";#N/A,#N/A,FALSE,"Tax Adj";#N/A,#N/A,FALSE,"Goodwill";#N/A,#N/A,FALSE,"FX ";#N/A,#N/A,FALSE,"Consolidation";#N/A,#N/A,FALSE,"Provisions"}</definedName>
    <definedName name="wrn.Industry.xls." localSheetId="6" hidden="1">{#N/A,#N/A,FALSE,"Earnings";#N/A,#N/A,FALSE,"Overview";#N/A,#N/A,FALSE,"Summary";#N/A,#N/A,FALSE,"Summary II";#N/A,#N/A,FALSE,"R&amp;D";#N/A,#N/A,FALSE,"R&amp;D Forecast";#N/A,#N/A,FALSE,"Tax Adj";#N/A,#N/A,FALSE,"Goodwill";#N/A,#N/A,FALSE,"FX ";#N/A,#N/A,FALSE,"Consolidation";#N/A,#N/A,FALSE,"Provisions"}</definedName>
    <definedName name="wrn.Industry.xls." hidden="1">{#N/A,#N/A,FALSE,"Earnings";#N/A,#N/A,FALSE,"Overview";#N/A,#N/A,FALSE,"Summary";#N/A,#N/A,FALSE,"Summary II";#N/A,#N/A,FALSE,"R&amp;D";#N/A,#N/A,FALSE,"R&amp;D Forecast";#N/A,#N/A,FALSE,"Tax Adj";#N/A,#N/A,FALSE,"Goodwill";#N/A,#N/A,FALSE,"FX ";#N/A,#N/A,FALSE,"Consolidation";#N/A,#N/A,FALSE,"Provisions"}</definedName>
    <definedName name="wrn.Industry.xls._2" localSheetId="4" hidden="1">{#N/A,#N/A,FALSE,"Earnings";#N/A,#N/A,FALSE,"Overview";#N/A,#N/A,FALSE,"Summary";#N/A,#N/A,FALSE,"Summary II";#N/A,#N/A,FALSE,"R&amp;D";#N/A,#N/A,FALSE,"R&amp;D Forecast";#N/A,#N/A,FALSE,"Tax Adj";#N/A,#N/A,FALSE,"Goodwill";#N/A,#N/A,FALSE,"FX ";#N/A,#N/A,FALSE,"Consolidation";#N/A,#N/A,FALSE,"Provisions"}</definedName>
    <definedName name="wrn.Industry.xls._2" localSheetId="6" hidden="1">{#N/A,#N/A,FALSE,"Earnings";#N/A,#N/A,FALSE,"Overview";#N/A,#N/A,FALSE,"Summary";#N/A,#N/A,FALSE,"Summary II";#N/A,#N/A,FALSE,"R&amp;D";#N/A,#N/A,FALSE,"R&amp;D Forecast";#N/A,#N/A,FALSE,"Tax Adj";#N/A,#N/A,FALSE,"Goodwill";#N/A,#N/A,FALSE,"FX ";#N/A,#N/A,FALSE,"Consolidation";#N/A,#N/A,FALSE,"Provisions"}</definedName>
    <definedName name="wrn.Industry.xls._2" hidden="1">{#N/A,#N/A,FALSE,"Earnings";#N/A,#N/A,FALSE,"Overview";#N/A,#N/A,FALSE,"Summary";#N/A,#N/A,FALSE,"Summary II";#N/A,#N/A,FALSE,"R&amp;D";#N/A,#N/A,FALSE,"R&amp;D Forecast";#N/A,#N/A,FALSE,"Tax Adj";#N/A,#N/A,FALSE,"Goodwill";#N/A,#N/A,FALSE,"FX ";#N/A,#N/A,FALSE,"Consolidation";#N/A,#N/A,FALSE,"Provisions"}</definedName>
    <definedName name="wrn.Industry.xls._3" localSheetId="4" hidden="1">{#N/A,#N/A,FALSE,"Earnings";#N/A,#N/A,FALSE,"Overview";#N/A,#N/A,FALSE,"Summary";#N/A,#N/A,FALSE,"Summary II";#N/A,#N/A,FALSE,"R&amp;D";#N/A,#N/A,FALSE,"R&amp;D Forecast";#N/A,#N/A,FALSE,"Tax Adj";#N/A,#N/A,FALSE,"Goodwill";#N/A,#N/A,FALSE,"FX ";#N/A,#N/A,FALSE,"Consolidation";#N/A,#N/A,FALSE,"Provisions"}</definedName>
    <definedName name="wrn.Industry.xls._3" localSheetId="6" hidden="1">{#N/A,#N/A,FALSE,"Earnings";#N/A,#N/A,FALSE,"Overview";#N/A,#N/A,FALSE,"Summary";#N/A,#N/A,FALSE,"Summary II";#N/A,#N/A,FALSE,"R&amp;D";#N/A,#N/A,FALSE,"R&amp;D Forecast";#N/A,#N/A,FALSE,"Tax Adj";#N/A,#N/A,FALSE,"Goodwill";#N/A,#N/A,FALSE,"FX ";#N/A,#N/A,FALSE,"Consolidation";#N/A,#N/A,FALSE,"Provisions"}</definedName>
    <definedName name="wrn.Industry.xls._3" hidden="1">{#N/A,#N/A,FALSE,"Earnings";#N/A,#N/A,FALSE,"Overview";#N/A,#N/A,FALSE,"Summary";#N/A,#N/A,FALSE,"Summary II";#N/A,#N/A,FALSE,"R&amp;D";#N/A,#N/A,FALSE,"R&amp;D Forecast";#N/A,#N/A,FALSE,"Tax Adj";#N/A,#N/A,FALSE,"Goodwill";#N/A,#N/A,FALSE,"FX ";#N/A,#N/A,FALSE,"Consolidation";#N/A,#N/A,FALSE,"Provisions"}</definedName>
    <definedName name="wrn.Inputs." localSheetId="4" hidden="1">{"Inputs",#N/A,TRUE,"North America";"Inputs",#N/A,TRUE,"Europe";"Inputs",#N/A,TRUE,"Asia Pacific";"Inputs",#N/A,TRUE,"Latin America";"Inputs",#N/A,TRUE,"Wireless"}</definedName>
    <definedName name="wrn.Inputs." localSheetId="6" hidden="1">{"Inputs",#N/A,TRUE,"North America";"Inputs",#N/A,TRUE,"Europe";"Inputs",#N/A,TRUE,"Asia Pacific";"Inputs",#N/A,TRUE,"Latin America";"Inputs",#N/A,TRUE,"Wireless"}</definedName>
    <definedName name="wrn.Inputs." hidden="1">{"Inputs",#N/A,TRUE,"North America";"Inputs",#N/A,TRUE,"Europe";"Inputs",#N/A,TRUE,"Asia Pacific";"Inputs",#N/A,TRUE,"Latin America";"Inputs",#N/A,TRUE,"Wireless"}</definedName>
    <definedName name="wrn.Inputs._2" localSheetId="4" hidden="1">{"Inputs",#N/A,TRUE,"North America";"Inputs",#N/A,TRUE,"Europe";"Inputs",#N/A,TRUE,"Asia Pacific";"Inputs",#N/A,TRUE,"Latin America";"Inputs",#N/A,TRUE,"Wireless"}</definedName>
    <definedName name="wrn.Inputs._2" localSheetId="6" hidden="1">{"Inputs",#N/A,TRUE,"North America";"Inputs",#N/A,TRUE,"Europe";"Inputs",#N/A,TRUE,"Asia Pacific";"Inputs",#N/A,TRUE,"Latin America";"Inputs",#N/A,TRUE,"Wireless"}</definedName>
    <definedName name="wrn.Inputs._2" hidden="1">{"Inputs",#N/A,TRUE,"North America";"Inputs",#N/A,TRUE,"Europe";"Inputs",#N/A,TRUE,"Asia Pacific";"Inputs",#N/A,TRUE,"Latin America";"Inputs",#N/A,TRUE,"Wireless"}</definedName>
    <definedName name="wrn.Inputs._3" localSheetId="4" hidden="1">{"Inputs",#N/A,TRUE,"North America";"Inputs",#N/A,TRUE,"Europe";"Inputs",#N/A,TRUE,"Asia Pacific";"Inputs",#N/A,TRUE,"Latin America";"Inputs",#N/A,TRUE,"Wireless"}</definedName>
    <definedName name="wrn.Inputs._3" localSheetId="6" hidden="1">{"Inputs",#N/A,TRUE,"North America";"Inputs",#N/A,TRUE,"Europe";"Inputs",#N/A,TRUE,"Asia Pacific";"Inputs",#N/A,TRUE,"Latin America";"Inputs",#N/A,TRUE,"Wireless"}</definedName>
    <definedName name="wrn.Inputs._3" hidden="1">{"Inputs",#N/A,TRUE,"North America";"Inputs",#N/A,TRUE,"Europe";"Inputs",#N/A,TRUE,"Asia Pacific";"Inputs",#N/A,TRUE,"Latin America";"Inputs",#N/A,TRUE,"Wireless"}</definedName>
    <definedName name="wrn.MPPA.XLS." localSheetId="4" hidden="1">{#N/A,#N/A,FALSE,"Key Data ";#N/A,#N/A,FALSE,"Prod Segment";#N/A,#N/A,FALSE,"Income Statement";#N/A,#N/A,FALSE,"Bal Sheet";#N/A,#N/A,FALSE,"Cash Flow"}</definedName>
    <definedName name="wrn.MPPA.XLS." localSheetId="6" hidden="1">{#N/A,#N/A,FALSE,"Key Data ";#N/A,#N/A,FALSE,"Prod Segment";#N/A,#N/A,FALSE,"Income Statement";#N/A,#N/A,FALSE,"Bal Sheet";#N/A,#N/A,FALSE,"Cash Flow"}</definedName>
    <definedName name="wrn.MPPA.XLS." hidden="1">{#N/A,#N/A,FALSE,"Key Data ";#N/A,#N/A,FALSE,"Prod Segment";#N/A,#N/A,FALSE,"Income Statement";#N/A,#N/A,FALSE,"Bal Sheet";#N/A,#N/A,FALSE,"Cash Flow"}</definedName>
    <definedName name="wrn.One._.Pager._.plus._.Technicals." localSheetId="4" hidden="1">{#N/A,#N/A,FALSE,"One Pager";#N/A,#N/A,FALSE,"Technical"}</definedName>
    <definedName name="wrn.One._.Pager._.plus._.Technicals." localSheetId="6" hidden="1">{#N/A,#N/A,FALSE,"One Pager";#N/A,#N/A,FALSE,"Technical"}</definedName>
    <definedName name="wrn.One._.Pager._.plus._.Technicals." hidden="1">{#N/A,#N/A,FALSE,"One Pager";#N/A,#N/A,FALSE,"Technical"}</definedName>
    <definedName name="wrn.OUTPUT." localSheetId="4" hidden="1">{"DCF","UPSIDE CASE",FALSE,"Sheet1";"DCF","BASE CASE",FALSE,"Sheet1";"DCF","DOWNSIDE CASE",FALSE,"Sheet1"}</definedName>
    <definedName name="wrn.OUTPUT." localSheetId="6" hidden="1">{"DCF","UPSIDE CASE",FALSE,"Sheet1";"DCF","BASE CASE",FALSE,"Sheet1";"DCF","DOWNSIDE CASE",FALSE,"Sheet1"}</definedName>
    <definedName name="wrn.OUTPUT." hidden="1">{"DCF","UPSIDE CASE",FALSE,"Sheet1";"DCF","BASE CASE",FALSE,"Sheet1";"DCF","DOWNSIDE CASE",FALSE,"Sheet1"}</definedName>
    <definedName name="wrn.OUTPUT._2" localSheetId="4" hidden="1">{"DCF","UPSIDE CASE",FALSE,"Sheet1";"DCF","BASE CASE",FALSE,"Sheet1";"DCF","DOWNSIDE CASE",FALSE,"Sheet1"}</definedName>
    <definedName name="wrn.OUTPUT._2" localSheetId="6" hidden="1">{"DCF","UPSIDE CASE",FALSE,"Sheet1";"DCF","BASE CASE",FALSE,"Sheet1";"DCF","DOWNSIDE CASE",FALSE,"Sheet1"}</definedName>
    <definedName name="wrn.OUTPUT._2" hidden="1">{"DCF","UPSIDE CASE",FALSE,"Sheet1";"DCF","BASE CASE",FALSE,"Sheet1";"DCF","DOWNSIDE CASE",FALSE,"Sheet1"}</definedName>
    <definedName name="wrn.OUTPUT._3" localSheetId="4" hidden="1">{"DCF","UPSIDE CASE",FALSE,"Sheet1";"DCF","BASE CASE",FALSE,"Sheet1";"DCF","DOWNSIDE CASE",FALSE,"Sheet1"}</definedName>
    <definedName name="wrn.OUTPUT._3" localSheetId="6" hidden="1">{"DCF","UPSIDE CASE",FALSE,"Sheet1";"DCF","BASE CASE",FALSE,"Sheet1";"DCF","DOWNSIDE CASE",FALSE,"Sheet1"}</definedName>
    <definedName name="wrn.OUTPUT._3" hidden="1">{"DCF","UPSIDE CASE",FALSE,"Sheet1";"DCF","BASE CASE",FALSE,"Sheet1";"DCF","DOWNSIDE CASE",FALSE,"Sheet1"}</definedName>
    <definedName name="wrn.paging." localSheetId="4" hidden="1">{"paging",#N/A,TRUE,"TITLE";#N/A,#N/A,TRUE,"Paging subs";#N/A,#N/A,TRUE,"P&amp;L - Paging";#N/A,#N/A,TRUE,"Rev &amp; Usage Assump - Paging";#N/A,#N/A,TRUE,"Cost - Paging";"paging",#N/A,TRUE,"Capex "}</definedName>
    <definedName name="wrn.paging." localSheetId="6" hidden="1">{"paging",#N/A,TRUE,"TITLE";#N/A,#N/A,TRUE,"Paging subs";#N/A,#N/A,TRUE,"P&amp;L - Paging";#N/A,#N/A,TRUE,"Rev &amp; Usage Assump - Paging";#N/A,#N/A,TRUE,"Cost - Paging";"paging",#N/A,TRUE,"Capex "}</definedName>
    <definedName name="wrn.paging." hidden="1">{"paging",#N/A,TRUE,"TITLE";#N/A,#N/A,TRUE,"Paging subs";#N/A,#N/A,TRUE,"P&amp;L - Paging";#N/A,#N/A,TRUE,"Rev &amp; Usage Assump - Paging";#N/A,#N/A,TRUE,"Cost - Paging";"paging",#N/A,TRUE,"Capex "}</definedName>
    <definedName name="wrn.paging._2" localSheetId="4" hidden="1">{"paging",#N/A,TRUE,"TITLE";#N/A,#N/A,TRUE,"Paging subs";#N/A,#N/A,TRUE,"P&amp;L - Paging";#N/A,#N/A,TRUE,"Rev &amp; Usage Assump - Paging";#N/A,#N/A,TRUE,"Cost - Paging";"paging",#N/A,TRUE,"Capex "}</definedName>
    <definedName name="wrn.paging._2" localSheetId="6" hidden="1">{"paging",#N/A,TRUE,"TITLE";#N/A,#N/A,TRUE,"Paging subs";#N/A,#N/A,TRUE,"P&amp;L - Paging";#N/A,#N/A,TRUE,"Rev &amp; Usage Assump - Paging";#N/A,#N/A,TRUE,"Cost - Paging";"paging",#N/A,TRUE,"Capex "}</definedName>
    <definedName name="wrn.paging._2" hidden="1">{"paging",#N/A,TRUE,"TITLE";#N/A,#N/A,TRUE,"Paging subs";#N/A,#N/A,TRUE,"P&amp;L - Paging";#N/A,#N/A,TRUE,"Rev &amp; Usage Assump - Paging";#N/A,#N/A,TRUE,"Cost - Paging";"paging",#N/A,TRUE,"Capex "}</definedName>
    <definedName name="wrn.paging._3" localSheetId="4" hidden="1">{"paging",#N/A,TRUE,"TITLE";#N/A,#N/A,TRUE,"Paging subs";#N/A,#N/A,TRUE,"P&amp;L - Paging";#N/A,#N/A,TRUE,"Rev &amp; Usage Assump - Paging";#N/A,#N/A,TRUE,"Cost - Paging";"paging",#N/A,TRUE,"Capex "}</definedName>
    <definedName name="wrn.paging._3" localSheetId="6" hidden="1">{"paging",#N/A,TRUE,"TITLE";#N/A,#N/A,TRUE,"Paging subs";#N/A,#N/A,TRUE,"P&amp;L - Paging";#N/A,#N/A,TRUE,"Rev &amp; Usage Assump - Paging";#N/A,#N/A,TRUE,"Cost - Paging";"paging",#N/A,TRUE,"Capex "}</definedName>
    <definedName name="wrn.paging._3" hidden="1">{"paging",#N/A,TRUE,"TITLE";#N/A,#N/A,TRUE,"Paging subs";#N/A,#N/A,TRUE,"P&amp;L - Paging";#N/A,#N/A,TRUE,"Rev &amp; Usage Assump - Paging";#N/A,#N/A,TRUE,"Cost - Paging";"paging",#N/A,TRUE,"Capex "}</definedName>
    <definedName name="wrn.PEWC1." localSheetId="4" hidden="1">{"Graphic",#N/A,TRUE,"Graphic"}</definedName>
    <definedName name="wrn.PEWC1." localSheetId="6" hidden="1">{"Graphic",#N/A,TRUE,"Graphic"}</definedName>
    <definedName name="wrn.PEWC1." hidden="1">{"Graphic",#N/A,TRUE,"Graphic"}</definedName>
    <definedName name="wrn.PEWC1._2" localSheetId="4" hidden="1">{"Graphic",#N/A,TRUE,"Graphic"}</definedName>
    <definedName name="wrn.PEWC1._2" localSheetId="6" hidden="1">{"Graphic",#N/A,TRUE,"Graphic"}</definedName>
    <definedName name="wrn.PEWC1._2" hidden="1">{"Graphic",#N/A,TRUE,"Graphic"}</definedName>
    <definedName name="wrn.PEWC1._3" localSheetId="4" hidden="1">{"Graphic",#N/A,TRUE,"Graphic"}</definedName>
    <definedName name="wrn.PEWC1._3" localSheetId="6" hidden="1">{"Graphic",#N/A,TRUE,"Graphic"}</definedName>
    <definedName name="wrn.PEWC1._3" hidden="1">{"Graphic",#N/A,TRUE,"Graphic"}</definedName>
    <definedName name="wrn.Print._.all." localSheetId="4"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 localSheetId="6"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_2" localSheetId="4"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_2" localSheetId="6"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_2"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_3" localSheetId="4"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_3" localSheetId="6"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rint._.all._3"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wrn.Pulp." localSheetId="4" hidden="1">{"Pulp Production",#N/A,FALSE,"Pulp";"Pulp Earnings",#N/A,FALSE,"Pulp"}</definedName>
    <definedName name="wrn.Pulp." localSheetId="6" hidden="1">{"Pulp Production",#N/A,FALSE,"Pulp";"Pulp Earnings",#N/A,FALSE,"Pulp"}</definedName>
    <definedName name="wrn.Pulp." hidden="1">{"Pulp Production",#N/A,FALSE,"Pulp";"Pulp Earnings",#N/A,FALSE,"Pulp"}</definedName>
    <definedName name="wrn.Pulp._2" localSheetId="4" hidden="1">{"Pulp Production",#N/A,FALSE,"Pulp";"Pulp Earnings",#N/A,FALSE,"Pulp"}</definedName>
    <definedName name="wrn.Pulp._2" localSheetId="6" hidden="1">{"Pulp Production",#N/A,FALSE,"Pulp";"Pulp Earnings",#N/A,FALSE,"Pulp"}</definedName>
    <definedName name="wrn.Pulp._2" hidden="1">{"Pulp Production",#N/A,FALSE,"Pulp";"Pulp Earnings",#N/A,FALSE,"Pulp"}</definedName>
    <definedName name="wrn.Pulp._3" localSheetId="4" hidden="1">{"Pulp Production",#N/A,FALSE,"Pulp";"Pulp Earnings",#N/A,FALSE,"Pulp"}</definedName>
    <definedName name="wrn.Pulp._3" localSheetId="6" hidden="1">{"Pulp Production",#N/A,FALSE,"Pulp";"Pulp Earnings",#N/A,FALSE,"Pulp"}</definedName>
    <definedName name="wrn.Pulp._3" hidden="1">{"Pulp Production",#N/A,FALSE,"Pulp";"Pulp Earnings",#N/A,FALSE,"Pulp"}</definedName>
    <definedName name="wrn.Qtr._.Op._.Q1." localSheetId="4" hidden="1">{"Qtr Op Mgd Q1",#N/A,FALSE,"Qtr-Op (Mng)";"Qtr Op Rpt Q1",#N/A,FALSE,"Qtr-Op (Rpt)";"Operating Vs Reported",#N/A,FALSE,"Rpt-Op Inc"}</definedName>
    <definedName name="wrn.Qtr._.Op._.Q1." localSheetId="6" hidden="1">{"Qtr Op Mgd Q1",#N/A,FALSE,"Qtr-Op (Mng)";"Qtr Op Rpt Q1",#N/A,FALSE,"Qtr-Op (Rpt)";"Operating Vs Reported",#N/A,FALSE,"Rpt-Op Inc"}</definedName>
    <definedName name="wrn.Qtr._.Op._.Q1." hidden="1">{"Qtr Op Mgd Q1",#N/A,FALSE,"Qtr-Op (Mng)";"Qtr Op Rpt Q1",#N/A,FALSE,"Qtr-Op (Rpt)";"Operating Vs Reported",#N/A,FALSE,"Rpt-Op Inc"}</definedName>
    <definedName name="wrn.Qtr._.Op._.Q1._2" localSheetId="4" hidden="1">{"Qtr Op Mgd Q1",#N/A,FALSE,"Qtr-Op (Mng)";"Qtr Op Rpt Q1",#N/A,FALSE,"Qtr-Op (Rpt)";"Operating Vs Reported",#N/A,FALSE,"Rpt-Op Inc"}</definedName>
    <definedName name="wrn.Qtr._.Op._.Q1._2" localSheetId="6" hidden="1">{"Qtr Op Mgd Q1",#N/A,FALSE,"Qtr-Op (Mng)";"Qtr Op Rpt Q1",#N/A,FALSE,"Qtr-Op (Rpt)";"Operating Vs Reported",#N/A,FALSE,"Rpt-Op Inc"}</definedName>
    <definedName name="wrn.Qtr._.Op._.Q1._2" hidden="1">{"Qtr Op Mgd Q1",#N/A,FALSE,"Qtr-Op (Mng)";"Qtr Op Rpt Q1",#N/A,FALSE,"Qtr-Op (Rpt)";"Operating Vs Reported",#N/A,FALSE,"Rpt-Op Inc"}</definedName>
    <definedName name="wrn.Qtr._.Op._.Q1._3" localSheetId="4" hidden="1">{"Qtr Op Mgd Q1",#N/A,FALSE,"Qtr-Op (Mng)";"Qtr Op Rpt Q1",#N/A,FALSE,"Qtr-Op (Rpt)";"Operating Vs Reported",#N/A,FALSE,"Rpt-Op Inc"}</definedName>
    <definedName name="wrn.Qtr._.Op._.Q1._3" localSheetId="6" hidden="1">{"Qtr Op Mgd Q1",#N/A,FALSE,"Qtr-Op (Mng)";"Qtr Op Rpt Q1",#N/A,FALSE,"Qtr-Op (Rpt)";"Operating Vs Reported",#N/A,FALSE,"Rpt-Op Inc"}</definedName>
    <definedName name="wrn.Qtr._.Op._.Q1._3" hidden="1">{"Qtr Op Mgd Q1",#N/A,FALSE,"Qtr-Op (Mng)";"Qtr Op Rpt Q1",#N/A,FALSE,"Qtr-Op (Rpt)";"Operating Vs Reported",#N/A,FALSE,"Rpt-Op Inc"}</definedName>
    <definedName name="wrn.Qtr._.Op._.Q2." localSheetId="4" hidden="1">{"Qtr Op Mgd Q2",#N/A,FALSE,"Qtr-Op (Mng)";"Qtr Op Rpt Q2",#N/A,FALSE,"Qtr-Op (Rpt)";"Operating Vs Reported",#N/A,FALSE,"Rpt-Op Inc"}</definedName>
    <definedName name="wrn.Qtr._.Op._.Q2." localSheetId="6" hidden="1">{"Qtr Op Mgd Q2",#N/A,FALSE,"Qtr-Op (Mng)";"Qtr Op Rpt Q2",#N/A,FALSE,"Qtr-Op (Rpt)";"Operating Vs Reported",#N/A,FALSE,"Rpt-Op Inc"}</definedName>
    <definedName name="wrn.Qtr._.Op._.Q2." hidden="1">{"Qtr Op Mgd Q2",#N/A,FALSE,"Qtr-Op (Mng)";"Qtr Op Rpt Q2",#N/A,FALSE,"Qtr-Op (Rpt)";"Operating Vs Reported",#N/A,FALSE,"Rpt-Op Inc"}</definedName>
    <definedName name="wrn.Qtr._.Op._.Q2._2" localSheetId="4" hidden="1">{"Qtr Op Mgd Q2",#N/A,FALSE,"Qtr-Op (Mng)";"Qtr Op Rpt Q2",#N/A,FALSE,"Qtr-Op (Rpt)";"Operating Vs Reported",#N/A,FALSE,"Rpt-Op Inc"}</definedName>
    <definedName name="wrn.Qtr._.Op._.Q2._2" localSheetId="6" hidden="1">{"Qtr Op Mgd Q2",#N/A,FALSE,"Qtr-Op (Mng)";"Qtr Op Rpt Q2",#N/A,FALSE,"Qtr-Op (Rpt)";"Operating Vs Reported",#N/A,FALSE,"Rpt-Op Inc"}</definedName>
    <definedName name="wrn.Qtr._.Op._.Q2._2" hidden="1">{"Qtr Op Mgd Q2",#N/A,FALSE,"Qtr-Op (Mng)";"Qtr Op Rpt Q2",#N/A,FALSE,"Qtr-Op (Rpt)";"Operating Vs Reported",#N/A,FALSE,"Rpt-Op Inc"}</definedName>
    <definedName name="wrn.Qtr._.Op._.Q2._3" localSheetId="4" hidden="1">{"Qtr Op Mgd Q2",#N/A,FALSE,"Qtr-Op (Mng)";"Qtr Op Rpt Q2",#N/A,FALSE,"Qtr-Op (Rpt)";"Operating Vs Reported",#N/A,FALSE,"Rpt-Op Inc"}</definedName>
    <definedName name="wrn.Qtr._.Op._.Q2._3" localSheetId="6" hidden="1">{"Qtr Op Mgd Q2",#N/A,FALSE,"Qtr-Op (Mng)";"Qtr Op Rpt Q2",#N/A,FALSE,"Qtr-Op (Rpt)";"Operating Vs Reported",#N/A,FALSE,"Rpt-Op Inc"}</definedName>
    <definedName name="wrn.Qtr._.Op._.Q2._3" hidden="1">{"Qtr Op Mgd Q2",#N/A,FALSE,"Qtr-Op (Mng)";"Qtr Op Rpt Q2",#N/A,FALSE,"Qtr-Op (Rpt)";"Operating Vs Reported",#N/A,FALSE,"Rpt-Op Inc"}</definedName>
    <definedName name="wrn.Qtr._.Op._.Q3." localSheetId="4" hidden="1">{"Qtr Op Mgd Q3",#N/A,FALSE,"Qtr-Op (Mng)";"Qtr Op Rpt Q3",#N/A,FALSE,"Qtr-Op (Rpt)";"Operating Vs Reported",#N/A,FALSE,"Rpt-Op Inc"}</definedName>
    <definedName name="wrn.Qtr._.Op._.Q3." localSheetId="6" hidden="1">{"Qtr Op Mgd Q3",#N/A,FALSE,"Qtr-Op (Mng)";"Qtr Op Rpt Q3",#N/A,FALSE,"Qtr-Op (Rpt)";"Operating Vs Reported",#N/A,FALSE,"Rpt-Op Inc"}</definedName>
    <definedName name="wrn.Qtr._.Op._.Q3." hidden="1">{"Qtr Op Mgd Q3",#N/A,FALSE,"Qtr-Op (Mng)";"Qtr Op Rpt Q3",#N/A,FALSE,"Qtr-Op (Rpt)";"Operating Vs Reported",#N/A,FALSE,"Rpt-Op Inc"}</definedName>
    <definedName name="wrn.Qtr._.Op._.Q3._2" localSheetId="4" hidden="1">{"Qtr Op Mgd Q3",#N/A,FALSE,"Qtr-Op (Mng)";"Qtr Op Rpt Q3",#N/A,FALSE,"Qtr-Op (Rpt)";"Operating Vs Reported",#N/A,FALSE,"Rpt-Op Inc"}</definedName>
    <definedName name="wrn.Qtr._.Op._.Q3._2" localSheetId="6" hidden="1">{"Qtr Op Mgd Q3",#N/A,FALSE,"Qtr-Op (Mng)";"Qtr Op Rpt Q3",#N/A,FALSE,"Qtr-Op (Rpt)";"Operating Vs Reported",#N/A,FALSE,"Rpt-Op Inc"}</definedName>
    <definedName name="wrn.Qtr._.Op._.Q3._2" hidden="1">{"Qtr Op Mgd Q3",#N/A,FALSE,"Qtr-Op (Mng)";"Qtr Op Rpt Q3",#N/A,FALSE,"Qtr-Op (Rpt)";"Operating Vs Reported",#N/A,FALSE,"Rpt-Op Inc"}</definedName>
    <definedName name="wrn.Qtr._.Op._.Q3._3" localSheetId="4" hidden="1">{"Qtr Op Mgd Q3",#N/A,FALSE,"Qtr-Op (Mng)";"Qtr Op Rpt Q3",#N/A,FALSE,"Qtr-Op (Rpt)";"Operating Vs Reported",#N/A,FALSE,"Rpt-Op Inc"}</definedName>
    <definedName name="wrn.Qtr._.Op._.Q3._3" localSheetId="6" hidden="1">{"Qtr Op Mgd Q3",#N/A,FALSE,"Qtr-Op (Mng)";"Qtr Op Rpt Q3",#N/A,FALSE,"Qtr-Op (Rpt)";"Operating Vs Reported",#N/A,FALSE,"Rpt-Op Inc"}</definedName>
    <definedName name="wrn.Qtr._.Op._.Q3._3" hidden="1">{"Qtr Op Mgd Q3",#N/A,FALSE,"Qtr-Op (Mng)";"Qtr Op Rpt Q3",#N/A,FALSE,"Qtr-Op (Rpt)";"Operating Vs Reported",#N/A,FALSE,"Rpt-Op Inc"}</definedName>
    <definedName name="wrn.Qtr._.Op._.Q4." localSheetId="4" hidden="1">{"Qtr Op Mgd Q3",#N/A,FALSE,"Qtr-Op (Mng)";"Qtr Op Rpt Q4",#N/A,FALSE,"Qtr-Op (Rpt)";"Operating Vs Reported",#N/A,FALSE,"Rpt-Op Inc"}</definedName>
    <definedName name="wrn.Qtr._.Op._.Q4." localSheetId="6" hidden="1">{"Qtr Op Mgd Q3",#N/A,FALSE,"Qtr-Op (Mng)";"Qtr Op Rpt Q4",#N/A,FALSE,"Qtr-Op (Rpt)";"Operating Vs Reported",#N/A,FALSE,"Rpt-Op Inc"}</definedName>
    <definedName name="wrn.Qtr._.Op._.Q4." hidden="1">{"Qtr Op Mgd Q3",#N/A,FALSE,"Qtr-Op (Mng)";"Qtr Op Rpt Q4",#N/A,FALSE,"Qtr-Op (Rpt)";"Operating Vs Reported",#N/A,FALSE,"Rpt-Op Inc"}</definedName>
    <definedName name="wrn.Qtr._.Op._.Q4._2" localSheetId="4" hidden="1">{"Qtr Op Mgd Q3",#N/A,FALSE,"Qtr-Op (Mng)";"Qtr Op Rpt Q4",#N/A,FALSE,"Qtr-Op (Rpt)";"Operating Vs Reported",#N/A,FALSE,"Rpt-Op Inc"}</definedName>
    <definedName name="wrn.Qtr._.Op._.Q4._2" localSheetId="6" hidden="1">{"Qtr Op Mgd Q3",#N/A,FALSE,"Qtr-Op (Mng)";"Qtr Op Rpt Q4",#N/A,FALSE,"Qtr-Op (Rpt)";"Operating Vs Reported",#N/A,FALSE,"Rpt-Op Inc"}</definedName>
    <definedName name="wrn.Qtr._.Op._.Q4._2" hidden="1">{"Qtr Op Mgd Q3",#N/A,FALSE,"Qtr-Op (Mng)";"Qtr Op Rpt Q4",#N/A,FALSE,"Qtr-Op (Rpt)";"Operating Vs Reported",#N/A,FALSE,"Rpt-Op Inc"}</definedName>
    <definedName name="wrn.Qtr._.Op._.Q4._3" localSheetId="4" hidden="1">{"Qtr Op Mgd Q3",#N/A,FALSE,"Qtr-Op (Mng)";"Qtr Op Rpt Q4",#N/A,FALSE,"Qtr-Op (Rpt)";"Operating Vs Reported",#N/A,FALSE,"Rpt-Op Inc"}</definedName>
    <definedName name="wrn.Qtr._.Op._.Q4._3" localSheetId="6" hidden="1">{"Qtr Op Mgd Q3",#N/A,FALSE,"Qtr-Op (Mng)";"Qtr Op Rpt Q4",#N/A,FALSE,"Qtr-Op (Rpt)";"Operating Vs Reported",#N/A,FALSE,"Rpt-Op Inc"}</definedName>
    <definedName name="wrn.Qtr._.Op._.Q4._3" hidden="1">{"Qtr Op Mgd Q3",#N/A,FALSE,"Qtr-Op (Mng)";"Qtr Op Rpt Q4",#N/A,FALSE,"Qtr-Op (Rpt)";"Operating Vs Reported",#N/A,FALSE,"Rpt-Op Inc"}</definedName>
    <definedName name="wrn.Qtr._.Op._Q2a." localSheetId="4" hidden="1">{"Qtr Op Mgd Q2",#N/A,FALSE,"Qtr-Op (Mng)";"Qtr Op Rpt Q2",#N/A,FALSE,"Qtr-Op (Rpt)";"Operating Vs Reported",#N/A,FALSE,"Rpt-Op Inc"}</definedName>
    <definedName name="wrn.Qtr._.Op._Q2a." localSheetId="6" hidden="1">{"Qtr Op Mgd Q2",#N/A,FALSE,"Qtr-Op (Mng)";"Qtr Op Rpt Q2",#N/A,FALSE,"Qtr-Op (Rpt)";"Operating Vs Reported",#N/A,FALSE,"Rpt-Op Inc"}</definedName>
    <definedName name="wrn.Qtr._.Op._Q2a." hidden="1">{"Qtr Op Mgd Q2",#N/A,FALSE,"Qtr-Op (Mng)";"Qtr Op Rpt Q2",#N/A,FALSE,"Qtr-Op (Rpt)";"Operating Vs Reported",#N/A,FALSE,"Rpt-Op Inc"}</definedName>
    <definedName name="wrn.Qtr._.Op._Q2a._2" localSheetId="4" hidden="1">{"Qtr Op Mgd Q2",#N/A,FALSE,"Qtr-Op (Mng)";"Qtr Op Rpt Q2",#N/A,FALSE,"Qtr-Op (Rpt)";"Operating Vs Reported",#N/A,FALSE,"Rpt-Op Inc"}</definedName>
    <definedName name="wrn.Qtr._.Op._Q2a._2" localSheetId="6" hidden="1">{"Qtr Op Mgd Q2",#N/A,FALSE,"Qtr-Op (Mng)";"Qtr Op Rpt Q2",#N/A,FALSE,"Qtr-Op (Rpt)";"Operating Vs Reported",#N/A,FALSE,"Rpt-Op Inc"}</definedName>
    <definedName name="wrn.Qtr._.Op._Q2a._2" hidden="1">{"Qtr Op Mgd Q2",#N/A,FALSE,"Qtr-Op (Mng)";"Qtr Op Rpt Q2",#N/A,FALSE,"Qtr-Op (Rpt)";"Operating Vs Reported",#N/A,FALSE,"Rpt-Op Inc"}</definedName>
    <definedName name="wrn.Qtr._.Op._Q2a._3" localSheetId="4" hidden="1">{"Qtr Op Mgd Q2",#N/A,FALSE,"Qtr-Op (Mng)";"Qtr Op Rpt Q2",#N/A,FALSE,"Qtr-Op (Rpt)";"Operating Vs Reported",#N/A,FALSE,"Rpt-Op Inc"}</definedName>
    <definedName name="wrn.Qtr._.Op._Q2a._3" localSheetId="6" hidden="1">{"Qtr Op Mgd Q2",#N/A,FALSE,"Qtr-Op (Mng)";"Qtr Op Rpt Q2",#N/A,FALSE,"Qtr-Op (Rpt)";"Operating Vs Reported",#N/A,FALSE,"Rpt-Op Inc"}</definedName>
    <definedName name="wrn.Qtr._.Op._Q2a._3" hidden="1">{"Qtr Op Mgd Q2",#N/A,FALSE,"Qtr-Op (Mng)";"Qtr Op Rpt Q2",#N/A,FALSE,"Qtr-Op (Rpt)";"Operating Vs Reported",#N/A,FALSE,"Rpt-Op Inc"}</definedName>
    <definedName name="wrn.Qtr_.Op._.Q4." localSheetId="4" hidden="1">{"Qtr Op Mgd Q3",#N/A,FALSE,"Qtr-Op (Mng)";"Qtr Op Rpt Q4",#N/A,FALSE,"Qtr-Op (Rpt)";"Operating Vs Reported",#N/A,FALSE,"Rpt-Op Inc"}</definedName>
    <definedName name="wrn.Qtr_.Op._.Q4." localSheetId="6" hidden="1">{"Qtr Op Mgd Q3",#N/A,FALSE,"Qtr-Op (Mng)";"Qtr Op Rpt Q4",#N/A,FALSE,"Qtr-Op (Rpt)";"Operating Vs Reported",#N/A,FALSE,"Rpt-Op Inc"}</definedName>
    <definedName name="wrn.Qtr_.Op._.Q4." hidden="1">{"Qtr Op Mgd Q3",#N/A,FALSE,"Qtr-Op (Mng)";"Qtr Op Rpt Q4",#N/A,FALSE,"Qtr-Op (Rpt)";"Operating Vs Reported",#N/A,FALSE,"Rpt-Op Inc"}</definedName>
    <definedName name="wrn.Qtr_.Op._.Q4._2" localSheetId="4" hidden="1">{"Qtr Op Mgd Q3",#N/A,FALSE,"Qtr-Op (Mng)";"Qtr Op Rpt Q4",#N/A,FALSE,"Qtr-Op (Rpt)";"Operating Vs Reported",#N/A,FALSE,"Rpt-Op Inc"}</definedName>
    <definedName name="wrn.Qtr_.Op._.Q4._2" localSheetId="6" hidden="1">{"Qtr Op Mgd Q3",#N/A,FALSE,"Qtr-Op (Mng)";"Qtr Op Rpt Q4",#N/A,FALSE,"Qtr-Op (Rpt)";"Operating Vs Reported",#N/A,FALSE,"Rpt-Op Inc"}</definedName>
    <definedName name="wrn.Qtr_.Op._.Q4._2" hidden="1">{"Qtr Op Mgd Q3",#N/A,FALSE,"Qtr-Op (Mng)";"Qtr Op Rpt Q4",#N/A,FALSE,"Qtr-Op (Rpt)";"Operating Vs Reported",#N/A,FALSE,"Rpt-Op Inc"}</definedName>
    <definedName name="wrn.Qtr_.Op._.Q4._3" localSheetId="4" hidden="1">{"Qtr Op Mgd Q3",#N/A,FALSE,"Qtr-Op (Mng)";"Qtr Op Rpt Q4",#N/A,FALSE,"Qtr-Op (Rpt)";"Operating Vs Reported",#N/A,FALSE,"Rpt-Op Inc"}</definedName>
    <definedName name="wrn.Qtr_.Op._.Q4._3" localSheetId="6" hidden="1">{"Qtr Op Mgd Q3",#N/A,FALSE,"Qtr-Op (Mng)";"Qtr Op Rpt Q4",#N/A,FALSE,"Qtr-Op (Rpt)";"Operating Vs Reported",#N/A,FALSE,"Rpt-Op Inc"}</definedName>
    <definedName name="wrn.Qtr_.Op._.Q4._3" hidden="1">{"Qtr Op Mgd Q3",#N/A,FALSE,"Qtr-Op (Mng)";"Qtr Op Rpt Q4",#N/A,FALSE,"Qtr-Op (Rpt)";"Operating Vs Reported",#N/A,FALSE,"Rpt-Op Inc"}</definedName>
    <definedName name="wrn.Report." localSheetId="4" hidden="1">{#N/A,#N/A,FALSE,"COVER";#N/A,#N/A,FALSE,"FORECAST";#N/A,#N/A,FALSE,"VALUATION";#N/A,#N/A,FALSE,"FY ANALYSIS ";#N/A,#N/A,FALSE," HY ANALYSIS"}</definedName>
    <definedName name="wrn.Report." localSheetId="6" hidden="1">{#N/A,#N/A,FALSE,"COVER";#N/A,#N/A,FALSE,"FORECAST";#N/A,#N/A,FALSE,"VALUATION";#N/A,#N/A,FALSE,"FY ANALYSIS ";#N/A,#N/A,FALSE," HY ANALYSIS"}</definedName>
    <definedName name="wrn.Report." hidden="1">{#N/A,#N/A,FALSE,"COVER";#N/A,#N/A,FALSE,"FORECAST";#N/A,#N/A,FALSE,"VALUATION";#N/A,#N/A,FALSE,"FY ANALYSIS ";#N/A,#N/A,FALSE," HY ANALYSIS"}</definedName>
    <definedName name="wrn.Report._2" localSheetId="4" hidden="1">{#N/A,#N/A,FALSE,"COVER";#N/A,#N/A,FALSE,"FORECAST";#N/A,#N/A,FALSE,"VALUATION";#N/A,#N/A,FALSE,"FY ANALYSIS ";#N/A,#N/A,FALSE," HY ANALYSIS"}</definedName>
    <definedName name="wrn.Report._2" localSheetId="6" hidden="1">{#N/A,#N/A,FALSE,"COVER";#N/A,#N/A,FALSE,"FORECAST";#N/A,#N/A,FALSE,"VALUATION";#N/A,#N/A,FALSE,"FY ANALYSIS ";#N/A,#N/A,FALSE," HY ANALYSIS"}</definedName>
    <definedName name="wrn.Report._2" hidden="1">{#N/A,#N/A,FALSE,"COVER";#N/A,#N/A,FALSE,"FORECAST";#N/A,#N/A,FALSE,"VALUATION";#N/A,#N/A,FALSE,"FY ANALYSIS ";#N/A,#N/A,FALSE," HY ANALYSIS"}</definedName>
    <definedName name="wrn.Report._3" localSheetId="4" hidden="1">{#N/A,#N/A,FALSE,"COVER";#N/A,#N/A,FALSE,"FORECAST";#N/A,#N/A,FALSE,"VALUATION";#N/A,#N/A,FALSE,"FY ANALYSIS ";#N/A,#N/A,FALSE," HY ANALYSIS"}</definedName>
    <definedName name="wrn.Report._3" localSheetId="6" hidden="1">{#N/A,#N/A,FALSE,"COVER";#N/A,#N/A,FALSE,"FORECAST";#N/A,#N/A,FALSE,"VALUATION";#N/A,#N/A,FALSE,"FY ANALYSIS ";#N/A,#N/A,FALSE," HY ANALYSIS"}</definedName>
    <definedName name="wrn.Report._3" hidden="1">{#N/A,#N/A,FALSE,"COVER";#N/A,#N/A,FALSE,"FORECAST";#N/A,#N/A,FALSE,"VALUATION";#N/A,#N/A,FALSE,"FY ANALYSIS ";#N/A,#N/A,FALSE," HY ANALYSIS"}</definedName>
    <definedName name="wrn.Resume._.Progress." localSheetId="4" hidden="1">{#N/A,#N/A,FALSE,"WP [10]"}</definedName>
    <definedName name="wrn.Resume._.Progress." localSheetId="6" hidden="1">{#N/A,#N/A,FALSE,"WP [10]"}</definedName>
    <definedName name="wrn.Resume._.Progress." hidden="1">{#N/A,#N/A,FALSE,"WP [10]"}</definedName>
    <definedName name="wrn.rtpl." localSheetId="4" hidden="1">{#N/A,#N/A,FALSE,"REK-S-TPL";#N/A,#N/A,FALSE,"REK-TPML";#N/A,#N/A,FALSE,"RAB-TEMPEL"}</definedName>
    <definedName name="wrn.rtpl." localSheetId="6" hidden="1">{#N/A,#N/A,FALSE,"REK-S-TPL";#N/A,#N/A,FALSE,"REK-TPML";#N/A,#N/A,FALSE,"RAB-TEMPEL"}</definedName>
    <definedName name="wrn.rtpl." hidden="1">{#N/A,#N/A,FALSE,"REK-S-TPL";#N/A,#N/A,FALSE,"REK-TPML";#N/A,#N/A,FALSE,"RAB-TEMPEL"}</definedName>
    <definedName name="wrn.RTS." localSheetId="4" hidden="1">{"rts",#N/A,TRUE,"TITLE";#N/A,#N/A,TRUE,"P&amp;L - RTS";#N/A,#N/A,TRUE,"RTS biz";#N/A,#N/A,TRUE,"Cost - RTS";"RTS",#N/A,TRUE,"Capex "}</definedName>
    <definedName name="wrn.RTS." localSheetId="6" hidden="1">{"rts",#N/A,TRUE,"TITLE";#N/A,#N/A,TRUE,"P&amp;L - RTS";#N/A,#N/A,TRUE,"RTS biz";#N/A,#N/A,TRUE,"Cost - RTS";"RTS",#N/A,TRUE,"Capex "}</definedName>
    <definedName name="wrn.RTS." hidden="1">{"rts",#N/A,TRUE,"TITLE";#N/A,#N/A,TRUE,"P&amp;L - RTS";#N/A,#N/A,TRUE,"RTS biz";#N/A,#N/A,TRUE,"Cost - RTS";"RTS",#N/A,TRUE,"Capex "}</definedName>
    <definedName name="wrn.RTS._2" localSheetId="4" hidden="1">{"rts",#N/A,TRUE,"TITLE";#N/A,#N/A,TRUE,"P&amp;L - RTS";#N/A,#N/A,TRUE,"RTS biz";#N/A,#N/A,TRUE,"Cost - RTS";"RTS",#N/A,TRUE,"Capex "}</definedName>
    <definedName name="wrn.RTS._2" localSheetId="6" hidden="1">{"rts",#N/A,TRUE,"TITLE";#N/A,#N/A,TRUE,"P&amp;L - RTS";#N/A,#N/A,TRUE,"RTS biz";#N/A,#N/A,TRUE,"Cost - RTS";"RTS",#N/A,TRUE,"Capex "}</definedName>
    <definedName name="wrn.RTS._2" hidden="1">{"rts",#N/A,TRUE,"TITLE";#N/A,#N/A,TRUE,"P&amp;L - RTS";#N/A,#N/A,TRUE,"RTS biz";#N/A,#N/A,TRUE,"Cost - RTS";"RTS",#N/A,TRUE,"Capex "}</definedName>
    <definedName name="wrn.RTS._3" localSheetId="4" hidden="1">{"rts",#N/A,TRUE,"TITLE";#N/A,#N/A,TRUE,"P&amp;L - RTS";#N/A,#N/A,TRUE,"RTS biz";#N/A,#N/A,TRUE,"Cost - RTS";"RTS",#N/A,TRUE,"Capex "}</definedName>
    <definedName name="wrn.RTS._3" localSheetId="6" hidden="1">{"rts",#N/A,TRUE,"TITLE";#N/A,#N/A,TRUE,"P&amp;L - RTS";#N/A,#N/A,TRUE,"RTS biz";#N/A,#N/A,TRUE,"Cost - RTS";"RTS",#N/A,TRUE,"Capex "}</definedName>
    <definedName name="wrn.RTS._3" hidden="1">{"rts",#N/A,TRUE,"TITLE";#N/A,#N/A,TRUE,"P&amp;L - RTS";#N/A,#N/A,TRUE,"RTS biz";#N/A,#N/A,TRUE,"Cost - RTS";"RTS",#N/A,TRUE,"Capex "}</definedName>
    <definedName name="wrn.ry." localSheetId="4" hidden="1">{#N/A,#N/A,FALSE,"REK";#N/A,#N/A,FALSE,"rab"}</definedName>
    <definedName name="wrn.ry." localSheetId="6" hidden="1">{#N/A,#N/A,FALSE,"REK";#N/A,#N/A,FALSE,"rab"}</definedName>
    <definedName name="wrn.ry." hidden="1">{#N/A,#N/A,FALSE,"REK";#N/A,#N/A,FALSE,"rab"}</definedName>
    <definedName name="wrn.Summary." localSheetId="4" hidden="1">{"Section 1",#N/A,TRUE,"Summary";"Section 2",#N/A,TRUE,"Summary";"Section 3",#N/A,TRUE,"Summary";"Section 4",#N/A,TRUE,"Summary"}</definedName>
    <definedName name="wrn.Summary." localSheetId="6" hidden="1">{"Section 1",#N/A,TRUE,"Summary";"Section 2",#N/A,TRUE,"Summary";"Section 3",#N/A,TRUE,"Summary";"Section 4",#N/A,TRUE,"Summary"}</definedName>
    <definedName name="wrn.Summary." hidden="1">{"Section 1",#N/A,TRUE,"Summary";"Section 2",#N/A,TRUE,"Summary";"Section 3",#N/A,TRUE,"Summary";"Section 4",#N/A,TRUE,"Summary"}</definedName>
    <definedName name="wrn.Summary._2" localSheetId="4" hidden="1">{"Section 1",#N/A,TRUE,"Summary";"Section 2",#N/A,TRUE,"Summary";"Section 3",#N/A,TRUE,"Summary";"Section 4",#N/A,TRUE,"Summary"}</definedName>
    <definedName name="wrn.Summary._2" localSheetId="6" hidden="1">{"Section 1",#N/A,TRUE,"Summary";"Section 2",#N/A,TRUE,"Summary";"Section 3",#N/A,TRUE,"Summary";"Section 4",#N/A,TRUE,"Summary"}</definedName>
    <definedName name="wrn.Summary._2" hidden="1">{"Section 1",#N/A,TRUE,"Summary";"Section 2",#N/A,TRUE,"Summary";"Section 3",#N/A,TRUE,"Summary";"Section 4",#N/A,TRUE,"Summary"}</definedName>
    <definedName name="wrn.Summary._3" localSheetId="4" hidden="1">{"Section 1",#N/A,TRUE,"Summary";"Section 2",#N/A,TRUE,"Summary";"Section 3",#N/A,TRUE,"Summary";"Section 4",#N/A,TRUE,"Summary"}</definedName>
    <definedName name="wrn.Summary._3" localSheetId="6" hidden="1">{"Section 1",#N/A,TRUE,"Summary";"Section 2",#N/A,TRUE,"Summary";"Section 3",#N/A,TRUE,"Summary";"Section 4",#N/A,TRUE,"Summary"}</definedName>
    <definedName name="wrn.Summary._3" hidden="1">{"Section 1",#N/A,TRUE,"Summary";"Section 2",#N/A,TRUE,"Summary";"Section 3",#N/A,TRUE,"Summary";"Section 4",#N/A,TRUE,"Summary"}</definedName>
    <definedName name="wrn.TARGET._.DCF." localSheetId="4" hidden="1">{"targetdcf",#N/A,FALSE,"Merger consequences";"TARGETASSU",#N/A,FALSE,"Merger consequences";"TERMINAL VALUE",#N/A,FALSE,"Merger consequences"}</definedName>
    <definedName name="wrn.TARGET._.DCF." localSheetId="6" hidden="1">{"targetdcf",#N/A,FALSE,"Merger consequences";"TARGETASSU",#N/A,FALSE,"Merger consequences";"TERMINAL VALUE",#N/A,FALSE,"Merger consequences"}</definedName>
    <definedName name="wrn.TARGET._.DCF." hidden="1">{"targetdcf",#N/A,FALSE,"Merger consequences";"TARGETASSU",#N/A,FALSE,"Merger consequences";"TERMINAL VALUE",#N/A,FALSE,"Merger consequences"}</definedName>
    <definedName name="wrn.TARGET._.DCF._2" localSheetId="4" hidden="1">{"targetdcf",#N/A,FALSE,"Merger consequences";"TARGETASSU",#N/A,FALSE,"Merger consequences";"TERMINAL VALUE",#N/A,FALSE,"Merger consequences"}</definedName>
    <definedName name="wrn.TARGET._.DCF._2" localSheetId="6" hidden="1">{"targetdcf",#N/A,FALSE,"Merger consequences";"TARGETASSU",#N/A,FALSE,"Merger consequences";"TERMINAL VALUE",#N/A,FALSE,"Merger consequences"}</definedName>
    <definedName name="wrn.TARGET._.DCF._2" hidden="1">{"targetdcf",#N/A,FALSE,"Merger consequences";"TARGETASSU",#N/A,FALSE,"Merger consequences";"TERMINAL VALUE",#N/A,FALSE,"Merger consequences"}</definedName>
    <definedName name="wrn.TARGET._.DCF._3" localSheetId="4" hidden="1">{"targetdcf",#N/A,FALSE,"Merger consequences";"TARGETASSU",#N/A,FALSE,"Merger consequences";"TERMINAL VALUE",#N/A,FALSE,"Merger consequences"}</definedName>
    <definedName name="wrn.TARGET._.DCF._3" localSheetId="6" hidden="1">{"targetdcf",#N/A,FALSE,"Merger consequences";"TARGETASSU",#N/A,FALSE,"Merger consequences";"TERMINAL VALUE",#N/A,FALSE,"Merger consequences"}</definedName>
    <definedName name="wrn.TARGET._.DCF._3" hidden="1">{"targetdcf",#N/A,FALSE,"Merger consequences";"TARGETASSU",#N/A,FALSE,"Merger consequences";"TERMINAL VALUE",#N/A,FALSE,"Merger consequences"}</definedName>
    <definedName name="wrn.Telstra._.Inputs." localSheetId="4" hidden="1">{"Inputs",#N/A,FALSE,"US_FL";"Inputs",#N/A,FALSE,"EUROPE_FL";"Inputs",#N/A,FALSE,"ASIA_FL"}</definedName>
    <definedName name="wrn.Telstra._.Inputs." localSheetId="6" hidden="1">{"Inputs",#N/A,FALSE,"US_FL";"Inputs",#N/A,FALSE,"EUROPE_FL";"Inputs",#N/A,FALSE,"ASIA_FL"}</definedName>
    <definedName name="wrn.Telstra._.Inputs." hidden="1">{"Inputs",#N/A,FALSE,"US_FL";"Inputs",#N/A,FALSE,"EUROPE_FL";"Inputs",#N/A,FALSE,"ASIA_FL"}</definedName>
    <definedName name="wrn.Telstra._.Inputs._2" localSheetId="4" hidden="1">{"Inputs",#N/A,FALSE,"US_FL";"Inputs",#N/A,FALSE,"EUROPE_FL";"Inputs",#N/A,FALSE,"ASIA_FL"}</definedName>
    <definedName name="wrn.Telstra._.Inputs._2" localSheetId="6" hidden="1">{"Inputs",#N/A,FALSE,"US_FL";"Inputs",#N/A,FALSE,"EUROPE_FL";"Inputs",#N/A,FALSE,"ASIA_FL"}</definedName>
    <definedName name="wrn.Telstra._.Inputs._2" hidden="1">{"Inputs",#N/A,FALSE,"US_FL";"Inputs",#N/A,FALSE,"EUROPE_FL";"Inputs",#N/A,FALSE,"ASIA_FL"}</definedName>
    <definedName name="wrn.Telstra._.Inputs._3" localSheetId="4" hidden="1">{"Inputs",#N/A,FALSE,"US_FL";"Inputs",#N/A,FALSE,"EUROPE_FL";"Inputs",#N/A,FALSE,"ASIA_FL"}</definedName>
    <definedName name="wrn.Telstra._.Inputs._3" localSheetId="6" hidden="1">{"Inputs",#N/A,FALSE,"US_FL";"Inputs",#N/A,FALSE,"EUROPE_FL";"Inputs",#N/A,FALSE,"ASIA_FL"}</definedName>
    <definedName name="wrn.Telstra._.Inputs._3" hidden="1">{"Inputs",#N/A,FALSE,"US_FL";"Inputs",#N/A,FALSE,"EUROPE_FL";"Inputs",#N/A,FALSE,"ASIA_FL"}</definedName>
    <definedName name="wrn.Telstra._.Output." localSheetId="4" hidden="1">{"Output",#N/A,FALSE,"US_FL";"Output",#N/A,FALSE,"EUROPE_FL";"Output",#N/A,FALSE,"ASIA_FL"}</definedName>
    <definedName name="wrn.Telstra._.Output." localSheetId="6" hidden="1">{"Output",#N/A,FALSE,"US_FL";"Output",#N/A,FALSE,"EUROPE_FL";"Output",#N/A,FALSE,"ASIA_FL"}</definedName>
    <definedName name="wrn.Telstra._.Output." hidden="1">{"Output",#N/A,FALSE,"US_FL";"Output",#N/A,FALSE,"EUROPE_FL";"Output",#N/A,FALSE,"ASIA_FL"}</definedName>
    <definedName name="wrn.Telstra._.Output._2" localSheetId="4" hidden="1">{"Output",#N/A,FALSE,"US_FL";"Output",#N/A,FALSE,"EUROPE_FL";"Output",#N/A,FALSE,"ASIA_FL"}</definedName>
    <definedName name="wrn.Telstra._.Output._2" localSheetId="6" hidden="1">{"Output",#N/A,FALSE,"US_FL";"Output",#N/A,FALSE,"EUROPE_FL";"Output",#N/A,FALSE,"ASIA_FL"}</definedName>
    <definedName name="wrn.Telstra._.Output._2" hidden="1">{"Output",#N/A,FALSE,"US_FL";"Output",#N/A,FALSE,"EUROPE_FL";"Output",#N/A,FALSE,"ASIA_FL"}</definedName>
    <definedName name="wrn.Telstra._.Output._3" localSheetId="4" hidden="1">{"Output",#N/A,FALSE,"US_FL";"Output",#N/A,FALSE,"EUROPE_FL";"Output",#N/A,FALSE,"ASIA_FL"}</definedName>
    <definedName name="wrn.Telstra._.Output._3" localSheetId="6" hidden="1">{"Output",#N/A,FALSE,"US_FL";"Output",#N/A,FALSE,"EUROPE_FL";"Output",#N/A,FALSE,"ASIA_FL"}</definedName>
    <definedName name="wrn.Telstra._.Output._3" hidden="1">{"Output",#N/A,FALSE,"US_FL";"Output",#N/A,FALSE,"EUROPE_FL";"Output",#N/A,FALSE,"ASIA_FL"}</definedName>
    <definedName name="wrn.Variance._.3." localSheetId="4" hidden="1">{"Variance Q3",#N/A,FALSE,"Var"}</definedName>
    <definedName name="wrn.Variance._.3." localSheetId="6" hidden="1">{"Variance Q3",#N/A,FALSE,"Var"}</definedName>
    <definedName name="wrn.Variance._.3." hidden="1">{"Variance Q3",#N/A,FALSE,"Var"}</definedName>
    <definedName name="wrn.Variance._.3._2" localSheetId="4" hidden="1">{"Variance Q3",#N/A,FALSE,"Var"}</definedName>
    <definedName name="wrn.Variance._.3._2" localSheetId="6" hidden="1">{"Variance Q3",#N/A,FALSE,"Var"}</definedName>
    <definedName name="wrn.Variance._.3._2" hidden="1">{"Variance Q3",#N/A,FALSE,"Var"}</definedName>
    <definedName name="wrn.Variance._.3._3" localSheetId="4" hidden="1">{"Variance Q3",#N/A,FALSE,"Var"}</definedName>
    <definedName name="wrn.Variance._.3._3" localSheetId="6" hidden="1">{"Variance Q3",#N/A,FALSE,"Var"}</definedName>
    <definedName name="wrn.Variance._.3._3" hidden="1">{"Variance Q3",#N/A,FALSE,"Var"}</definedName>
    <definedName name="wrn.Variance._.Q1." localSheetId="4" hidden="1">{"Variance Q1",#N/A,FALSE,"Var"}</definedName>
    <definedName name="wrn.Variance._.Q1." localSheetId="6" hidden="1">{"Variance Q1",#N/A,FALSE,"Var"}</definedName>
    <definedName name="wrn.Variance._.Q1." hidden="1">{"Variance Q1",#N/A,FALSE,"Var"}</definedName>
    <definedName name="wrn.Variance._.Q1._2" localSheetId="4" hidden="1">{"Variance Q1",#N/A,FALSE,"Var"}</definedName>
    <definedName name="wrn.Variance._.Q1._2" localSheetId="6" hidden="1">{"Variance Q1",#N/A,FALSE,"Var"}</definedName>
    <definedName name="wrn.Variance._.Q1._2" hidden="1">{"Variance Q1",#N/A,FALSE,"Var"}</definedName>
    <definedName name="wrn.Variance._.Q1._3" localSheetId="4" hidden="1">{"Variance Q1",#N/A,FALSE,"Var"}</definedName>
    <definedName name="wrn.Variance._.Q1._3" localSheetId="6" hidden="1">{"Variance Q1",#N/A,FALSE,"Var"}</definedName>
    <definedName name="wrn.Variance._.Q1._3" hidden="1">{"Variance Q1",#N/A,FALSE,"Var"}</definedName>
    <definedName name="wrn.Variance._.Q2." localSheetId="4" hidden="1">{"Variance Q2",#N/A,FALSE,"Var"}</definedName>
    <definedName name="wrn.Variance._.Q2." localSheetId="6" hidden="1">{"Variance Q2",#N/A,FALSE,"Var"}</definedName>
    <definedName name="wrn.Variance._.Q2." hidden="1">{"Variance Q2",#N/A,FALSE,"Var"}</definedName>
    <definedName name="wrn.Variance._.Q2._2" localSheetId="4" hidden="1">{"Variance Q2",#N/A,FALSE,"Var"}</definedName>
    <definedName name="wrn.Variance._.Q2._2" localSheetId="6" hidden="1">{"Variance Q2",#N/A,FALSE,"Var"}</definedName>
    <definedName name="wrn.Variance._.Q2._2" hidden="1">{"Variance Q2",#N/A,FALSE,"Var"}</definedName>
    <definedName name="wrn.Variance._.Q2._3" localSheetId="4" hidden="1">{"Variance Q2",#N/A,FALSE,"Var"}</definedName>
    <definedName name="wrn.Variance._.Q2._3" localSheetId="6" hidden="1">{"Variance Q2",#N/A,FALSE,"Var"}</definedName>
    <definedName name="wrn.Variance._.Q2._3" hidden="1">{"Variance Q2",#N/A,FALSE,"Var"}</definedName>
    <definedName name="wrn.Variance._.Q3." localSheetId="4" hidden="1">{"Variance Q3",#N/A,FALSE,"Var"}</definedName>
    <definedName name="wrn.Variance._.Q3." localSheetId="6" hidden="1">{"Variance Q3",#N/A,FALSE,"Var"}</definedName>
    <definedName name="wrn.Variance._.Q3." hidden="1">{"Variance Q3",#N/A,FALSE,"Var"}</definedName>
    <definedName name="wrn.Variance._.Q3._2" localSheetId="4" hidden="1">{"Variance Q3",#N/A,FALSE,"Var"}</definedName>
    <definedName name="wrn.Variance._.Q3._2" localSheetId="6" hidden="1">{"Variance Q3",#N/A,FALSE,"Var"}</definedName>
    <definedName name="wrn.Variance._.Q3._2" hidden="1">{"Variance Q3",#N/A,FALSE,"Var"}</definedName>
    <definedName name="wrn.Variance._.Q3._3" localSheetId="4" hidden="1">{"Variance Q3",#N/A,FALSE,"Var"}</definedName>
    <definedName name="wrn.Variance._.Q3._3" localSheetId="6" hidden="1">{"Variance Q3",#N/A,FALSE,"Var"}</definedName>
    <definedName name="wrn.Variance._.Q3._3" hidden="1">{"Variance Q3",#N/A,FALSE,"Var"}</definedName>
    <definedName name="wrn.Variance._.Q4" localSheetId="4" hidden="1">{"Variance Q4",#N/A,FALSE,"Var"}</definedName>
    <definedName name="wrn.Variance._.Q4" localSheetId="6" hidden="1">{"Variance Q4",#N/A,FALSE,"Var"}</definedName>
    <definedName name="wrn.Variance._.Q4" hidden="1">{"Variance Q4",#N/A,FALSE,"Var"}</definedName>
    <definedName name="wrn.Variance._.Q4." localSheetId="4" hidden="1">{"Variance Q4",#N/A,FALSE,"Var"}</definedName>
    <definedName name="wrn.Variance._.Q4." localSheetId="6" hidden="1">{"Variance Q4",#N/A,FALSE,"Var"}</definedName>
    <definedName name="wrn.Variance._.Q4." hidden="1">{"Variance Q4",#N/A,FALSE,"Var"}</definedName>
    <definedName name="wrn.Variance._.Q4._2" localSheetId="4" hidden="1">{"Variance Q4",#N/A,FALSE,"Var"}</definedName>
    <definedName name="wrn.Variance._.Q4._2" localSheetId="6" hidden="1">{"Variance Q4",#N/A,FALSE,"Var"}</definedName>
    <definedName name="wrn.Variance._.Q4._2" hidden="1">{"Variance Q4",#N/A,FALSE,"Var"}</definedName>
    <definedName name="wrn.Variance._.Q4._3" localSheetId="4" hidden="1">{"Variance Q4",#N/A,FALSE,"Var"}</definedName>
    <definedName name="wrn.Variance._.Q4._3" localSheetId="6" hidden="1">{"Variance Q4",#N/A,FALSE,"Var"}</definedName>
    <definedName name="wrn.Variance._.Q4._3" hidden="1">{"Variance Q4",#N/A,FALSE,"Var"}</definedName>
    <definedName name="wrn.Variance._.Q4_2" localSheetId="4" hidden="1">{"Variance Q4",#N/A,FALSE,"Var"}</definedName>
    <definedName name="wrn.Variance._.Q4_2" localSheetId="6" hidden="1">{"Variance Q4",#N/A,FALSE,"Var"}</definedName>
    <definedName name="wrn.Variance._.Q4_2" hidden="1">{"Variance Q4",#N/A,FALSE,"Var"}</definedName>
    <definedName name="wrn.Variance._.Q4_3" localSheetId="4" hidden="1">{"Variance Q4",#N/A,FALSE,"Var"}</definedName>
    <definedName name="wrn.Variance._.Q4_3" localSheetId="6" hidden="1">{"Variance Q4",#N/A,FALSE,"Var"}</definedName>
    <definedName name="wrn.Variance._.Q4_3" hidden="1">{"Variance Q4",#N/A,FALSE,"Var"}</definedName>
    <definedName name="wrn.Wacc." localSheetId="4" hidden="1">{"Area1",#N/A,FALSE,"OREWACC";"Area2",#N/A,FALSE,"OREWACC"}</definedName>
    <definedName name="wrn.Wacc." localSheetId="6" hidden="1">{"Area1",#N/A,FALSE,"OREWACC";"Area2",#N/A,FALSE,"OREWACC"}</definedName>
    <definedName name="wrn.Wacc." hidden="1">{"Area1",#N/A,FALSE,"OREWACC";"Area2",#N/A,FALSE,"OREWACC"}</definedName>
    <definedName name="wrn.Wacc._2" localSheetId="4" hidden="1">{"Area1",#N/A,FALSE,"OREWACC";"Area2",#N/A,FALSE,"OREWACC"}</definedName>
    <definedName name="wrn.Wacc._2" localSheetId="6" hidden="1">{"Area1",#N/A,FALSE,"OREWACC";"Area2",#N/A,FALSE,"OREWACC"}</definedName>
    <definedName name="wrn.Wacc._2" hidden="1">{"Area1",#N/A,FALSE,"OREWACC";"Area2",#N/A,FALSE,"OREWACC"}</definedName>
    <definedName name="wrn.Wacc._3" localSheetId="4" hidden="1">{"Area1",#N/A,FALSE,"OREWACC";"Area2",#N/A,FALSE,"OREWACC"}</definedName>
    <definedName name="wrn.Wacc._3" localSheetId="6" hidden="1">{"Area1",#N/A,FALSE,"OREWACC";"Area2",#N/A,FALSE,"OREWACC"}</definedName>
    <definedName name="wrn.Wacc._3" hidden="1">{"Area1",#N/A,FALSE,"OREWACC";"Area2",#N/A,FALSE,"OREWACC"}</definedName>
    <definedName name="wrn.설계내역서." localSheetId="4" hidden="1">{#N/A,#N/A,FALSE,"설계내억서"}</definedName>
    <definedName name="wrn.설계내역서." localSheetId="6" hidden="1">{#N/A,#N/A,FALSE,"설계내억서"}</definedName>
    <definedName name="wrn.설계내역서." hidden="1">{#N/A,#N/A,FALSE,"설계내억서"}</definedName>
    <definedName name="ws" localSheetId="4" hidden="1">#REF!</definedName>
    <definedName name="ws" hidden="1">#REF!</definedName>
    <definedName name="www" localSheetId="4" hidden="1">#REF!</definedName>
    <definedName name="www" hidden="1">#REF!</definedName>
    <definedName name="www_2" localSheetId="4" hidden="1">{"DCF","UPSIDE CASE",FALSE,"Sheet1";"DCF","BASE CASE",FALSE,"Sheet1";"DCF","DOWNSIDE CASE",FALSE,"Sheet1"}</definedName>
    <definedName name="www_2" localSheetId="6" hidden="1">{"DCF","UPSIDE CASE",FALSE,"Sheet1";"DCF","BASE CASE",FALSE,"Sheet1";"DCF","DOWNSIDE CASE",FALSE,"Sheet1"}</definedName>
    <definedName name="www_2" hidden="1">{"DCF","UPSIDE CASE",FALSE,"Sheet1";"DCF","BASE CASE",FALSE,"Sheet1";"DCF","DOWNSIDE CASE",FALSE,"Sheet1"}</definedName>
    <definedName name="www_3" localSheetId="4" hidden="1">{"DCF","UPSIDE CASE",FALSE,"Sheet1";"DCF","BASE CASE",FALSE,"Sheet1";"DCF","DOWNSIDE CASE",FALSE,"Sheet1"}</definedName>
    <definedName name="www_3" localSheetId="6" hidden="1">{"DCF","UPSIDE CASE",FALSE,"Sheet1";"DCF","BASE CASE",FALSE,"Sheet1";"DCF","DOWNSIDE CASE",FALSE,"Sheet1"}</definedName>
    <definedName name="www_3" hidden="1">{"DCF","UPSIDE CASE",FALSE,"Sheet1";"DCF","BASE CASE",FALSE,"Sheet1";"DCF","DOWNSIDE CASE",FALSE,"Sheet1"}</definedName>
    <definedName name="wwwww"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wwww"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wwww"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axascasc" localSheetId="4" hidden="1">{"Aneh",#N/A,FALSE,"Sheet1"}</definedName>
    <definedName name="xaxascasc" localSheetId="6" hidden="1">{"Aneh",#N/A,FALSE,"Sheet1"}</definedName>
    <definedName name="xaxascasc" hidden="1">{"Aneh",#N/A,FALSE,"Sheet1"}</definedName>
    <definedName name="XXX" localSheetId="4" hidden="1">{#N/A,#N/A,FALSE,"CCTV"}</definedName>
    <definedName name="XXX" localSheetId="6" hidden="1">{#N/A,#N/A,FALSE,"CCTV"}</definedName>
    <definedName name="XXX" hidden="1">{#N/A,#N/A,FALSE,"CCTV"}</definedName>
    <definedName name="y" localSheetId="4"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y" localSheetId="6"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y"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y_2" localSheetId="4"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y_2" localSheetId="6"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y_2"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y_3" localSheetId="4"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y_3" localSheetId="6"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y_3" hidden="1">{#N/A,#N/A,FALSE,"DCF";#N/A,#N/A,FALSE,"P&amp;L";#N/A,#N/A,FALSE,"BS";#N/A,#N/A,FALSE,"CF";#N/A,#N/A,FALSE,"debt schedule";#N/A,#N/A,FALSE,"WorkCap";#N/A,#N/A,FALSE,"ETACS";#N/A,#N/A,FALSE,"GSM";#N/A,#N/A,FALSE,"LEC";#N/A,#N/A,FALSE,"IGF";#N/A,#N/A,FALSE,"Expenses";#N/A,#N/A,FALSE,"Labour Expenses";#N/A,#N/A,FALSE,"Capex&amp;Depn";#N/A,#N/A,FALSE,"Fixed assets";#N/A,#N/A,FALSE,"WACC_Fixed";#N/A,#N/A,FALSE,"WACC_Cel"}</definedName>
    <definedName name="Yassin" localSheetId="6" hidden="1">'[1]ocean voyage'!#REF!</definedName>
    <definedName name="Yassin" hidden="1">'[1]ocean voyage'!#REF!</definedName>
    <definedName name="Yassin1" localSheetId="6" hidden="1">'[1]ocean voyage'!#REF!</definedName>
    <definedName name="Yassin1" hidden="1">'[1]ocean voyage'!#REF!</definedName>
    <definedName name="yes" localSheetId="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es" localSheetId="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e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Z_7F422981_74C8_11D3_AF87_83DAC7D352F1_.wvu.PrintArea" localSheetId="4" hidden="1">#REF!</definedName>
    <definedName name="Z_7F422981_74C8_11D3_AF87_83DAC7D352F1_.wvu.PrintArea" localSheetId="6" hidden="1">#REF!</definedName>
    <definedName name="Z_7F422981_74C8_11D3_AF87_83DAC7D352F1_.wvu.PrintArea" hidden="1">#REF!</definedName>
    <definedName name="Z_7F422981_74C8_11D3_AF87_83DAC7D352F1_.wvu.Rows" localSheetId="4" hidden="1">#REF!,#REF!,#REF!</definedName>
    <definedName name="Z_7F422981_74C8_11D3_AF87_83DAC7D352F1_.wvu.Rows" localSheetId="6" hidden="1">#REF!,#REF!,#REF!</definedName>
    <definedName name="Z_7F422981_74C8_11D3_AF87_83DAC7D352F1_.wvu.Rows" hidden="1">#REF!,#REF!,#REF!</definedName>
    <definedName name="Z_F542B619_54CD_4F64_997A_B89B579C3987_.wvu.PrintArea" localSheetId="4" hidden="1">#REF!</definedName>
    <definedName name="Z_F542B619_54CD_4F64_997A_B89B579C3987_.wvu.PrintArea" localSheetId="6" hidden="1">#REF!</definedName>
    <definedName name="Z_F542B619_54CD_4F64_997A_B89B579C3987_.wvu.PrintArea" hidden="1">#REF!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8" i="30" l="1"/>
  <c r="G14" i="27" l="1"/>
  <c r="G13" i="27"/>
  <c r="G11" i="27"/>
  <c r="U11" i="27"/>
  <c r="U13" i="27"/>
  <c r="T14" i="27"/>
  <c r="G15" i="26" l="1"/>
  <c r="G13" i="26"/>
  <c r="G12" i="26"/>
  <c r="G8" i="26"/>
  <c r="T8" i="26"/>
  <c r="T12" i="26"/>
  <c r="T13" i="26"/>
  <c r="S15" i="26"/>
  <c r="G19" i="10"/>
  <c r="G15" i="10"/>
  <c r="AA15" i="10"/>
  <c r="Z19" i="10"/>
  <c r="G19" i="25"/>
  <c r="G15" i="11"/>
  <c r="F15" i="26" l="1"/>
  <c r="F14" i="27" l="1"/>
  <c r="H5" i="10" l="1"/>
  <c r="H14" i="10"/>
  <c r="H13" i="10"/>
  <c r="H12" i="10"/>
  <c r="H11" i="10"/>
  <c r="H6" i="10"/>
  <c r="H17" i="10"/>
  <c r="H16" i="10"/>
  <c r="H15" i="10"/>
  <c r="H10" i="10"/>
  <c r="H9" i="10"/>
  <c r="H8" i="10"/>
  <c r="H7" i="10"/>
  <c r="H4" i="10"/>
  <c r="J14" i="10"/>
  <c r="J13" i="10"/>
  <c r="J12" i="10"/>
  <c r="J11" i="10"/>
  <c r="F19" i="10"/>
  <c r="R4" i="11"/>
  <c r="P4" i="11"/>
  <c r="O4" i="11"/>
  <c r="N4" i="11"/>
  <c r="M4" i="11"/>
  <c r="L4" i="11"/>
  <c r="K4" i="11"/>
  <c r="I4" i="11"/>
  <c r="E4" i="11"/>
  <c r="F4" i="11"/>
  <c r="D4" i="11"/>
  <c r="C4" i="11"/>
  <c r="F15" i="11"/>
  <c r="F19" i="25"/>
  <c r="O18" i="25"/>
  <c r="O14" i="11" s="1"/>
  <c r="N18" i="25"/>
  <c r="N14" i="11" s="1"/>
  <c r="M18" i="25"/>
  <c r="M14" i="11"/>
  <c r="L18" i="25"/>
  <c r="L14" i="11"/>
  <c r="K18" i="25"/>
  <c r="K14" i="11" s="1"/>
  <c r="D18" i="25"/>
  <c r="D14" i="11" s="1"/>
  <c r="C18" i="25"/>
  <c r="D19" i="25" s="1"/>
  <c r="B18" i="25"/>
  <c r="O17" i="25"/>
  <c r="O12" i="11"/>
  <c r="N17" i="25"/>
  <c r="N12" i="11" s="1"/>
  <c r="M17" i="25"/>
  <c r="M12" i="11" s="1"/>
  <c r="L17" i="25"/>
  <c r="L12" i="11" s="1"/>
  <c r="K17" i="25"/>
  <c r="K12" i="11" s="1"/>
  <c r="D17" i="25"/>
  <c r="O13" i="11"/>
  <c r="N13" i="11"/>
  <c r="M13" i="11"/>
  <c r="L13" i="11"/>
  <c r="K13" i="11"/>
  <c r="D16" i="25"/>
  <c r="D13" i="11" s="1"/>
  <c r="O14" i="25"/>
  <c r="N14" i="25"/>
  <c r="M14" i="25"/>
  <c r="L14" i="25"/>
  <c r="K14" i="25"/>
  <c r="D14" i="25"/>
  <c r="O13" i="25"/>
  <c r="N13" i="25"/>
  <c r="M13" i="25"/>
  <c r="L13" i="25"/>
  <c r="K13" i="25"/>
  <c r="O12" i="25"/>
  <c r="N12" i="25"/>
  <c r="M12" i="25"/>
  <c r="L12" i="25"/>
  <c r="K12" i="25"/>
  <c r="D12" i="25"/>
  <c r="O11" i="25"/>
  <c r="N11" i="25"/>
  <c r="M11" i="25"/>
  <c r="L11" i="25"/>
  <c r="K11" i="25"/>
  <c r="D11" i="25"/>
  <c r="O10" i="25"/>
  <c r="N10" i="25"/>
  <c r="M10" i="25"/>
  <c r="L10" i="25"/>
  <c r="K10" i="25"/>
  <c r="D10" i="25"/>
  <c r="C10" i="25"/>
  <c r="Q2" i="21"/>
  <c r="F11" i="22"/>
  <c r="D11" i="22"/>
  <c r="G8" i="22"/>
  <c r="G2" i="22"/>
  <c r="G3" i="22"/>
  <c r="G11" i="22"/>
  <c r="D10" i="21"/>
  <c r="D19" i="10"/>
  <c r="F10" i="21"/>
  <c r="F20" i="19"/>
  <c r="F20" i="20"/>
  <c r="F14" i="18"/>
  <c r="F14" i="17"/>
  <c r="C14" i="11" l="1"/>
  <c r="D15" i="11" s="1"/>
</calcChain>
</file>

<file path=xl/comments1.xml><?xml version="1.0" encoding="utf-8"?>
<comments xmlns="http://schemas.openxmlformats.org/spreadsheetml/2006/main">
  <authors>
    <author>Heru Prasetya</author>
  </authors>
  <commentList>
    <comment ref="E8" authorId="0" shapeId="0">
      <text>
        <r>
          <rPr>
            <b/>
            <sz val="9"/>
            <color indexed="81"/>
            <rFont val="Tahoma"/>
            <family val="2"/>
          </rPr>
          <t>Heru Prasetya:</t>
        </r>
        <r>
          <rPr>
            <sz val="9"/>
            <color indexed="81"/>
            <rFont val="Tahoma"/>
            <family val="2"/>
          </rPr>
          <t xml:space="preserve">
kita naikan 5%</t>
        </r>
      </text>
    </comment>
  </commentList>
</comments>
</file>

<file path=xl/comments2.xml><?xml version="1.0" encoding="utf-8"?>
<comments xmlns="http://schemas.openxmlformats.org/spreadsheetml/2006/main">
  <authors>
    <author>Heru Prasetya</author>
  </authors>
  <commentList>
    <comment ref="E8" authorId="0" shapeId="0">
      <text>
        <r>
          <rPr>
            <b/>
            <sz val="9"/>
            <color indexed="81"/>
            <rFont val="Tahoma"/>
            <family val="2"/>
          </rPr>
          <t>Heru Prasetya:</t>
        </r>
        <r>
          <rPr>
            <sz val="9"/>
            <color indexed="81"/>
            <rFont val="Tahoma"/>
            <family val="2"/>
          </rPr>
          <t xml:space="preserve">
kita naikan 5%</t>
        </r>
      </text>
    </comment>
  </commentList>
</comments>
</file>

<file path=xl/sharedStrings.xml><?xml version="1.0" encoding="utf-8"?>
<sst xmlns="http://schemas.openxmlformats.org/spreadsheetml/2006/main" count="1381" uniqueCount="257">
  <si>
    <t xml:space="preserve">Perspective </t>
  </si>
  <si>
    <t xml:space="preserve">Objective </t>
  </si>
  <si>
    <t xml:space="preserve">KPI </t>
  </si>
  <si>
    <t xml:space="preserve">Deskripsi </t>
  </si>
  <si>
    <t>Review Frequency</t>
  </si>
  <si>
    <t>UOM</t>
  </si>
  <si>
    <t>L1</t>
  </si>
  <si>
    <t>L2</t>
  </si>
  <si>
    <t>%</t>
  </si>
  <si>
    <t xml:space="preserve">Customer </t>
  </si>
  <si>
    <t xml:space="preserve">Comply to Government Regulations </t>
  </si>
  <si>
    <t xml:space="preserve">% Goverment Compliance (K3) </t>
  </si>
  <si>
    <t>Internal Business Process</t>
  </si>
  <si>
    <t>Halfyearly</t>
  </si>
  <si>
    <t>Nos</t>
  </si>
  <si>
    <t>Monthly</t>
  </si>
  <si>
    <t>LTISR</t>
  </si>
  <si>
    <t>Quarterly</t>
  </si>
  <si>
    <t>% Fulfillment Incident investigation</t>
  </si>
  <si>
    <t>TOTAL</t>
  </si>
  <si>
    <t>Monitoring Hazard Report &amp; Inspeksi</t>
  </si>
  <si>
    <t>Grup KPI</t>
  </si>
  <si>
    <t>Weightage
Bobot</t>
  </si>
  <si>
    <t>Detail Bobot</t>
  </si>
  <si>
    <t>Calculation</t>
  </si>
  <si>
    <t>L4</t>
  </si>
  <si>
    <t>L5</t>
  </si>
  <si>
    <t xml:space="preserve">Nilai evaluasi pemenuhan peraturan terkait K3 yang berlaku di Indonesia tahun 2020. 
- L1: 90 %
- L2: 92 %
- L3: 95 %
- L4: 98 %
- L5: 100 %
Notes: perhitungan berdasarkan hasil tinjauan manajemen Data berdasarkan dari evaluasi pemenuhan peraturan K3 oleh Divisi System Compliance
</t>
  </si>
  <si>
    <t>Constant</t>
  </si>
  <si>
    <t>Support</t>
  </si>
  <si>
    <t xml:space="preserve">Strengthen OHS Management </t>
  </si>
  <si>
    <t>KPI Safety</t>
  </si>
  <si>
    <t># Coaching</t>
  </si>
  <si>
    <t>Individual</t>
  </si>
  <si>
    <t># Observation</t>
  </si>
  <si>
    <t># Inspection</t>
  </si>
  <si>
    <t>TOTAL WEIGHTAGE HARUS 70%</t>
  </si>
  <si>
    <t>Keterangan</t>
  </si>
  <si>
    <t xml:space="preserve">Loss Time Injury Severity Rate: rata-rata keparahan tingkat cedera yang mengakibatkan hilangnya waktu kerja
(2 Kejadian Minor di L3)
</t>
  </si>
  <si>
    <t xml:space="preserve">
L3 </t>
  </si>
  <si>
    <t>Laporan P2K3 Triwulan</t>
  </si>
  <si>
    <t># Hazard Report</t>
  </si>
  <si>
    <t>Bobot Untuk Karyawan Baru</t>
  </si>
  <si>
    <t>Half Yearly</t>
  </si>
  <si>
    <t>Monitoring Hazard Report &amp; Inspeksi via BEATS</t>
  </si>
  <si>
    <t>DCRS</t>
  </si>
  <si>
    <t>Follow up temuan ESDM</t>
  </si>
  <si>
    <t>Evaluasi Analisa Safety 
(Monthly Report)</t>
  </si>
  <si>
    <t>Jumlah pelaksanaan kegiatan coaching untuk mendukung safety performance. Calculation: # Jumlah coaching
L1: 0
L2: 1
L3: 2
L4: 3
L5: 4</t>
  </si>
  <si>
    <t>Jumlah pelaksanaan kegiatan observasi untuk mendukung safety performance, sesuai tanggung jawab area dan berdasarkan list activity yang dibuat oleh masing-masing departemen. Calculation: # Jumlah observasi
L1: 1
L2: 2
L3: 3
L4: 4
L5: 5</t>
  </si>
  <si>
    <t>Jumlah pelaksanaan kegiatan hazard report untuk mendukung safety performance. Calculation: # Jumlah coaching
L1: 1
L2: 2
L3: 3
L4: 4
L5: 5</t>
  </si>
  <si>
    <t>Jumlah pelaksanaan kegiatan observasi untuk mendukung safety performance, sesuai tanggung jawab area dan berdasarkan list activity yang dibuat oleh masing-masing departemen. Calculation: # Jumlah observasi
L1: 2
L2: 3
L3: 4
L4: 5
L5: 6</t>
  </si>
  <si>
    <t>Jumlah pelaksanaan kegiatan inspeksi untuk mendukung safety performance, sesuai tanggung jawab area dan berdasarkan list activity yang dibuat oleh masing-masing departemen. Calculation: # Jumlah inspeksi
L1: 2
L2: 3
L3: 4
L4: 5
L5: 6</t>
  </si>
  <si>
    <t>Jumlah pelaksanaan kegiatan hazard report untuk mendukung safety performance. Calculation: # Jumlah Hazard Report
L1: 1
L2: 2
L3: 3
L4: 4
L5: 5</t>
  </si>
  <si>
    <t>Jumlah pelaksanaan kegiatan coaching untuk mendukung safety dan work performance. Calculation: # Jumlah coaching
L1: 0
L2: 1
L3: 2
L4: 3
L5: 4</t>
  </si>
  <si>
    <t>Jumlah pelaksanaan kegiatan observasi untuk mendukung safety performance. Calculation: # Jumlah observasi
L1: 1
L2: 2
L3: 3
L4: 4
L5: 5</t>
  </si>
  <si>
    <t># Hazard report</t>
  </si>
  <si>
    <t>Jumlah hazard report yang dibuat untuk mendukung safety performance. Calculation: # Jumlah Hazard Report
L1: 0
L2: 1
L3: 2
L4: 3
L5: 4</t>
  </si>
  <si>
    <t xml:space="preserve">Nama KPI </t>
  </si>
  <si>
    <t xml:space="preserve">L3 </t>
  </si>
  <si>
    <t>Marine Safety Supt
Heru</t>
  </si>
  <si>
    <t xml:space="preserve">Nilai evaluasi pemenuhan peraturan terkait K3 yang berlaku di Indonesia tahun 2021:
- L1: 90 %
- L2: 92 %
- L3: 95 %
- L4: 98 %
- L5: 100 %
Notes: perhitungan berdasarkan hasil tinjauan manajemen Data berdasarkan dari evaluasi pemenuhan peraturan K3 oleh Divisi System Compliance
</t>
  </si>
  <si>
    <t>Halyearly</t>
  </si>
  <si>
    <t>Jumlah pelaksanaan kegiatan inspeksi untuk mendukung safety performance. Calculation: # Jumlah inspeksi
L1: 1
L2: 2
L3: 3
L4: 4
L5:5</t>
  </si>
  <si>
    <t>Pemenuhan Hazard Report (Closed) - Spesifik Marine by Beats</t>
  </si>
  <si>
    <t>Pemenuhan Hazard Report (Closed) - Spesifik Marine by Perfomance</t>
  </si>
  <si>
    <t>Pemenuhan hazard report yang closed  khusus area Marine sebelum due date di bulan berjalan by perfomance (beats, dash board safety dan safety perfomance)
L1: 75%
L2: 80%
L3: 85%
L4: 90%
L5: 95%</t>
  </si>
  <si>
    <t>Penurunan Accident Marine</t>
  </si>
  <si>
    <t>+</t>
  </si>
  <si>
    <t>% Fulfillment Incident investigation - Area Marine</t>
  </si>
  <si>
    <t>Pemenuhan rekomendasi dari hasil investigasi (Khusus Area Marine)
L1: 75%
L2: 80%
L3: 85%
L4: 90%
L5: 95%</t>
  </si>
  <si>
    <t>Senior Buddy System</t>
  </si>
  <si>
    <t>Annual</t>
  </si>
  <si>
    <t>Senior Buddy System Implementation</t>
  </si>
  <si>
    <t>Total KPI: 11</t>
  </si>
  <si>
    <t>Marine Safety Spv
Ferry G</t>
  </si>
  <si>
    <t>Loss Time Injury Severity Rate khusus area Marine PT. BC  : rata-rata keparahan tingkat cedera yang mengakibatkan hilangnya waktu kerja
L1: 4 kejadian LTI
L2: 3 kejadian LTI 
L3: 2 kejadian LTI
L4: 1 kejadian LTI
L5: tidak ada kejadian LTI</t>
  </si>
  <si>
    <t>Pemenuhan hazard report yang closed  khusus area Marine dengan menggunakan fasilitas Beats (sesuai rekab dari safety evaluator)
L1: 70%
L2: 75%
L3: 80%
L4: 85%
L5: 90%</t>
  </si>
  <si>
    <t>Penurunan Accident  khusus area Marine dari batas maksimum 15 kejadian dikarenakan peningkatan produksi yang tidak stabil di setiap quater, penggantian floating crane dan harus support PT. sebelah, keluar masuk unit  Tug boat.
- L1: Adanya penambahan jumlah accident
- L2: 0 (Tidak ada penurunan accident)
- L3: 1 (Terdapat penurunan sebanyak 1 accident)
- L4: 2 (Terdapat penurunan sebanyak 2 accident)
- L5: 3 (Terdapat penurunan sebanyak 3 accident)</t>
  </si>
  <si>
    <t>Pembentukan team  kecil Senior Buddy System dan penentuan topik sesuai dengan pekerjaanya untuk Area Marine di Mitra Kerja
L1: Pembentukan team kecil dan Penentuan topik coach mencapai target 50 %
L2: Pembentukan team kecil dan Penentuan topik coach mencapai target 65 %
L3: Pembentukan team kecil dan Penentuan topik coach mencapai target 70 %
L4: Pembentukan team kecil dan Penentuan topik coach mencapai target 75 %
L5: Pembentukan team kecil dan Penentuan topik coach mencapai target 80 %</t>
  </si>
  <si>
    <t>Pelaksanaan program Senior Buddy System untuk Area Marine khusus topik coaching SBS sesuai topik
L1: 60%
L2: 65%
L3: 70%
L4: 75%
L5: 80%</t>
  </si>
  <si>
    <t>L3 (Target)</t>
  </si>
  <si>
    <t>Halfyear</t>
  </si>
  <si>
    <t>Jumlah pelaksanaan kegiatan inspeksi untuk mendukung safety performance. Calculation: # Jumlah inspeksi
L1: 1
L2: 2
L3: 3
L4: 4
L5: 5</t>
  </si>
  <si>
    <t>Ratio LTISR</t>
  </si>
  <si>
    <t xml:space="preserve">Index nilai penurunan LTISR berdasarkan range berdasarkan Permen 1827:
target : 
L1:  6.000 ( Fatality) 
L2 : 84 hari (4 minor) 
L3:  63 hari (3 minor )
L4 : 42 hari (2 minor)  
L5 : 0 
</t>
  </si>
  <si>
    <t>day</t>
  </si>
  <si>
    <t>Follow Up Hasil MCU Kategori Unfit Temporary dan Unfit                                                                                                                                 (BC dan Kontraktor Tambang)</t>
  </si>
  <si>
    <t>Follow Up Hasil MCU Kategori Unfit, Temporary dan Unfit (BC dan Kontraktor Tambang) dari Plan Per Semester
L1: 75%
L2: 80%
L3: 86%
L4: 93%
L5: 100%</t>
  </si>
  <si>
    <t>Pengukuran Lingkungan Kerja (IH)</t>
  </si>
  <si>
    <t xml:space="preserve">Penentuan Vendor Pengukuran OH &amp; IH                                                (BC, Kontraktor Tambang &amp; Highrisk Contractors)                          L1: Draft Proposal
L2: Proposal sudah disampaikan ke procurement
L3: Undangan Seleksi Vendor Potensial
L4: Proses bidding sudah berjalan, penawaran sudah diterima
L5: Vendor Pemenang sudah ditentukan                                                                                                                                                                                                                                                                         </t>
  </si>
  <si>
    <t>Halfyear 1</t>
  </si>
  <si>
    <t>Index</t>
  </si>
  <si>
    <t>1</t>
  </si>
  <si>
    <t>2</t>
  </si>
  <si>
    <t>3</t>
  </si>
  <si>
    <t>4</t>
  </si>
  <si>
    <t>5</t>
  </si>
  <si>
    <t>Follow Up Tindak Lanjut Hasil Pengukuran OH &amp; IH                       (BC, Kontraktor Tambang &amp; Highrisk Contractors)                          L1: 91%
L2: 93 %
L3: 96 %
L4: 98 %
L5: 100 %</t>
  </si>
  <si>
    <t>Halfyear 2</t>
  </si>
  <si>
    <t>Pengukuran Eksternal Ergonomi &amp; Psikososial</t>
  </si>
  <si>
    <t xml:space="preserve">Penentuan Vendor Pengukuran Ergonomi &amp; Psikososial           (BC, Kontraktor Tambang &amp; Highrisk Contractors)                          L1: Draft Proposal
L2: Proposal sudah disampaikan ke procurement
L3: Undangan Seleksi Vendor Potensial
L4: Proses bidding sudah berjalan, penawaran sudah diterima
L5: Vendor Pemenang sudah ditentukan </t>
  </si>
  <si>
    <t>Pelaksanaan sampling  pengukuran ergonomi &amp; psikososial (BC, kontraktor tambang &amp; Highrisk Contractors)                                  L1: Desember : 12                                                                                                                                   
L2: November : 11
L3: Oktober : 10
L4: September : 9
L5: Agustus  : 8</t>
  </si>
  <si>
    <t>Laporan Tahunan OH &amp; IH ESDM</t>
  </si>
  <si>
    <t>Laporan Tahunan OH &amp; IH ESDM                                                                L1: target tanggal 31 Januari                                                           
L2: target tanggal 28 Januari
L3: target tanggal 25 Januari
L4: target tanggal 23 Januari
L5: target tanggal 20 Januari</t>
  </si>
  <si>
    <t>Once</t>
  </si>
  <si>
    <t>Laporan Triwulan ESDM</t>
  </si>
  <si>
    <t>Laporan Triwulan OH &amp; IH ESDM                                                                                        L1 :target tanggal 27
L2: target tanggal 25
L3: target tanggal 23
L4: target tanggal 21
L5: target tanggal 19</t>
  </si>
  <si>
    <t>Fatigue Test</t>
  </si>
  <si>
    <t xml:space="preserve">Analisa &amp; pelaporan pelaksanaan fatigue test:                                                                                                                                                                                           L1: tanggal 15 setiap bulan
L2: tanggal 13 setiap bulan
L3: tanggal 12 setiap bulan
L4: tanggal 11 setiap bulan
L5: tanggal 10 setiap bulan                   </t>
  </si>
  <si>
    <t>Tes Narkotika</t>
  </si>
  <si>
    <t xml:space="preserve">Analisa &amp; pelaporan pelaksanaan tes narkotika                                                                                                                                                                                         L1: tanggal 15 setiap bulan
L2:  tanggal13 setiap bulan
L3: tanggal 12 setiap bulan
L4: tanggal 11 setiap bulan
L5: tanggal 10 setiap bulan                   </t>
  </si>
  <si>
    <t>Pelaksanaan Pencegahan &amp; Pengendalian Covid 19</t>
  </si>
  <si>
    <t>% Pelaksanaan Tracing kasus konfirmasi positif Covid                                                                                                                                                                                                                                                                 L1 :85% terlaksana                                                                                                                                                                                                                                                                                                                                                                         L2: 90 % terlaksana
L3: 94 % terlaksana
L4: 97 % terlaksana
L5: 100 % terlaksana</t>
  </si>
  <si>
    <t>% Penurunan BMI (Perbandingan Hasil MCU 2022 dengan MCU 2021)</t>
  </si>
  <si>
    <t>Terdapat penurunan BMI sebanyak 5% dari jumlah pekerja   PT Berau Coal yang memiliki BMI &gt; 30.
Data diambil dari perbandingan Hasil MCU 2021 dengan MCU 2020</t>
  </si>
  <si>
    <t>% Penurunan Kasus UNFIT TEMPORARY (Perbandingan Hasil MCU 2022 dengan MCU 2021)</t>
  </si>
  <si>
    <t>Terdapat penurunan kasus UNFIT TEMPORARY sebanyak 5% dari jumlah pekerja   PT Berau Coal. Data diambil dari perbandingan Hasil MCU 2022 dengan MCU 2021</t>
  </si>
  <si>
    <t>Project scope completion</t>
  </si>
  <si>
    <t>Innovation project &amp; request fulfillment</t>
  </si>
  <si>
    <t>Project on time (duration)</t>
  </si>
  <si>
    <t>Kontrol Pemenuhan Rekomendasi LPI</t>
  </si>
  <si>
    <t>Half-yearly</t>
  </si>
  <si>
    <t>Evaluasi Analisa Safety (monthly report)</t>
  </si>
  <si>
    <t>Jumat
08:00</t>
  </si>
  <si>
    <t>Pengiriman weekly report OJT dan presentasi tiap hari Jumat.
L1: Jumat Pukul 16:00 
L2: Jumat Pukul 14:00
L3: Jumat Pukul 12:00
L4: Jumat Pukul 10:00
L5: Jumat Pukul 08:00</t>
  </si>
  <si>
    <t>Jumat
16.00</t>
  </si>
  <si>
    <t>Jumat
14:00</t>
  </si>
  <si>
    <t>Jumat
12.00</t>
  </si>
  <si>
    <t>Jumat
10.00</t>
  </si>
  <si>
    <t>Total KPI</t>
  </si>
  <si>
    <t>On-job Training</t>
  </si>
  <si>
    <t>Penilaian assigned mentor terhadap pemahaman, keaktifan, partisipasi, dan support dari mentee.
L1 : 50
L2 : 60
L3 : 70
L4 : 80
L5 : 90</t>
  </si>
  <si>
    <t>NOS/month</t>
  </si>
  <si>
    <t>Days</t>
  </si>
  <si>
    <t>Penilaian terhadap pemahaman, keaktifan, partisipasi, dan support terhadap Operasional</t>
  </si>
  <si>
    <t>April</t>
  </si>
  <si>
    <t>Mei</t>
  </si>
  <si>
    <t>Juni</t>
  </si>
  <si>
    <t>Nama</t>
  </si>
  <si>
    <t>Anggi Puspita Rachmasari</t>
  </si>
  <si>
    <t>M. Affan Mahfudz</t>
  </si>
  <si>
    <t>Mohammad Firhan Maulana</t>
  </si>
  <si>
    <t>Penilaian diberikan oleh,</t>
  </si>
  <si>
    <t>Davi Aditya Tantra</t>
  </si>
  <si>
    <t>SEDCR Superintendent</t>
  </si>
  <si>
    <t># Safety Performance</t>
  </si>
  <si>
    <t>Safety Performance dihitung berdasarkan LTIFR (Dikategorikan kecelakaan tambang berdasarkan Kepmen Nomor 1827 K/30/MEM/2018) dengan target LTIFR 0.05 (setara 3 kejadian LTI, Plan MH 2023 = 57.163.613,39). Jika terjadi fatality score akan menjadi default 1.
L1 =  0.09 (5 kejadian LTI)/ada kejadian fatality
L2 = 0.07 (4 kejadian LTI)
L3 = 0.05 (3 kejadian LTI)
L4 = 0.03 (2 kejadian LTI)
L5 = 0 (0 kejadian LTI)</t>
  </si>
  <si>
    <t>Company KPI</t>
  </si>
  <si>
    <t>Safety Accountability Program</t>
  </si>
  <si>
    <t>Innovation</t>
  </si>
  <si>
    <t>Pengiriman weekly safety report (Safety alignment &amp; ISC)</t>
  </si>
  <si>
    <t>Index ketepatan waktu pengiriman dan kualitas report weekly (untuk keperluan meeting safety alignment &amp; ISC).
L1: Dikirimkan setelah pukul 00:00 setiap hari Selasa
L2: Dikirimkan di hari selasa sebelum pukul 23:59
L3: Dikirimkan setiap hari Senin sebelum pukul 22:00
L4: Dikirimkan setiap hari Senin sebelum pukul 21:00
L5: Dikirimkan setiap hari Senin sebelum pukul 21:00 dan tidak ada revisi di hari H pelaksanaan meeting</t>
  </si>
  <si>
    <t>Waktu Pengiriman Evaluasi Analisa Safety (monthly report)</t>
  </si>
  <si>
    <t>AFR level site</t>
  </si>
  <si>
    <t>Identifikasi seluruh peraturan K3L terkait di organisasi</t>
  </si>
  <si>
    <t>% Identification and Evaluation of K3L Regulations based on Regulatory Compliance System</t>
  </si>
  <si>
    <t>S1
L1: &lt;96% Pemenuhan GCI perusahaan
L2: 97% Pemenuhan GCI perusahaan
L3: 98% Pemenuhan GCI perusahaan
L4: 99% Pemenuhan GCI perusahaan
L5: 100% Pemenuhan GCI perusahaan based on Regulatory Compliance System
S2
L1: 98% Pemenuhan GCI perusahaan
L2: 99% Pemenuhan GCI perusahaan
L3: 100% Pemenuhan GCI perusahaan
L4: 100% Pemenuhan GCI perusahaan + Aditama GMP aspek Keselamatan
L5: 100% Pemenuhan GCI perusahaan + Aditama GMP aspek Keselamatan dan trophy untuk salah satu aspek GMP di Berau Coal</t>
  </si>
  <si>
    <t>index</t>
  </si>
  <si>
    <t>Laporan Rutin Bulanan ESDM</t>
  </si>
  <si>
    <t>Laporan RKAB ESDM</t>
  </si>
  <si>
    <t>Tanggal pengumpulan laporan RKAB ESDM
L1: tanggal 24
L2: tanggal 23
L3: tanggal 22
L4: tanggal 21
L5: tanggal 20</t>
  </si>
  <si>
    <t>Number/month</t>
  </si>
  <si>
    <t>Date month</t>
  </si>
  <si>
    <t>Month Date</t>
  </si>
  <si>
    <t>Safety Evaluation Innovation Project Completion</t>
  </si>
  <si>
    <t>Pengiriman Feed material untuk meeting alignment &amp; ISC</t>
  </si>
  <si>
    <t>Tanggal pengumpulan laporan Bulanan ESDM
L1: tanggal 12
L2: tanggal 11
L3: tanggal 10
L4: tanggal 9
L5: tanggal 8</t>
  </si>
  <si>
    <t>Tanggal pengumpulan laporan P2K3 Triwulan
L1: tanggal 12
L2: tanggal 11
L3: tanggal 10
L4: tanggal 9
L5: tanggal 8</t>
  </si>
  <si>
    <r>
      <t xml:space="preserve">Monitoring yang dilakukan perihal jumlah laporan hazard &amp; inspeksi dengan status closed (selain </t>
    </r>
    <r>
      <rPr>
        <b/>
        <sz val="11"/>
        <color rgb="FFFF0000"/>
        <rFont val="Calibri"/>
        <family val="2"/>
      </rPr>
      <t>closed overdue</t>
    </r>
    <r>
      <rPr>
        <sz val="11"/>
        <color rgb="FF000000"/>
        <rFont val="Calibri"/>
        <family val="2"/>
      </rPr>
      <t>) dibandingkan dengan jumlah laporan hazard &amp; inspeksi yang masuk setiap bulannya (All Site).
L1: 90%
L2: 92%
L3: 94%
L4: 96%
L5: 98%</t>
    </r>
  </si>
  <si>
    <t>Laporan Safety Performance disampaikan dalam forum HSECM, IT &amp; Safety Alignment, serta ISC
L1: Tanggal 9
L2: Tanggal 8
L3: Tanggal 7
L4: Tanggal 6
L5: Tanggal 5</t>
  </si>
  <si>
    <t>Pemenuhan rekomendasi dari hasil investigasi (Berdasarkan list rekomendasi yang dikeluarkan dari tim OHS)
L1: 87%
L2: 90%
L3: 93%
L4: 96%
L5: 99%</t>
  </si>
  <si>
    <t>L5: 100%
L4: 98%
L3: 96%
L2: 93%
L1: 90%</t>
  </si>
  <si>
    <t xml:space="preserve">Pengiriman Safety Site Weekly Report 
</t>
  </si>
  <si>
    <t>Pembuatan dan Pengiriman evaluasi Mingguan (Safety Performance, Evaluasi Hazard khususnya Hazard High Risk, Monitoring Pengawasan Area/Aktvitas Kritis, Evaluasi Pelaksanaan SIB, PJA Performance dan Tren Pelaporan Hazard High Risk, Observasi Area/Aktivitas Kritis, Evaluasi Hazard Covid serta rekomendasi hasil Evaluasi).
L1: Hari Senin diatas pukul 17:00
L2: Hari Senin sebelum pukul 16:00
L3: Hari Senin sebelum Pukul 14:00
L4: Hari Senin sebelum Pukul 12:00 namun masih ada revisi
L5: Hari Senin sebelum Pukul 12:00 dan tidak ada revisi lanjutan</t>
  </si>
  <si>
    <t>Penurunan AFR</t>
  </si>
  <si>
    <t>Index nilai penurunan AFR dibandingkan performa aktual tahun sebelumnya
target : 
L1:  AFR avg/month dan kategori insiden lebih tinggi dari tahun sebelumnya
L2 : AFR avg/month dan kategori insiden tidak ada perubahan dibanding tahun sebelumnya
L3:  AFR avg/month &lt;5% dibanding AFR avg/month tahun sebelumnya
L4 : AFR avg/month &lt;7% dibanding AFR avg/month tahun sebelumnya
L5 : AFR avg/month &lt;7% dibanding AFR avg/month tahun sebelumnya dan kategori insiden tidak meningkat dibanding tahun 2024</t>
  </si>
  <si>
    <t>S2
L1: 98% Pemenuhan GCI perusahaan
L2: 99% Pemenuhan GCI perusahaan
L3: 100% Pemenuhan GCI perusahaan
L4: 100% Pemenuhan GCI perusahaan + Aditama GMP aspek Keselamatan
L5: 100% Pemenuhan GCI perusahaan + Aditama GMP aspek Keselamatan dan trophy untuk salah satu aspek GMP di Berau Coal</t>
  </si>
  <si>
    <t>L1: &lt;96% Pemenuhan GCI perusahaan
L2: 97% Pemenuhan GCI perusahaan
L3: 98% Pemenuhan GCI perusahaan
L4: 99% Pemenuhan GCI perusahaan
L5: 100% Pemenuhan GCI perusahaan based on Regulatory Compliance System</t>
  </si>
  <si>
    <t>Menggunakan yg mana</t>
  </si>
  <si>
    <t>Penambahan point AFR ke KPI req GM</t>
  </si>
  <si>
    <t>*mohon ini dimasukan align dengan KPI SOD (di SOD mengacu ke ceiling main cont saja)
sedang evaluator sudah sedari dulu KPI menggunakan AFR All mitra -&gt; site per all mitra site -&gt; mengakomodir core dan support)</t>
  </si>
  <si>
    <t>Penambahan Coverage Evaluasi</t>
  </si>
  <si>
    <t>Evaluator Function (Evaluation Coverage)</t>
  </si>
  <si>
    <t>% Child</t>
  </si>
  <si>
    <t>Tidak terdapat penyebab kecelakaan (Rootcause/Non Confirmity) dikarenakan fungsi Evaluator yang tidak berjalan dan memastikan evaluasi program dilakukan
L1  : 30% Program masuk dalam evaluasi tematik
L2  : 50% Program masuk dalam evaluasi tematik
L3  : 80% Program masuk dalam evaluasi tematik
L4  : 90% Program masuk dalam evaluasi tematik
L5 : 100% Program masuk dalam evaluasi tematik</t>
  </si>
  <si>
    <t>Frequency Incident kategori HIPO menurun dibandingkan performa aktual tahun sebelumnya
target : 
L1:  HIPO Incident avg/month dan kategori insiden lebih tinggi dari tahun sebelumnya
L2 : HIPO Incident avg/month dan kategori insiden tidak ada perubahan dibanding tahun sebelumnya
L3:  HIPO Incident avg/month &lt;5% dibanding HIPO Incident avg/month tahun sebelumnya
L4 : HIPO Incident avg/month &lt;7% dibanding HIPO Incident avg /month tahun sebelumnya
L5 : HIPO Incident avg/month &lt;7% dibanding HIPO Incident avg/month tahun sebelumnya dan kategori insiden tidak meningkat dibanding tahun 2024 (jumlah HIPO GR)</t>
  </si>
  <si>
    <t>Request Penambahan Point KPI by GM OHS</t>
  </si>
  <si>
    <t>Laporan Safety Monthly site
L1: Tanggal 9
L2: Tanggal 8
L3: Tanggal 7
L4: Tanggal 6 (Zero Program Scorecard Menurun dalam 2 periode kebelakang dari bulan Report Evaluasi secara repetitive)
L5: Tanggal 5 (Zero Gap pada related causal Layer 2.4 dan 2.13)</t>
  </si>
  <si>
    <t>Jumlah pelaksanaan kegiatan coaching report untuk mendukung safety performance. Calculation: # Jumlah coaching
L1: 1
L2: 2
L3: 3
L4: 4
L5: 5</t>
  </si>
  <si>
    <t>Pemenuhan rekomendasi dari hasil investigasi (Berdasarkan list rekomendasi yang dikeluarkan dari tim OHS)
L1: 90% dan terdapat RTP Check Incident Injury (First Aid up) dalam 2 tahun terakhir
L2: 92% dan terdapat RTP Check Incident Injury (First Aid up) dalam 2 tahun terakhir
L3: 94% dan terdapat RTP Check Incident Injury (First Aid up) dalam 2 tahun terakhir
L4: 97% dan terdapat RTP Check Incident Injury (First Aid up) dalam 2 tahun terakhir
L5: 99% dan terdapat RTP Check Incident Injury (First Aid up) dalam 2 tahun terakhir</t>
  </si>
  <si>
    <t>Jumlah pelaksanaan kegiatan inspeksi untuk mendukung safety performance. Calculation: # Jumlah inspeksi ( Transhipment Point, Tongkang, Tug Boat, dll ) 
L1: 1
L2: 2
L3: 3
L4: 4
L5: 5</t>
  </si>
  <si>
    <t>Pemenuhan Hazard Report (Closed) - Marine Operasional</t>
  </si>
  <si>
    <t>Pemenuhan hazard report di SAP yang closed  khusus area Marine dengan menggunakan fasilitas Beats (sesuai rekab dari safety evaluator)
L1: 91%
L2: 93%
L3: 95%
L4: 97%
L5: 99%</t>
  </si>
  <si>
    <t xml:space="preserve"> Jumlah Accident Marine</t>
  </si>
  <si>
    <t>Jumlah Accident di area Marine Operasional dengan mempertimbangkan kenaikan jumlah shipment, penambahan  jetty baru untuk barging dan kelayakan/umur armada di area Operasional
- L1: 8 kejadian
- L2: 7 kejadian
- L3: 6 kejadian
- L4: 5 kejadian
- L5: 4 kejadian</t>
  </si>
  <si>
    <t>8</t>
  </si>
  <si>
    <t>7</t>
  </si>
  <si>
    <t>Sebelumnya Jumlah Accident di area Marine Operasional dengan mempertimbangkan kenaikan jumlah shipment, penambahan  jetty baru untuk barging dan kelayakan/umur armada di area Operasional
- L1: 10 kejadian
- L2: 9 kejadian
- L3: 8 kejadian
- L4: 7 kejadian
- L5: 6 kejadian</t>
  </si>
  <si>
    <t>HIRA</t>
  </si>
  <si>
    <t>Melakukan review HIRA di Mitra Kerja Marine (Khusus Area Marine)
L1: 90%
L2: 92%
L3: 94%
L4: 96%
L5: 98%</t>
  </si>
  <si>
    <t>Yearly</t>
  </si>
  <si>
    <t>Peningkatan TBC</t>
  </si>
  <si>
    <t xml:space="preserve">
Pelaporan TBC untuk mitra kerja Marine mencapai target yang di tentukan di semester ke I
L1:  Index 1 = Laporan TBC khusus untuk area Marine rata - rata 80 temuan per minggu
L2: Index 2 = Laporan TBC khusus untuk area Marine rata - rata 85 temuan per minggu
L3: Index 3 = Laporan TBC khusus untuk area Marine rata - rata 90 temuan per minggu
L4: Index 4 = Laporan TBC khusus untuk area Marine rata - rata 95 temuan per minggu
L5: Index 5 = Laporan TBC khusus untuk area Marine rata - rata 100 temuan per minggu
Pelaporan TBC untuk mitra kerja Marine mencapai target yang di tentukan di semester ke II
L1:  Index 1 = Laporan TBC khusus untuk area Marine rata - rata 105 temuan per minggu
L2: Index 2 = Laporan TBC khusus untuk area Marine rata - rata 110 temuan per minggu
L3: Index 3 =Laporan TBC khusus untuk area Marine rata - rata 115 temuan per minggu
L4: Index 4 = Laporan TBC khusus untuk area Marine rata - rata 120 temuan per minggu
L5: Index 5 = Laporan TBC khusus untuk area Marine rata - rata 125 temuan per minggu</t>
  </si>
  <si>
    <t>Total KPI: 10</t>
  </si>
  <si>
    <t>Jumlah pelaksanaan kegiatan coaching untuk mendukung safety dan work performance. Calculation: # Jumlah coaching
L1: 1
L2: 2
L3: 3
L4: 4
L5: 5</t>
  </si>
  <si>
    <t>Jumlah pelaksanaan kegiatan observasi untuk mendukung safety performance. Calculation: # Jumlah observasi
L1: 2
L2: 3
L3: 4
L4: 5
L5: 6</t>
  </si>
  <si>
    <t>Jumlah pelaksanaan kegiatan inspeksi untuk mendukung safety performance, sesuai tanggung jawab area dan berdasarkan list activity yang dibuat oleh masing-masing departemen. Calculation: # Jumlah inspeksi
L1: 2 &amp; &lt;50% TBC
L2: 3 &amp; 60% TBC
L3: 4 &amp; 70% TBC
L4: 5 &amp; 80% TBC
L5: 6 &amp; 90% TBC</t>
  </si>
  <si>
    <t>Jumlah pelaksanaan kegiatan inspeksi untuk mendukung safety performance, sesuai tanggung jawab area dan berdasarkan list activity yang dibuat oleh masing-masing departemen. Calculation: # Jumlah inspeksi
L1: 1
L2: 2
L3: 3
L4: 4
L5: 5</t>
  </si>
  <si>
    <t>Jumlah pelaksanaan kegiatan hazard report untuk mendukung safety performance. Calculation: # Jumlah Hazard Report
L1: 0
L2: 1
L3: 2
L4: 3
L5: 4</t>
  </si>
  <si>
    <t>Monitoring yang dilakukan perihal jumlah laporan hazard &amp; inspeksi dengan status closed dibandingkan dengan jumlah laporan hazard &amp; inspeksi yang masuk setiap bulannya (All Site).
L1: Closed 92% dan status Closed Overdue &lt; 5%
L2: Closed 94% dan status Closed Overdue &lt; 4%
L3: Closed 95% dan status Closed Overdue &lt; 3%
L4: Closed 97% dan status Closed Overdue &lt; 2%
L5: Closed 99% dan status Closed Overdue &lt; 1%</t>
  </si>
  <si>
    <t>Pembuatan dan Pengiriman feed material meeting alignment &amp; ISC setiap hari Jumat.
L1: Hari Senin sebelum Pukul 12:00 dan Zero Thematic Issue
L2: Hari Senin sebelum Pukul 10:00 dan Zero Thematic Issue
L3: Hari Jumat sebelum Pukul 14:00 dan Zero Thematic Issue
L4: Hari Jumat sebelum Pukul 12:00 dan Lead 1 Thematic Issue
L5: Hari Jumat sebelum Pukul 10:00 dan Lead 2 Thematic Issue</t>
  </si>
  <si>
    <t>Safety Eval</t>
  </si>
  <si>
    <t>Supt SEDCR, Safety Eval, DCRS</t>
  </si>
  <si>
    <t>Owner</t>
  </si>
  <si>
    <t>KPI</t>
  </si>
  <si>
    <t>After</t>
  </si>
  <si>
    <t>Pemenuhan rekomendasi dari hasil investigasi (Berdasarkan list rekomendasi yang dikeluarkan dari tim OHS)
L1: 90%
L2: 92%
L3: 94%
L4: 97%
L5: 99%</t>
  </si>
  <si>
    <t>Penyelesaian scope project dari project safety dashboard integration &amp; automation secara on-time, atau pengerjaan unplanned project/tasks, project based
L1: 80%
L2: 85%
L3: 90%
L4: 95%
L5: 100%</t>
  </si>
  <si>
    <t>Jumlah pelaksanaan kegiatan hazard report untuk mendukung safety performance. Calculation: # Jumlah Hazard Report
L1: 1 &amp; &lt;50% TBC
L2: 2 &amp; 60% TBC
L3: 3 &amp; 70% TBC
L4: 4 &amp; 80% TBC
L5: 5 &amp; 90% TBC</t>
  </si>
  <si>
    <t>Pembuatan dan Pengiriman feed material meeting alignment &amp; ISC setiap hari Jumat.
L1: Hari Senin sebelum Pukul 12:00
L2: Hari Senin sebelum Pukul 10:00
L3: Hari Jumat sebelum Pukul 14:00
L4: Hari Jumat sebelum Pukul 12:00
L5: Hari Jumat sebelum Pukul 10:00</t>
  </si>
  <si>
    <t>Laporan Safety Monthly site
L1: Tanggal 9
L2: Tanggal 8
L3: Tanggal 7
L4: Tanggal 6
L5: Tanggal 5</t>
  </si>
  <si>
    <t>Jumlah pelaksanaan kegiatan inspeksi untuk mendukung safety performance. Calculation: # Jumlah inspeksi ( Transhipment Point, Tongkang, Tug Boat, dll ) 
L1: 2 &amp; &lt;50% TBC
L2: 3 &amp; 60% TBC
L3: 4 &amp; 70% TBC
L4: 5 &amp; 80% TBC
L5: 6 &amp; 90% TBC</t>
  </si>
  <si>
    <t>Jumlah hazard report yang dibuat untuk mendukung safety performance. Calculation: # Jumlah Hazard Report
L1: 1 &amp; &lt;50% TBC
L2: 2 &amp; 60% TBC
L3: 3 &amp; 70% TBC
L4: 4 &amp; 80% TBC
L5: 5 &amp; 90% TBC</t>
  </si>
  <si>
    <t>Pemenuhan rekomendasi dari hasil investigasi (Khusus Area Marine)
L1: 90% dan terdapat RTP Check Incident Injury (First Aid up) dalam 2 tahun terakhir
L2: 92% dan terdapat RTP Check Incident Injury (First Aid up) dalam 2 tahun terakhir
L3: 94% dan terdapat RTP Check Incident Injury (First Aid up) dalam 2 tahun terakhir
L4: 97% dan terdapat RTP Check Incident Injury (First Aid up) dalam 2 tahun terakhir
L5: 99% dan terdapat RTP Check Incident Injury (First Aid up) dalam 2 tahun terakhir</t>
  </si>
  <si>
    <t>Innovation
Safety Marine Innovation Project Completion</t>
  </si>
  <si>
    <t>Marine Supt</t>
  </si>
  <si>
    <t>Pemenuhan rekomendasi dari hasil investigasi  (Khusus Area Marine)
L1: 90%
L2: 92%
L3: 94%
L4: 97%
L5: 99%</t>
  </si>
  <si>
    <t>Monitoring yang dilakukan perihal jumlah laporan hazard &amp; inspeksi dengan status closed dibandingkan dengan jumlah laporan hazard &amp; inspeksi yang masuk setiap bulannya (Marine).
L1: Closed 92% dan status Closed Overdue &lt; 5%
L2: Closed 94% dan status Closed Overdue &lt; 4%
L3: Closed 95% dan status Closed Overdue &lt; 3%
L4: Closed 97% dan status Closed Overdue &lt; 2%
L5: Closed 99% dan status Closed Overdue &lt; 1%</t>
  </si>
  <si>
    <t>Marine Supv</t>
  </si>
  <si>
    <t>Penurunan Jumlah incident HIPO dan Incident Berulang</t>
  </si>
  <si>
    <t>Frequency Incident kategori HIPO dan Insiden berulang menurun dibandingkan performa aktual tahun sebelumnya
target : 
L1:  HIPO Incident avg/month dan kategori insiden lebih tinggi dari tahun sebelumnya
L2 : HIPO Incident avg/month dan kategori insiden tidak ada perubahan dibanding tahun sebelumnya
L3:  HIPO Incident avg/month &lt;5% dibanding HIPO Incident avg/month tahun sebelumnya.
L4 : HIPO Incident avg/month &lt;7% dibanding HIPO Incident avg /month tahun sebelumnya, tidak terdapat pengulangan insiden (rootcause, lokasi dan aktivitas yang sama) selama tahun berjalan.
L5 : HIPO Incident avg/month &lt;7% dibanding HIPO Incident avg/month tahun sebelumnya, kategori insiden tidak meningkat dibanding tahun 2025 (jumlah HIPO GR), tidak terdapat pengulangan insiden (rootcause, lokasi dan aktivitas yang sama) di banding periode tahun sebelumnya dan selama tahun berjalan</t>
  </si>
  <si>
    <t>Request Penambahan Point KPI by SM OHS</t>
  </si>
  <si>
    <t>Pembuatan, Pengiriman evaluasi Mingguan dan efektifitas rekomendasi (Safety Performance, Evaluasi Hazard khususnya Hazard High Risk, Monitoring Pengawasan Area/Aktvitas Kritis, Evaluasi Pelaksanaan SIB, PJA Performance dan Tren Pelaporan Hazard High Risk, Observasi Area/Aktivitas Kritis, Evaluasi Hazard Covid serta rekomendasi hasil Evaluasi).
L1: Hari Senin diatas pukul 17:00 dan &lt;40% rekomendasi evaluator diimplementasikan
L2: Hari Senin sebelum pukul 16:00 dan 40–54% rekomendasi evaluator diimplementasikan
L3: Hari Senin sebelum Pukul 14:00 dan 55–64% rekomendasi evaluator diimplementasikan
L4: Hari Senin sebelum Pukul 12:00 dan 65–74% rekomendasi evaluator diimplementasikan
L5: Hari Senin sebelum Pukul 12:00 dan ≥75% rekomendasi evaluator diimplementasikan</t>
  </si>
  <si>
    <t>Index ketepatan waktu pengiriman dan kualitas report weekly (untuk keperluan meeting safety alignment &amp; ISC).
L1: Dikirimkan setelah pukul 00:00 setiap hari Selasa dan &lt;40% rekomendasi evaluator diimplementasikan
L2: Dikirimkan di hari selasa sebelum pukul 23:59 dan 40–54% rekomendasi evaluator diimplementasikan
L3: Dikirimkan setiap hari Senin sebelum pukul 22:00 dan  55–64% rekomendasi evaluator diimplementasikan
L4: Dikirimkan setiap hari Senin sebelum pukul 21:00 dan 65–74% rekomendasi evaluator diimplementasikan
L5: Dikirimkan setiap hari Senin sebelum pukul 21:00 dan ≥75% rekomendasi evaluator diimplementasikan</t>
  </si>
  <si>
    <t>Penyelesaian scope project dari project safety dashboard integration &amp; automation secara on-time, atau pengerjaan unplanned project/tasks, project based
L1: Completion : 80%, Improvement Generated : ≥1 improvement, Impact : Perbaikan minor pada reporting / dashboard
L2: Completion : 85%, Improvement Generated : ≥2 improvement, Impact : Mempercepat proses monitoring atau reporting
L3: Completion : 90%, Improvement Generated : ≥3 improvement, Impact : Mengurangi manual work / meningkatkan efisiensi proses
L4: Completion : 100% dan Presented &amp; Approved GM OHS, Improvement Generated : ≥4 improvement, Impact : Lintas fungsi (OHS / Operation) dan meningkatkan decision making
L5: Completion : 100% dan Presented ke KTT, Improvement Generated : ≥5 improvement, Impact : Lintas Divisi Transformasi proses kerja / automation signifikan yang berdampak ke performance monitoring perusahaan</t>
  </si>
  <si>
    <t>Frequency Incident kategori HIPO menurun dibandingkan performa aktual tahun sebelumnya (Marine)
target : 
L1:  HIPO Incident avg/month dan kategori insiden lebih tinggi dari tahun sebelumnya
L2 : HIPO Incident avg/month dan kategori insiden tidak ada perubahan dibanding tahun sebelumnya
L3:  HIPO Incident avg/month &lt;5% dibanding HIPO Incident avg/month tahun sebelumnya
L4 : HIPO Incident avg/month &lt;7% dibanding HIPO Incident avg /month tahun sebelumnya
L5 : HIPO Incident avg/month &lt;7% dibanding HIPO Incident avg/month tahun sebelumnya dan kategori insiden tidak meningkat dibanding tahun 2024 (jumlah HIPO GR)</t>
  </si>
  <si>
    <t>Frequency Incident kategori HIPO dan Insiden berulang menurun dibandingkan performa aktual tahun sebelumnya (Marine)
target : 
L1:  HIPO Incident avg/month dan kategori insiden lebih tinggi dari tahun sebelumnya
L2 : HIPO Incident avg/month dan kategori insiden tidak ada perubahan dibanding tahun sebelumnya
L3:  HIPO Incident avg/month &lt;5% dibanding HIPO Incident avg/month tahun sebelumnya.
L4 : HIPO Incident avg/month &lt;7% dibanding HIPO Incident avg /month tahun sebelumnya, tidak terdapat pengulangan insiden (rootcause, lokasi dan aktivitas yang sama) selama tahun berjalan.
L5 : HIPO Incident avg/month &lt;7% dibanding HIPO Incident avg/month tahun sebelumnya, kategori insiden tidak meningkat dibanding tahun 2025 (jumlah HIPO GR), tidak terdapat pengulangan insiden (rootcause, lokasi dan aktivitas yang sama) di banding periode tahun sebelumnya dan selama tahun berjalan</t>
  </si>
  <si>
    <t>Penyelesaian scope project dari project marine safety, project based : 
L1: 
Completion : 80%, Improvement Generated : ≥1 improvement, Impact : Perbaikan minor pada reporting / dashboard
L2: 
Completion : 85%, Improvement Generated : ≥1 improvement, Impact : Mempercepat proses monitoring atau reporting
L3: 
Completion : 90%, Improvement Generated : ≥2 improvement, Impact : Mengurangi manual work / meningkatkan efisiensi proses
L4:
 Completion : 100% dan Presented &amp; Approved GM OHS, Improvement Generated : ≥3 improvement, Impact : Lintas fungsi (OHS / Operation) dan meningkatkan decision making
L5: 
Completion : 100% dan Presented ke KTT, Improvement Generated : ≥4 improvement, Impact : Lintas Divisi,Transformasi proses kerja / automation signifikan yang berdampak ke performance monitoring perusahaan</t>
  </si>
  <si>
    <r>
      <t xml:space="preserve">Monitoring yang dilakukan perihal jumlah laporan hazard &amp; inspeksi dengan status closed (selain </t>
    </r>
    <r>
      <rPr>
        <sz val="10"/>
        <rFont val="Calibri"/>
        <family val="2"/>
      </rPr>
      <t>closed overdue)</t>
    </r>
    <r>
      <rPr>
        <sz val="10"/>
        <color rgb="FF000000"/>
        <rFont val="Calibri"/>
        <family val="2"/>
      </rPr>
      <t xml:space="preserve"> dibandingkan dengan jumlah laporan hazard &amp; inspeksi yang masuk setiap bulannya (All Site).
L1: 92%
L2: 94%
L3: 95%
L4: 97%
L5: 99%</t>
    </r>
  </si>
  <si>
    <r>
      <t xml:space="preserve">Monitoring yang dilakukan perihal jumlah laporan hazard &amp; inspeksi dengan status closed (selain </t>
    </r>
    <r>
      <rPr>
        <sz val="10"/>
        <rFont val="Calibri"/>
        <family val="2"/>
      </rPr>
      <t>closed overdue)</t>
    </r>
    <r>
      <rPr>
        <sz val="10"/>
        <color rgb="FF000000"/>
        <rFont val="Calibri"/>
        <family val="2"/>
      </rPr>
      <t xml:space="preserve"> dibandingkan dengan jumlah laporan hazard &amp; inspeksi yang masuk setiap bulannya (Marine).
L1: 92%
L2: 94%
L3: 95%
L4: 97%
L5: 99%</t>
    </r>
  </si>
  <si>
    <t xml:space="preserve"> Safety Eval, DCRS</t>
  </si>
  <si>
    <t>Bobot 100%</t>
  </si>
  <si>
    <t>Penilaian</t>
  </si>
  <si>
    <t>Source</t>
  </si>
  <si>
    <t>Data Source</t>
  </si>
  <si>
    <t>Periode Input</t>
  </si>
  <si>
    <t>RCS</t>
  </si>
  <si>
    <t>Data Inc</t>
  </si>
  <si>
    <t>https://docs.google.com/spreadsheets/d/1923a1VDN5YPZBk0tY5Lql1v6K66aKvm5RH0smB78gNs/edit?gid=0#gid=0</t>
  </si>
  <si>
    <t>Weekly</t>
  </si>
  <si>
    <t>Input Manual</t>
  </si>
  <si>
    <t>Tahunan</t>
  </si>
  <si>
    <t>Kompilasi SAP</t>
  </si>
  <si>
    <t>Bulanan</t>
  </si>
  <si>
    <t>BeInvestigasi</t>
  </si>
  <si>
    <t>Semester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</si>
</sst>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03">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quot;Rp&quot;#,##0_);\(&quot;Rp&quot;#,##0\)"/>
    <numFmt numFmtId="167" formatCode="&quot;Rp&quot;#,##0.00_);\(&quot;Rp&quot;#,##0.00\)"/>
    <numFmt numFmtId="168" formatCode="&quot;Rp&quot;#,##0.00_);[Red]\(&quot;Rp&quot;#,##0.00\)"/>
    <numFmt numFmtId="169" formatCode="_(&quot;Rp&quot;* #,##0_);_(&quot;Rp&quot;* \(#,##0\);_(&quot;Rp&quot;* &quot;-&quot;_);_(@_)"/>
    <numFmt numFmtId="170" formatCode="_(&quot;Rp&quot;* #,##0.00_);_(&quot;Rp&quot;* \(#,##0.00\);_(&quot;Rp&quot;* &quot;-&quot;??_);_(@_)"/>
    <numFmt numFmtId="171" formatCode="0.0%"/>
    <numFmt numFmtId="172" formatCode="#,##0.0_);\(#,##0.0\);@_)"/>
    <numFmt numFmtId="173" formatCode="#,##0.0_);\(#,##0.0\);&quot;-&quot;?_);@_)"/>
    <numFmt numFmtId="174" formatCode="[$€-2]\ #,##0.00_);[Red]\([$€-2]\ #,##0.00\)"/>
    <numFmt numFmtId="175" formatCode="&quot;$&quot;#,##0.0_);\(&quot;$&quot;#,##0.0\);&quot;-&quot;?_);@_)"/>
    <numFmt numFmtId="176" formatCode="&quot;$&quot;#,##0.0_);\(&quot;$&quot;#,##0.0\);@_)"/>
    <numFmt numFmtId="177" formatCode="0.0%;\-0.0%;@_)"/>
    <numFmt numFmtId="178" formatCode="0.0%;\-0.0%;&quot;-&quot;?_);@_)"/>
    <numFmt numFmtId="179" formatCode="[$-F800]dddd\,\ mmmm\ dd\,\ yyyy"/>
    <numFmt numFmtId="180" formatCode="[$-409]d\-mmm\-yy;@"/>
    <numFmt numFmtId="181" formatCode="#,##0.0_)\x;\(#,##0.0\)\x"/>
    <numFmt numFmtId="182" formatCode="#,##0.0_)_x;\(#,##0.0\)_x"/>
    <numFmt numFmtId="183" formatCode="0.000000"/>
    <numFmt numFmtId="184" formatCode="#,##0_);\(#,##0_);\-?;@&quot; &quot;"/>
    <numFmt numFmtId="185" formatCode="#."/>
    <numFmt numFmtId="186" formatCode="_ * #,##0_ ;_ * \-#,##0_ ;_ * &quot;-&quot;_ ;_ @_ "/>
    <numFmt numFmtId="187" formatCode="_(* #,##0,_);[Red]_(* \(#,##0,\);_(* &quot;&quot;&quot;&quot;&quot;&quot;&quot;&quot;\ \-\ &quot;&quot;&quot;&quot;&quot;&quot;&quot;&quot;_);_(@_)"/>
    <numFmt numFmtId="188" formatCode="_ * #,##0.00_ ;_ * \-#,##0.00_ ;_ * &quot;-&quot;??_ ;_ @_ "/>
    <numFmt numFmtId="189" formatCode="&quot;¥&quot;#,##0.00;[Red]&quot;¥&quot;\-#,##0.00"/>
    <numFmt numFmtId="190" formatCode="&quot;¥&quot;#,##0;[Red]&quot;¥&quot;\-#,##0"/>
    <numFmt numFmtId="191" formatCode="0.0000000%"/>
    <numFmt numFmtId="192" formatCode="0.00000%"/>
    <numFmt numFmtId="193" formatCode="#,##0.0&quot; &quot;;&quot;(&quot;#,##0.0&quot;)&quot;;&quot;- &quot;"/>
    <numFmt numFmtId="194" formatCode="#,##0.000"/>
    <numFmt numFmtId="195" formatCode="#,##0.0_);\(#,##0.0\)"/>
    <numFmt numFmtId="196" formatCode="[$-409]mmm\-yy;@"/>
    <numFmt numFmtId="197" formatCode="_(* #,##0.0_);_(* \(#,##0.0\);_(* &quot;--- &quot;_)"/>
    <numFmt numFmtId="198" formatCode="_ &quot;\&quot;* #,##0_ ;_ &quot;\&quot;* \-#,##0_ ;_ &quot;\&quot;* &quot;-&quot;_ ;_ @_ "/>
    <numFmt numFmtId="199" formatCode="_ &quot;\&quot;* #,##0.00_ ;_ &quot;\&quot;* \-#,##0.00_ ;_ &quot;\&quot;* &quot;-&quot;??_ ;_ @_ "/>
    <numFmt numFmtId="200" formatCode="#,##0.0"/>
    <numFmt numFmtId="201" formatCode="#,##0.000;[Red]\(#,##0.000\)"/>
    <numFmt numFmtId="202" formatCode="#,##0.0;[Red]\(#,##0.0\)"/>
    <numFmt numFmtId="203" formatCode="#,##0_);\(#,##0\);\-??"/>
    <numFmt numFmtId="204" formatCode="#,##0.0,,&quot;bn&quot;;\(#,##0.0,,\)&quot;bn&quot;;\-_);* @"/>
    <numFmt numFmtId="205" formatCode="#,##0.0_);[Red]\(#,##0.0\)"/>
    <numFmt numFmtId="206" formatCode="#,##0&quot;bps&quot;;\(#,##0\)&quot;bps&quot;;\-_);* @"/>
    <numFmt numFmtId="207" formatCode="_(* #,##0_);_(* \(#,##0\);_(* &quot;-&quot;_);@_)"/>
    <numFmt numFmtId="208" formatCode="#,##0.00&quot;w&quot;_);[Red]\(#,##0.00&quot;w&quot;\)"/>
    <numFmt numFmtId="209" formatCode="_(* ##,#0&quot;.&quot;0,000,000_);_(* \(##,#0&quot;.&quot;0,000,000\);_(* &quot;-&quot;??_);_(@_)"/>
    <numFmt numFmtId="210" formatCode="0.0%;\ \(0.0%\)"/>
    <numFmt numFmtId="211" formatCode="0.000000%"/>
    <numFmt numFmtId="212" formatCode="0&quot;.&quot;0%;\ \(0&quot;.&quot;0%\)"/>
    <numFmt numFmtId="213" formatCode="&quot;               &quot;@"/>
    <numFmt numFmtId="214" formatCode="_(&quot;$&quot;* #,##0.0_);_(&quot;$&quot;* \(#,##0.0\);_(&quot;$&quot;* &quot;-&quot;?_);_(@_)"/>
    <numFmt numFmtId="215" formatCode="mmm"/>
    <numFmt numFmtId="216" formatCode="&quot;                    &quot;@"/>
    <numFmt numFmtId="217" formatCode="00000"/>
    <numFmt numFmtId="218" formatCode="_(&quot;$&quot;\ #,##0_);_(&quot;$&quot;* \(#,##0\);_(&quot;$&quot;* &quot;-&quot;_);_(@_)"/>
    <numFmt numFmtId="219" formatCode="&quot;                  &quot;@"/>
    <numFmt numFmtId="220" formatCode="m/d"/>
    <numFmt numFmtId="221" formatCode="\(&quot;$&quot;\ #,##0_);_(&quot;$&quot;* \(#,##0\);_(&quot;$&quot;* &quot;-&quot;_);_(@_)"/>
    <numFmt numFmtId="222" formatCode="#,##0,_);[Red]\(#,##0,\)"/>
    <numFmt numFmtId="223" formatCode="0.0000000000"/>
    <numFmt numFmtId="224" formatCode="_ * #,##0.00_)_£_ ;_ * \(#,##0.00\)_£_ ;_ * &quot;-&quot;??_)_£_ ;_ @_ "/>
    <numFmt numFmtId="225" formatCode="&quot;             &quot;@"/>
    <numFmt numFmtId="226" formatCode="d\ayy"/>
    <numFmt numFmtId="227" formatCode="_(* #,##0.0_);_(* \(#,##0.0\);_(* &quot;-&quot;_);_(@_)"/>
    <numFmt numFmtId="228" formatCode="#,##0_);\(#,##0\);0_);* @_)"/>
    <numFmt numFmtId="229" formatCode="#,##0.0_);\(#,##0.0\);0.0_);* @_)"/>
    <numFmt numFmtId="230" formatCode="#,##0.00_);\(#,##0.00\);0.00_);* @_)"/>
    <numFmt numFmtId="231" formatCode="#,##0.000_);\(#,##0.000\);0.000_);* @_)"/>
    <numFmt numFmtId="232" formatCode="#,##0.0000_);\(#,##0.0000\);0.0000_);* @_)"/>
    <numFmt numFmtId="233" formatCode="d\-mmm\-yyyy;[Red]&quot;Not date&quot;;&quot;-&quot;;[Red]* &quot;Not date&quot;"/>
    <numFmt numFmtId="234" formatCode="d\-mmm\-yyyy\ h:mm\ AM/PM;[Red]* &quot;Not date&quot;;&quot;-&quot;;[Red]* &quot;Not date&quot;"/>
    <numFmt numFmtId="235" formatCode="d/mm/yyyy;[Red]* &quot;Not date&quot;;&quot;-&quot;;[Red]* &quot;Not date&quot;"/>
    <numFmt numFmtId="236" formatCode="mm/dd/yyyy;[Red]* &quot;Not date&quot;;&quot;-&quot;;[Red]* &quot;Not date&quot;"/>
    <numFmt numFmtId="237" formatCode="mmm\-yy;[Red]* &quot;Not date&quot;;&quot;-&quot;;[Red]* &quot;Not date&quot;"/>
    <numFmt numFmtId="238" formatCode="0;\-0;0;* @"/>
    <numFmt numFmtId="239" formatCode="h:mm\ AM/PM;[Red]* &quot;Not time&quot;;\-;[Red]* &quot;Not time&quot;"/>
    <numFmt numFmtId="240" formatCode="[h]:mm;[Red]* &quot;Not time&quot;;[h]:mm;[Red]* &quot;Not time&quot;"/>
    <numFmt numFmtId="241" formatCode="#.##0_);\(#.##0\)"/>
    <numFmt numFmtId="242" formatCode="_(* #,##0.0_);_(* \(#,##0.0\);_(* &quot;-&quot;??_);_(@_)"/>
    <numFmt numFmtId="243" formatCode="#,##0_)_%;\(#,##0\)_%;"/>
    <numFmt numFmtId="244" formatCode="_(* #,##0.00_);_(* \(#,##0.00\);_(* &quot;-&quot;_);_(@_)"/>
    <numFmt numFmtId="245" formatCode="_-* #,##0.00\ _€_-;\-* #,##0.00\ _€_-;_-* &quot;-&quot;??\ _€_-;_-@_-"/>
    <numFmt numFmtId="246" formatCode="_(* #,##0_);_(* \(#,##0\);_(* \-_);_(@_)"/>
    <numFmt numFmtId="247" formatCode="&quot;Yes&quot;;&quot;Yes&quot;;&quot;No&quot;"/>
    <numFmt numFmtId="248" formatCode="_(* #,##0.0_);_(* \(#,##0.0\);_(* &quot;-&quot;?_);_(@_)"/>
    <numFmt numFmtId="249" formatCode="_(* #,##0.0000_);_(* \(#,##0.0000\);_(* \-??_);_(@_)"/>
    <numFmt numFmtId="250" formatCode="_._.* #,##0.0_)_%;_._.* \(#,##0.0\)_%"/>
    <numFmt numFmtId="251" formatCode="#,##0.0_)_%;\(#,##0.0\)_%;\ \ .0_)_%"/>
    <numFmt numFmtId="252" formatCode="_._.* #,##0.00_)_%;_._.* \(#,##0.00\)_%"/>
    <numFmt numFmtId="253" formatCode="#,##0.00_)_%;\(#,##0.00\)_%;\ \ .00_)_%"/>
    <numFmt numFmtId="254" formatCode="_._.* #,##0.000_)_%;_._.* \(#,##0.000\)_%"/>
    <numFmt numFmtId="255" formatCode="#,##0.000_)_%;\(#,##0.000\)_%;\ \ .000_)_%"/>
    <numFmt numFmtId="256" formatCode="#,##0.00;\-#,##0.00;\-#;@"/>
    <numFmt numFmtId="257" formatCode="#,##0\ ;&quot; (&quot;#,##0\);&quot; -&quot;#\ ;@\ "/>
    <numFmt numFmtId="258" formatCode="_(* #,##0.00_);_(* \(#,##0.00\);_(* \-??_);_(@_)"/>
    <numFmt numFmtId="259" formatCode="#,##0.00\ ;&quot; (&quot;#,##0.00\);&quot; -&quot;#\ ;@\ "/>
    <numFmt numFmtId="260" formatCode="_([$Rp-421]* #,##0.00_);_([$Rp-421]* \(#,##0.00\);_([$Rp-421]* &quot;-&quot;??_);_(@_)"/>
    <numFmt numFmtId="261" formatCode="&quot;\&quot;#,##0.00;[Red]&quot;\&quot;\-#,##0.00"/>
    <numFmt numFmtId="262" formatCode="* #,##0.00;* \-#,##0.00;* &quot;-&quot;??;@"/>
    <numFmt numFmtId="263" formatCode="#,#00"/>
    <numFmt numFmtId="264" formatCode="0.000"/>
    <numFmt numFmtId="265" formatCode="_([$€-2]* #,##0.00_);_([$€-2]* \(#,##0.00\);_([$€-2]* \-??_)"/>
    <numFmt numFmtId="266" formatCode="0\ &quot;bcm/hr&quot;"/>
    <numFmt numFmtId="267" formatCode="_(* #,##0.000_);_(* \(#,##0.000\);_(* &quot;-&quot;_);_(@_)"/>
    <numFmt numFmtId="268" formatCode="mm/dd/yy\ hh:mm\ AM/PM"/>
    <numFmt numFmtId="269" formatCode="00##"/>
    <numFmt numFmtId="270" formatCode="_-* #,##0.00\ _D_M_-;\-* #,##0.00\ _D_M_-;_-* &quot;-&quot;??\ _D_M_-;_-@_-"/>
    <numFmt numFmtId="271" formatCode="yyyy"/>
    <numFmt numFmtId="272" formatCode="_(* #,##0_);_(* \(#,##0\);_(* \-??_);_(@_)"/>
    <numFmt numFmtId="273" formatCode="_(* #,##0_);_(* \(#,##0\);_(* &quot;-&quot;??_);_(@_)"/>
    <numFmt numFmtId="274" formatCode="#,##0.000000"/>
    <numFmt numFmtId="275" formatCode="#,##0.0000"/>
    <numFmt numFmtId="276" formatCode="_(\$* #,##0.00_);_(\$* \(#,##0.00\);_(\$* \-??_);_(@_)"/>
    <numFmt numFmtId="277" formatCode="* #,##0.00;* \-#,##0.00;* \-??;@"/>
    <numFmt numFmtId="278" formatCode="#,##0;\(#,##0\)"/>
    <numFmt numFmtId="279" formatCode="#,##0.00_);\(#,##0.0\)"/>
    <numFmt numFmtId="280" formatCode="&quot;$&quot;#,##0.00;[Red]\(\-&quot;$&quot;#,##0.00\)"/>
    <numFmt numFmtId="281" formatCode="0%;\-0%;0%;* @_%"/>
    <numFmt numFmtId="282" formatCode="0.0%;\-0.0%;0.0%;* @_%"/>
    <numFmt numFmtId="283" formatCode="0.00%;\-0.00%;0.00%;* @_%"/>
    <numFmt numFmtId="284" formatCode="0.000%;\-0.000%;0.000%;* @_%"/>
    <numFmt numFmtId="285" formatCode="_._.* \(#,##0\)_%;_._.* #,##0_)_%;_._.* 0_)_%;_._.@_)_%"/>
    <numFmt numFmtId="286" formatCode="_._.&quot;$&quot;* \(#,##0\)_%;_._.&quot;$&quot;* #,##0_)_%;_._.&quot;$&quot;* 0_)_%;_._.@_)_%"/>
    <numFmt numFmtId="287" formatCode="_._.&quot;Rp&quot;* \(#,##0\)_%;_._.&quot;Rp&quot;* #,##0_)_%;_._.&quot;Rp&quot;* 0_)_%;_._.@_)_%"/>
    <numFmt numFmtId="288" formatCode="&quot;$&quot;* #,##0_);&quot;$&quot;* \(#,##0\);&quot;$&quot;* 0_);* @_)"/>
    <numFmt numFmtId="289" formatCode="&quot;$&quot;* #,##0.0_);&quot;$&quot;* \(#,##0.0\);&quot;$&quot;* 0.0_);* @_)"/>
    <numFmt numFmtId="290" formatCode="&quot;$&quot;* #,##0.00_);&quot;$&quot;* \(#,##0.00\);&quot;$&quot;* 0.00_);* @_)"/>
    <numFmt numFmtId="291" formatCode="&quot;$&quot;* #,##0.000_);&quot;$&quot;* \(#,##0.000\);&quot;$&quot;* 0.000_);* @_)"/>
    <numFmt numFmtId="292" formatCode="&quot;$&quot;* #,##0.0000_);&quot;$&quot;* \(#,##0.0000\);&quot;$&quot;* 0.0000_);* @_)"/>
    <numFmt numFmtId="293" formatCode="* \(#,##0\);* #,##0_);&quot;-&quot;??_);@"/>
    <numFmt numFmtId="294" formatCode="0###0"/>
    <numFmt numFmtId="295" formatCode="mmm\-yy;@"/>
    <numFmt numFmtId="296" formatCode="&quot;$&quot;* #,##0_)_%;&quot;$&quot;* \(#,##0\)_%;&quot;$&quot;* &quot;-&quot;??_)_%;@_)_%"/>
    <numFmt numFmtId="297" formatCode="&quot;Rp&quot;* #,##0_)_%;&quot;Rp&quot;* \(#,##0\)_%;&quot;Rp&quot;* &quot;-&quot;??_)_%;@_)_%"/>
    <numFmt numFmtId="298" formatCode="&quot;$&quot;#,##0.0;\(&quot;$&quot;#,##0.0\);&quot;$&quot;#,##0.0"/>
    <numFmt numFmtId="299" formatCode="&quot;Rp&quot;#,##0.0;\(&quot;Rp&quot;#,##0.0\);&quot;Rp&quot;#,##0.0"/>
    <numFmt numFmtId="300" formatCode="\£#,##0.0;\(\£#,##0.0\);\£#,##0.0"/>
    <numFmt numFmtId="301" formatCode="&quot;$&quot;#,##0.00;[Red]\-&quot;$&quot;#,##0.00"/>
    <numFmt numFmtId="302" formatCode="mm/dd/yy"/>
    <numFmt numFmtId="303" formatCode="&quot;IR£&quot;#,##0.00;[Red]\-&quot;IR£&quot;#,##0.00"/>
    <numFmt numFmtId="304" formatCode="#,##0.00&quot;NT$&quot;;[Red]\-#,##0.00&quot;NT$&quot;"/>
    <numFmt numFmtId="305" formatCode="#,##0\ &quot;FB&quot;;\-#,##0\ &quot;FB&quot;"/>
    <numFmt numFmtId="306" formatCode="&quot;$&quot;#,##0.0_);[Red]\(&quot;$&quot;#,##0.0\)"/>
    <numFmt numFmtId="307" formatCode="&quot;$&quot;#,##0.000_);[Red]\(&quot;$&quot;#,##0.000\)"/>
    <numFmt numFmtId="308" formatCode="&quot;Rp&quot;#,##0.000_);[Red]\(&quot;Rp&quot;#,##0.000\)"/>
    <numFmt numFmtId="309" formatCode="_._.&quot;$&quot;* #,##0.0_)_%;_._.&quot;$&quot;* \(#,##0.0\)_%"/>
    <numFmt numFmtId="310" formatCode="_._.&quot;Rp&quot;* #,##0.0_)_%;_._.&quot;Rp&quot;* \(#,##0.0\)_%"/>
    <numFmt numFmtId="311" formatCode="&quot;$&quot;* #,##0.0_)_%;&quot;$&quot;* \(#,##0.0\)_%;&quot;$&quot;* \ .0_)_%"/>
    <numFmt numFmtId="312" formatCode="&quot;Rp&quot;* #,##0.0_)_%;&quot;Rp&quot;* \(#,##0.0\)_%;&quot;Rp&quot;* \ .0_)_%"/>
    <numFmt numFmtId="313" formatCode="_._.&quot;$&quot;* #,##0.00_)_%;_._.&quot;$&quot;* \(#,##0.00\)_%"/>
    <numFmt numFmtId="314" formatCode="_._.&quot;Rp&quot;* #,##0.00_)_%;_._.&quot;Rp&quot;* \(#,##0.00\)_%"/>
    <numFmt numFmtId="315" formatCode="&quot;$&quot;* #,##0.00_)_%;&quot;$&quot;* \(#,##0.00\)_%;&quot;$&quot;* \ .00_)_%"/>
    <numFmt numFmtId="316" formatCode="&quot;Rp&quot;* #,##0.00_)_%;&quot;Rp&quot;* \(#,##0.00\)_%;&quot;Rp&quot;* \ .00_)_%"/>
    <numFmt numFmtId="317" formatCode="_._.&quot;$&quot;* #,##0.000_)_%;_._.&quot;$&quot;* \(#,##0.000\)_%"/>
    <numFmt numFmtId="318" formatCode="_._.&quot;Rp&quot;* #,##0.000_)_%;_._.&quot;Rp&quot;* \(#,##0.000\)_%"/>
    <numFmt numFmtId="319" formatCode="&quot;$&quot;* #,##0.000_)_%;&quot;$&quot;* \(#,##0.000\)_%;&quot;$&quot;* \ .000_)_%"/>
    <numFmt numFmtId="320" formatCode="&quot;Rp&quot;* #,##0.000_)_%;&quot;Rp&quot;* \(#,##0.000\)_%;&quot;Rp&quot;* \ .000_)_%"/>
    <numFmt numFmtId="321" formatCode="0.000%"/>
    <numFmt numFmtId="322" formatCode="_(* #,##0.0000000000_);_(* \(#,##0.0000000000\);_(* \-??_);_(@_)"/>
    <numFmt numFmtId="323" formatCode="\$#,##0.00_);[Red]&quot;($&quot;#,##0.00\)"/>
    <numFmt numFmtId="324" formatCode="#,###,;[Red]\(#,###,\);&quot;&quot;"/>
    <numFmt numFmtId="325" formatCode="&quot;$&quot;#,##0\ ;\(&quot;$&quot;#,##0\)"/>
    <numFmt numFmtId="326" formatCode="#,##0.00000;[Red]\-#,##0.00000"/>
    <numFmt numFmtId="327" formatCode="#,##0.00&quot;£&quot;_);[Red]\(#,##0.00&quot;£&quot;\)"/>
    <numFmt numFmtId="328" formatCode="#,##0.00\ &quot;Esc.&quot;;[Red]\-#,##0.00\ &quot;Esc.&quot;"/>
    <numFmt numFmtId="329" formatCode="#,##0.00\ _$;\-#,##0.00\ _$"/>
    <numFmt numFmtId="330" formatCode="0.0000"/>
    <numFmt numFmtId="331" formatCode="#,##0_);[Red]\(#,##0\);;@"/>
    <numFmt numFmtId="332" formatCode="#,##0.0000000;[Red]\-#,##0.0000000"/>
    <numFmt numFmtId="333" formatCode="_([$€-2]* #,##0.00_);_([$€-2]* \(#,##0.00\);_([$€-2]* &quot;-&quot;??_)"/>
    <numFmt numFmtId="334" formatCode="#.##000"/>
    <numFmt numFmtId="335" formatCode="#,##0\ &quot;Esc.&quot;;[Red]\-#,##0\ &quot;Esc.&quot;"/>
    <numFmt numFmtId="336" formatCode="#.00"/>
    <numFmt numFmtId="337" formatCode="_(* #,##0.00000000000000_);_(* \(#,##0.00000000000000\);_(* &quot;-&quot;??_);_(@_)"/>
    <numFmt numFmtId="338" formatCode="General\ ;[Red]\(General\)"/>
    <numFmt numFmtId="339" formatCode="#,##0;[Red]\(#,##0\);&quot;-&quot;"/>
    <numFmt numFmtId="340" formatCode="d\-mmm\-yyyy;[Red]* &quot;Not date&quot;;&quot;-&quot;;[Red]* &quot;Not date&quot;"/>
    <numFmt numFmtId="341" formatCode="d\-mmm\-yyyy\ h:mm\ AM/PM;[Red]* &quot;Not time&quot;;0;[Red]* &quot;Not time&quot;"/>
    <numFmt numFmtId="342" formatCode="#,##0.00\ &quot;Esc.&quot;;\-#,##0.00\ &quot;Esc.&quot;"/>
    <numFmt numFmtId="343" formatCode="0.0%;[Red]\(0.0%\)"/>
    <numFmt numFmtId="344" formatCode="_(* #,##0.00_);[Red]_(* \(#,##0.00\);_(* &quot;-&quot;_);_(@_)"/>
    <numFmt numFmtId="345" formatCode="_(&quot;N$&quot;* #,##0_);_(&quot;N$&quot;* \(#,##0\);_(&quot;N$&quot;* &quot;-&quot;_);_(@_)"/>
    <numFmt numFmtId="346" formatCode="_(&quot;N$&quot;* #,##0.00_);_(&quot;N$&quot;* \(#,##0.00\);_(&quot;N$&quot;* &quot;-&quot;??_);_(@_)"/>
    <numFmt numFmtId="347" formatCode="\$#,#00"/>
    <numFmt numFmtId="348" formatCode="_-* #,##0.00\ &quot;Esc.&quot;_-;\-* #,##0.00\ &quot;Esc.&quot;_-;_-* &quot;-&quot;??\ &quot;Esc.&quot;_-;_-@_-"/>
    <numFmt numFmtId="349" formatCode="0.00_)"/>
    <numFmt numFmtId="350" formatCode="_(* #,##0,,_);_(* \(#,##0,,\);_(* &quot;-&quot;_)"/>
    <numFmt numFmtId="351" formatCode="0.00\ "/>
    <numFmt numFmtId="352" formatCode="\ @"/>
    <numFmt numFmtId="353" formatCode="#,##0.000_);[Red]\(#,##0.000\)"/>
    <numFmt numFmtId="354" formatCode="[$-409]dd\-mmm\-yy;@"/>
    <numFmt numFmtId="355" formatCode="_-* #,##0.00\ _E_s_c_._-;\-* #,##0.00\ _E_s_c_._-;_-* &quot;-&quot;??\ _E_s_c_._-;_-@_-"/>
    <numFmt numFmtId="356" formatCode="_(&quot;$&quot;* #,##0.000_);_(&quot;$&quot;* \(#,##0.000\);_(&quot;$&quot;* &quot;-&quot;??_);_(@_)"/>
    <numFmt numFmtId="357" formatCode="0%;\(0%\)"/>
    <numFmt numFmtId="358" formatCode="#,##0&quot;NT$&quot;;[Red]\-#,##0&quot;NT$&quot;"/>
    <numFmt numFmtId="359" formatCode="_ * #,##0.00_)_F_ ;_ * \(#,##0.00\)_F_ ;_ * &quot;-&quot;??_)_F_ ;_ @_ "/>
  </numFmts>
  <fonts count="213">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sz val="11"/>
      <color theme="1"/>
      <name val="Calibri"/>
      <family val="2"/>
      <charset val="1"/>
      <scheme val="minor"/>
    </font>
    <font>
      <sz val="9"/>
      <color rgb="FF000000"/>
      <name val="Calibri"/>
      <family val="2"/>
    </font>
    <font>
      <sz val="11"/>
      <color rgb="FF000000"/>
      <name val="Calibri"/>
      <family val="2"/>
    </font>
    <font>
      <sz val="9"/>
      <name val="Calibri"/>
      <family val="2"/>
      <scheme val="minor"/>
    </font>
    <font>
      <sz val="10"/>
      <name val="Arial"/>
      <family val="2"/>
    </font>
    <font>
      <sz val="8"/>
      <color indexed="12"/>
      <name val="Arial"/>
      <family val="2"/>
    </font>
    <font>
      <b/>
      <sz val="10"/>
      <name val="MS Sans Serif"/>
      <family val="2"/>
    </font>
    <font>
      <sz val="11"/>
      <color indexed="8"/>
      <name val="Calibri"/>
      <family val="2"/>
    </font>
    <font>
      <sz val="9"/>
      <name val="Arial"/>
      <family val="2"/>
    </font>
    <font>
      <sz val="10"/>
      <name val="Arial Narrow"/>
      <family val="2"/>
    </font>
    <font>
      <sz val="10"/>
      <name val="GillSans"/>
      <family val="2"/>
    </font>
    <font>
      <sz val="10"/>
      <name val="Courier"/>
      <family val="3"/>
    </font>
    <font>
      <sz val="10"/>
      <name val="Baskerville MT"/>
      <family val="2"/>
    </font>
    <font>
      <sz val="10"/>
      <name val="Century Schoolbook"/>
      <family val="2"/>
    </font>
    <font>
      <sz val="10"/>
      <name val="Times New Roman"/>
      <family val="1"/>
    </font>
    <font>
      <sz val="12"/>
      <name val="바탕체"/>
      <family val="1"/>
    </font>
    <font>
      <i/>
      <sz val="12"/>
      <name val="바탕체"/>
      <family val="1"/>
    </font>
    <font>
      <sz val="10"/>
      <name val="Arial"/>
      <family val="2"/>
      <charset val="1"/>
    </font>
    <font>
      <sz val="12"/>
      <name val="Times New Roman"/>
      <family val="1"/>
    </font>
    <font>
      <sz val="10"/>
      <name val="Geneva"/>
    </font>
    <font>
      <sz val="10"/>
      <name val="Helv"/>
      <family val="2"/>
    </font>
    <font>
      <b/>
      <sz val="22"/>
      <color indexed="18"/>
      <name val="Arial"/>
      <family val="2"/>
    </font>
    <font>
      <sz val="10"/>
      <color indexed="8"/>
      <name val="Arial"/>
      <family val="2"/>
    </font>
    <font>
      <sz val="1"/>
      <color indexed="8"/>
      <name val="Courier"/>
      <family val="3"/>
    </font>
    <font>
      <sz val="14"/>
      <name val="‚l‚r –¾’©"/>
      <family val="1"/>
    </font>
    <font>
      <sz val="8"/>
      <color indexed="8"/>
      <name val="Times New Roman"/>
      <family val="1"/>
    </font>
    <font>
      <sz val="8"/>
      <color indexed="14"/>
      <name val="Times New Roman"/>
      <family val="1"/>
    </font>
    <font>
      <sz val="12"/>
      <name val="Helv"/>
    </font>
    <font>
      <sz val="10"/>
      <name val="MS Sans Serif"/>
      <family val="2"/>
    </font>
    <font>
      <sz val="12"/>
      <color indexed="10"/>
      <name val="Helv"/>
    </font>
    <font>
      <sz val="1"/>
      <color indexed="16"/>
      <name val="Courier"/>
      <family val="3"/>
    </font>
    <font>
      <sz val="14"/>
      <name val="–¾’©"/>
    </font>
    <font>
      <sz val="11"/>
      <name val="¾©"/>
      <family val="1"/>
    </font>
    <font>
      <sz val="11"/>
      <name val="lr oSVbN"/>
      <family val="3"/>
    </font>
    <font>
      <b/>
      <sz val="20"/>
      <name val="Times New Roman"/>
      <family val="1"/>
    </font>
    <font>
      <b/>
      <sz val="14"/>
      <name val="TimesNewRomanPS"/>
      <family val="1"/>
    </font>
    <font>
      <sz val="12"/>
      <name val="¹ÙÅÁÃ¼"/>
    </font>
    <font>
      <sz val="11"/>
      <color indexed="8"/>
      <name val="ＭＳ Ｐゴシック"/>
      <family val="3"/>
      <charset val="128"/>
    </font>
    <font>
      <sz val="11"/>
      <color indexed="8"/>
      <name val="맑은 고딕"/>
      <family val="3"/>
      <charset val="129"/>
    </font>
    <font>
      <sz val="11"/>
      <color indexed="9"/>
      <name val="Calibri"/>
      <family val="2"/>
    </font>
    <font>
      <sz val="11"/>
      <color indexed="9"/>
      <name val="ＭＳ Ｐゴシック"/>
      <family val="3"/>
      <charset val="128"/>
    </font>
    <font>
      <sz val="11"/>
      <color indexed="9"/>
      <name val="맑은 고딕"/>
      <family val="3"/>
      <charset val="129"/>
    </font>
    <font>
      <sz val="12"/>
      <name val="Arial MT"/>
    </font>
    <font>
      <b/>
      <sz val="10"/>
      <name val="Helv"/>
    </font>
    <font>
      <sz val="10"/>
      <name val="Geneva"/>
      <family val="2"/>
    </font>
    <font>
      <b/>
      <u/>
      <sz val="18"/>
      <color indexed="9"/>
      <name val="Tahoma"/>
      <family val="2"/>
    </font>
    <font>
      <sz val="11"/>
      <name val="Arial"/>
      <family val="2"/>
    </font>
    <font>
      <sz val="9"/>
      <name val="Helv"/>
      <family val="2"/>
    </font>
    <font>
      <sz val="11"/>
      <color indexed="9"/>
      <name val="Calibri"/>
      <family val="2"/>
      <charset val="1"/>
    </font>
    <font>
      <sz val="9"/>
      <color indexed="12"/>
      <name val="Times New Roman"/>
      <family val="1"/>
    </font>
    <font>
      <sz val="8"/>
      <name val="Arial"/>
      <family val="2"/>
    </font>
    <font>
      <sz val="11"/>
      <name val="µ¸¿ò"/>
      <family val="3"/>
    </font>
    <font>
      <sz val="8"/>
      <name val="Tahoma"/>
      <family val="2"/>
    </font>
    <font>
      <b/>
      <sz val="12"/>
      <name val="Tms Rmn"/>
    </font>
    <font>
      <b/>
      <sz val="12"/>
      <name val="Times"/>
      <family val="1"/>
    </font>
    <font>
      <sz val="8"/>
      <name val="Times New Roman"/>
      <family val="1"/>
    </font>
    <font>
      <sz val="12"/>
      <name val="Arial"/>
      <family val="2"/>
    </font>
    <font>
      <sz val="10"/>
      <color indexed="12"/>
      <name val="Verdana"/>
      <family val="2"/>
    </font>
    <font>
      <sz val="10"/>
      <color indexed="12"/>
      <name val="Verdana"/>
      <family val="2"/>
      <charset val="1"/>
    </font>
    <font>
      <sz val="9"/>
      <name val="¹ÙÅÁÃ¼"/>
      <family val="1"/>
    </font>
    <font>
      <sz val="11"/>
      <color indexed="10"/>
      <name val="Calibri"/>
      <family val="2"/>
    </font>
    <font>
      <b/>
      <sz val="10"/>
      <color indexed="9"/>
      <name val="Gill Sans MT"/>
      <family val="2"/>
    </font>
    <font>
      <sz val="11"/>
      <color indexed="20"/>
      <name val="Calibri"/>
      <family val="2"/>
    </font>
    <font>
      <sz val="11"/>
      <color indexed="17"/>
      <name val="Calibri"/>
      <family val="2"/>
    </font>
    <font>
      <b/>
      <sz val="9"/>
      <color indexed="9"/>
      <name val="Arial"/>
      <family val="2"/>
    </font>
    <font>
      <sz val="8"/>
      <color indexed="12"/>
      <name val="Tms Rmn"/>
    </font>
    <font>
      <sz val="8"/>
      <color indexed="18"/>
      <name val="Arial"/>
      <family val="2"/>
    </font>
    <font>
      <sz val="8"/>
      <color indexed="12"/>
      <name val="Times"/>
      <family val="1"/>
    </font>
    <font>
      <sz val="12"/>
      <name val="Times"/>
      <family val="1"/>
    </font>
    <font>
      <sz val="8"/>
      <name val="Verdana"/>
      <family val="2"/>
    </font>
    <font>
      <b/>
      <i/>
      <sz val="12"/>
      <name val="Times New Roman"/>
      <family val="1"/>
    </font>
    <font>
      <sz val="8"/>
      <name val="Wingdings"/>
      <charset val="2"/>
    </font>
    <font>
      <b/>
      <i/>
      <sz val="9"/>
      <name val="Arial"/>
      <family val="2"/>
    </font>
    <font>
      <b/>
      <sz val="11"/>
      <color indexed="52"/>
      <name val="Calibri"/>
      <family val="2"/>
    </font>
    <font>
      <sz val="11"/>
      <color indexed="36"/>
      <name val="Arial"/>
      <family val="2"/>
    </font>
    <font>
      <b/>
      <sz val="11"/>
      <color indexed="10"/>
      <name val="Calibri"/>
      <family val="2"/>
    </font>
    <font>
      <b/>
      <i/>
      <sz val="10"/>
      <name val="Times New Roman"/>
      <family val="1"/>
    </font>
    <font>
      <b/>
      <sz val="10"/>
      <name val="Helv"/>
      <family val="2"/>
    </font>
    <font>
      <b/>
      <sz val="11"/>
      <color indexed="9"/>
      <name val="Calibri"/>
      <family val="2"/>
    </font>
    <font>
      <b/>
      <sz val="11"/>
      <name val="Arial"/>
      <family val="2"/>
    </font>
    <font>
      <sz val="8"/>
      <name val="Tms Rmn"/>
    </font>
    <font>
      <sz val="10"/>
      <color indexed="18"/>
      <name val="Times New Roman"/>
      <family val="1"/>
    </font>
    <font>
      <b/>
      <sz val="10"/>
      <name val="Palatino"/>
      <family val="1"/>
    </font>
    <font>
      <i/>
      <sz val="8"/>
      <color indexed="10"/>
      <name val="Arial"/>
      <family val="2"/>
    </font>
    <font>
      <b/>
      <i/>
      <sz val="8"/>
      <name val="Arial"/>
      <family val="2"/>
    </font>
    <font>
      <b/>
      <sz val="8"/>
      <name val="Book Antiqua"/>
      <family val="1"/>
    </font>
    <font>
      <b/>
      <sz val="10"/>
      <name val="Times New Roman"/>
      <family val="1"/>
    </font>
    <font>
      <b/>
      <sz val="8"/>
      <name val="Arial"/>
      <family val="2"/>
    </font>
    <font>
      <sz val="10"/>
      <color indexed="8"/>
      <name val="Segoe UI"/>
      <family val="2"/>
    </font>
    <font>
      <sz val="12"/>
      <name val="Tms Rmn"/>
    </font>
    <font>
      <sz val="11"/>
      <name val="ＭＳ Ｐゴシック"/>
      <family val="3"/>
      <charset val="128"/>
    </font>
    <font>
      <sz val="10"/>
      <name val="Trebuchet MS"/>
      <family val="2"/>
    </font>
    <font>
      <sz val="11"/>
      <color indexed="8"/>
      <name val="Calibri"/>
      <family val="2"/>
      <charset val="1"/>
    </font>
    <font>
      <sz val="10"/>
      <name val="Tahoma"/>
      <family val="2"/>
    </font>
    <font>
      <sz val="8"/>
      <color indexed="8"/>
      <name val="Arial"/>
      <family val="2"/>
    </font>
    <font>
      <sz val="11"/>
      <name val="Times New Roman"/>
      <family val="1"/>
    </font>
    <font>
      <u val="singleAccounting"/>
      <sz val="11"/>
      <name val="Times New Roman"/>
      <family val="1"/>
    </font>
    <font>
      <sz val="10"/>
      <name val="Arial Unicode MS"/>
      <family val="2"/>
    </font>
    <font>
      <sz val="11"/>
      <color theme="1"/>
      <name val="Calibri"/>
      <family val="2"/>
    </font>
    <font>
      <sz val="9"/>
      <name val="Tahoma"/>
      <family val="2"/>
    </font>
    <font>
      <sz val="12"/>
      <color indexed="8"/>
      <name val="Times New Roman"/>
      <family val="2"/>
    </font>
    <font>
      <b/>
      <sz val="10"/>
      <name val="Arial"/>
      <family val="2"/>
    </font>
    <font>
      <sz val="9"/>
      <color theme="1"/>
      <name val="Franklin Gothic Book"/>
      <family val="2"/>
    </font>
    <font>
      <sz val="10"/>
      <color theme="1"/>
      <name val="Century Gothic"/>
      <family val="2"/>
    </font>
    <font>
      <sz val="10"/>
      <name val="Comic Sans MS"/>
      <family val="4"/>
    </font>
    <font>
      <sz val="10"/>
      <name val="Arial Unicode MS"/>
      <family val="2"/>
      <charset val="1"/>
    </font>
    <font>
      <sz val="10"/>
      <color indexed="8"/>
      <name val="Calibri"/>
      <family val="2"/>
    </font>
    <font>
      <sz val="10"/>
      <color indexed="24"/>
      <name val="Courier New"/>
      <family val="3"/>
    </font>
    <font>
      <b/>
      <sz val="16"/>
      <name val="Times New Roman"/>
      <family val="1"/>
    </font>
    <font>
      <b/>
      <sz val="11"/>
      <name val="Times New Roman"/>
      <family val="1"/>
    </font>
    <font>
      <sz val="9"/>
      <color indexed="9"/>
      <name val="Arial"/>
      <family val="2"/>
    </font>
    <font>
      <b/>
      <sz val="8"/>
      <color indexed="10"/>
      <name val="Arial"/>
      <family val="2"/>
    </font>
    <font>
      <b/>
      <sz val="8"/>
      <color indexed="10"/>
      <name val="Arial"/>
      <family val="2"/>
      <charset val="1"/>
    </font>
    <font>
      <sz val="10"/>
      <name val="MS Serif"/>
      <family val="1"/>
    </font>
    <font>
      <sz val="11"/>
      <color indexed="12"/>
      <name val="Times New Roman"/>
      <family val="1"/>
    </font>
    <font>
      <b/>
      <u/>
      <sz val="11"/>
      <name val="Times New Roman"/>
      <family val="1"/>
    </font>
    <font>
      <sz val="14"/>
      <name val="Helv"/>
    </font>
    <font>
      <sz val="14"/>
      <name val="Arial"/>
      <family val="2"/>
      <charset val="1"/>
    </font>
    <font>
      <sz val="8"/>
      <name val="Calibri"/>
      <family val="2"/>
    </font>
    <font>
      <sz val="10"/>
      <color indexed="12"/>
      <name val="Arial"/>
      <family val="2"/>
    </font>
    <font>
      <sz val="10"/>
      <name val="Gill Sans MT"/>
      <family val="2"/>
    </font>
    <font>
      <sz val="6"/>
      <color indexed="24"/>
      <name val="Times New Roman"/>
      <family val="1"/>
    </font>
    <font>
      <sz val="12"/>
      <name val="Helv"/>
      <family val="2"/>
    </font>
    <font>
      <sz val="11"/>
      <name val="Aldine401 BT"/>
    </font>
    <font>
      <sz val="12"/>
      <name val="SWISS"/>
    </font>
    <font>
      <sz val="10"/>
      <name val="Century Gothic"/>
      <family val="2"/>
    </font>
    <font>
      <b/>
      <sz val="11"/>
      <color indexed="8"/>
      <name val="Calibri"/>
      <family val="2"/>
    </font>
    <font>
      <b/>
      <sz val="1"/>
      <color indexed="8"/>
      <name val="Courier"/>
      <family val="3"/>
    </font>
    <font>
      <sz val="24"/>
      <color indexed="13"/>
      <name val="SWISS"/>
    </font>
    <font>
      <sz val="10"/>
      <color indexed="16"/>
      <name val="MS Serif"/>
      <family val="1"/>
    </font>
    <font>
      <i/>
      <sz val="11"/>
      <color indexed="23"/>
      <name val="Calibri"/>
      <family val="2"/>
    </font>
    <font>
      <b/>
      <sz val="14"/>
      <name val="SWISS"/>
    </font>
    <font>
      <b/>
      <sz val="14"/>
      <name val="Arial"/>
      <family val="2"/>
    </font>
    <font>
      <b/>
      <sz val="12"/>
      <name val="Arial"/>
      <family val="2"/>
    </font>
    <font>
      <b/>
      <sz val="15"/>
      <color indexed="56"/>
      <name val="Calibri"/>
      <family val="2"/>
      <charset val="1"/>
    </font>
    <font>
      <b/>
      <sz val="15"/>
      <color indexed="56"/>
      <name val="Calibri"/>
      <family val="2"/>
    </font>
    <font>
      <b/>
      <sz val="15"/>
      <color indexed="62"/>
      <name val="Calibri"/>
      <family val="2"/>
    </font>
    <font>
      <b/>
      <sz val="13"/>
      <color indexed="56"/>
      <name val="Calibri"/>
      <family val="2"/>
    </font>
    <font>
      <b/>
      <sz val="13"/>
      <color indexed="62"/>
      <name val="Calibri"/>
      <family val="2"/>
    </font>
    <font>
      <b/>
      <sz val="11"/>
      <color indexed="56"/>
      <name val="Calibri"/>
      <family val="2"/>
    </font>
    <font>
      <b/>
      <sz val="11"/>
      <color indexed="62"/>
      <name val="Calibri"/>
      <family val="2"/>
    </font>
    <font>
      <b/>
      <sz val="8"/>
      <name val="MS Sans Serif"/>
      <family val="2"/>
    </font>
    <font>
      <sz val="10"/>
      <name val="Univers (WN)"/>
      <family val="2"/>
    </font>
    <font>
      <u/>
      <sz val="8"/>
      <color indexed="12"/>
      <name val="Arial"/>
      <family val="2"/>
    </font>
    <font>
      <u/>
      <sz val="10"/>
      <color indexed="12"/>
      <name val="Arial"/>
      <family val="2"/>
    </font>
    <font>
      <u/>
      <sz val="10"/>
      <color indexed="12"/>
      <name val="Courier"/>
      <family val="3"/>
    </font>
    <font>
      <u/>
      <sz val="7.5"/>
      <color indexed="12"/>
      <name val="Times New Roman"/>
      <family val="1"/>
    </font>
    <font>
      <u/>
      <sz val="11"/>
      <color theme="10"/>
      <name val="Calibri"/>
      <family val="2"/>
      <scheme val="minor"/>
    </font>
    <font>
      <u/>
      <sz val="11"/>
      <color indexed="12"/>
      <name val="Calibri"/>
      <family val="2"/>
      <charset val="1"/>
    </font>
    <font>
      <b/>
      <sz val="8"/>
      <color indexed="12"/>
      <name val="Arial"/>
      <family val="2"/>
    </font>
    <font>
      <sz val="11"/>
      <color indexed="62"/>
      <name val="Calibri"/>
      <family val="2"/>
    </font>
    <font>
      <sz val="8"/>
      <color indexed="39"/>
      <name val="Arial"/>
      <family val="2"/>
    </font>
    <font>
      <b/>
      <sz val="18"/>
      <color indexed="56"/>
      <name val="Cambria"/>
      <family val="2"/>
    </font>
    <font>
      <b/>
      <sz val="11"/>
      <color indexed="63"/>
      <name val="Calibri"/>
      <family val="2"/>
    </font>
    <font>
      <i/>
      <outline/>
      <shadow/>
      <u/>
      <sz val="1"/>
      <color indexed="24"/>
      <name val="Courier"/>
      <family val="3"/>
    </font>
    <font>
      <b/>
      <sz val="14"/>
      <name val="Helv"/>
      <family val="2"/>
    </font>
    <font>
      <sz val="8"/>
      <color indexed="14"/>
      <name val="Arial"/>
      <family val="2"/>
    </font>
    <font>
      <sz val="8"/>
      <color indexed="14"/>
      <name val="Arial"/>
      <family val="2"/>
      <charset val="1"/>
    </font>
    <font>
      <sz val="11"/>
      <color indexed="52"/>
      <name val="Calibri"/>
      <family val="2"/>
    </font>
    <font>
      <b/>
      <sz val="12"/>
      <name val="SWISS"/>
    </font>
    <font>
      <b/>
      <sz val="9"/>
      <name val="Arial"/>
      <family val="2"/>
    </font>
    <font>
      <b/>
      <sz val="11"/>
      <name val="Helv"/>
      <family val="2"/>
    </font>
    <font>
      <sz val="11"/>
      <color indexed="60"/>
      <name val="Calibri"/>
      <family val="2"/>
    </font>
    <font>
      <sz val="11"/>
      <color indexed="19"/>
      <name val="Calibri"/>
      <family val="2"/>
    </font>
    <font>
      <sz val="7"/>
      <name val="Small Fonts"/>
      <family val="2"/>
    </font>
    <font>
      <b/>
      <i/>
      <sz val="16"/>
      <name val="Helv"/>
    </font>
    <font>
      <b/>
      <i/>
      <sz val="16"/>
      <name val="Arial"/>
      <family val="2"/>
    </font>
    <font>
      <sz val="11"/>
      <name val="돋움"/>
      <family val="2"/>
    </font>
    <font>
      <sz val="10"/>
      <color theme="1"/>
      <name val="Segoe UI"/>
      <family val="2"/>
    </font>
    <font>
      <sz val="11"/>
      <color theme="1"/>
      <name val="Arial"/>
      <family val="2"/>
    </font>
    <font>
      <sz val="10"/>
      <color theme="1"/>
      <name val="Calibri"/>
      <family val="2"/>
      <scheme val="minor"/>
    </font>
    <font>
      <sz val="12"/>
      <color indexed="8"/>
      <name val="Verdana"/>
      <family val="2"/>
    </font>
    <font>
      <sz val="10"/>
      <color indexed="8"/>
      <name val="Segoe UI"/>
      <family val="2"/>
      <charset val="1"/>
    </font>
    <font>
      <sz val="8"/>
      <color theme="1"/>
      <name val="Arial"/>
      <family val="2"/>
    </font>
    <font>
      <b/>
      <sz val="10"/>
      <color indexed="8"/>
      <name val="Univers"/>
      <family val="2"/>
    </font>
    <font>
      <b/>
      <sz val="10"/>
      <name val="Century Gothic"/>
      <family val="2"/>
    </font>
    <font>
      <sz val="8"/>
      <color indexed="10"/>
      <name val="Arial"/>
      <family val="2"/>
    </font>
    <font>
      <sz val="11"/>
      <name val="Helv"/>
    </font>
    <font>
      <u/>
      <sz val="10"/>
      <name val="Arial"/>
      <family val="2"/>
    </font>
    <font>
      <b/>
      <sz val="9"/>
      <color rgb="FF000000"/>
      <name val="Calibri"/>
      <family val="2"/>
    </font>
    <font>
      <b/>
      <sz val="10"/>
      <color rgb="FFFFFFFF"/>
      <name val="Calibri"/>
      <family val="2"/>
    </font>
    <font>
      <b/>
      <sz val="10"/>
      <color theme="0"/>
      <name val="Calibri"/>
      <family val="2"/>
      <scheme val="minor"/>
    </font>
    <font>
      <sz val="10"/>
      <name val="Calibri"/>
      <family val="2"/>
      <scheme val="minor"/>
    </font>
    <font>
      <b/>
      <sz val="10"/>
      <name val="Calibri"/>
      <family val="2"/>
      <scheme val="minor"/>
    </font>
    <font>
      <b/>
      <sz val="10.5"/>
      <color rgb="FFFFFFFF"/>
      <name val="Calibri"/>
      <family val="2"/>
    </font>
    <font>
      <b/>
      <sz val="10"/>
      <color rgb="FF000000"/>
      <name val="Calibri"/>
      <family val="2"/>
    </font>
    <font>
      <sz val="10"/>
      <color rgb="FF000000"/>
      <name val="Calibri"/>
      <family val="2"/>
    </font>
    <font>
      <b/>
      <sz val="10"/>
      <color theme="1"/>
      <name val="Calibri"/>
      <family val="2"/>
      <scheme val="minor"/>
    </font>
    <font>
      <b/>
      <sz val="10"/>
      <name val="Calibri"/>
      <family val="2"/>
    </font>
    <font>
      <sz val="10"/>
      <name val="Calibri"/>
      <family val="2"/>
    </font>
    <font>
      <b/>
      <sz val="9"/>
      <color indexed="81"/>
      <name val="Tahoma"/>
      <family val="2"/>
    </font>
    <font>
      <sz val="9"/>
      <color indexed="81"/>
      <name val="Tahoma"/>
      <family val="2"/>
    </font>
    <font>
      <sz val="9"/>
      <color rgb="FF000000"/>
      <name val="Calibri"/>
      <family val="2"/>
      <scheme val="minor"/>
    </font>
    <font>
      <sz val="10"/>
      <color rgb="FF000000"/>
      <name val="Calibri"/>
      <family val="2"/>
      <scheme val="minor"/>
    </font>
    <font>
      <sz val="9"/>
      <name val="Calibri"/>
      <family val="2"/>
    </font>
    <font>
      <sz val="11"/>
      <name val="Calibri"/>
      <family val="2"/>
      <scheme val="minor"/>
    </font>
    <font>
      <b/>
      <sz val="9"/>
      <name val="Calibri"/>
      <family val="2"/>
      <scheme val="minor"/>
    </font>
    <font>
      <b/>
      <sz val="11"/>
      <color theme="0"/>
      <name val="Calibri"/>
      <family val="2"/>
      <scheme val="minor"/>
    </font>
    <font>
      <b/>
      <sz val="11"/>
      <color rgb="FFFFFFFF"/>
      <name val="Calibri"/>
      <family val="2"/>
    </font>
    <font>
      <b/>
      <sz val="11"/>
      <name val="Calibri"/>
      <family val="2"/>
    </font>
    <font>
      <sz val="11"/>
      <name val="Calibri"/>
      <family val="2"/>
    </font>
    <font>
      <b/>
      <sz val="11"/>
      <name val="Calibri"/>
      <family val="2"/>
      <scheme val="minor"/>
    </font>
    <font>
      <b/>
      <sz val="11"/>
      <color rgb="FF000000"/>
      <name val="Calibri"/>
      <family val="2"/>
    </font>
    <font>
      <b/>
      <sz val="11"/>
      <color rgb="FFFF0000"/>
      <name val="Calibri"/>
      <family val="2"/>
    </font>
    <font>
      <b/>
      <sz val="11"/>
      <color theme="1"/>
      <name val="Calibri"/>
      <family val="2"/>
    </font>
    <font>
      <b/>
      <sz val="9"/>
      <color theme="1"/>
      <name val="Calibri"/>
      <family val="2"/>
    </font>
    <font>
      <b/>
      <sz val="10"/>
      <color theme="0"/>
      <name val="Calibri"/>
      <family val="2"/>
    </font>
    <font>
      <b/>
      <sz val="11"/>
      <color theme="0"/>
      <name val="Calibri"/>
      <family val="2"/>
    </font>
    <font>
      <b/>
      <sz val="9"/>
      <name val="Calibri"/>
      <family val="2"/>
    </font>
  </fonts>
  <fills count="81">
    <fill>
      <patternFill patternType="none"/>
    </fill>
    <fill>
      <patternFill patternType="gray125"/>
    </fill>
    <fill>
      <patternFill patternType="solid">
        <fgColor rgb="FFFFFFCC"/>
      </patternFill>
    </fill>
    <fill>
      <patternFill patternType="solid">
        <fgColor theme="4"/>
      </patternFill>
    </fill>
    <fill>
      <patternFill patternType="solid">
        <fgColor rgb="FFC00000"/>
        <bgColor indexed="64"/>
      </patternFill>
    </fill>
    <fill>
      <patternFill patternType="solid">
        <fgColor rgb="FF49C404"/>
        <bgColor indexed="64"/>
      </patternFill>
    </fill>
    <fill>
      <patternFill patternType="solid">
        <fgColor rgb="FFFFC000"/>
        <bgColor indexed="64"/>
      </patternFill>
    </fill>
    <fill>
      <patternFill patternType="solid">
        <fgColor rgb="FF009900"/>
        <bgColor indexed="64"/>
      </patternFill>
    </fill>
    <fill>
      <patternFill patternType="solid">
        <fgColor rgb="FF0070C0"/>
        <bgColor indexed="64"/>
      </patternFill>
    </fill>
    <fill>
      <patternFill patternType="solid">
        <fgColor indexed="22"/>
        <bgColor indexed="64"/>
      </patternFill>
    </fill>
    <fill>
      <patternFill patternType="solid">
        <fgColor indexed="4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12"/>
        <bgColor indexed="64"/>
      </patternFill>
    </fill>
    <fill>
      <patternFill patternType="solid">
        <fgColor indexed="9"/>
        <bgColor indexed="64"/>
      </patternFill>
    </fill>
    <fill>
      <patternFill patternType="solid">
        <fgColor indexed="31"/>
        <bgColor indexed="31"/>
      </patternFill>
    </fill>
    <fill>
      <patternFill patternType="solid">
        <fgColor indexed="44"/>
        <bgColor indexed="44"/>
      </patternFill>
    </fill>
    <fill>
      <patternFill patternType="solid">
        <fgColor indexed="54"/>
        <bgColor indexed="54"/>
      </patternFill>
    </fill>
    <fill>
      <patternFill patternType="solid">
        <fgColor indexed="56"/>
      </patternFill>
    </fill>
    <fill>
      <patternFill patternType="solid">
        <fgColor indexed="62"/>
      </patternFill>
    </fill>
    <fill>
      <patternFill patternType="solid">
        <fgColor indexed="48"/>
        <bgColor indexed="23"/>
      </patternFill>
    </fill>
    <fill>
      <patternFill patternType="solid">
        <fgColor indexed="26"/>
        <bgColor indexed="26"/>
      </patternFill>
    </fill>
    <fill>
      <patternFill patternType="solid">
        <fgColor indexed="15"/>
        <bgColor indexed="15"/>
      </patternFill>
    </fill>
    <fill>
      <patternFill patternType="solid">
        <fgColor indexed="22"/>
        <bgColor indexed="22"/>
      </patternFill>
    </fill>
    <fill>
      <patternFill patternType="solid">
        <fgColor indexed="45"/>
        <bgColor indexed="45"/>
      </patternFill>
    </fill>
    <fill>
      <patternFill patternType="solid">
        <fgColor indexed="55"/>
        <bgColor indexed="55"/>
      </patternFill>
    </fill>
    <fill>
      <patternFill patternType="solid">
        <fgColor indexed="10"/>
      </patternFill>
    </fill>
    <fill>
      <patternFill patternType="solid">
        <fgColor indexed="41"/>
        <bgColor indexed="41"/>
      </patternFill>
    </fill>
    <fill>
      <patternFill patternType="solid">
        <fgColor indexed="42"/>
        <bgColor indexed="42"/>
      </patternFill>
    </fill>
    <fill>
      <patternFill patternType="solid">
        <fgColor indexed="40"/>
        <bgColor indexed="40"/>
      </patternFill>
    </fill>
    <fill>
      <patternFill patternType="solid">
        <fgColor indexed="57"/>
      </patternFill>
    </fill>
    <fill>
      <patternFill patternType="solid">
        <fgColor indexed="54"/>
      </patternFill>
    </fill>
    <fill>
      <patternFill patternType="solid">
        <fgColor indexed="27"/>
        <bgColor indexed="27"/>
      </patternFill>
    </fill>
    <fill>
      <patternFill patternType="solid">
        <fgColor indexed="47"/>
        <bgColor indexed="47"/>
      </patternFill>
    </fill>
    <fill>
      <patternFill patternType="solid">
        <fgColor indexed="56"/>
        <bgColor indexed="64"/>
      </patternFill>
    </fill>
    <fill>
      <patternFill patternType="solid">
        <fgColor indexed="56"/>
        <bgColor indexed="30"/>
      </patternFill>
    </fill>
    <fill>
      <patternFill patternType="solid">
        <fgColor indexed="43"/>
        <bgColor indexed="64"/>
      </patternFill>
    </fill>
    <fill>
      <patternFill patternType="solid">
        <fgColor indexed="8"/>
        <bgColor indexed="64"/>
      </patternFill>
    </fill>
    <fill>
      <patternFill patternType="solid">
        <fgColor indexed="55"/>
        <bgColor indexed="64"/>
      </patternFill>
    </fill>
    <fill>
      <patternFill patternType="solid">
        <fgColor indexed="22"/>
      </patternFill>
    </fill>
    <fill>
      <patternFill patternType="solid">
        <fgColor indexed="9"/>
      </patternFill>
    </fill>
    <fill>
      <patternFill patternType="solid">
        <fgColor indexed="55"/>
      </patternFill>
    </fill>
    <fill>
      <patternFill patternType="solid">
        <fgColor indexed="51"/>
        <bgColor indexed="64"/>
      </patternFill>
    </fill>
    <fill>
      <patternFill patternType="gray0625">
        <fgColor indexed="15"/>
      </patternFill>
    </fill>
    <fill>
      <patternFill patternType="solid">
        <fgColor indexed="26"/>
        <bgColor indexed="64"/>
      </patternFill>
    </fill>
    <fill>
      <patternFill patternType="lightGray">
        <fgColor indexed="13"/>
        <bgColor indexed="9"/>
      </patternFill>
    </fill>
    <fill>
      <patternFill patternType="lightUp">
        <fgColor indexed="9"/>
        <bgColor indexed="55"/>
      </patternFill>
    </fill>
    <fill>
      <patternFill patternType="lightUp">
        <fgColor indexed="9"/>
        <bgColor indexed="29"/>
      </patternFill>
    </fill>
    <fill>
      <patternFill patternType="lightUp">
        <fgColor indexed="9"/>
        <bgColor indexed="22"/>
      </patternFill>
    </fill>
    <fill>
      <patternFill patternType="solid">
        <fgColor indexed="12"/>
        <bgColor indexed="12"/>
      </patternFill>
    </fill>
    <fill>
      <patternFill patternType="solid">
        <fgColor indexed="41"/>
        <bgColor indexed="31"/>
      </patternFill>
    </fill>
    <fill>
      <patternFill patternType="solid">
        <fgColor indexed="27"/>
        <bgColor indexed="42"/>
      </patternFill>
    </fill>
    <fill>
      <patternFill patternType="solid">
        <fgColor indexed="13"/>
      </patternFill>
    </fill>
    <fill>
      <patternFill patternType="solid">
        <fgColor indexed="57"/>
        <bgColor indexed="64"/>
      </patternFill>
    </fill>
    <fill>
      <patternFill patternType="solid">
        <fgColor indexed="36"/>
        <bgColor indexed="64"/>
      </patternFill>
    </fill>
    <fill>
      <patternFill patternType="solid">
        <fgColor indexed="9"/>
        <bgColor indexed="9"/>
      </patternFill>
    </fill>
    <fill>
      <patternFill patternType="solid">
        <fgColor indexed="23"/>
        <bgColor indexed="55"/>
      </patternFill>
    </fill>
    <fill>
      <patternFill patternType="solid">
        <fgColor rgb="FFFF0000"/>
        <bgColor indexed="64"/>
      </patternFill>
    </fill>
    <fill>
      <patternFill patternType="solid">
        <fgColor theme="0" tint="-0.34998626667073579"/>
        <bgColor indexed="64"/>
      </patternFill>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theme="1"/>
        <bgColor indexed="64"/>
      </patternFill>
    </fill>
    <fill>
      <patternFill patternType="solid">
        <fgColor theme="0"/>
        <bgColor theme="0"/>
      </patternFill>
    </fill>
    <fill>
      <patternFill patternType="solid">
        <fgColor rgb="FF00B0F0"/>
        <bgColor indexed="64"/>
      </patternFill>
    </fill>
    <fill>
      <patternFill patternType="solid">
        <fgColor theme="6" tint="0.79998168889431442"/>
        <bgColor indexed="64"/>
      </patternFill>
    </fill>
  </fills>
  <borders count="103">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ck">
        <color indexed="64"/>
      </left>
      <right/>
      <top style="thin">
        <color indexed="64"/>
      </top>
      <bottom style="thin">
        <color indexed="64"/>
      </bottom>
      <diagonal/>
    </border>
    <border>
      <left/>
      <right/>
      <top/>
      <bottom style="medium">
        <color auto="1"/>
      </bottom>
      <diagonal/>
    </border>
    <border>
      <left/>
      <right/>
      <top style="thin">
        <color indexed="64"/>
      </top>
      <bottom style="thin">
        <color indexed="64"/>
      </bottom>
      <diagonal/>
    </border>
    <border>
      <left/>
      <right/>
      <top/>
      <bottom style="thin">
        <color indexed="44"/>
      </bottom>
      <diagonal/>
    </border>
    <border>
      <left style="thick">
        <color indexed="64"/>
      </left>
      <right/>
      <top/>
      <bottom style="thick">
        <color indexed="64"/>
      </bottom>
      <diagonal/>
    </border>
    <border>
      <left style="hair">
        <color indexed="64"/>
      </left>
      <right style="hair">
        <color indexed="64"/>
      </right>
      <top style="hair">
        <color indexed="64"/>
      </top>
      <bottom style="hair">
        <color indexed="64"/>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top/>
      <bottom/>
      <diagonal/>
    </border>
    <border>
      <left/>
      <right/>
      <top style="thin">
        <color indexed="64"/>
      </top>
      <bottom/>
      <diagonal/>
    </border>
    <border>
      <left/>
      <right/>
      <top style="thin">
        <color auto="1"/>
      </top>
      <bottom style="double">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double">
        <color indexed="8"/>
      </top>
      <bottom style="thin">
        <color indexed="8"/>
      </bottom>
      <diagonal/>
    </border>
    <border>
      <left/>
      <right style="thin">
        <color auto="1"/>
      </right>
      <top/>
      <bottom/>
      <diagonal/>
    </border>
    <border>
      <left style="thin">
        <color indexed="8"/>
      </left>
      <right style="thin">
        <color indexed="8"/>
      </right>
      <top/>
      <bottom/>
      <diagonal/>
    </border>
    <border>
      <left/>
      <right/>
      <top style="medium">
        <color indexed="64"/>
      </top>
      <bottom style="medium">
        <color indexed="64"/>
      </bottom>
      <diagonal/>
    </border>
    <border>
      <left/>
      <right/>
      <top style="medium">
        <color indexed="8"/>
      </top>
      <bottom style="medium">
        <color indexed="8"/>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right/>
      <top/>
      <bottom style="thick">
        <color indexed="62"/>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30"/>
      </bottom>
      <diagonal/>
    </border>
    <border>
      <left/>
      <right/>
      <top/>
      <bottom style="medium">
        <color indexed="27"/>
      </bottom>
      <diagonal/>
    </border>
    <border>
      <left/>
      <right/>
      <top/>
      <bottom style="medium">
        <color indexed="8"/>
      </bottom>
      <diagonal/>
    </border>
    <border>
      <left style="thin">
        <color indexed="64"/>
      </left>
      <right style="thin">
        <color indexed="64"/>
      </right>
      <top style="thin">
        <color indexed="64"/>
      </top>
      <bottom style="thin">
        <color indexed="64"/>
      </bottom>
      <diagonal/>
    </border>
    <border>
      <left style="thin">
        <color indexed="63"/>
      </left>
      <right style="thin">
        <color indexed="63"/>
      </right>
      <top style="thin">
        <color indexed="63"/>
      </top>
      <bottom style="thin">
        <color indexed="63"/>
      </bottom>
      <diagonal/>
    </border>
    <border>
      <left/>
      <right/>
      <top style="hair">
        <color indexed="8"/>
      </top>
      <bottom style="hair">
        <color indexed="8"/>
      </bottom>
      <diagonal/>
    </border>
    <border>
      <left/>
      <right/>
      <top/>
      <bottom style="double">
        <color indexed="52"/>
      </bottom>
      <diagonal/>
    </border>
    <border>
      <left/>
      <right/>
      <top/>
      <bottom style="double">
        <color indexed="10"/>
      </bottom>
      <diagonal/>
    </border>
    <border>
      <left/>
      <right style="thin">
        <color indexed="8"/>
      </right>
      <top/>
      <bottom/>
      <diagonal/>
    </border>
    <border>
      <left/>
      <right/>
      <top style="medium">
        <color indexed="64"/>
      </top>
      <bottom/>
      <diagonal/>
    </border>
    <border>
      <left style="hair">
        <color indexed="64"/>
      </left>
      <right style="hair">
        <color indexed="64"/>
      </right>
      <top style="thin">
        <color indexed="64"/>
      </top>
      <bottom/>
      <diagonal/>
    </border>
    <border>
      <left style="hair">
        <color indexed="64"/>
      </left>
      <right style="hair">
        <color indexed="64"/>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rgb="FFE71921"/>
      </left>
      <right/>
      <top style="medium">
        <color rgb="FFE71921"/>
      </top>
      <bottom style="medium">
        <color rgb="FFE7192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s>
  <cellStyleXfs count="49417">
    <xf numFmtId="0" fontId="0" fillId="0" borderId="0"/>
    <xf numFmtId="0" fontId="4" fillId="0" borderId="0"/>
    <xf numFmtId="0" fontId="1" fillId="0" borderId="0"/>
    <xf numFmtId="0" fontId="1" fillId="0" borderId="0"/>
    <xf numFmtId="0" fontId="1" fillId="0" borderId="0"/>
    <xf numFmtId="0" fontId="6" fillId="0" borderId="0"/>
    <xf numFmtId="0" fontId="1" fillId="0" borderId="0"/>
    <xf numFmtId="0" fontId="1" fillId="0" borderId="0"/>
    <xf numFmtId="0" fontId="4" fillId="0" borderId="0"/>
    <xf numFmtId="0" fontId="6" fillId="0" borderId="0"/>
    <xf numFmtId="0" fontId="6" fillId="0" borderId="0"/>
    <xf numFmtId="0" fontId="1" fillId="0" borderId="0"/>
    <xf numFmtId="0" fontId="8" fillId="0" borderId="0" applyNumberFormat="0" applyFill="0" applyBorder="0" applyAlignment="0" applyProtection="0"/>
    <xf numFmtId="9" fontId="9" fillId="0" borderId="0">
      <alignment horizontal="right"/>
    </xf>
    <xf numFmtId="0" fontId="10" fillId="0" borderId="0" applyNumberFormat="0" applyFill="0" applyBorder="0" applyAlignment="0" applyProtection="0"/>
    <xf numFmtId="0" fontId="11" fillId="0" borderId="0" applyNumberFormat="0" applyFill="0" applyBorder="0" applyAlignment="0" applyProtection="0"/>
    <xf numFmtId="0" fontId="12" fillId="0" borderId="0">
      <alignment vertical="top"/>
    </xf>
    <xf numFmtId="172" fontId="13" fillId="0" borderId="0" applyFont="0" applyFill="0" applyBorder="0" applyAlignment="0" applyProtection="0"/>
    <xf numFmtId="173" fontId="13" fillId="0" borderId="0" applyFont="0" applyFill="0" applyBorder="0" applyAlignment="0" applyProtection="0"/>
    <xf numFmtId="174" fontId="14" fillId="0" borderId="0"/>
    <xf numFmtId="175" fontId="13" fillId="0" borderId="0" applyFont="0" applyFill="0" applyBorder="0" applyAlignment="0" applyProtection="0"/>
    <xf numFmtId="176" fontId="13" fillId="0" borderId="0" applyFont="0" applyFill="0" applyBorder="0" applyAlignment="0" applyProtection="0"/>
    <xf numFmtId="174" fontId="14" fillId="0" borderId="0"/>
    <xf numFmtId="174" fontId="14" fillId="0" borderId="0"/>
    <xf numFmtId="5" fontId="15" fillId="0" borderId="0">
      <alignment horizontal="center"/>
    </xf>
    <xf numFmtId="174" fontId="16" fillId="0" borderId="0">
      <alignment horizontal="right"/>
    </xf>
    <xf numFmtId="174" fontId="16" fillId="9" borderId="0"/>
    <xf numFmtId="174" fontId="17" fillId="9" borderId="0"/>
    <xf numFmtId="174" fontId="17" fillId="9" borderId="0"/>
    <xf numFmtId="174" fontId="17" fillId="9" borderId="0"/>
    <xf numFmtId="174" fontId="17" fillId="9" borderId="0">
      <alignment horizontal="right"/>
    </xf>
    <xf numFmtId="177" fontId="13" fillId="0" borderId="0" applyFont="0" applyFill="0" applyBorder="0" applyAlignment="0" applyProtection="0"/>
    <xf numFmtId="178" fontId="13" fillId="0" borderId="0" applyFont="0" applyFill="0" applyBorder="0" applyAlignment="0" applyProtection="0"/>
    <xf numFmtId="0" fontId="10" fillId="0" borderId="0" applyNumberFormat="0" applyFill="0" applyBorder="0" applyAlignment="0" applyProtection="0"/>
    <xf numFmtId="174" fontId="18" fillId="0" borderId="0" applyFont="0" applyFill="0" applyBorder="0" applyAlignment="0"/>
    <xf numFmtId="0" fontId="19" fillId="0" borderId="0"/>
    <xf numFmtId="0" fontId="19" fillId="0" borderId="0"/>
    <xf numFmtId="0" fontId="20" fillId="0" borderId="0" applyNumberFormat="0" applyFill="0" applyBorder="0" applyAlignment="0" applyProtection="0"/>
    <xf numFmtId="0" fontId="8" fillId="0" borderId="0" applyFont="0" applyFill="0" applyBorder="0" applyAlignment="0" applyProtection="0"/>
    <xf numFmtId="0" fontId="8"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applyNumberFormat="0" applyFill="0" applyBorder="0" applyAlignment="0" applyProtection="0"/>
    <xf numFmtId="0" fontId="21" fillId="0" borderId="0"/>
    <xf numFmtId="0" fontId="22" fillId="0" borderId="0"/>
    <xf numFmtId="0" fontId="22"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22" fillId="0" borderId="0"/>
    <xf numFmtId="0" fontId="22" fillId="0" borderId="0"/>
    <xf numFmtId="0" fontId="22"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22" fillId="0" borderId="0"/>
    <xf numFmtId="0" fontId="8" fillId="0" borderId="0"/>
    <xf numFmtId="0" fontId="21" fillId="0" borderId="0"/>
    <xf numFmtId="0" fontId="8"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22" fillId="0" borderId="0"/>
    <xf numFmtId="0" fontId="22" fillId="0" borderId="0"/>
    <xf numFmtId="0" fontId="23" fillId="0" borderId="0"/>
    <xf numFmtId="180" fontId="8" fillId="0" borderId="0"/>
    <xf numFmtId="180" fontId="8" fillId="0" borderId="0"/>
    <xf numFmtId="180" fontId="8" fillId="0" borderId="0"/>
    <xf numFmtId="180" fontId="8" fillId="0" borderId="0"/>
    <xf numFmtId="18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80" fontId="2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applyNumberFormat="0" applyFill="0" applyBorder="0" applyAlignment="0" applyProtection="0"/>
    <xf numFmtId="0" fontId="21" fillId="0" borderId="0"/>
    <xf numFmtId="0" fontId="8" fillId="0" borderId="0"/>
    <xf numFmtId="0" fontId="8" fillId="0" borderId="0"/>
    <xf numFmtId="0" fontId="21" fillId="0" borderId="0"/>
    <xf numFmtId="0" fontId="8"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0" fontId="8" fillId="0" borderId="0"/>
    <xf numFmtId="0" fontId="21" fillId="0" borderId="0"/>
    <xf numFmtId="174" fontId="25" fillId="0" borderId="0" applyNumberFormat="0" applyFill="0" applyBorder="0" applyAlignment="0" applyProtection="0"/>
    <xf numFmtId="0" fontId="22"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11"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0" fontId="8" fillId="0" borderId="0"/>
    <xf numFmtId="179" fontId="8" fillId="0" borderId="0"/>
    <xf numFmtId="0" fontId="8" fillId="0" borderId="0"/>
    <xf numFmtId="179" fontId="8" fillId="0" borderId="0"/>
    <xf numFmtId="0" fontId="8" fillId="0" borderId="0"/>
    <xf numFmtId="0" fontId="8" fillId="0" borderId="0"/>
    <xf numFmtId="179" fontId="8" fillId="0" borderId="0"/>
    <xf numFmtId="0" fontId="8" fillId="0" borderId="0"/>
    <xf numFmtId="0" fontId="8" fillId="0" borderId="0"/>
    <xf numFmtId="179" fontId="8"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81" fontId="8" fillId="0" borderId="0" applyFont="0" applyFill="0" applyBorder="0" applyAlignment="0" applyProtection="0"/>
    <xf numFmtId="0" fontId="11" fillId="0" borderId="0"/>
    <xf numFmtId="182" fontId="8" fillId="0" borderId="0" applyFont="0" applyFill="0" applyBorder="0" applyAlignment="0" applyProtection="0"/>
    <xf numFmtId="0" fontId="11" fillId="0" borderId="0"/>
    <xf numFmtId="180" fontId="24"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11" fillId="0" borderId="0"/>
    <xf numFmtId="0" fontId="11" fillId="0" borderId="0"/>
    <xf numFmtId="0" fontId="8" fillId="0" borderId="0"/>
    <xf numFmtId="0" fontId="11" fillId="0" borderId="0"/>
    <xf numFmtId="0" fontId="8" fillId="0" borderId="0"/>
    <xf numFmtId="0" fontId="11" fillId="0" borderId="0"/>
    <xf numFmtId="0" fontId="8" fillId="0" borderId="0"/>
    <xf numFmtId="0" fontId="11" fillId="0" borderId="0"/>
    <xf numFmtId="0" fontId="11" fillId="0" borderId="0"/>
    <xf numFmtId="0" fontId="11" fillId="0" borderId="0"/>
    <xf numFmtId="0" fontId="22" fillId="0" borderId="0"/>
    <xf numFmtId="0" fontId="11"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22" fillId="0" borderId="0"/>
    <xf numFmtId="0" fontId="11" fillId="0" borderId="0"/>
    <xf numFmtId="0" fontId="22" fillId="0" borderId="0"/>
    <xf numFmtId="0" fontId="11" fillId="0" borderId="0"/>
    <xf numFmtId="0" fontId="22" fillId="0" borderId="0"/>
    <xf numFmtId="0" fontId="11" fillId="0" borderId="0"/>
    <xf numFmtId="0" fontId="22" fillId="0" borderId="0"/>
    <xf numFmtId="0" fontId="11" fillId="0" borderId="0"/>
    <xf numFmtId="0" fontId="22" fillId="0" borderId="0"/>
    <xf numFmtId="0" fontId="11" fillId="0" borderId="0"/>
    <xf numFmtId="0" fontId="22" fillId="0" borderId="0"/>
    <xf numFmtId="0" fontId="11" fillId="0" borderId="0"/>
    <xf numFmtId="0" fontId="22" fillId="0" borderId="0"/>
    <xf numFmtId="0" fontId="11" fillId="0" borderId="0"/>
    <xf numFmtId="0" fontId="23" fillId="0" borderId="0"/>
    <xf numFmtId="0" fontId="11" fillId="0" borderId="0"/>
    <xf numFmtId="0" fontId="8" fillId="0" borderId="0"/>
    <xf numFmtId="0" fontId="11" fillId="0" borderId="0"/>
    <xf numFmtId="0" fontId="8" fillId="0" borderId="0"/>
    <xf numFmtId="0" fontId="11" fillId="0" borderId="0"/>
    <xf numFmtId="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79"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11"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8" fillId="0" borderId="0"/>
    <xf numFmtId="179"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11"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179" fontId="8" fillId="0" borderId="0"/>
    <xf numFmtId="0" fontId="11" fillId="0" borderId="0"/>
    <xf numFmtId="0" fontId="11" fillId="0" borderId="0"/>
    <xf numFmtId="0" fontId="8" fillId="0" borderId="0"/>
    <xf numFmtId="0" fontId="8" fillId="0" borderId="0"/>
    <xf numFmtId="0" fontId="26" fillId="0" borderId="0">
      <alignment vertical="top"/>
    </xf>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11" fillId="0" borderId="0"/>
    <xf numFmtId="0" fontId="26" fillId="0" borderId="0">
      <alignment vertical="top"/>
    </xf>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11" fillId="0" borderId="0"/>
    <xf numFmtId="0" fontId="24" fillId="0" borderId="0"/>
    <xf numFmtId="0" fontId="11" fillId="0" borderId="0"/>
    <xf numFmtId="0" fontId="26" fillId="0" borderId="0">
      <alignment vertical="top"/>
    </xf>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11" fillId="0" borderId="0"/>
    <xf numFmtId="0" fontId="24" fillId="0" borderId="0"/>
    <xf numFmtId="0" fontId="11" fillId="0" borderId="0"/>
    <xf numFmtId="0" fontId="8" fillId="0" borderId="0"/>
    <xf numFmtId="0" fontId="11" fillId="0" borderId="0"/>
    <xf numFmtId="0" fontId="26" fillId="0" borderId="0">
      <alignment vertical="top"/>
    </xf>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11" fillId="0" borderId="0"/>
    <xf numFmtId="0" fontId="26" fillId="0" borderId="0">
      <alignment vertical="top"/>
    </xf>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11" fillId="0" borderId="0"/>
    <xf numFmtId="0" fontId="26" fillId="0" borderId="0">
      <alignment vertical="top"/>
    </xf>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26" fillId="0" borderId="0">
      <alignment vertical="top"/>
    </xf>
    <xf numFmtId="0" fontId="11" fillId="0" borderId="0"/>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26" fillId="0" borderId="0">
      <alignment vertical="top"/>
    </xf>
    <xf numFmtId="0" fontId="11" fillId="0" borderId="0"/>
    <xf numFmtId="0" fontId="11" fillId="0" borderId="0"/>
    <xf numFmtId="0" fontId="26" fillId="0" borderId="0">
      <alignment vertical="top"/>
    </xf>
    <xf numFmtId="0" fontId="11" fillId="0" borderId="0"/>
    <xf numFmtId="0" fontId="11" fillId="0" borderId="0"/>
    <xf numFmtId="183" fontId="8" fillId="0" borderId="0">
      <alignment horizontal="left" wrapText="1"/>
    </xf>
    <xf numFmtId="183" fontId="21" fillId="0" borderId="0">
      <alignment horizontal="left" wrapText="1"/>
    </xf>
    <xf numFmtId="0" fontId="11" fillId="0" borderId="0"/>
    <xf numFmtId="0" fontId="27" fillId="0" borderId="0">
      <protection locked="0"/>
    </xf>
    <xf numFmtId="0" fontId="11" fillId="0" borderId="0"/>
    <xf numFmtId="0" fontId="27" fillId="0" borderId="0">
      <protection locked="0"/>
    </xf>
    <xf numFmtId="0" fontId="11" fillId="0" borderId="0"/>
    <xf numFmtId="0" fontId="28" fillId="0" borderId="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29" fillId="0" borderId="0" applyFont="0" applyFill="0" applyBorder="0" applyAlignment="0" applyProtection="0"/>
    <xf numFmtId="174" fontId="30" fillId="0" borderId="0" applyFont="0" applyFill="0" applyBorder="0" applyAlignment="0" applyProtection="0"/>
    <xf numFmtId="184" fontId="8" fillId="0" borderId="0"/>
    <xf numFmtId="0" fontId="8" fillId="0" borderId="0"/>
    <xf numFmtId="174" fontId="8" fillId="0" borderId="0"/>
    <xf numFmtId="174" fontId="8" fillId="0" borderId="0"/>
    <xf numFmtId="174" fontId="8" fillId="0" borderId="0"/>
    <xf numFmtId="174" fontId="8" fillId="0" borderId="0"/>
    <xf numFmtId="0" fontId="11" fillId="0" borderId="0"/>
    <xf numFmtId="174" fontId="8" fillId="0" borderId="0"/>
    <xf numFmtId="0" fontId="27" fillId="0" borderId="0">
      <protection locked="0"/>
    </xf>
    <xf numFmtId="0" fontId="11" fillId="0" borderId="0"/>
    <xf numFmtId="0" fontId="27" fillId="0" borderId="0">
      <protection locked="0"/>
    </xf>
    <xf numFmtId="0" fontId="11" fillId="0" borderId="0"/>
    <xf numFmtId="185" fontId="27" fillId="0" borderId="0">
      <protection locked="0"/>
    </xf>
    <xf numFmtId="0" fontId="31" fillId="0" borderId="0"/>
    <xf numFmtId="185" fontId="27" fillId="0" borderId="0">
      <protection locked="0"/>
    </xf>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0" fontId="11" fillId="0" borderId="0"/>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165" fontId="8" fillId="0" borderId="0">
      <protection locked="0"/>
    </xf>
    <xf numFmtId="165" fontId="8" fillId="0" borderId="0">
      <protection locked="0"/>
    </xf>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0" fontId="11" fillId="0" borderId="0"/>
    <xf numFmtId="187" fontId="32" fillId="0" borderId="0">
      <protection locked="0"/>
    </xf>
    <xf numFmtId="0" fontId="11" fillId="0" borderId="0"/>
    <xf numFmtId="187" fontId="32" fillId="0" borderId="0">
      <protection locked="0"/>
    </xf>
    <xf numFmtId="187" fontId="32" fillId="0" borderId="0">
      <protection locked="0"/>
    </xf>
    <xf numFmtId="0" fontId="11" fillId="0" borderId="0"/>
    <xf numFmtId="0" fontId="11" fillId="0" borderId="0"/>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0" fontId="11" fillId="0" borderId="0"/>
    <xf numFmtId="187" fontId="8" fillId="0" borderId="0">
      <protection locked="0"/>
    </xf>
    <xf numFmtId="0" fontId="11" fillId="0" borderId="0"/>
    <xf numFmtId="187" fontId="32" fillId="0" borderId="0">
      <protection locked="0"/>
    </xf>
    <xf numFmtId="0" fontId="11" fillId="0" borderId="0"/>
    <xf numFmtId="187" fontId="8" fillId="0" borderId="0">
      <protection locked="0"/>
    </xf>
    <xf numFmtId="187" fontId="8" fillId="0" borderId="0">
      <protection locked="0"/>
    </xf>
    <xf numFmtId="0" fontId="11"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0" fontId="11" fillId="0" borderId="0"/>
    <xf numFmtId="187" fontId="8" fillId="0" borderId="0">
      <protection locked="0"/>
    </xf>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0" fontId="11" fillId="0" borderId="0"/>
    <xf numFmtId="0" fontId="11" fillId="0" borderId="0"/>
    <xf numFmtId="187" fontId="32"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185" fontId="27" fillId="0" borderId="0">
      <protection locked="0"/>
    </xf>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185" fontId="27" fillId="0" borderId="0">
      <protection locked="0"/>
    </xf>
    <xf numFmtId="0" fontId="11" fillId="0" borderId="0"/>
    <xf numFmtId="0" fontId="8" fillId="0" borderId="0">
      <protection locked="0"/>
    </xf>
    <xf numFmtId="0" fontId="8" fillId="0" borderId="0">
      <protection locked="0"/>
    </xf>
    <xf numFmtId="0" fontId="8" fillId="0" borderId="0">
      <protection locked="0"/>
    </xf>
    <xf numFmtId="0" fontId="8" fillId="0" borderId="0">
      <protection locked="0"/>
    </xf>
    <xf numFmtId="0" fontId="11" fillId="0" borderId="0"/>
    <xf numFmtId="0" fontId="8" fillId="0" borderId="0">
      <protection locked="0"/>
    </xf>
    <xf numFmtId="0" fontId="11" fillId="0" borderId="0"/>
    <xf numFmtId="0" fontId="8" fillId="0" borderId="0">
      <protection locked="0"/>
    </xf>
    <xf numFmtId="0" fontId="8" fillId="0" borderId="0">
      <protection locked="0"/>
    </xf>
    <xf numFmtId="0" fontId="11" fillId="0" borderId="0"/>
    <xf numFmtId="0" fontId="11" fillId="0" borderId="0"/>
    <xf numFmtId="0" fontId="8" fillId="0" borderId="0">
      <protection locked="0"/>
    </xf>
    <xf numFmtId="0" fontId="11" fillId="0" borderId="0"/>
    <xf numFmtId="0" fontId="8" fillId="0" borderId="0">
      <protection locked="0"/>
    </xf>
    <xf numFmtId="0" fontId="11" fillId="0" borderId="0"/>
    <xf numFmtId="0" fontId="8" fillId="0" borderId="0">
      <protection locked="0"/>
    </xf>
    <xf numFmtId="0" fontId="11" fillId="0" borderId="0"/>
    <xf numFmtId="0" fontId="11" fillId="0" borderId="0"/>
    <xf numFmtId="0" fontId="11" fillId="0" borderId="0"/>
    <xf numFmtId="0" fontId="8" fillId="0" borderId="0">
      <protection locked="0"/>
    </xf>
    <xf numFmtId="0" fontId="8" fillId="0" borderId="0">
      <protection locked="0"/>
    </xf>
    <xf numFmtId="0" fontId="11" fillId="0" borderId="0"/>
    <xf numFmtId="0" fontId="8" fillId="0" borderId="0">
      <protection locked="0"/>
    </xf>
    <xf numFmtId="0" fontId="11" fillId="0" borderId="0"/>
    <xf numFmtId="0" fontId="11" fillId="0" borderId="0"/>
    <xf numFmtId="0" fontId="8" fillId="0" borderId="0">
      <protection locked="0"/>
    </xf>
    <xf numFmtId="0" fontId="8" fillId="0" borderId="0">
      <protection locked="0"/>
    </xf>
    <xf numFmtId="0" fontId="11" fillId="0" borderId="0"/>
    <xf numFmtId="0" fontId="8" fillId="0" borderId="0">
      <protection locked="0"/>
    </xf>
    <xf numFmtId="0" fontId="11" fillId="0" borderId="0"/>
    <xf numFmtId="0" fontId="8" fillId="0" borderId="0">
      <protection locked="0"/>
    </xf>
    <xf numFmtId="0" fontId="8" fillId="0" borderId="0">
      <protection locked="0"/>
    </xf>
    <xf numFmtId="0" fontId="11" fillId="0" borderId="0"/>
    <xf numFmtId="0" fontId="11" fillId="0" borderId="0"/>
    <xf numFmtId="0" fontId="8" fillId="0" borderId="0">
      <protection locked="0"/>
    </xf>
    <xf numFmtId="0" fontId="11" fillId="0" borderId="0"/>
    <xf numFmtId="0" fontId="8" fillId="0" borderId="0">
      <protection locked="0"/>
    </xf>
    <xf numFmtId="0" fontId="11" fillId="0" borderId="0"/>
    <xf numFmtId="0" fontId="8" fillId="0" borderId="0">
      <protection locked="0"/>
    </xf>
    <xf numFmtId="0" fontId="11" fillId="0" borderId="0"/>
    <xf numFmtId="0" fontId="11" fillId="0" borderId="0"/>
    <xf numFmtId="0" fontId="8" fillId="0" borderId="0">
      <protection locked="0"/>
    </xf>
    <xf numFmtId="0" fontId="11" fillId="0" borderId="0"/>
    <xf numFmtId="0" fontId="11" fillId="0" borderId="0"/>
    <xf numFmtId="186" fontId="8" fillId="0" borderId="0">
      <protection locked="0"/>
    </xf>
    <xf numFmtId="0" fontId="11" fillId="0" borderId="0"/>
    <xf numFmtId="0" fontId="27" fillId="0" borderId="0">
      <protection locked="0"/>
    </xf>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0" fontId="11" fillId="0" borderId="0"/>
    <xf numFmtId="0" fontId="11" fillId="0" borderId="0"/>
    <xf numFmtId="185" fontId="27" fillId="0" borderId="0">
      <protection locked="0"/>
    </xf>
    <xf numFmtId="0" fontId="11" fillId="0" borderId="0"/>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185" fontId="27" fillId="0" borderId="0">
      <protection locked="0"/>
    </xf>
    <xf numFmtId="185" fontId="27" fillId="0" borderId="0">
      <protection locked="0"/>
    </xf>
    <xf numFmtId="0" fontId="11" fillId="0" borderId="0"/>
    <xf numFmtId="185" fontId="27" fillId="0" borderId="0">
      <protection locked="0"/>
    </xf>
    <xf numFmtId="0" fontId="11" fillId="0" borderId="0"/>
    <xf numFmtId="0" fontId="11" fillId="0" borderId="0"/>
    <xf numFmtId="0" fontId="11" fillId="0" borderId="0"/>
    <xf numFmtId="0" fontId="33"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0" fontId="11" fillId="0" borderId="0"/>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165" fontId="8" fillId="0" borderId="0">
      <protection locked="0"/>
    </xf>
    <xf numFmtId="165" fontId="8" fillId="0" borderId="0">
      <protection locked="0"/>
    </xf>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0" fontId="11" fillId="0" borderId="0"/>
    <xf numFmtId="187" fontId="32" fillId="0" borderId="0">
      <protection locked="0"/>
    </xf>
    <xf numFmtId="0" fontId="11" fillId="0" borderId="0"/>
    <xf numFmtId="187" fontId="32" fillId="0" borderId="0">
      <protection locked="0"/>
    </xf>
    <xf numFmtId="187" fontId="32" fillId="0" borderId="0">
      <protection locked="0"/>
    </xf>
    <xf numFmtId="0" fontId="11" fillId="0" borderId="0"/>
    <xf numFmtId="0" fontId="11" fillId="0" borderId="0"/>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187" fontId="32" fillId="0" borderId="0">
      <protection locked="0"/>
    </xf>
    <xf numFmtId="0" fontId="11" fillId="0" borderId="0"/>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0" fontId="11" fillId="0" borderId="0"/>
    <xf numFmtId="187" fontId="8" fillId="0" borderId="0">
      <protection locked="0"/>
    </xf>
    <xf numFmtId="0" fontId="11" fillId="0" borderId="0"/>
    <xf numFmtId="187" fontId="32" fillId="0" borderId="0">
      <protection locked="0"/>
    </xf>
    <xf numFmtId="0" fontId="11" fillId="0" borderId="0"/>
    <xf numFmtId="187" fontId="8" fillId="0" borderId="0">
      <protection locked="0"/>
    </xf>
    <xf numFmtId="187" fontId="8" fillId="0" borderId="0">
      <protection locked="0"/>
    </xf>
    <xf numFmtId="0" fontId="11" fillId="0" borderId="0"/>
    <xf numFmtId="187" fontId="8" fillId="0" borderId="0">
      <protection locked="0"/>
    </xf>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187" fontId="8" fillId="0" borderId="0">
      <protection locked="0"/>
    </xf>
    <xf numFmtId="187" fontId="8" fillId="0" borderId="0">
      <protection locked="0"/>
    </xf>
    <xf numFmtId="0" fontId="11" fillId="0" borderId="0"/>
    <xf numFmtId="0" fontId="11" fillId="0" borderId="0"/>
    <xf numFmtId="187" fontId="8" fillId="0" borderId="0">
      <protection locked="0"/>
    </xf>
    <xf numFmtId="0" fontId="11" fillId="0" borderId="0"/>
    <xf numFmtId="0" fontId="11" fillId="0" borderId="0"/>
    <xf numFmtId="0" fontId="11" fillId="0" borderId="0"/>
    <xf numFmtId="187" fontId="8" fillId="0" borderId="0">
      <protection locked="0"/>
    </xf>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0" fontId="11" fillId="0" borderId="0"/>
    <xf numFmtId="187" fontId="32" fillId="0" borderId="0">
      <protection locked="0"/>
    </xf>
    <xf numFmtId="187" fontId="32" fillId="0" borderId="0">
      <protection locked="0"/>
    </xf>
    <xf numFmtId="0" fontId="11" fillId="0" borderId="0"/>
    <xf numFmtId="187" fontId="32" fillId="0" borderId="0">
      <protection locked="0"/>
    </xf>
    <xf numFmtId="0" fontId="11" fillId="0" borderId="0"/>
    <xf numFmtId="0" fontId="11" fillId="0" borderId="0"/>
    <xf numFmtId="0" fontId="11" fillId="0" borderId="0"/>
    <xf numFmtId="187" fontId="32"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185" fontId="34" fillId="0" borderId="0">
      <protection locked="0"/>
    </xf>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5" fontId="34" fillId="0" borderId="0">
      <protection locked="0"/>
    </xf>
    <xf numFmtId="0" fontId="11" fillId="0" borderId="0"/>
    <xf numFmtId="0" fontId="8" fillId="0" borderId="0">
      <protection locked="0"/>
    </xf>
    <xf numFmtId="0" fontId="8" fillId="0" borderId="0">
      <protection locked="0"/>
    </xf>
    <xf numFmtId="0" fontId="8" fillId="0" borderId="0">
      <protection locked="0"/>
    </xf>
    <xf numFmtId="0" fontId="8" fillId="0" borderId="0">
      <protection locked="0"/>
    </xf>
    <xf numFmtId="0" fontId="11" fillId="0" borderId="0"/>
    <xf numFmtId="0" fontId="8" fillId="0" borderId="0">
      <protection locked="0"/>
    </xf>
    <xf numFmtId="0" fontId="11" fillId="0" borderId="0"/>
    <xf numFmtId="0" fontId="8" fillId="0" borderId="0">
      <protection locked="0"/>
    </xf>
    <xf numFmtId="0" fontId="8" fillId="0" borderId="0">
      <protection locked="0"/>
    </xf>
    <xf numFmtId="0" fontId="11" fillId="0" borderId="0"/>
    <xf numFmtId="0" fontId="11" fillId="0" borderId="0"/>
    <xf numFmtId="0" fontId="8" fillId="0" borderId="0">
      <protection locked="0"/>
    </xf>
    <xf numFmtId="0" fontId="11" fillId="0" borderId="0"/>
    <xf numFmtId="0" fontId="8" fillId="0" borderId="0">
      <protection locked="0"/>
    </xf>
    <xf numFmtId="0" fontId="11" fillId="0" borderId="0"/>
    <xf numFmtId="0" fontId="8" fillId="0" borderId="0">
      <protection locked="0"/>
    </xf>
    <xf numFmtId="0" fontId="11" fillId="0" borderId="0"/>
    <xf numFmtId="0" fontId="11" fillId="0" borderId="0"/>
    <xf numFmtId="0" fontId="11" fillId="0" borderId="0"/>
    <xf numFmtId="0" fontId="8" fillId="0" borderId="0">
      <protection locked="0"/>
    </xf>
    <xf numFmtId="0" fontId="8" fillId="0" borderId="0">
      <protection locked="0"/>
    </xf>
    <xf numFmtId="0" fontId="11" fillId="0" borderId="0"/>
    <xf numFmtId="0" fontId="8" fillId="0" borderId="0">
      <protection locked="0"/>
    </xf>
    <xf numFmtId="0" fontId="11" fillId="0" borderId="0"/>
    <xf numFmtId="0" fontId="11" fillId="0" borderId="0"/>
    <xf numFmtId="0" fontId="8" fillId="0" borderId="0">
      <protection locked="0"/>
    </xf>
    <xf numFmtId="0" fontId="8" fillId="0" borderId="0">
      <protection locked="0"/>
    </xf>
    <xf numFmtId="0" fontId="11" fillId="0" borderId="0"/>
    <xf numFmtId="0" fontId="8" fillId="0" borderId="0">
      <protection locked="0"/>
    </xf>
    <xf numFmtId="0" fontId="11" fillId="0" borderId="0"/>
    <xf numFmtId="0" fontId="8" fillId="0" borderId="0">
      <protection locked="0"/>
    </xf>
    <xf numFmtId="0" fontId="8" fillId="0" borderId="0">
      <protection locked="0"/>
    </xf>
    <xf numFmtId="0" fontId="11" fillId="0" borderId="0"/>
    <xf numFmtId="0" fontId="11" fillId="0" borderId="0"/>
    <xf numFmtId="0" fontId="8" fillId="0" borderId="0">
      <protection locked="0"/>
    </xf>
    <xf numFmtId="0" fontId="11" fillId="0" borderId="0"/>
    <xf numFmtId="0" fontId="8" fillId="0" borderId="0">
      <protection locked="0"/>
    </xf>
    <xf numFmtId="0" fontId="11" fillId="0" borderId="0"/>
    <xf numFmtId="0" fontId="8" fillId="0" borderId="0">
      <protection locked="0"/>
    </xf>
    <xf numFmtId="0" fontId="11" fillId="0" borderId="0"/>
    <xf numFmtId="0" fontId="11" fillId="0" borderId="0"/>
    <xf numFmtId="0" fontId="8" fillId="0" borderId="0">
      <protection locked="0"/>
    </xf>
    <xf numFmtId="0" fontId="11" fillId="0" borderId="0"/>
    <xf numFmtId="0" fontId="11" fillId="0" borderId="0"/>
    <xf numFmtId="186" fontId="8" fillId="0" borderId="0">
      <protection locked="0"/>
    </xf>
    <xf numFmtId="0" fontId="11" fillId="0" borderId="0"/>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186" fontId="8" fillId="0" borderId="0">
      <protection locked="0"/>
    </xf>
    <xf numFmtId="186" fontId="8" fillId="0" borderId="0">
      <protection locked="0"/>
    </xf>
    <xf numFmtId="0" fontId="11" fillId="0" borderId="0"/>
    <xf numFmtId="0" fontId="11" fillId="0" borderId="0"/>
    <xf numFmtId="186" fontId="8" fillId="0" borderId="0">
      <protection locked="0"/>
    </xf>
    <xf numFmtId="0" fontId="11" fillId="0" borderId="0"/>
    <xf numFmtId="0" fontId="11" fillId="0" borderId="0"/>
    <xf numFmtId="185" fontId="34" fillId="0" borderId="0">
      <protection locked="0"/>
    </xf>
    <xf numFmtId="0" fontId="11" fillId="0" borderId="0"/>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185" fontId="34" fillId="0" borderId="0">
      <protection locked="0"/>
    </xf>
    <xf numFmtId="185" fontId="34" fillId="0" borderId="0">
      <protection locked="0"/>
    </xf>
    <xf numFmtId="0" fontId="11" fillId="0" borderId="0"/>
    <xf numFmtId="185" fontId="34" fillId="0" borderId="0">
      <protection locked="0"/>
    </xf>
    <xf numFmtId="0" fontId="11" fillId="0" borderId="0"/>
    <xf numFmtId="0" fontId="11" fillId="0" borderId="0"/>
    <xf numFmtId="0" fontId="11" fillId="0" borderId="0"/>
    <xf numFmtId="186" fontId="8" fillId="0" borderId="0">
      <protection locked="0"/>
    </xf>
    <xf numFmtId="0" fontId="11" fillId="0" borderId="0"/>
    <xf numFmtId="186" fontId="8" fillId="0" borderId="0">
      <protection locked="0"/>
    </xf>
    <xf numFmtId="0" fontId="11" fillId="0" borderId="0"/>
    <xf numFmtId="1" fontId="35" fillId="0" borderId="0"/>
    <xf numFmtId="0" fontId="8" fillId="0" borderId="0"/>
    <xf numFmtId="1" fontId="35" fillId="0" borderId="0"/>
    <xf numFmtId="0" fontId="27" fillId="0" borderId="0">
      <protection locked="0"/>
    </xf>
    <xf numFmtId="0" fontId="11" fillId="0" borderId="0"/>
    <xf numFmtId="188" fontId="8" fillId="0" borderId="0" applyFont="0" applyFill="0" applyBorder="0" applyAlignment="0" applyProtection="0"/>
    <xf numFmtId="186" fontId="8" fillId="0" borderId="0" applyFont="0" applyFill="0" applyBorder="0" applyAlignment="0" applyProtection="0"/>
    <xf numFmtId="189" fontId="36" fillId="0" borderId="0" applyFont="0" applyFill="0" applyBorder="0" applyAlignment="0" applyProtection="0"/>
    <xf numFmtId="190" fontId="36" fillId="0" borderId="0" applyFont="0" applyFill="0" applyBorder="0" applyAlignment="0" applyProtection="0"/>
    <xf numFmtId="191" fontId="8" fillId="0" borderId="0" applyFont="0" applyFill="0" applyBorder="0" applyAlignment="0" applyProtection="0"/>
    <xf numFmtId="192" fontId="8" fillId="0" borderId="0" applyFont="0" applyFill="0" applyBorder="0" applyAlignment="0" applyProtection="0"/>
    <xf numFmtId="174" fontId="37" fillId="0" borderId="0"/>
    <xf numFmtId="0" fontId="32" fillId="0" borderId="0"/>
    <xf numFmtId="0" fontId="32" fillId="0" borderId="0"/>
    <xf numFmtId="174" fontId="32" fillId="0" borderId="0"/>
    <xf numFmtId="9" fontId="8" fillId="0" borderId="0"/>
    <xf numFmtId="9" fontId="8" fillId="0" borderId="0"/>
    <xf numFmtId="9" fontId="8" fillId="0" borderId="0"/>
    <xf numFmtId="193" fontId="26" fillId="0" borderId="0" applyBorder="0">
      <protection locked="0"/>
    </xf>
    <xf numFmtId="0" fontId="22" fillId="0" borderId="0"/>
    <xf numFmtId="0" fontId="8" fillId="0" borderId="0"/>
    <xf numFmtId="0" fontId="8" fillId="0" borderId="0"/>
    <xf numFmtId="0" fontId="11" fillId="0" borderId="0"/>
    <xf numFmtId="174" fontId="8" fillId="0" borderId="0"/>
    <xf numFmtId="0" fontId="8" fillId="0" borderId="0"/>
    <xf numFmtId="0" fontId="32" fillId="0" borderId="0"/>
    <xf numFmtId="0" fontId="32" fillId="0" borderId="0"/>
    <xf numFmtId="174" fontId="32" fillId="0" borderId="0"/>
    <xf numFmtId="0" fontId="32" fillId="0" borderId="0"/>
    <xf numFmtId="0" fontId="32" fillId="0" borderId="0"/>
    <xf numFmtId="174" fontId="32" fillId="0" borderId="0"/>
    <xf numFmtId="174" fontId="32" fillId="0" borderId="0"/>
    <xf numFmtId="0" fontId="32" fillId="0" borderId="0"/>
    <xf numFmtId="2" fontId="32" fillId="0" borderId="0"/>
    <xf numFmtId="2" fontId="32" fillId="0" borderId="0"/>
    <xf numFmtId="2" fontId="32" fillId="0" borderId="0"/>
    <xf numFmtId="10" fontId="32" fillId="0" borderId="0"/>
    <xf numFmtId="10" fontId="32" fillId="0" borderId="0"/>
    <xf numFmtId="10" fontId="32" fillId="0" borderId="0"/>
    <xf numFmtId="10" fontId="32" fillId="0" borderId="0"/>
    <xf numFmtId="2" fontId="32" fillId="0" borderId="0"/>
    <xf numFmtId="194" fontId="38" fillId="10" borderId="7" applyFont="0" applyFill="0" applyBorder="0" applyAlignment="0" applyProtection="0">
      <alignment horizontal="center" vertical="center"/>
    </xf>
    <xf numFmtId="194" fontId="38" fillId="10" borderId="7" applyFont="0" applyFill="0" applyBorder="0" applyAlignment="0" applyProtection="0">
      <alignment horizontal="center" vertical="center"/>
    </xf>
    <xf numFmtId="194" fontId="38" fillId="10" borderId="7" applyFont="0" applyFill="0" applyBorder="0" applyAlignment="0" applyProtection="0">
      <alignment horizontal="center" vertical="center"/>
    </xf>
    <xf numFmtId="194" fontId="38" fillId="10" borderId="7" applyFont="0" applyFill="0" applyBorder="0" applyAlignment="0" applyProtection="0">
      <alignment horizontal="center" vertical="center"/>
    </xf>
    <xf numFmtId="0" fontId="11" fillId="0" borderId="0"/>
    <xf numFmtId="194" fontId="38" fillId="10" borderId="7" applyFont="0" applyFill="0" applyBorder="0" applyAlignment="0" applyProtection="0">
      <alignment horizontal="center" vertical="center"/>
    </xf>
    <xf numFmtId="0" fontId="11" fillId="0" borderId="0"/>
    <xf numFmtId="194" fontId="38" fillId="10" borderId="7" applyFont="0" applyFill="0" applyBorder="0" applyAlignment="0" applyProtection="0">
      <alignment horizontal="center" vertical="center"/>
    </xf>
    <xf numFmtId="194" fontId="38" fillId="10" borderId="7" applyFont="0" applyFill="0" applyBorder="0" applyAlignment="0" applyProtection="0">
      <alignment horizontal="center" vertical="center"/>
    </xf>
    <xf numFmtId="0" fontId="11" fillId="0" borderId="0"/>
    <xf numFmtId="194" fontId="38" fillId="10" borderId="7" applyFont="0" applyFill="0" applyBorder="0" applyAlignment="0" applyProtection="0">
      <alignment horizontal="center" vertical="center"/>
    </xf>
    <xf numFmtId="0" fontId="11" fillId="0" borderId="0"/>
    <xf numFmtId="0" fontId="32" fillId="0" borderId="0"/>
    <xf numFmtId="0" fontId="11" fillId="0" borderId="0"/>
    <xf numFmtId="174" fontId="32" fillId="0" borderId="0"/>
    <xf numFmtId="174" fontId="32" fillId="0" borderId="0"/>
    <xf numFmtId="0" fontId="11" fillId="0" borderId="0"/>
    <xf numFmtId="0" fontId="11" fillId="0" borderId="0"/>
    <xf numFmtId="174" fontId="32" fillId="0" borderId="0"/>
    <xf numFmtId="174" fontId="32" fillId="0" borderId="0"/>
    <xf numFmtId="0" fontId="11" fillId="0" borderId="0"/>
    <xf numFmtId="0" fontId="11" fillId="0" borderId="0"/>
    <xf numFmtId="0" fontId="11" fillId="0" borderId="0"/>
    <xf numFmtId="195" fontId="8" fillId="0" borderId="0"/>
    <xf numFmtId="195" fontId="8" fillId="0" borderId="0"/>
    <xf numFmtId="195" fontId="8" fillId="0" borderId="0"/>
    <xf numFmtId="0" fontId="39" fillId="0" borderId="0"/>
    <xf numFmtId="9" fontId="40" fillId="0" borderId="0" applyFont="0" applyFill="0" applyBorder="0" applyAlignment="0" applyProtection="0"/>
    <xf numFmtId="174" fontId="11" fillId="11" borderId="0" applyNumberFormat="0" applyBorder="0" applyAlignment="0" applyProtection="0"/>
    <xf numFmtId="174" fontId="11" fillId="12" borderId="0" applyNumberFormat="0" applyBorder="0" applyAlignment="0" applyProtection="0"/>
    <xf numFmtId="174" fontId="11" fillId="13" borderId="0" applyNumberFormat="0" applyBorder="0" applyAlignment="0" applyProtection="0"/>
    <xf numFmtId="174" fontId="11" fillId="14" borderId="0" applyNumberFormat="0" applyBorder="0" applyAlignment="0" applyProtection="0"/>
    <xf numFmtId="174" fontId="11" fillId="15" borderId="0" applyNumberFormat="0" applyBorder="0" applyAlignment="0" applyProtection="0"/>
    <xf numFmtId="174" fontId="11" fillId="16" borderId="0" applyNumberFormat="0" applyBorder="0" applyAlignment="0" applyProtection="0"/>
    <xf numFmtId="180" fontId="11" fillId="11" borderId="0" applyNumberFormat="0" applyBorder="0" applyAlignment="0" applyProtection="0"/>
    <xf numFmtId="0" fontId="11" fillId="11"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7" borderId="0" applyNumberFormat="0" applyBorder="0" applyAlignment="0" applyProtection="0"/>
    <xf numFmtId="0" fontId="11" fillId="0" borderId="0"/>
    <xf numFmtId="0" fontId="11" fillId="11" borderId="0" applyNumberFormat="0" applyBorder="0" applyAlignment="0" applyProtection="0"/>
    <xf numFmtId="0" fontId="11" fillId="17" borderId="0" applyNumberFormat="0" applyBorder="0" applyAlignment="0" applyProtection="0"/>
    <xf numFmtId="0" fontId="11" fillId="0" borderId="0"/>
    <xf numFmtId="0" fontId="11" fillId="11" borderId="0" applyNumberFormat="0" applyBorder="0" applyAlignment="0" applyProtection="0"/>
    <xf numFmtId="0" fontId="11" fillId="17" borderId="0" applyNumberFormat="0" applyBorder="0" applyAlignment="0" applyProtection="0"/>
    <xf numFmtId="0" fontId="11" fillId="0" borderId="0"/>
    <xf numFmtId="0" fontId="11" fillId="11" borderId="0" applyNumberFormat="0" applyBorder="0" applyAlignment="0" applyProtection="0"/>
    <xf numFmtId="0" fontId="11" fillId="17" borderId="0" applyNumberFormat="0" applyBorder="0" applyAlignment="0" applyProtection="0"/>
    <xf numFmtId="0" fontId="11" fillId="0" borderId="0"/>
    <xf numFmtId="0" fontId="11" fillId="11"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7" borderId="0" applyNumberFormat="0" applyBorder="0" applyAlignment="0" applyProtection="0"/>
    <xf numFmtId="0" fontId="11" fillId="0" borderId="0"/>
    <xf numFmtId="0" fontId="11" fillId="11" borderId="0" applyNumberFormat="0" applyBorder="0" applyAlignment="0" applyProtection="0"/>
    <xf numFmtId="0" fontId="11" fillId="17" borderId="0" applyNumberFormat="0" applyBorder="0" applyAlignment="0" applyProtection="0"/>
    <xf numFmtId="0" fontId="11" fillId="0" borderId="0"/>
    <xf numFmtId="0" fontId="11" fillId="11" borderId="0" applyNumberFormat="0" applyBorder="0" applyAlignment="0" applyProtection="0"/>
    <xf numFmtId="0" fontId="11" fillId="17" borderId="0" applyNumberFormat="0" applyBorder="0" applyAlignment="0" applyProtection="0"/>
    <xf numFmtId="0" fontId="11" fillId="0" borderId="0"/>
    <xf numFmtId="0" fontId="11" fillId="11" borderId="0" applyNumberFormat="0" applyBorder="0" applyAlignment="0" applyProtection="0"/>
    <xf numFmtId="0" fontId="11" fillId="17" borderId="0" applyNumberFormat="0" applyBorder="0" applyAlignment="0" applyProtection="0"/>
    <xf numFmtId="0" fontId="11" fillId="0" borderId="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7" borderId="0" applyNumberFormat="0" applyBorder="0" applyAlignment="0" applyProtection="0"/>
    <xf numFmtId="0" fontId="11" fillId="0" borderId="0"/>
    <xf numFmtId="0" fontId="11" fillId="11"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1" borderId="0" applyNumberFormat="0" applyBorder="0" applyAlignment="0" applyProtection="0"/>
    <xf numFmtId="0" fontId="11" fillId="11"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0" borderId="0"/>
    <xf numFmtId="0" fontId="11" fillId="17" borderId="0" applyNumberFormat="0" applyBorder="0" applyAlignment="0" applyProtection="0"/>
    <xf numFmtId="0" fontId="11" fillId="17" borderId="0" applyNumberFormat="0" applyBorder="0" applyAlignment="0" applyProtection="0"/>
    <xf numFmtId="0" fontId="11" fillId="0" borderId="0"/>
    <xf numFmtId="0" fontId="11" fillId="17" borderId="0" applyNumberFormat="0" applyBorder="0" applyAlignment="0" applyProtection="0"/>
    <xf numFmtId="0" fontId="11" fillId="17" borderId="0" applyNumberFormat="0" applyBorder="0" applyAlignment="0" applyProtection="0"/>
    <xf numFmtId="180" fontId="11" fillId="11" borderId="0" applyNumberFormat="0" applyBorder="0" applyAlignment="0" applyProtection="0"/>
    <xf numFmtId="180" fontId="11" fillId="12" borderId="0" applyNumberFormat="0" applyBorder="0" applyAlignment="0" applyProtection="0"/>
    <xf numFmtId="0" fontId="11" fillId="12"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8" borderId="0" applyNumberFormat="0" applyBorder="0" applyAlignment="0" applyProtection="0"/>
    <xf numFmtId="0" fontId="11" fillId="0" borderId="0"/>
    <xf numFmtId="0" fontId="11" fillId="12" borderId="0" applyNumberFormat="0" applyBorder="0" applyAlignment="0" applyProtection="0"/>
    <xf numFmtId="0" fontId="11" fillId="18" borderId="0" applyNumberFormat="0" applyBorder="0" applyAlignment="0" applyProtection="0"/>
    <xf numFmtId="0" fontId="11" fillId="0" borderId="0"/>
    <xf numFmtId="0" fontId="11" fillId="12" borderId="0" applyNumberFormat="0" applyBorder="0" applyAlignment="0" applyProtection="0"/>
    <xf numFmtId="0" fontId="11" fillId="18" borderId="0" applyNumberFormat="0" applyBorder="0" applyAlignment="0" applyProtection="0"/>
    <xf numFmtId="0" fontId="11" fillId="0" borderId="0"/>
    <xf numFmtId="0" fontId="11" fillId="12" borderId="0" applyNumberFormat="0" applyBorder="0" applyAlignment="0" applyProtection="0"/>
    <xf numFmtId="0" fontId="11" fillId="18" borderId="0" applyNumberFormat="0" applyBorder="0" applyAlignment="0" applyProtection="0"/>
    <xf numFmtId="0" fontId="11" fillId="0" borderId="0"/>
    <xf numFmtId="0" fontId="11" fillId="12"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8" borderId="0" applyNumberFormat="0" applyBorder="0" applyAlignment="0" applyProtection="0"/>
    <xf numFmtId="0" fontId="11" fillId="0" borderId="0"/>
    <xf numFmtId="0" fontId="11" fillId="12" borderId="0" applyNumberFormat="0" applyBorder="0" applyAlignment="0" applyProtection="0"/>
    <xf numFmtId="0" fontId="11" fillId="18" borderId="0" applyNumberFormat="0" applyBorder="0" applyAlignment="0" applyProtection="0"/>
    <xf numFmtId="0" fontId="11" fillId="0" borderId="0"/>
    <xf numFmtId="0" fontId="11" fillId="12" borderId="0" applyNumberFormat="0" applyBorder="0" applyAlignment="0" applyProtection="0"/>
    <xf numFmtId="0" fontId="11" fillId="18" borderId="0" applyNumberFormat="0" applyBorder="0" applyAlignment="0" applyProtection="0"/>
    <xf numFmtId="0" fontId="11" fillId="0" borderId="0"/>
    <xf numFmtId="0" fontId="11" fillId="12" borderId="0" applyNumberFormat="0" applyBorder="0" applyAlignment="0" applyProtection="0"/>
    <xf numFmtId="0" fontId="11" fillId="18" borderId="0" applyNumberFormat="0" applyBorder="0" applyAlignment="0" applyProtection="0"/>
    <xf numFmtId="0" fontId="11" fillId="0" borderId="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8" borderId="0" applyNumberFormat="0" applyBorder="0" applyAlignment="0" applyProtection="0"/>
    <xf numFmtId="0" fontId="11" fillId="0" borderId="0"/>
    <xf numFmtId="0" fontId="11" fillId="12"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0" borderId="0"/>
    <xf numFmtId="0" fontId="11" fillId="18" borderId="0" applyNumberFormat="0" applyBorder="0" applyAlignment="0" applyProtection="0"/>
    <xf numFmtId="0" fontId="11" fillId="18" borderId="0" applyNumberFormat="0" applyBorder="0" applyAlignment="0" applyProtection="0"/>
    <xf numFmtId="0" fontId="11" fillId="0" borderId="0"/>
    <xf numFmtId="0" fontId="11" fillId="18" borderId="0" applyNumberFormat="0" applyBorder="0" applyAlignment="0" applyProtection="0"/>
    <xf numFmtId="0" fontId="11" fillId="18" borderId="0" applyNumberFormat="0" applyBorder="0" applyAlignment="0" applyProtection="0"/>
    <xf numFmtId="180" fontId="11" fillId="12" borderId="0" applyNumberFormat="0" applyBorder="0" applyAlignment="0" applyProtection="0"/>
    <xf numFmtId="180" fontId="11" fillId="13" borderId="0" applyNumberFormat="0" applyBorder="0" applyAlignment="0" applyProtection="0"/>
    <xf numFmtId="0" fontId="11" fillId="13"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9" borderId="0" applyNumberFormat="0" applyBorder="0" applyAlignment="0" applyProtection="0"/>
    <xf numFmtId="0" fontId="11" fillId="0" borderId="0"/>
    <xf numFmtId="0" fontId="11" fillId="13" borderId="0" applyNumberFormat="0" applyBorder="0" applyAlignment="0" applyProtection="0"/>
    <xf numFmtId="0" fontId="11" fillId="19" borderId="0" applyNumberFormat="0" applyBorder="0" applyAlignment="0" applyProtection="0"/>
    <xf numFmtId="0" fontId="11" fillId="0" borderId="0"/>
    <xf numFmtId="0" fontId="11" fillId="13" borderId="0" applyNumberFormat="0" applyBorder="0" applyAlignment="0" applyProtection="0"/>
    <xf numFmtId="0" fontId="11" fillId="19" borderId="0" applyNumberFormat="0" applyBorder="0" applyAlignment="0" applyProtection="0"/>
    <xf numFmtId="0" fontId="11" fillId="0" borderId="0"/>
    <xf numFmtId="0" fontId="11" fillId="13" borderId="0" applyNumberFormat="0" applyBorder="0" applyAlignment="0" applyProtection="0"/>
    <xf numFmtId="0" fontId="11" fillId="19" borderId="0" applyNumberFormat="0" applyBorder="0" applyAlignment="0" applyProtection="0"/>
    <xf numFmtId="0" fontId="11" fillId="0" borderId="0"/>
    <xf numFmtId="0" fontId="11" fillId="13"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9" borderId="0" applyNumberFormat="0" applyBorder="0" applyAlignment="0" applyProtection="0"/>
    <xf numFmtId="0" fontId="11" fillId="0" borderId="0"/>
    <xf numFmtId="0" fontId="11" fillId="13" borderId="0" applyNumberFormat="0" applyBorder="0" applyAlignment="0" applyProtection="0"/>
    <xf numFmtId="0" fontId="11" fillId="19" borderId="0" applyNumberFormat="0" applyBorder="0" applyAlignment="0" applyProtection="0"/>
    <xf numFmtId="0" fontId="11" fillId="0" borderId="0"/>
    <xf numFmtId="0" fontId="11" fillId="13" borderId="0" applyNumberFormat="0" applyBorder="0" applyAlignment="0" applyProtection="0"/>
    <xf numFmtId="0" fontId="11" fillId="19" borderId="0" applyNumberFormat="0" applyBorder="0" applyAlignment="0" applyProtection="0"/>
    <xf numFmtId="0" fontId="11" fillId="0" borderId="0"/>
    <xf numFmtId="0" fontId="11" fillId="13" borderId="0" applyNumberFormat="0" applyBorder="0" applyAlignment="0" applyProtection="0"/>
    <xf numFmtId="0" fontId="11" fillId="19" borderId="0" applyNumberFormat="0" applyBorder="0" applyAlignment="0" applyProtection="0"/>
    <xf numFmtId="0" fontId="11" fillId="0" borderId="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9" borderId="0" applyNumberFormat="0" applyBorder="0" applyAlignment="0" applyProtection="0"/>
    <xf numFmtId="0" fontId="11" fillId="0" borderId="0"/>
    <xf numFmtId="0" fontId="11" fillId="13"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0" borderId="0"/>
    <xf numFmtId="0" fontId="11" fillId="19" borderId="0" applyNumberFormat="0" applyBorder="0" applyAlignment="0" applyProtection="0"/>
    <xf numFmtId="0" fontId="11" fillId="19" borderId="0" applyNumberFormat="0" applyBorder="0" applyAlignment="0" applyProtection="0"/>
    <xf numFmtId="0" fontId="11" fillId="0" borderId="0"/>
    <xf numFmtId="0" fontId="11" fillId="19" borderId="0" applyNumberFormat="0" applyBorder="0" applyAlignment="0" applyProtection="0"/>
    <xf numFmtId="0" fontId="11" fillId="19" borderId="0" applyNumberFormat="0" applyBorder="0" applyAlignment="0" applyProtection="0"/>
    <xf numFmtId="180" fontId="11" fillId="13"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6" borderId="0" applyNumberFormat="0" applyBorder="0" applyAlignment="0" applyProtection="0"/>
    <xf numFmtId="0" fontId="11" fillId="0" borderId="0"/>
    <xf numFmtId="0" fontId="11" fillId="14" borderId="0" applyNumberFormat="0" applyBorder="0" applyAlignment="0" applyProtection="0"/>
    <xf numFmtId="0" fontId="11" fillId="16" borderId="0" applyNumberFormat="0" applyBorder="0" applyAlignment="0" applyProtection="0"/>
    <xf numFmtId="0" fontId="11" fillId="0" borderId="0"/>
    <xf numFmtId="0" fontId="11" fillId="14" borderId="0" applyNumberFormat="0" applyBorder="0" applyAlignment="0" applyProtection="0"/>
    <xf numFmtId="0" fontId="11" fillId="16" borderId="0" applyNumberFormat="0" applyBorder="0" applyAlignment="0" applyProtection="0"/>
    <xf numFmtId="0" fontId="11" fillId="0" borderId="0"/>
    <xf numFmtId="0" fontId="11" fillId="14" borderId="0" applyNumberFormat="0" applyBorder="0" applyAlignment="0" applyProtection="0"/>
    <xf numFmtId="0" fontId="11" fillId="16" borderId="0" applyNumberFormat="0" applyBorder="0" applyAlignment="0" applyProtection="0"/>
    <xf numFmtId="0" fontId="11" fillId="0" borderId="0"/>
    <xf numFmtId="0" fontId="11" fillId="14"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6" borderId="0" applyNumberFormat="0" applyBorder="0" applyAlignment="0" applyProtection="0"/>
    <xf numFmtId="0" fontId="11" fillId="0" borderId="0"/>
    <xf numFmtId="0" fontId="11" fillId="14" borderId="0" applyNumberFormat="0" applyBorder="0" applyAlignment="0" applyProtection="0"/>
    <xf numFmtId="0" fontId="11" fillId="16" borderId="0" applyNumberFormat="0" applyBorder="0" applyAlignment="0" applyProtection="0"/>
    <xf numFmtId="0" fontId="11" fillId="0" borderId="0"/>
    <xf numFmtId="0" fontId="11" fillId="14" borderId="0" applyNumberFormat="0" applyBorder="0" applyAlignment="0" applyProtection="0"/>
    <xf numFmtId="0" fontId="11" fillId="16" borderId="0" applyNumberFormat="0" applyBorder="0" applyAlignment="0" applyProtection="0"/>
    <xf numFmtId="0" fontId="11" fillId="0" borderId="0"/>
    <xf numFmtId="0" fontId="11" fillId="14" borderId="0" applyNumberFormat="0" applyBorder="0" applyAlignment="0" applyProtection="0"/>
    <xf numFmtId="0" fontId="11" fillId="16" borderId="0" applyNumberFormat="0" applyBorder="0" applyAlignment="0" applyProtection="0"/>
    <xf numFmtId="0" fontId="11" fillId="0" borderId="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6" borderId="0" applyNumberFormat="0" applyBorder="0" applyAlignment="0" applyProtection="0"/>
    <xf numFmtId="0" fontId="11" fillId="0" borderId="0"/>
    <xf numFmtId="0" fontId="11" fillId="14"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0" borderId="0"/>
    <xf numFmtId="0" fontId="11" fillId="16" borderId="0" applyNumberFormat="0" applyBorder="0" applyAlignment="0" applyProtection="0"/>
    <xf numFmtId="0" fontId="11" fillId="16" borderId="0" applyNumberFormat="0" applyBorder="0" applyAlignment="0" applyProtection="0"/>
    <xf numFmtId="0" fontId="11" fillId="0" borderId="0"/>
    <xf numFmtId="0" fontId="11" fillId="16" borderId="0" applyNumberFormat="0" applyBorder="0" applyAlignment="0" applyProtection="0"/>
    <xf numFmtId="0" fontId="11" fillId="16" borderId="0" applyNumberFormat="0" applyBorder="0" applyAlignment="0" applyProtection="0"/>
    <xf numFmtId="0" fontId="11" fillId="14" borderId="0" applyNumberFormat="0" applyBorder="0" applyAlignment="0" applyProtection="0"/>
    <xf numFmtId="18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0" borderId="0"/>
    <xf numFmtId="0" fontId="11" fillId="15" borderId="0" applyNumberFormat="0" applyBorder="0" applyAlignment="0" applyProtection="0"/>
    <xf numFmtId="0" fontId="11" fillId="15" borderId="0" applyNumberFormat="0" applyBorder="0" applyAlignment="0" applyProtection="0"/>
    <xf numFmtId="0" fontId="11" fillId="0" borderId="0"/>
    <xf numFmtId="0" fontId="11" fillId="15" borderId="0" applyNumberFormat="0" applyBorder="0" applyAlignment="0" applyProtection="0"/>
    <xf numFmtId="0" fontId="11" fillId="15" borderId="0" applyNumberFormat="0" applyBorder="0" applyAlignment="0" applyProtection="0"/>
    <xf numFmtId="180" fontId="11" fillId="15" borderId="0" applyNumberFormat="0" applyBorder="0" applyAlignment="0" applyProtection="0"/>
    <xf numFmtId="180" fontId="11" fillId="16"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0" borderId="0"/>
    <xf numFmtId="0" fontId="11" fillId="16" borderId="0" applyNumberFormat="0" applyBorder="0" applyAlignment="0" applyProtection="0"/>
    <xf numFmtId="0" fontId="11" fillId="19" borderId="0" applyNumberFormat="0" applyBorder="0" applyAlignment="0" applyProtection="0"/>
    <xf numFmtId="0" fontId="11" fillId="0" borderId="0"/>
    <xf numFmtId="0" fontId="11" fillId="16" borderId="0" applyNumberFormat="0" applyBorder="0" applyAlignment="0" applyProtection="0"/>
    <xf numFmtId="0" fontId="11" fillId="19" borderId="0" applyNumberFormat="0" applyBorder="0" applyAlignment="0" applyProtection="0"/>
    <xf numFmtId="0" fontId="11" fillId="0" borderId="0"/>
    <xf numFmtId="0" fontId="11" fillId="16" borderId="0" applyNumberFormat="0" applyBorder="0" applyAlignment="0" applyProtection="0"/>
    <xf numFmtId="0" fontId="11" fillId="19" borderId="0" applyNumberFormat="0" applyBorder="0" applyAlignment="0" applyProtection="0"/>
    <xf numFmtId="0" fontId="11" fillId="0" borderId="0"/>
    <xf numFmtId="0" fontId="11" fillId="16"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0" borderId="0"/>
    <xf numFmtId="0" fontId="11" fillId="16" borderId="0" applyNumberFormat="0" applyBorder="0" applyAlignment="0" applyProtection="0"/>
    <xf numFmtId="0" fontId="11" fillId="19" borderId="0" applyNumberFormat="0" applyBorder="0" applyAlignment="0" applyProtection="0"/>
    <xf numFmtId="0" fontId="11" fillId="0" borderId="0"/>
    <xf numFmtId="0" fontId="11" fillId="16" borderId="0" applyNumberFormat="0" applyBorder="0" applyAlignment="0" applyProtection="0"/>
    <xf numFmtId="0" fontId="11" fillId="19" borderId="0" applyNumberFormat="0" applyBorder="0" applyAlignment="0" applyProtection="0"/>
    <xf numFmtId="0" fontId="11" fillId="0" borderId="0"/>
    <xf numFmtId="0" fontId="11" fillId="16" borderId="0" applyNumberFormat="0" applyBorder="0" applyAlignment="0" applyProtection="0"/>
    <xf numFmtId="0" fontId="11" fillId="19" borderId="0" applyNumberFormat="0" applyBorder="0" applyAlignment="0" applyProtection="0"/>
    <xf numFmtId="0" fontId="11" fillId="0" borderId="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0" borderId="0"/>
    <xf numFmtId="0" fontId="11" fillId="16"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0" borderId="0"/>
    <xf numFmtId="0" fontId="11" fillId="19" borderId="0" applyNumberFormat="0" applyBorder="0" applyAlignment="0" applyProtection="0"/>
    <xf numFmtId="0" fontId="11" fillId="19" borderId="0" applyNumberFormat="0" applyBorder="0" applyAlignment="0" applyProtection="0"/>
    <xf numFmtId="0" fontId="11" fillId="0" borderId="0"/>
    <xf numFmtId="0" fontId="11" fillId="19" borderId="0" applyNumberFormat="0" applyBorder="0" applyAlignment="0" applyProtection="0"/>
    <xf numFmtId="0" fontId="11" fillId="19" borderId="0" applyNumberFormat="0" applyBorder="0" applyAlignment="0" applyProtection="0"/>
    <xf numFmtId="180" fontId="11" fillId="16" borderId="0" applyNumberFormat="0" applyBorder="0" applyAlignment="0" applyProtection="0"/>
    <xf numFmtId="0" fontId="41" fillId="11" borderId="0" applyNumberFormat="0" applyBorder="0" applyAlignment="0" applyProtection="0">
      <alignment vertical="center"/>
    </xf>
    <xf numFmtId="0" fontId="41" fillId="12" borderId="0" applyNumberFormat="0" applyBorder="0" applyAlignment="0" applyProtection="0">
      <alignment vertical="center"/>
    </xf>
    <xf numFmtId="0" fontId="41" fillId="13" borderId="0" applyNumberFormat="0" applyBorder="0" applyAlignment="0" applyProtection="0">
      <alignment vertical="center"/>
    </xf>
    <xf numFmtId="0" fontId="41" fillId="14" borderId="0" applyNumberFormat="0" applyBorder="0" applyAlignment="0" applyProtection="0">
      <alignment vertical="center"/>
    </xf>
    <xf numFmtId="0" fontId="41" fillId="15" borderId="0" applyNumberFormat="0" applyBorder="0" applyAlignment="0" applyProtection="0">
      <alignment vertical="center"/>
    </xf>
    <xf numFmtId="0" fontId="41" fillId="16" borderId="0" applyNumberFormat="0" applyBorder="0" applyAlignment="0" applyProtection="0">
      <alignment vertical="center"/>
    </xf>
    <xf numFmtId="0" fontId="42" fillId="11" borderId="0" applyNumberFormat="0" applyBorder="0" applyAlignment="0" applyProtection="0">
      <alignment vertical="center"/>
    </xf>
    <xf numFmtId="0" fontId="42" fillId="12" borderId="0" applyNumberFormat="0" applyBorder="0" applyAlignment="0" applyProtection="0">
      <alignment vertical="center"/>
    </xf>
    <xf numFmtId="0" fontId="42" fillId="13"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2" fillId="16" borderId="0" applyNumberFormat="0" applyBorder="0" applyAlignment="0" applyProtection="0">
      <alignment vertical="center"/>
    </xf>
    <xf numFmtId="174" fontId="11" fillId="17" borderId="0" applyNumberFormat="0" applyBorder="0" applyAlignment="0" applyProtection="0"/>
    <xf numFmtId="174" fontId="11" fillId="18" borderId="0" applyNumberFormat="0" applyBorder="0" applyAlignment="0" applyProtection="0"/>
    <xf numFmtId="174" fontId="11" fillId="20" borderId="0" applyNumberFormat="0" applyBorder="0" applyAlignment="0" applyProtection="0"/>
    <xf numFmtId="174" fontId="11" fillId="14" borderId="0" applyNumberFormat="0" applyBorder="0" applyAlignment="0" applyProtection="0"/>
    <xf numFmtId="174" fontId="11" fillId="17" borderId="0" applyNumberFormat="0" applyBorder="0" applyAlignment="0" applyProtection="0"/>
    <xf numFmtId="174" fontId="11" fillId="21"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0" borderId="0"/>
    <xf numFmtId="0" fontId="11" fillId="15" borderId="0" applyNumberFormat="0" applyBorder="0" applyAlignment="0" applyProtection="0"/>
    <xf numFmtId="0" fontId="11" fillId="15" borderId="0" applyNumberFormat="0" applyBorder="0" applyAlignment="0" applyProtection="0"/>
    <xf numFmtId="0" fontId="11" fillId="0" borderId="0"/>
    <xf numFmtId="0" fontId="11" fillId="15" borderId="0" applyNumberFormat="0" applyBorder="0" applyAlignment="0" applyProtection="0"/>
    <xf numFmtId="0" fontId="11" fillId="15" borderId="0" applyNumberFormat="0" applyBorder="0" applyAlignment="0" applyProtection="0"/>
    <xf numFmtId="0" fontId="11" fillId="17" borderId="0" applyNumberFormat="0" applyBorder="0" applyAlignment="0" applyProtection="0"/>
    <xf numFmtId="18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0" borderId="0"/>
    <xf numFmtId="0" fontId="11" fillId="18" borderId="0" applyNumberFormat="0" applyBorder="0" applyAlignment="0" applyProtection="0"/>
    <xf numFmtId="0" fontId="11" fillId="18" borderId="0" applyNumberFormat="0" applyBorder="0" applyAlignment="0" applyProtection="0"/>
    <xf numFmtId="0" fontId="11" fillId="0" borderId="0"/>
    <xf numFmtId="0" fontId="11" fillId="18" borderId="0" applyNumberFormat="0" applyBorder="0" applyAlignment="0" applyProtection="0"/>
    <xf numFmtId="0" fontId="11" fillId="18" borderId="0" applyNumberFormat="0" applyBorder="0" applyAlignment="0" applyProtection="0"/>
    <xf numFmtId="180" fontId="11" fillId="18" borderId="0" applyNumberFormat="0" applyBorder="0" applyAlignment="0" applyProtection="0"/>
    <xf numFmtId="180" fontId="11" fillId="20"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1" fillId="0" borderId="0"/>
    <xf numFmtId="0" fontId="11" fillId="20" borderId="0" applyNumberFormat="0" applyBorder="0" applyAlignment="0" applyProtection="0"/>
    <xf numFmtId="0" fontId="11" fillId="22" borderId="0" applyNumberFormat="0" applyBorder="0" applyAlignment="0" applyProtection="0"/>
    <xf numFmtId="0" fontId="11" fillId="0" borderId="0"/>
    <xf numFmtId="0" fontId="11" fillId="20" borderId="0" applyNumberFormat="0" applyBorder="0" applyAlignment="0" applyProtection="0"/>
    <xf numFmtId="0" fontId="11" fillId="22" borderId="0" applyNumberFormat="0" applyBorder="0" applyAlignment="0" applyProtection="0"/>
    <xf numFmtId="0" fontId="11" fillId="0" borderId="0"/>
    <xf numFmtId="0" fontId="11" fillId="20" borderId="0" applyNumberFormat="0" applyBorder="0" applyAlignment="0" applyProtection="0"/>
    <xf numFmtId="0" fontId="11" fillId="22" borderId="0" applyNumberFormat="0" applyBorder="0" applyAlignment="0" applyProtection="0"/>
    <xf numFmtId="0" fontId="11" fillId="0" borderId="0"/>
    <xf numFmtId="0" fontId="11" fillId="20"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1" fillId="0" borderId="0"/>
    <xf numFmtId="0" fontId="11" fillId="20" borderId="0" applyNumberFormat="0" applyBorder="0" applyAlignment="0" applyProtection="0"/>
    <xf numFmtId="0" fontId="11" fillId="22" borderId="0" applyNumberFormat="0" applyBorder="0" applyAlignment="0" applyProtection="0"/>
    <xf numFmtId="0" fontId="11" fillId="0" borderId="0"/>
    <xf numFmtId="0" fontId="11" fillId="20" borderId="0" applyNumberFormat="0" applyBorder="0" applyAlignment="0" applyProtection="0"/>
    <xf numFmtId="0" fontId="11" fillId="22" borderId="0" applyNumberFormat="0" applyBorder="0" applyAlignment="0" applyProtection="0"/>
    <xf numFmtId="0" fontId="11" fillId="0" borderId="0"/>
    <xf numFmtId="0" fontId="11" fillId="20" borderId="0" applyNumberFormat="0" applyBorder="0" applyAlignment="0" applyProtection="0"/>
    <xf numFmtId="0" fontId="11" fillId="22" borderId="0" applyNumberFormat="0" applyBorder="0" applyAlignment="0" applyProtection="0"/>
    <xf numFmtId="0" fontId="11" fillId="0" borderId="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1" fillId="0" borderId="0"/>
    <xf numFmtId="0" fontId="11" fillId="20"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0" borderId="0" applyNumberFormat="0" applyBorder="0" applyAlignment="0" applyProtection="0"/>
    <xf numFmtId="0" fontId="11" fillId="20"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22" borderId="0" applyNumberFormat="0" applyBorder="0" applyAlignment="0" applyProtection="0"/>
    <xf numFmtId="0" fontId="11" fillId="0" borderId="0"/>
    <xf numFmtId="0" fontId="11" fillId="22" borderId="0" applyNumberFormat="0" applyBorder="0" applyAlignment="0" applyProtection="0"/>
    <xf numFmtId="0" fontId="11" fillId="22" borderId="0" applyNumberFormat="0" applyBorder="0" applyAlignment="0" applyProtection="0"/>
    <xf numFmtId="0" fontId="11" fillId="0" borderId="0"/>
    <xf numFmtId="0" fontId="11" fillId="22" borderId="0" applyNumberFormat="0" applyBorder="0" applyAlignment="0" applyProtection="0"/>
    <xf numFmtId="0" fontId="11" fillId="22" borderId="0" applyNumberFormat="0" applyBorder="0" applyAlignment="0" applyProtection="0"/>
    <xf numFmtId="180" fontId="11" fillId="20"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2" borderId="0" applyNumberFormat="0" applyBorder="0" applyAlignment="0" applyProtection="0"/>
    <xf numFmtId="0" fontId="11" fillId="0" borderId="0"/>
    <xf numFmtId="0" fontId="11" fillId="14" borderId="0" applyNumberFormat="0" applyBorder="0" applyAlignment="0" applyProtection="0"/>
    <xf numFmtId="0" fontId="11" fillId="12" borderId="0" applyNumberFormat="0" applyBorder="0" applyAlignment="0" applyProtection="0"/>
    <xf numFmtId="0" fontId="11" fillId="0" borderId="0"/>
    <xf numFmtId="0" fontId="11" fillId="14" borderId="0" applyNumberFormat="0" applyBorder="0" applyAlignment="0" applyProtection="0"/>
    <xf numFmtId="0" fontId="11" fillId="12" borderId="0" applyNumberFormat="0" applyBorder="0" applyAlignment="0" applyProtection="0"/>
    <xf numFmtId="0" fontId="11" fillId="0" borderId="0"/>
    <xf numFmtId="0" fontId="11" fillId="14" borderId="0" applyNumberFormat="0" applyBorder="0" applyAlignment="0" applyProtection="0"/>
    <xf numFmtId="0" fontId="11" fillId="12" borderId="0" applyNumberFormat="0" applyBorder="0" applyAlignment="0" applyProtection="0"/>
    <xf numFmtId="0" fontId="11" fillId="0" borderId="0"/>
    <xf numFmtId="0" fontId="11" fillId="14"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2" borderId="0" applyNumberFormat="0" applyBorder="0" applyAlignment="0" applyProtection="0"/>
    <xf numFmtId="0" fontId="11" fillId="0" borderId="0"/>
    <xf numFmtId="0" fontId="11" fillId="14" borderId="0" applyNumberFormat="0" applyBorder="0" applyAlignment="0" applyProtection="0"/>
    <xf numFmtId="0" fontId="11" fillId="12" borderId="0" applyNumberFormat="0" applyBorder="0" applyAlignment="0" applyProtection="0"/>
    <xf numFmtId="0" fontId="11" fillId="0" borderId="0"/>
    <xf numFmtId="0" fontId="11" fillId="14" borderId="0" applyNumberFormat="0" applyBorder="0" applyAlignment="0" applyProtection="0"/>
    <xf numFmtId="0" fontId="11" fillId="12" borderId="0" applyNumberFormat="0" applyBorder="0" applyAlignment="0" applyProtection="0"/>
    <xf numFmtId="0" fontId="11" fillId="0" borderId="0"/>
    <xf numFmtId="0" fontId="11" fillId="14" borderId="0" applyNumberFormat="0" applyBorder="0" applyAlignment="0" applyProtection="0"/>
    <xf numFmtId="0" fontId="11" fillId="12" borderId="0" applyNumberFormat="0" applyBorder="0" applyAlignment="0" applyProtection="0"/>
    <xf numFmtId="0" fontId="11" fillId="0" borderId="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2" borderId="0" applyNumberFormat="0" applyBorder="0" applyAlignment="0" applyProtection="0"/>
    <xf numFmtId="0" fontId="11" fillId="0" borderId="0"/>
    <xf numFmtId="0" fontId="11" fillId="14"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0" borderId="0"/>
    <xf numFmtId="0" fontId="11" fillId="12" borderId="0" applyNumberFormat="0" applyBorder="0" applyAlignment="0" applyProtection="0"/>
    <xf numFmtId="0" fontId="11" fillId="12" borderId="0" applyNumberFormat="0" applyBorder="0" applyAlignment="0" applyProtection="0"/>
    <xf numFmtId="0" fontId="11" fillId="0" borderId="0"/>
    <xf numFmtId="0" fontId="11" fillId="12" borderId="0" applyNumberFormat="0" applyBorder="0" applyAlignment="0" applyProtection="0"/>
    <xf numFmtId="0" fontId="11" fillId="12" borderId="0" applyNumberFormat="0" applyBorder="0" applyAlignment="0" applyProtection="0"/>
    <xf numFmtId="0" fontId="11" fillId="14"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0" borderId="0"/>
    <xf numFmtId="0" fontId="11" fillId="17"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11" fillId="0" borderId="0"/>
    <xf numFmtId="0" fontId="11" fillId="15" borderId="0" applyNumberFormat="0" applyBorder="0" applyAlignment="0" applyProtection="0"/>
    <xf numFmtId="0" fontId="11" fillId="15" borderId="0" applyNumberFormat="0" applyBorder="0" applyAlignment="0" applyProtection="0"/>
    <xf numFmtId="0" fontId="11" fillId="0" borderId="0"/>
    <xf numFmtId="0" fontId="11" fillId="15" borderId="0" applyNumberFormat="0" applyBorder="0" applyAlignment="0" applyProtection="0"/>
    <xf numFmtId="0" fontId="11" fillId="15" borderId="0" applyNumberFormat="0" applyBorder="0" applyAlignment="0" applyProtection="0"/>
    <xf numFmtId="0" fontId="11" fillId="17" borderId="0" applyNumberFormat="0" applyBorder="0" applyAlignment="0" applyProtection="0"/>
    <xf numFmtId="180" fontId="11" fillId="21" borderId="0" applyNumberFormat="0" applyBorder="0" applyAlignment="0" applyProtection="0"/>
    <xf numFmtId="0" fontId="11" fillId="21"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19" borderId="0" applyNumberFormat="0" applyBorder="0" applyAlignment="0" applyProtection="0"/>
    <xf numFmtId="0" fontId="11" fillId="0" borderId="0"/>
    <xf numFmtId="0" fontId="11" fillId="21" borderId="0" applyNumberFormat="0" applyBorder="0" applyAlignment="0" applyProtection="0"/>
    <xf numFmtId="0" fontId="11" fillId="19" borderId="0" applyNumberFormat="0" applyBorder="0" applyAlignment="0" applyProtection="0"/>
    <xf numFmtId="0" fontId="11" fillId="0" borderId="0"/>
    <xf numFmtId="0" fontId="11" fillId="21" borderId="0" applyNumberFormat="0" applyBorder="0" applyAlignment="0" applyProtection="0"/>
    <xf numFmtId="0" fontId="11" fillId="19" borderId="0" applyNumberFormat="0" applyBorder="0" applyAlignment="0" applyProtection="0"/>
    <xf numFmtId="0" fontId="11" fillId="0" borderId="0"/>
    <xf numFmtId="0" fontId="11" fillId="21" borderId="0" applyNumberFormat="0" applyBorder="0" applyAlignment="0" applyProtection="0"/>
    <xf numFmtId="0" fontId="11" fillId="19" borderId="0" applyNumberFormat="0" applyBorder="0" applyAlignment="0" applyProtection="0"/>
    <xf numFmtId="0" fontId="11" fillId="0" borderId="0"/>
    <xf numFmtId="0" fontId="11" fillId="21"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19" borderId="0" applyNumberFormat="0" applyBorder="0" applyAlignment="0" applyProtection="0"/>
    <xf numFmtId="0" fontId="11" fillId="0" borderId="0"/>
    <xf numFmtId="0" fontId="11" fillId="21" borderId="0" applyNumberFormat="0" applyBorder="0" applyAlignment="0" applyProtection="0"/>
    <xf numFmtId="0" fontId="11" fillId="19" borderId="0" applyNumberFormat="0" applyBorder="0" applyAlignment="0" applyProtection="0"/>
    <xf numFmtId="0" fontId="11" fillId="0" borderId="0"/>
    <xf numFmtId="0" fontId="11" fillId="21" borderId="0" applyNumberFormat="0" applyBorder="0" applyAlignment="0" applyProtection="0"/>
    <xf numFmtId="0" fontId="11" fillId="19" borderId="0" applyNumberFormat="0" applyBorder="0" applyAlignment="0" applyProtection="0"/>
    <xf numFmtId="0" fontId="11" fillId="0" borderId="0"/>
    <xf numFmtId="0" fontId="11" fillId="21" borderId="0" applyNumberFormat="0" applyBorder="0" applyAlignment="0" applyProtection="0"/>
    <xf numFmtId="0" fontId="11" fillId="19" borderId="0" applyNumberFormat="0" applyBorder="0" applyAlignment="0" applyProtection="0"/>
    <xf numFmtId="0" fontId="11" fillId="0" borderId="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19" borderId="0" applyNumberFormat="0" applyBorder="0" applyAlignment="0" applyProtection="0"/>
    <xf numFmtId="0" fontId="11" fillId="0" borderId="0"/>
    <xf numFmtId="0" fontId="11" fillId="21"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21" borderId="0" applyNumberFormat="0" applyBorder="0" applyAlignment="0" applyProtection="0"/>
    <xf numFmtId="0" fontId="11" fillId="21"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0" borderId="0"/>
    <xf numFmtId="0" fontId="11" fillId="19" borderId="0" applyNumberFormat="0" applyBorder="0" applyAlignment="0" applyProtection="0"/>
    <xf numFmtId="0" fontId="11" fillId="19" borderId="0" applyNumberFormat="0" applyBorder="0" applyAlignment="0" applyProtection="0"/>
    <xf numFmtId="0" fontId="11" fillId="0" borderId="0"/>
    <xf numFmtId="0" fontId="11" fillId="19" borderId="0" applyNumberFormat="0" applyBorder="0" applyAlignment="0" applyProtection="0"/>
    <xf numFmtId="0" fontId="11" fillId="19" borderId="0" applyNumberFormat="0" applyBorder="0" applyAlignment="0" applyProtection="0"/>
    <xf numFmtId="180" fontId="11" fillId="21" borderId="0" applyNumberFormat="0" applyBorder="0" applyAlignment="0" applyProtection="0"/>
    <xf numFmtId="0" fontId="41" fillId="17" borderId="0" applyNumberFormat="0" applyBorder="0" applyAlignment="0" applyProtection="0">
      <alignment vertical="center"/>
    </xf>
    <xf numFmtId="0" fontId="41" fillId="18" borderId="0" applyNumberFormat="0" applyBorder="0" applyAlignment="0" applyProtection="0">
      <alignment vertical="center"/>
    </xf>
    <xf numFmtId="0" fontId="41" fillId="20" borderId="0" applyNumberFormat="0" applyBorder="0" applyAlignment="0" applyProtection="0">
      <alignment vertical="center"/>
    </xf>
    <xf numFmtId="0" fontId="41" fillId="14" borderId="0" applyNumberFormat="0" applyBorder="0" applyAlignment="0" applyProtection="0">
      <alignment vertical="center"/>
    </xf>
    <xf numFmtId="0" fontId="41" fillId="17" borderId="0" applyNumberFormat="0" applyBorder="0" applyAlignment="0" applyProtection="0">
      <alignment vertical="center"/>
    </xf>
    <xf numFmtId="0" fontId="41" fillId="21" borderId="0" applyNumberFormat="0" applyBorder="0" applyAlignment="0" applyProtection="0">
      <alignment vertical="center"/>
    </xf>
    <xf numFmtId="0" fontId="42" fillId="17" borderId="0" applyNumberFormat="0" applyBorder="0" applyAlignment="0" applyProtection="0">
      <alignment vertical="center"/>
    </xf>
    <xf numFmtId="0" fontId="42" fillId="18" borderId="0" applyNumberFormat="0" applyBorder="0" applyAlignment="0" applyProtection="0">
      <alignment vertical="center"/>
    </xf>
    <xf numFmtId="0" fontId="42" fillId="20" borderId="0" applyNumberFormat="0" applyBorder="0" applyAlignment="0" applyProtection="0">
      <alignment vertical="center"/>
    </xf>
    <xf numFmtId="0" fontId="42" fillId="14" borderId="0" applyNumberFormat="0" applyBorder="0" applyAlignment="0" applyProtection="0">
      <alignment vertical="center"/>
    </xf>
    <xf numFmtId="0" fontId="42" fillId="17" borderId="0" applyNumberFormat="0" applyBorder="0" applyAlignment="0" applyProtection="0">
      <alignment vertical="center"/>
    </xf>
    <xf numFmtId="0" fontId="42" fillId="21" borderId="0" applyNumberFormat="0" applyBorder="0" applyAlignment="0" applyProtection="0">
      <alignment vertical="center"/>
    </xf>
    <xf numFmtId="174" fontId="43" fillId="23" borderId="0" applyNumberFormat="0" applyBorder="0" applyAlignment="0" applyProtection="0"/>
    <xf numFmtId="174" fontId="43" fillId="18" borderId="0" applyNumberFormat="0" applyBorder="0" applyAlignment="0" applyProtection="0"/>
    <xf numFmtId="174" fontId="43" fillId="20" borderId="0" applyNumberFormat="0" applyBorder="0" applyAlignment="0" applyProtection="0"/>
    <xf numFmtId="174" fontId="43" fillId="24" borderId="0" applyNumberFormat="0" applyBorder="0" applyAlignment="0" applyProtection="0"/>
    <xf numFmtId="174" fontId="43" fillId="25" borderId="0" applyNumberFormat="0" applyBorder="0" applyAlignment="0" applyProtection="0"/>
    <xf numFmtId="174" fontId="43" fillId="26" borderId="0" applyNumberFormat="0" applyBorder="0" applyAlignment="0" applyProtection="0"/>
    <xf numFmtId="180" fontId="43" fillId="23" borderId="0" applyNumberFormat="0" applyBorder="0" applyAlignment="0" applyProtection="0"/>
    <xf numFmtId="0" fontId="43" fillId="23"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23"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23" borderId="0" applyNumberFormat="0" applyBorder="0" applyAlignment="0" applyProtection="0"/>
    <xf numFmtId="0" fontId="43" fillId="23" borderId="0" applyNumberFormat="0" applyBorder="0" applyAlignment="0" applyProtection="0"/>
    <xf numFmtId="0" fontId="43" fillId="23"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11" fillId="0" borderId="0"/>
    <xf numFmtId="0" fontId="43" fillId="23" borderId="0" applyNumberFormat="0" applyBorder="0" applyAlignment="0" applyProtection="0"/>
    <xf numFmtId="0" fontId="43" fillId="23"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11" fillId="0" borderId="0"/>
    <xf numFmtId="0" fontId="43" fillId="23"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11" fillId="0" borderId="0"/>
    <xf numFmtId="0" fontId="43" fillId="15" borderId="0" applyNumberFormat="0" applyBorder="0" applyAlignment="0" applyProtection="0"/>
    <xf numFmtId="0" fontId="43" fillId="15" borderId="0" applyNumberFormat="0" applyBorder="0" applyAlignment="0" applyProtection="0"/>
    <xf numFmtId="0" fontId="11" fillId="0" borderId="0"/>
    <xf numFmtId="0" fontId="43" fillId="15" borderId="0" applyNumberFormat="0" applyBorder="0" applyAlignment="0" applyProtection="0"/>
    <xf numFmtId="0" fontId="43" fillId="15" borderId="0" applyNumberFormat="0" applyBorder="0" applyAlignment="0" applyProtection="0"/>
    <xf numFmtId="180" fontId="43" fillId="23" borderId="0" applyNumberFormat="0" applyBorder="0" applyAlignment="0" applyProtection="0"/>
    <xf numFmtId="180" fontId="43" fillId="18" borderId="0" applyNumberFormat="0" applyBorder="0" applyAlignment="0" applyProtection="0"/>
    <xf numFmtId="0" fontId="43" fillId="18"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18"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11" fillId="0" borderId="0"/>
    <xf numFmtId="0" fontId="43" fillId="18" borderId="0" applyNumberFormat="0" applyBorder="0" applyAlignment="0" applyProtection="0"/>
    <xf numFmtId="0" fontId="43" fillId="18"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11" fillId="0" borderId="0"/>
    <xf numFmtId="0" fontId="43" fillId="18"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11" fillId="0" borderId="0"/>
    <xf numFmtId="0" fontId="43" fillId="27" borderId="0" applyNumberFormat="0" applyBorder="0" applyAlignment="0" applyProtection="0"/>
    <xf numFmtId="0" fontId="43" fillId="27" borderId="0" applyNumberFormat="0" applyBorder="0" applyAlignment="0" applyProtection="0"/>
    <xf numFmtId="0" fontId="11" fillId="0" borderId="0"/>
    <xf numFmtId="0" fontId="43" fillId="27" borderId="0" applyNumberFormat="0" applyBorder="0" applyAlignment="0" applyProtection="0"/>
    <xf numFmtId="0" fontId="43" fillId="27" borderId="0" applyNumberFormat="0" applyBorder="0" applyAlignment="0" applyProtection="0"/>
    <xf numFmtId="180" fontId="43" fillId="18" borderId="0" applyNumberFormat="0" applyBorder="0" applyAlignment="0" applyProtection="0"/>
    <xf numFmtId="180" fontId="43" fillId="20"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0" borderId="0" applyNumberFormat="0" applyBorder="0" applyAlignment="0" applyProtection="0"/>
    <xf numFmtId="0" fontId="43" fillId="20"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11" fillId="0" borderId="0"/>
    <xf numFmtId="0" fontId="43" fillId="20" borderId="0" applyNumberFormat="0" applyBorder="0" applyAlignment="0" applyProtection="0"/>
    <xf numFmtId="0" fontId="43" fillId="20"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11" fillId="0" borderId="0"/>
    <xf numFmtId="0" fontId="43" fillId="20"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11" fillId="0" borderId="0"/>
    <xf numFmtId="0" fontId="43" fillId="21" borderId="0" applyNumberFormat="0" applyBorder="0" applyAlignment="0" applyProtection="0"/>
    <xf numFmtId="0" fontId="43" fillId="21" borderId="0" applyNumberFormat="0" applyBorder="0" applyAlignment="0" applyProtection="0"/>
    <xf numFmtId="0" fontId="11" fillId="0" borderId="0"/>
    <xf numFmtId="0" fontId="43" fillId="21" borderId="0" applyNumberFormat="0" applyBorder="0" applyAlignment="0" applyProtection="0"/>
    <xf numFmtId="0" fontId="43" fillId="21" borderId="0" applyNumberFormat="0" applyBorder="0" applyAlignment="0" applyProtection="0"/>
    <xf numFmtId="180" fontId="43" fillId="20" borderId="0" applyNumberFormat="0" applyBorder="0" applyAlignment="0" applyProtection="0"/>
    <xf numFmtId="180" fontId="43" fillId="24" borderId="0" applyNumberFormat="0" applyBorder="0" applyAlignment="0" applyProtection="0"/>
    <xf numFmtId="0" fontId="43" fillId="24"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24"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24" borderId="0" applyNumberFormat="0" applyBorder="0" applyAlignment="0" applyProtection="0"/>
    <xf numFmtId="0" fontId="43" fillId="24" borderId="0" applyNumberFormat="0" applyBorder="0" applyAlignment="0" applyProtection="0"/>
    <xf numFmtId="0" fontId="43" fillId="24"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11" fillId="0" borderId="0"/>
    <xf numFmtId="0" fontId="43" fillId="24" borderId="0" applyNumberFormat="0" applyBorder="0" applyAlignment="0" applyProtection="0"/>
    <xf numFmtId="0" fontId="43" fillId="24"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11" fillId="0" borderId="0"/>
    <xf numFmtId="0" fontId="43" fillId="24"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43" fillId="12" borderId="0" applyNumberFormat="0" applyBorder="0" applyAlignment="0" applyProtection="0"/>
    <xf numFmtId="0" fontId="11" fillId="0" borderId="0"/>
    <xf numFmtId="0" fontId="43" fillId="12" borderId="0" applyNumberFormat="0" applyBorder="0" applyAlignment="0" applyProtection="0"/>
    <xf numFmtId="0" fontId="43" fillId="12" borderId="0" applyNumberFormat="0" applyBorder="0" applyAlignment="0" applyProtection="0"/>
    <xf numFmtId="0" fontId="11" fillId="0" borderId="0"/>
    <xf numFmtId="0" fontId="43" fillId="12" borderId="0" applyNumberFormat="0" applyBorder="0" applyAlignment="0" applyProtection="0"/>
    <xf numFmtId="0" fontId="43" fillId="12" borderId="0" applyNumberFormat="0" applyBorder="0" applyAlignment="0" applyProtection="0"/>
    <xf numFmtId="180" fontId="43" fillId="24" borderId="0" applyNumberFormat="0" applyBorder="0" applyAlignment="0" applyProtection="0"/>
    <xf numFmtId="180" fontId="43" fillId="25" borderId="0" applyNumberFormat="0" applyBorder="0" applyAlignment="0" applyProtection="0"/>
    <xf numFmtId="0" fontId="43" fillId="2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2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11" fillId="0" borderId="0"/>
    <xf numFmtId="0" fontId="43" fillId="25" borderId="0" applyNumberFormat="0" applyBorder="0" applyAlignment="0" applyProtection="0"/>
    <xf numFmtId="0" fontId="43" fillId="2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11" fillId="0" borderId="0"/>
    <xf numFmtId="0" fontId="43" fillId="2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43" fillId="15" borderId="0" applyNumberFormat="0" applyBorder="0" applyAlignment="0" applyProtection="0"/>
    <xf numFmtId="0" fontId="11" fillId="0" borderId="0"/>
    <xf numFmtId="0" fontId="43" fillId="15" borderId="0" applyNumberFormat="0" applyBorder="0" applyAlignment="0" applyProtection="0"/>
    <xf numFmtId="0" fontId="43" fillId="15" borderId="0" applyNumberFormat="0" applyBorder="0" applyAlignment="0" applyProtection="0"/>
    <xf numFmtId="0" fontId="11" fillId="0" borderId="0"/>
    <xf numFmtId="0" fontId="43" fillId="15" borderId="0" applyNumberFormat="0" applyBorder="0" applyAlignment="0" applyProtection="0"/>
    <xf numFmtId="0" fontId="43" fillId="15" borderId="0" applyNumberFormat="0" applyBorder="0" applyAlignment="0" applyProtection="0"/>
    <xf numFmtId="180" fontId="43" fillId="25" borderId="0" applyNumberFormat="0" applyBorder="0" applyAlignment="0" applyProtection="0"/>
    <xf numFmtId="180" fontId="43" fillId="26" borderId="0" applyNumberFormat="0" applyBorder="0" applyAlignment="0" applyProtection="0"/>
    <xf numFmtId="0" fontId="43" fillId="26"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26"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26" borderId="0" applyNumberFormat="0" applyBorder="0" applyAlignment="0" applyProtection="0"/>
    <xf numFmtId="0" fontId="43" fillId="26" borderId="0" applyNumberFormat="0" applyBorder="0" applyAlignment="0" applyProtection="0"/>
    <xf numFmtId="0" fontId="43" fillId="26"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11" fillId="0" borderId="0"/>
    <xf numFmtId="0" fontId="43" fillId="26" borderId="0" applyNumberFormat="0" applyBorder="0" applyAlignment="0" applyProtection="0"/>
    <xf numFmtId="0" fontId="43" fillId="26"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11" fillId="0" borderId="0"/>
    <xf numFmtId="0" fontId="43" fillId="26"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43" fillId="18" borderId="0" applyNumberFormat="0" applyBorder="0" applyAlignment="0" applyProtection="0"/>
    <xf numFmtId="0" fontId="11" fillId="0" borderId="0"/>
    <xf numFmtId="0" fontId="43" fillId="18" borderId="0" applyNumberFormat="0" applyBorder="0" applyAlignment="0" applyProtection="0"/>
    <xf numFmtId="0" fontId="43" fillId="18" borderId="0" applyNumberFormat="0" applyBorder="0" applyAlignment="0" applyProtection="0"/>
    <xf numFmtId="0" fontId="11" fillId="0" borderId="0"/>
    <xf numFmtId="0" fontId="43" fillId="18" borderId="0" applyNumberFormat="0" applyBorder="0" applyAlignment="0" applyProtection="0"/>
    <xf numFmtId="0" fontId="43" fillId="18" borderId="0" applyNumberFormat="0" applyBorder="0" applyAlignment="0" applyProtection="0"/>
    <xf numFmtId="180" fontId="43" fillId="26" borderId="0" applyNumberFormat="0" applyBorder="0" applyAlignment="0" applyProtection="0"/>
    <xf numFmtId="0" fontId="44" fillId="23" borderId="0" applyNumberFormat="0" applyBorder="0" applyAlignment="0" applyProtection="0">
      <alignment vertical="center"/>
    </xf>
    <xf numFmtId="0" fontId="44" fillId="18" borderId="0" applyNumberFormat="0" applyBorder="0" applyAlignment="0" applyProtection="0">
      <alignment vertical="center"/>
    </xf>
    <xf numFmtId="0" fontId="44" fillId="20"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4" fillId="26" borderId="0" applyNumberFormat="0" applyBorder="0" applyAlignment="0" applyProtection="0">
      <alignment vertical="center"/>
    </xf>
    <xf numFmtId="0" fontId="45" fillId="23" borderId="0" applyNumberFormat="0" applyBorder="0" applyAlignment="0" applyProtection="0">
      <alignment vertical="center"/>
    </xf>
    <xf numFmtId="0" fontId="45" fillId="18" borderId="0" applyNumberFormat="0" applyBorder="0" applyAlignment="0" applyProtection="0">
      <alignment vertical="center"/>
    </xf>
    <xf numFmtId="0" fontId="45" fillId="20" borderId="0" applyNumberFormat="0" applyBorder="0" applyAlignment="0" applyProtection="0">
      <alignment vertical="center"/>
    </xf>
    <xf numFmtId="0" fontId="45" fillId="24" borderId="0" applyNumberFormat="0" applyBorder="0" applyAlignment="0" applyProtection="0">
      <alignment vertical="center"/>
    </xf>
    <xf numFmtId="0" fontId="45" fillId="25" borderId="0" applyNumberFormat="0" applyBorder="0" applyAlignment="0" applyProtection="0">
      <alignment vertical="center"/>
    </xf>
    <xf numFmtId="0" fontId="45" fillId="26" borderId="0" applyNumberFormat="0" applyBorder="0" applyAlignment="0" applyProtection="0">
      <alignment vertical="center"/>
    </xf>
    <xf numFmtId="37" fontId="46" fillId="0" borderId="0">
      <alignment horizontal="center"/>
    </xf>
    <xf numFmtId="37" fontId="47" fillId="0" borderId="0"/>
    <xf numFmtId="0" fontId="48" fillId="0" borderId="0"/>
    <xf numFmtId="0" fontId="11" fillId="0" borderId="0"/>
    <xf numFmtId="0" fontId="49" fillId="28" borderId="0" applyNumberFormat="0" applyBorder="0" applyAlignment="0">
      <alignment horizontal="center"/>
    </xf>
    <xf numFmtId="9" fontId="8" fillId="0" borderId="0" applyAlignment="0">
      <protection locked="0" hidden="1"/>
    </xf>
    <xf numFmtId="9" fontId="8" fillId="0" borderId="0" applyAlignment="0">
      <protection locked="0" hidden="1"/>
    </xf>
    <xf numFmtId="9" fontId="8" fillId="0" borderId="0" applyAlignment="0">
      <protection locked="0" hidden="1"/>
    </xf>
    <xf numFmtId="0" fontId="11" fillId="0" borderId="0"/>
    <xf numFmtId="0" fontId="11" fillId="0" borderId="0"/>
    <xf numFmtId="9" fontId="8" fillId="0" borderId="0" applyAlignment="0">
      <protection locked="0" hidden="1"/>
    </xf>
    <xf numFmtId="9" fontId="8" fillId="0" borderId="0" applyAlignment="0">
      <protection locked="0" hidden="1"/>
    </xf>
    <xf numFmtId="0" fontId="11" fillId="0" borderId="0"/>
    <xf numFmtId="0" fontId="11" fillId="0" borderId="0"/>
    <xf numFmtId="0" fontId="50" fillId="29" borderId="0" applyNumberFormat="0" applyFont="0" applyBorder="0" applyAlignment="0"/>
    <xf numFmtId="0" fontId="11" fillId="0" borderId="0"/>
    <xf numFmtId="0" fontId="49" fillId="28" borderId="0" applyNumberFormat="0" applyBorder="0" applyAlignment="0">
      <alignment horizontal="center"/>
    </xf>
    <xf numFmtId="0" fontId="11" fillId="0" borderId="0"/>
    <xf numFmtId="0" fontId="11" fillId="0" borderId="0"/>
    <xf numFmtId="0" fontId="51" fillId="0" borderId="0" applyNumberFormat="0" applyFill="0" applyBorder="0" applyAlignment="0" applyProtection="0"/>
    <xf numFmtId="0" fontId="11" fillId="30" borderId="0" applyNumberFormat="0" applyBorder="0" applyAlignment="0" applyProtection="0"/>
    <xf numFmtId="0" fontId="11" fillId="31" borderId="0" applyNumberFormat="0" applyBorder="0" applyAlignment="0" applyProtection="0"/>
    <xf numFmtId="0" fontId="11" fillId="0" borderId="0"/>
    <xf numFmtId="0" fontId="11" fillId="30" borderId="0" applyNumberFormat="0" applyBorder="0" applyAlignment="0" applyProtection="0"/>
    <xf numFmtId="0" fontId="11" fillId="32" borderId="0" applyNumberFormat="0" applyBorder="0" applyAlignment="0" applyProtection="0"/>
    <xf numFmtId="0" fontId="11" fillId="0" borderId="0"/>
    <xf numFmtId="0" fontId="43" fillId="31"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43" fillId="34"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43" fillId="34"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43" fillId="34" borderId="0" applyNumberFormat="0" applyBorder="0" applyAlignment="0" applyProtection="0"/>
    <xf numFmtId="0" fontId="43" fillId="34" borderId="0" applyNumberFormat="0" applyBorder="0" applyAlignment="0" applyProtection="0"/>
    <xf numFmtId="0" fontId="43" fillId="34"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11" fillId="0" borderId="0"/>
    <xf numFmtId="0" fontId="43" fillId="34" borderId="0" applyNumberFormat="0" applyBorder="0" applyAlignment="0" applyProtection="0"/>
    <xf numFmtId="0" fontId="43" fillId="34"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11" fillId="0" borderId="0"/>
    <xf numFmtId="0" fontId="43" fillId="34" borderId="0" applyNumberFormat="0" applyBorder="0" applyAlignment="0" applyProtection="0"/>
    <xf numFmtId="0" fontId="43" fillId="34"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11" fillId="0" borderId="0"/>
    <xf numFmtId="196" fontId="3" fillId="3" borderId="0" applyNumberFormat="0" applyBorder="0" applyAlignment="0" applyProtection="0"/>
    <xf numFmtId="0" fontId="52" fillId="35" borderId="0"/>
    <xf numFmtId="0" fontId="11" fillId="0" borderId="0"/>
    <xf numFmtId="0" fontId="43" fillId="33" borderId="0" applyNumberFormat="0" applyBorder="0" applyAlignment="0" applyProtection="0"/>
    <xf numFmtId="0" fontId="43" fillId="33" borderId="0" applyNumberFormat="0" applyBorder="0" applyAlignment="0" applyProtection="0"/>
    <xf numFmtId="0" fontId="43" fillId="33" borderId="0" applyNumberFormat="0" applyBorder="0" applyAlignment="0" applyProtection="0"/>
    <xf numFmtId="0" fontId="11" fillId="36" borderId="0" applyNumberFormat="0" applyBorder="0" applyAlignment="0" applyProtection="0"/>
    <xf numFmtId="0" fontId="11" fillId="37" borderId="0" applyNumberFormat="0" applyBorder="0" applyAlignment="0" applyProtection="0"/>
    <xf numFmtId="0" fontId="11" fillId="0" borderId="0"/>
    <xf numFmtId="0" fontId="11" fillId="38" borderId="0" applyNumberFormat="0" applyBorder="0" applyAlignment="0" applyProtection="0"/>
    <xf numFmtId="0" fontId="11" fillId="39" borderId="0" applyNumberFormat="0" applyBorder="0" applyAlignment="0" applyProtection="0"/>
    <xf numFmtId="0" fontId="11" fillId="0" borderId="0"/>
    <xf numFmtId="0" fontId="43" fillId="40"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41"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41"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11" fillId="0" borderId="0"/>
    <xf numFmtId="0" fontId="43" fillId="41" borderId="0" applyNumberFormat="0" applyBorder="0" applyAlignment="0" applyProtection="0"/>
    <xf numFmtId="0" fontId="43" fillId="41"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11" fillId="0" borderId="0"/>
    <xf numFmtId="0" fontId="43" fillId="41"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11" fillId="0" borderId="0"/>
    <xf numFmtId="0" fontId="43" fillId="27" borderId="0" applyNumberFormat="0" applyBorder="0" applyAlignment="0" applyProtection="0"/>
    <xf numFmtId="0" fontId="43" fillId="27" borderId="0" applyNumberFormat="0" applyBorder="0" applyAlignment="0" applyProtection="0"/>
    <xf numFmtId="0" fontId="11" fillId="0" borderId="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11" fillId="36" borderId="0" applyNumberFormat="0" applyBorder="0" applyAlignment="0" applyProtection="0"/>
    <xf numFmtId="0" fontId="11" fillId="42" borderId="0" applyNumberFormat="0" applyBorder="0" applyAlignment="0" applyProtection="0"/>
    <xf numFmtId="0" fontId="11" fillId="0" borderId="0"/>
    <xf numFmtId="0" fontId="11" fillId="43" borderId="0" applyNumberFormat="0" applyBorder="0" applyAlignment="0" applyProtection="0"/>
    <xf numFmtId="0" fontId="11" fillId="44" borderId="0" applyNumberFormat="0" applyBorder="0" applyAlignment="0" applyProtection="0"/>
    <xf numFmtId="0" fontId="11" fillId="0" borderId="0"/>
    <xf numFmtId="0" fontId="43" fillId="38"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45"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45"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45"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11" fillId="0" borderId="0"/>
    <xf numFmtId="0" fontId="43" fillId="45" borderId="0" applyNumberFormat="0" applyBorder="0" applyAlignment="0" applyProtection="0"/>
    <xf numFmtId="0" fontId="43" fillId="45"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11" fillId="0" borderId="0"/>
    <xf numFmtId="0" fontId="43" fillId="45"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11" fillId="0" borderId="0"/>
    <xf numFmtId="0" fontId="43" fillId="21" borderId="0" applyNumberFormat="0" applyBorder="0" applyAlignment="0" applyProtection="0"/>
    <xf numFmtId="0" fontId="43" fillId="21" borderId="0" applyNumberFormat="0" applyBorder="0" applyAlignment="0" applyProtection="0"/>
    <xf numFmtId="0" fontId="11" fillId="0" borderId="0"/>
    <xf numFmtId="0" fontId="43" fillId="21" borderId="0" applyNumberFormat="0" applyBorder="0" applyAlignment="0" applyProtection="0"/>
    <xf numFmtId="0" fontId="43" fillId="21" borderId="0" applyNumberFormat="0" applyBorder="0" applyAlignment="0" applyProtection="0"/>
    <xf numFmtId="0" fontId="43" fillId="21" borderId="0" applyNumberFormat="0" applyBorder="0" applyAlignment="0" applyProtection="0"/>
    <xf numFmtId="0" fontId="11" fillId="30" borderId="0" applyNumberFormat="0" applyBorder="0" applyAlignment="0" applyProtection="0"/>
    <xf numFmtId="0" fontId="11" fillId="44" borderId="0" applyNumberFormat="0" applyBorder="0" applyAlignment="0" applyProtection="0"/>
    <xf numFmtId="0" fontId="11" fillId="0" borderId="0"/>
    <xf numFmtId="0" fontId="11" fillId="38" borderId="0" applyNumberFormat="0" applyBorder="0" applyAlignment="0" applyProtection="0"/>
    <xf numFmtId="0" fontId="11" fillId="38" borderId="0" applyNumberFormat="0" applyBorder="0" applyAlignment="0" applyProtection="0"/>
    <xf numFmtId="0" fontId="11" fillId="0" borderId="0"/>
    <xf numFmtId="0" fontId="43" fillId="38"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24"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24"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24" borderId="0" applyNumberFormat="0" applyBorder="0" applyAlignment="0" applyProtection="0"/>
    <xf numFmtId="0" fontId="43" fillId="24" borderId="0" applyNumberFormat="0" applyBorder="0" applyAlignment="0" applyProtection="0"/>
    <xf numFmtId="0" fontId="43" fillId="24"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11" fillId="0" borderId="0"/>
    <xf numFmtId="0" fontId="43" fillId="24" borderId="0" applyNumberFormat="0" applyBorder="0" applyAlignment="0" applyProtection="0"/>
    <xf numFmtId="0" fontId="43" fillId="24"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11" fillId="0" borderId="0"/>
    <xf numFmtId="0" fontId="43" fillId="24"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11" fillId="0" borderId="0"/>
    <xf numFmtId="0" fontId="43" fillId="46" borderId="0" applyNumberFormat="0" applyBorder="0" applyAlignment="0" applyProtection="0"/>
    <xf numFmtId="0" fontId="43" fillId="46" borderId="0" applyNumberFormat="0" applyBorder="0" applyAlignment="0" applyProtection="0"/>
    <xf numFmtId="0" fontId="11" fillId="0" borderId="0"/>
    <xf numFmtId="0" fontId="43" fillId="46" borderId="0" applyNumberFormat="0" applyBorder="0" applyAlignment="0" applyProtection="0"/>
    <xf numFmtId="0" fontId="43" fillId="46" borderId="0" applyNumberFormat="0" applyBorder="0" applyAlignment="0" applyProtection="0"/>
    <xf numFmtId="0" fontId="43" fillId="46" borderId="0" applyNumberFormat="0" applyBorder="0" applyAlignment="0" applyProtection="0"/>
    <xf numFmtId="0" fontId="11" fillId="47" borderId="0" applyNumberFormat="0" applyBorder="0" applyAlignment="0" applyProtection="0"/>
    <xf numFmtId="0" fontId="11" fillId="31" borderId="0" applyNumberFormat="0" applyBorder="0" applyAlignment="0" applyProtection="0"/>
    <xf numFmtId="0" fontId="11" fillId="0" borderId="0"/>
    <xf numFmtId="0" fontId="11" fillId="30" borderId="0" applyNumberFormat="0" applyBorder="0" applyAlignment="0" applyProtection="0"/>
    <xf numFmtId="0" fontId="11" fillId="32" borderId="0" applyNumberFormat="0" applyBorder="0" applyAlignment="0" applyProtection="0"/>
    <xf numFmtId="0" fontId="11" fillId="0" borderId="0"/>
    <xf numFmtId="0" fontId="43" fillId="31"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11" fillId="0" borderId="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11" fillId="0" borderId="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11" fillId="0" borderId="0"/>
    <xf numFmtId="0" fontId="43" fillId="25" borderId="0" applyNumberFormat="0" applyBorder="0" applyAlignment="0" applyProtection="0"/>
    <xf numFmtId="0" fontId="43" fillId="25" borderId="0" applyNumberFormat="0" applyBorder="0" applyAlignment="0" applyProtection="0"/>
    <xf numFmtId="0" fontId="11" fillId="0" borderId="0"/>
    <xf numFmtId="0" fontId="43" fillId="25" borderId="0" applyNumberFormat="0" applyBorder="0" applyAlignment="0" applyProtection="0"/>
    <xf numFmtId="0" fontId="43" fillId="25" borderId="0" applyNumberFormat="0" applyBorder="0" applyAlignment="0" applyProtection="0"/>
    <xf numFmtId="0" fontId="43" fillId="25" borderId="0" applyNumberFormat="0" applyBorder="0" applyAlignment="0" applyProtection="0"/>
    <xf numFmtId="0" fontId="11" fillId="36" borderId="0" applyNumberFormat="0" applyBorder="0" applyAlignment="0" applyProtection="0"/>
    <xf numFmtId="0" fontId="11" fillId="36" borderId="0" applyNumberFormat="0" applyBorder="0" applyAlignment="0" applyProtection="0"/>
    <xf numFmtId="0" fontId="11" fillId="0" borderId="0"/>
    <xf numFmtId="0" fontId="11" fillId="48" borderId="0" applyNumberFormat="0" applyBorder="0" applyAlignment="0" applyProtection="0"/>
    <xf numFmtId="0" fontId="11" fillId="39" borderId="0" applyNumberFormat="0" applyBorder="0" applyAlignment="0" applyProtection="0"/>
    <xf numFmtId="0" fontId="11" fillId="0" borderId="0"/>
    <xf numFmtId="0" fontId="43" fillId="48"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27"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27"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27"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11" fillId="0" borderId="0"/>
    <xf numFmtId="0" fontId="43" fillId="27" borderId="0" applyNumberFormat="0" applyBorder="0" applyAlignment="0" applyProtection="0"/>
    <xf numFmtId="0" fontId="43" fillId="27"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11" fillId="0" borderId="0"/>
    <xf numFmtId="0" fontId="43" fillId="27"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0" fontId="11" fillId="0" borderId="0"/>
    <xf numFmtId="0" fontId="43" fillId="41" borderId="0" applyNumberFormat="0" applyBorder="0" applyAlignment="0" applyProtection="0"/>
    <xf numFmtId="0" fontId="43" fillId="41" borderId="0" applyNumberFormat="0" applyBorder="0" applyAlignment="0" applyProtection="0"/>
    <xf numFmtId="0" fontId="11" fillId="0" borderId="0"/>
    <xf numFmtId="0" fontId="43" fillId="41" borderId="0" applyNumberFormat="0" applyBorder="0" applyAlignment="0" applyProtection="0"/>
    <xf numFmtId="0" fontId="43" fillId="41" borderId="0" applyNumberFormat="0" applyBorder="0" applyAlignment="0" applyProtection="0"/>
    <xf numFmtId="0" fontId="43" fillId="41" borderId="0" applyNumberFormat="0" applyBorder="0" applyAlignment="0" applyProtection="0"/>
    <xf numFmtId="42" fontId="8" fillId="0" borderId="0" applyFont="0" applyFill="0" applyBorder="0" applyAlignment="0" applyProtection="0"/>
    <xf numFmtId="197" fontId="53" fillId="0" borderId="0" applyFont="0" applyFill="0" applyBorder="0" applyAlignment="0" applyProtection="0"/>
    <xf numFmtId="0" fontId="54" fillId="0" borderId="0" applyNumberFormat="0" applyAlignment="0"/>
    <xf numFmtId="174" fontId="54" fillId="0" borderId="0" applyNumberFormat="0" applyAlignment="0"/>
    <xf numFmtId="174" fontId="54" fillId="0" borderId="0" applyNumberFormat="0" applyAlignment="0"/>
    <xf numFmtId="174" fontId="54" fillId="0" borderId="0" applyNumberFormat="0" applyAlignment="0"/>
    <xf numFmtId="198" fontId="55" fillId="0" borderId="0" applyFont="0" applyFill="0" applyBorder="0" applyAlignment="0" applyProtection="0"/>
    <xf numFmtId="0" fontId="8" fillId="0" borderId="0" applyFont="0" applyFill="0" applyBorder="0" applyAlignment="0" applyProtection="0"/>
    <xf numFmtId="199" fontId="55" fillId="0" borderId="0" applyFont="0" applyFill="0" applyBorder="0" applyAlignment="0" applyProtection="0"/>
    <xf numFmtId="0" fontId="8" fillId="0" borderId="0" applyFont="0" applyFill="0" applyBorder="0" applyAlignment="0" applyProtection="0"/>
    <xf numFmtId="0" fontId="8" fillId="0" borderId="0" applyFill="0" applyBorder="0" applyProtection="0">
      <protection locked="0"/>
    </xf>
    <xf numFmtId="0" fontId="8" fillId="0" borderId="0" applyFill="0" applyBorder="0" applyProtection="0">
      <protection locked="0"/>
    </xf>
    <xf numFmtId="0" fontId="8" fillId="0" borderId="0"/>
    <xf numFmtId="174" fontId="8" fillId="0" borderId="0" applyNumberFormat="0" applyFont="0" applyFill="0" applyBorder="0" applyAlignment="0">
      <protection locked="0"/>
    </xf>
    <xf numFmtId="174" fontId="8" fillId="0" borderId="0" applyNumberFormat="0" applyFont="0" applyFill="0" applyBorder="0" applyAlignment="0">
      <protection locked="0"/>
    </xf>
    <xf numFmtId="0" fontId="11" fillId="0" borderId="0"/>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37" fontId="56" fillId="29" borderId="3" applyBorder="0" applyProtection="0">
      <alignment vertical="center"/>
    </xf>
    <xf numFmtId="0" fontId="11" fillId="0" borderId="0"/>
    <xf numFmtId="200" fontId="57" fillId="0" borderId="0"/>
    <xf numFmtId="200" fontId="58" fillId="0" borderId="0"/>
    <xf numFmtId="0" fontId="11" fillId="0" borderId="0"/>
    <xf numFmtId="0" fontId="59" fillId="0" borderId="0">
      <alignment horizontal="center" wrapText="1"/>
      <protection locked="0"/>
    </xf>
    <xf numFmtId="174" fontId="59" fillId="0" borderId="0">
      <alignment horizontal="center" wrapText="1"/>
      <protection locked="0"/>
    </xf>
    <xf numFmtId="174" fontId="59" fillId="0" borderId="0">
      <alignment horizontal="center" wrapText="1"/>
      <protection locked="0"/>
    </xf>
    <xf numFmtId="174" fontId="59" fillId="0" borderId="0">
      <alignment horizontal="center" wrapText="1"/>
      <protection locked="0"/>
    </xf>
    <xf numFmtId="0" fontId="8" fillId="0" borderId="0" applyNumberFormat="0" applyFill="0" applyBorder="0" applyAlignment="0" applyProtection="0"/>
    <xf numFmtId="174" fontId="8" fillId="0" borderId="0" applyNumberFormat="0" applyFill="0" applyBorder="0" applyAlignment="0" applyProtection="0"/>
    <xf numFmtId="174" fontId="8" fillId="0" borderId="0" applyNumberFormat="0" applyFill="0" applyBorder="0" applyAlignment="0" applyProtection="0"/>
    <xf numFmtId="174" fontId="8" fillId="0" borderId="0" applyNumberFormat="0" applyFill="0" applyBorder="0" applyAlignment="0" applyProtection="0"/>
    <xf numFmtId="0" fontId="11" fillId="0" borderId="0"/>
    <xf numFmtId="174" fontId="8" fillId="0" borderId="0" applyNumberFormat="0" applyFill="0" applyBorder="0" applyAlignment="0" applyProtection="0"/>
    <xf numFmtId="0" fontId="60" fillId="0" borderId="0" applyNumberFormat="0" applyFill="0" applyBorder="0" applyAlignment="0" applyProtection="0"/>
    <xf numFmtId="174" fontId="60" fillId="0" borderId="0" applyNumberFormat="0" applyFill="0" applyBorder="0" applyAlignment="0" applyProtection="0"/>
    <xf numFmtId="174" fontId="60" fillId="0" borderId="0" applyNumberFormat="0" applyFill="0" applyBorder="0" applyAlignment="0" applyProtection="0"/>
    <xf numFmtId="174" fontId="60" fillId="0" borderId="0" applyNumberFormat="0" applyFill="0" applyBorder="0" applyAlignment="0" applyProtection="0"/>
    <xf numFmtId="0" fontId="8" fillId="0" borderId="0" applyFill="0" applyBorder="0">
      <alignment vertical="center"/>
    </xf>
    <xf numFmtId="0" fontId="8" fillId="0" borderId="0" applyFill="0" applyBorder="0">
      <alignment vertical="center"/>
    </xf>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0" fontId="11" fillId="0" borderId="0"/>
    <xf numFmtId="0" fontId="8" fillId="0" borderId="0" applyFill="0" applyBorder="0">
      <alignment vertical="center"/>
    </xf>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0" fontId="11" fillId="0" borderId="0"/>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0" fontId="8" fillId="0" borderId="0" applyFill="0" applyBorder="0">
      <alignment vertical="center"/>
    </xf>
    <xf numFmtId="0" fontId="11" fillId="0" borderId="0"/>
    <xf numFmtId="0" fontId="8" fillId="0" borderId="0" applyFill="0" applyBorder="0">
      <alignment vertical="center"/>
    </xf>
    <xf numFmtId="174" fontId="8" fillId="0" borderId="0" applyFill="0" applyBorder="0">
      <alignment vertical="center"/>
    </xf>
    <xf numFmtId="201" fontId="61" fillId="49" borderId="0"/>
    <xf numFmtId="201" fontId="62" fillId="50" borderId="0"/>
    <xf numFmtId="0" fontId="11" fillId="0" borderId="0"/>
    <xf numFmtId="202" fontId="8" fillId="51" borderId="0">
      <alignment horizontal="center"/>
    </xf>
    <xf numFmtId="186" fontId="55" fillId="0" borderId="0" applyFont="0" applyFill="0" applyBorder="0" applyAlignment="0" applyProtection="0"/>
    <xf numFmtId="0" fontId="8" fillId="0" borderId="0" applyFont="0" applyFill="0" applyBorder="0" applyAlignment="0" applyProtection="0"/>
    <xf numFmtId="9" fontId="63" fillId="0" borderId="0"/>
    <xf numFmtId="188" fontId="55" fillId="0" borderId="0" applyFont="0" applyFill="0" applyBorder="0" applyAlignment="0" applyProtection="0"/>
    <xf numFmtId="0" fontId="8" fillId="0" borderId="0" applyFont="0" applyFill="0" applyBorder="0" applyAlignment="0" applyProtection="0"/>
    <xf numFmtId="0" fontId="8" fillId="0" borderId="0"/>
    <xf numFmtId="0" fontId="8" fillId="0" borderId="0"/>
    <xf numFmtId="0" fontId="11" fillId="0" borderId="0"/>
    <xf numFmtId="174" fontId="64" fillId="0" borderId="0" applyNumberFormat="0" applyFill="0" applyBorder="0" applyAlignment="0" applyProtection="0"/>
    <xf numFmtId="2" fontId="65" fillId="52" borderId="0">
      <alignment vertical="center"/>
    </xf>
    <xf numFmtId="0" fontId="66" fillId="12"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2"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2"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11" fillId="0" borderId="0"/>
    <xf numFmtId="0" fontId="66" fillId="12" borderId="0" applyNumberFormat="0" applyBorder="0" applyAlignment="0" applyProtection="0"/>
    <xf numFmtId="0" fontId="66" fillId="12"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11" fillId="0" borderId="0"/>
    <xf numFmtId="0" fontId="66" fillId="12"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66" fillId="14" borderId="0" applyNumberFormat="0" applyBorder="0" applyAlignment="0" applyProtection="0"/>
    <xf numFmtId="0" fontId="11" fillId="0" borderId="0"/>
    <xf numFmtId="0" fontId="66" fillId="14" borderId="0" applyNumberFormat="0" applyBorder="0" applyAlignment="0" applyProtection="0"/>
    <xf numFmtId="0" fontId="66" fillId="14" borderId="0" applyNumberFormat="0" applyBorder="0" applyAlignment="0" applyProtection="0"/>
    <xf numFmtId="0" fontId="11" fillId="0" borderId="0"/>
    <xf numFmtId="0" fontId="66" fillId="14" borderId="0" applyNumberFormat="0" applyBorder="0" applyAlignment="0" applyProtection="0"/>
    <xf numFmtId="0" fontId="66" fillId="14" borderId="0" applyNumberFormat="0" applyBorder="0" applyAlignment="0" applyProtection="0"/>
    <xf numFmtId="0" fontId="67" fillId="13" borderId="0" applyNumberFormat="0" applyBorder="0" applyAlignment="0" applyProtection="0"/>
    <xf numFmtId="203" fontId="68" fillId="52" borderId="0" applyNumberFormat="0" applyBorder="0" applyAlignment="0">
      <alignment horizontal="right"/>
    </xf>
    <xf numFmtId="204" fontId="54" fillId="0" borderId="0"/>
    <xf numFmtId="0" fontId="69" fillId="0" borderId="0" applyNumberFormat="0" applyFill="0" applyBorder="0" applyAlignment="0" applyProtection="0"/>
    <xf numFmtId="168" fontId="70" fillId="0" borderId="0" applyNumberFormat="0" applyFill="0" applyBorder="0" applyAlignment="0" applyProtection="0"/>
    <xf numFmtId="168" fontId="70" fillId="0" borderId="0" applyNumberFormat="0" applyFill="0" applyBorder="0" applyAlignment="0" applyProtection="0"/>
    <xf numFmtId="168" fontId="70" fillId="0" borderId="0" applyNumberFormat="0" applyFill="0" applyBorder="0" applyAlignment="0" applyProtection="0"/>
    <xf numFmtId="0" fontId="11" fillId="0" borderId="0"/>
    <xf numFmtId="174" fontId="71" fillId="0" borderId="0" applyNumberFormat="0" applyFill="0" applyBorder="0" applyAlignment="0" applyProtection="0"/>
    <xf numFmtId="0" fontId="11" fillId="0" borderId="0"/>
    <xf numFmtId="0" fontId="72" fillId="0" borderId="0" applyNumberFormat="0" applyFill="0" applyBorder="0" applyAlignment="0" applyProtection="0"/>
    <xf numFmtId="0" fontId="73" fillId="53" borderId="0" applyBorder="0">
      <alignment horizontal="left" vertical="center" indent="1"/>
    </xf>
    <xf numFmtId="0" fontId="18" fillId="29" borderId="0"/>
    <xf numFmtId="205" fontId="12" fillId="0" borderId="0">
      <alignment vertical="center"/>
    </xf>
    <xf numFmtId="0" fontId="59" fillId="0" borderId="8" applyNumberFormat="0" applyFont="0" applyFill="0" applyAlignment="0" applyProtection="0"/>
    <xf numFmtId="0" fontId="59" fillId="0" borderId="8" applyNumberFormat="0" applyFont="0" applyFill="0" applyAlignment="0" applyProtection="0"/>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205" fontId="12" fillId="0" borderId="9" applyNumberFormat="0" applyFont="0" applyFill="0" applyAlignment="0" applyProtection="0">
      <alignment vertical="center"/>
    </xf>
    <xf numFmtId="0" fontId="11" fillId="0" borderId="0"/>
    <xf numFmtId="205" fontId="12" fillId="0" borderId="9" applyNumberFormat="0" applyFont="0" applyFill="0" applyAlignment="0" applyProtection="0">
      <alignment vertical="center"/>
    </xf>
    <xf numFmtId="0" fontId="11" fillId="0" borderId="0"/>
    <xf numFmtId="0" fontId="59" fillId="0" borderId="10" applyNumberFormat="0" applyFont="0" applyFill="0" applyAlignment="0" applyProtection="0"/>
    <xf numFmtId="174" fontId="59" fillId="0" borderId="10" applyNumberFormat="0" applyFont="0" applyFill="0" applyAlignment="0" applyProtection="0"/>
    <xf numFmtId="0" fontId="59" fillId="0" borderId="10" applyNumberFormat="0" applyFont="0" applyFill="0" applyAlignment="0" applyProtection="0"/>
    <xf numFmtId="0" fontId="11" fillId="0" borderId="0"/>
    <xf numFmtId="205" fontId="12" fillId="0" borderId="5" applyNumberFormat="0" applyFont="0" applyFill="0" applyAlignment="0" applyProtection="0">
      <alignment vertical="center"/>
    </xf>
    <xf numFmtId="205" fontId="12" fillId="0" borderId="5" applyNumberFormat="0" applyFont="0" applyFill="0" applyAlignment="0" applyProtection="0">
      <alignment vertical="center"/>
    </xf>
    <xf numFmtId="0" fontId="11" fillId="0" borderId="0"/>
    <xf numFmtId="0" fontId="11" fillId="0" borderId="0"/>
    <xf numFmtId="0" fontId="32" fillId="0" borderId="11" applyNumberFormat="0" applyFill="0" applyAlignment="0" applyProtection="0">
      <alignment horizontal="center"/>
    </xf>
    <xf numFmtId="0" fontId="54" fillId="0" borderId="12" applyNumberFormat="0" applyFont="0" applyFill="0" applyAlignment="0">
      <alignment horizontal="center"/>
    </xf>
    <xf numFmtId="174" fontId="74" fillId="0" borderId="13" applyFill="0" applyProtection="0">
      <alignment horizontal="right"/>
    </xf>
    <xf numFmtId="174" fontId="74" fillId="0" borderId="13" applyFill="0" applyProtection="0">
      <alignment horizontal="right"/>
    </xf>
    <xf numFmtId="174" fontId="74" fillId="0" borderId="13" applyFill="0" applyProtection="0">
      <alignment horizontal="right"/>
    </xf>
    <xf numFmtId="174" fontId="74" fillId="0" borderId="13" applyFill="0" applyProtection="0">
      <alignment horizontal="right"/>
    </xf>
    <xf numFmtId="174" fontId="74" fillId="0" borderId="13" applyFill="0" applyProtection="0">
      <alignment horizontal="right"/>
    </xf>
    <xf numFmtId="0" fontId="11" fillId="0" borderId="0"/>
    <xf numFmtId="174" fontId="74" fillId="0" borderId="13" applyFill="0" applyProtection="0">
      <alignment horizontal="right"/>
    </xf>
    <xf numFmtId="0" fontId="11" fillId="0" borderId="0"/>
    <xf numFmtId="174" fontId="74" fillId="0" borderId="13" applyFill="0" applyProtection="0">
      <alignment horizontal="right"/>
    </xf>
    <xf numFmtId="174" fontId="74" fillId="0" borderId="13" applyFill="0" applyProtection="0">
      <alignment horizontal="right"/>
    </xf>
    <xf numFmtId="174" fontId="74" fillId="0" borderId="13" applyFill="0" applyProtection="0">
      <alignment horizontal="right"/>
    </xf>
    <xf numFmtId="0" fontId="11" fillId="0" borderId="0"/>
    <xf numFmtId="174" fontId="74" fillId="0" borderId="13" applyFill="0" applyProtection="0">
      <alignment horizontal="right"/>
    </xf>
    <xf numFmtId="0" fontId="11" fillId="0" borderId="0"/>
    <xf numFmtId="174" fontId="74" fillId="0" borderId="13" applyFill="0" applyProtection="0">
      <alignment horizontal="right"/>
    </xf>
    <xf numFmtId="174" fontId="74" fillId="0" borderId="13" applyFill="0" applyProtection="0">
      <alignment horizontal="right"/>
    </xf>
    <xf numFmtId="0" fontId="11" fillId="0" borderId="0"/>
    <xf numFmtId="174" fontId="74" fillId="0" borderId="13" applyFill="0" applyProtection="0">
      <alignment horizontal="right"/>
    </xf>
    <xf numFmtId="0" fontId="11" fillId="0" borderId="0"/>
    <xf numFmtId="174" fontId="74" fillId="0" borderId="13" applyFill="0" applyProtection="0">
      <alignment horizontal="right"/>
    </xf>
    <xf numFmtId="174" fontId="74" fillId="0" borderId="13" applyFill="0" applyProtection="0">
      <alignment horizontal="right"/>
    </xf>
    <xf numFmtId="174" fontId="74" fillId="0" borderId="13" applyFill="0" applyProtection="0">
      <alignment horizontal="right"/>
    </xf>
    <xf numFmtId="0" fontId="11" fillId="0" borderId="0"/>
    <xf numFmtId="174" fontId="74" fillId="0" borderId="13" applyFill="0" applyProtection="0">
      <alignment horizontal="right"/>
    </xf>
    <xf numFmtId="0" fontId="11" fillId="0" borderId="0"/>
    <xf numFmtId="174" fontId="74" fillId="0" borderId="13" applyFill="0" applyProtection="0">
      <alignment horizontal="right"/>
    </xf>
    <xf numFmtId="174" fontId="74" fillId="0" borderId="13" applyFill="0" applyProtection="0">
      <alignment horizontal="right"/>
    </xf>
    <xf numFmtId="174" fontId="74" fillId="0" borderId="13" applyFill="0" applyProtection="0">
      <alignment horizontal="right"/>
    </xf>
    <xf numFmtId="0" fontId="11" fillId="0" borderId="0"/>
    <xf numFmtId="174" fontId="74" fillId="0" borderId="13" applyFill="0" applyProtection="0">
      <alignment horizontal="right"/>
    </xf>
    <xf numFmtId="0" fontId="11" fillId="0" borderId="0"/>
    <xf numFmtId="174" fontId="74" fillId="0" borderId="13" applyFill="0" applyProtection="0">
      <alignment horizontal="right"/>
    </xf>
    <xf numFmtId="174" fontId="74" fillId="0" borderId="13" applyFill="0" applyProtection="0">
      <alignment horizontal="right"/>
    </xf>
    <xf numFmtId="0" fontId="11" fillId="0" borderId="0"/>
    <xf numFmtId="174" fontId="74" fillId="0" borderId="13" applyFill="0" applyProtection="0">
      <alignment horizontal="right"/>
    </xf>
    <xf numFmtId="0" fontId="11" fillId="0" borderId="0"/>
    <xf numFmtId="0" fontId="11" fillId="0" borderId="0"/>
    <xf numFmtId="206" fontId="54" fillId="0" borderId="0" applyFill="0" applyBorder="0" applyAlignment="0" applyProtection="0"/>
    <xf numFmtId="207" fontId="12" fillId="0" borderId="0" applyAlignment="0" applyProtection="0"/>
    <xf numFmtId="207" fontId="12" fillId="0" borderId="0" applyAlignment="0" applyProtection="0"/>
    <xf numFmtId="0" fontId="11" fillId="0" borderId="0"/>
    <xf numFmtId="208" fontId="8" fillId="0" borderId="0" applyFont="0" applyFill="0" applyBorder="0" applyAlignment="0" applyProtection="0"/>
    <xf numFmtId="208" fontId="8" fillId="0" borderId="0" applyFont="0" applyFill="0" applyBorder="0" applyAlignment="0" applyProtection="0"/>
    <xf numFmtId="208" fontId="8" fillId="0" borderId="0" applyFont="0" applyFill="0" applyBorder="0" applyAlignment="0" applyProtection="0"/>
    <xf numFmtId="208" fontId="8" fillId="0" borderId="0" applyFont="0" applyFill="0" applyBorder="0" applyAlignment="0" applyProtection="0"/>
    <xf numFmtId="0" fontId="11" fillId="0" borderId="0"/>
    <xf numFmtId="0" fontId="11" fillId="0" borderId="0"/>
    <xf numFmtId="0" fontId="75" fillId="0" borderId="0" applyFill="0" applyBorder="0" applyAlignment="0" applyProtection="0"/>
    <xf numFmtId="0" fontId="76" fillId="0" borderId="0" applyNumberFormat="0" applyFill="0" applyBorder="0" applyAlignment="0" applyProtection="0"/>
    <xf numFmtId="174" fontId="76" fillId="0" borderId="0" applyNumberFormat="0" applyFill="0" applyBorder="0" applyAlignment="0" applyProtection="0"/>
    <xf numFmtId="174" fontId="76" fillId="0" borderId="0" applyNumberFormat="0" applyFill="0" applyBorder="0" applyAlignment="0" applyProtection="0"/>
    <xf numFmtId="174" fontId="76" fillId="0" borderId="0" applyNumberFormat="0" applyFill="0" applyBorder="0" applyAlignment="0" applyProtection="0"/>
    <xf numFmtId="0" fontId="8" fillId="0" borderId="0"/>
    <xf numFmtId="37" fontId="8" fillId="0" borderId="0" applyFont="0" applyFill="0" applyBorder="0" applyAlignment="0" applyProtection="0">
      <alignment vertical="center"/>
      <protection locked="0"/>
    </xf>
    <xf numFmtId="0" fontId="11" fillId="0" borderId="0"/>
    <xf numFmtId="0" fontId="40" fillId="0" borderId="0"/>
    <xf numFmtId="0" fontId="8" fillId="0" borderId="0"/>
    <xf numFmtId="0" fontId="40" fillId="0" borderId="0"/>
    <xf numFmtId="0" fontId="26" fillId="0" borderId="0" applyFill="0" applyBorder="0" applyAlignment="0"/>
    <xf numFmtId="179" fontId="26" fillId="0" borderId="0" applyFill="0" applyBorder="0" applyAlignment="0"/>
    <xf numFmtId="209" fontId="60" fillId="0" borderId="0" applyFill="0" applyBorder="0" applyAlignment="0"/>
    <xf numFmtId="209" fontId="60" fillId="0" borderId="0" applyFill="0" applyBorder="0" applyAlignment="0"/>
    <xf numFmtId="210" fontId="8" fillId="0" borderId="0" applyFill="0" applyBorder="0" applyAlignment="0"/>
    <xf numFmtId="210" fontId="8" fillId="0" borderId="0" applyFill="0" applyBorder="0" applyAlignment="0"/>
    <xf numFmtId="211" fontId="8" fillId="0" borderId="0" applyFill="0" applyBorder="0" applyAlignment="0"/>
    <xf numFmtId="212" fontId="8" fillId="0" borderId="0" applyFill="0" applyBorder="0" applyAlignment="0"/>
    <xf numFmtId="0" fontId="11" fillId="0" borderId="0"/>
    <xf numFmtId="211" fontId="8" fillId="0" borderId="0" applyFill="0" applyBorder="0" applyAlignment="0"/>
    <xf numFmtId="213" fontId="8" fillId="0" borderId="0" applyFill="0" applyBorder="0" applyAlignment="0"/>
    <xf numFmtId="213" fontId="8" fillId="0" borderId="0" applyFill="0" applyBorder="0" applyAlignment="0"/>
    <xf numFmtId="214" fontId="8" fillId="0" borderId="0" applyFill="0" applyBorder="0" applyAlignment="0"/>
    <xf numFmtId="215" fontId="8" fillId="0" borderId="0" applyFill="0" applyBorder="0" applyAlignment="0"/>
    <xf numFmtId="0" fontId="11" fillId="0" borderId="0"/>
    <xf numFmtId="214" fontId="8" fillId="0" borderId="0" applyFill="0" applyBorder="0" applyAlignment="0"/>
    <xf numFmtId="214" fontId="8" fillId="0" borderId="0" applyFill="0" applyBorder="0" applyAlignment="0"/>
    <xf numFmtId="216" fontId="8" fillId="0" borderId="0" applyFill="0" applyBorder="0" applyAlignment="0"/>
    <xf numFmtId="216" fontId="8" fillId="0" borderId="0" applyFill="0" applyBorder="0" applyAlignment="0"/>
    <xf numFmtId="217" fontId="8" fillId="0" borderId="0" applyFill="0" applyBorder="0" applyAlignment="0"/>
    <xf numFmtId="218" fontId="8" fillId="0" borderId="0" applyFill="0" applyBorder="0" applyAlignment="0"/>
    <xf numFmtId="0" fontId="11" fillId="0" borderId="0"/>
    <xf numFmtId="217" fontId="8" fillId="0" borderId="0" applyFill="0" applyBorder="0" applyAlignment="0"/>
    <xf numFmtId="217" fontId="8" fillId="0" borderId="0" applyFill="0" applyBorder="0" applyAlignment="0"/>
    <xf numFmtId="219" fontId="8" fillId="0" borderId="0" applyFill="0" applyBorder="0" applyAlignment="0"/>
    <xf numFmtId="219" fontId="8" fillId="0" borderId="0" applyFill="0" applyBorder="0" applyAlignment="0"/>
    <xf numFmtId="220" fontId="8" fillId="0" borderId="0" applyFill="0" applyBorder="0" applyAlignment="0"/>
    <xf numFmtId="221" fontId="8" fillId="0" borderId="0" applyFill="0" applyBorder="0" applyAlignment="0"/>
    <xf numFmtId="0" fontId="11" fillId="0" borderId="0"/>
    <xf numFmtId="220" fontId="8" fillId="0" borderId="0" applyFill="0" applyBorder="0" applyAlignment="0"/>
    <xf numFmtId="220" fontId="8" fillId="0" borderId="0" applyFill="0" applyBorder="0" applyAlignment="0"/>
    <xf numFmtId="222" fontId="8" fillId="0" borderId="0" applyFill="0" applyBorder="0" applyAlignment="0"/>
    <xf numFmtId="222" fontId="8" fillId="0" borderId="0" applyFill="0" applyBorder="0" applyAlignment="0"/>
    <xf numFmtId="223" fontId="8" fillId="0" borderId="0" applyFill="0" applyBorder="0" applyAlignment="0"/>
    <xf numFmtId="224" fontId="8" fillId="0" borderId="0" applyFill="0" applyBorder="0" applyAlignment="0"/>
    <xf numFmtId="0" fontId="11" fillId="0" borderId="0"/>
    <xf numFmtId="223" fontId="8" fillId="0" borderId="0" applyFill="0" applyBorder="0" applyAlignment="0"/>
    <xf numFmtId="223" fontId="8" fillId="0" borderId="0" applyFill="0" applyBorder="0" applyAlignment="0"/>
    <xf numFmtId="225" fontId="8" fillId="0" borderId="0" applyFill="0" applyBorder="0" applyAlignment="0"/>
    <xf numFmtId="225" fontId="8" fillId="0" borderId="0" applyFill="0" applyBorder="0" applyAlignment="0"/>
    <xf numFmtId="226" fontId="8" fillId="0" borderId="0" applyFill="0" applyBorder="0" applyAlignment="0"/>
    <xf numFmtId="227" fontId="8" fillId="0" borderId="0" applyFill="0" applyBorder="0" applyAlignment="0"/>
    <xf numFmtId="0" fontId="11" fillId="0" borderId="0"/>
    <xf numFmtId="226" fontId="8" fillId="0" borderId="0" applyFill="0" applyBorder="0" applyAlignment="0"/>
    <xf numFmtId="226" fontId="8" fillId="0" borderId="0" applyFill="0" applyBorder="0" applyAlignment="0"/>
    <xf numFmtId="210" fontId="8" fillId="0" borderId="0" applyFill="0" applyBorder="0" applyAlignment="0"/>
    <xf numFmtId="210" fontId="8" fillId="0" borderId="0" applyFill="0" applyBorder="0" applyAlignment="0"/>
    <xf numFmtId="211" fontId="8" fillId="0" borderId="0" applyFill="0" applyBorder="0" applyAlignment="0"/>
    <xf numFmtId="212" fontId="8" fillId="0" borderId="0" applyFill="0" applyBorder="0" applyAlignment="0"/>
    <xf numFmtId="0" fontId="11" fillId="0" borderId="0"/>
    <xf numFmtId="211" fontId="8" fillId="0" borderId="0" applyFill="0" applyBorder="0" applyAlignment="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0" fontId="78" fillId="0" borderId="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0"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174" fontId="77" fillId="54"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174" fontId="77" fillId="54"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174"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174"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174" fontId="77" fillId="54" borderId="14" applyNumberFormat="0" applyAlignment="0" applyProtection="0"/>
    <xf numFmtId="174"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174"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174" fontId="77" fillId="54" borderId="14" applyNumberFormat="0" applyAlignment="0" applyProtection="0"/>
    <xf numFmtId="0" fontId="11" fillId="0" borderId="0"/>
    <xf numFmtId="174"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174"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11" fillId="0" borderId="0"/>
    <xf numFmtId="0" fontId="79" fillId="55"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174"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174"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174"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174"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174"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174"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7" fillId="54" borderId="14" applyNumberFormat="0" applyAlignment="0" applyProtection="0"/>
    <xf numFmtId="174" fontId="77" fillId="54"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174"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77" fillId="54" borderId="14" applyNumberFormat="0" applyAlignment="0" applyProtection="0"/>
    <xf numFmtId="0" fontId="77" fillId="54" borderId="14" applyNumberFormat="0" applyAlignment="0" applyProtection="0"/>
    <xf numFmtId="0" fontId="79" fillId="55" borderId="14" applyNumberFormat="0" applyAlignment="0" applyProtection="0"/>
    <xf numFmtId="174" fontId="77"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174" fontId="77"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7" fillId="54"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11" fillId="0" borderId="0"/>
    <xf numFmtId="0" fontId="79" fillId="55" borderId="14" applyNumberFormat="0" applyAlignment="0" applyProtection="0"/>
    <xf numFmtId="0" fontId="79" fillId="55" borderId="14" applyNumberFormat="0" applyAlignment="0" applyProtection="0"/>
    <xf numFmtId="0" fontId="11" fillId="0" borderId="0"/>
    <xf numFmtId="0" fontId="80" fillId="0" borderId="0" applyNumberFormat="0" applyFont="0" applyBorder="0" applyAlignment="0">
      <alignment horizontal="left"/>
    </xf>
    <xf numFmtId="174" fontId="80" fillId="0" borderId="0" applyNumberFormat="0" applyFont="0" applyBorder="0" applyAlignment="0">
      <alignment horizontal="left"/>
    </xf>
    <xf numFmtId="174" fontId="80" fillId="0" borderId="0" applyNumberFormat="0" applyFont="0" applyBorder="0" applyAlignment="0">
      <alignment horizontal="left"/>
    </xf>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1" fillId="0" borderId="0"/>
    <xf numFmtId="228" fontId="54" fillId="0" borderId="0" applyFill="0" applyBorder="0"/>
    <xf numFmtId="229" fontId="54" fillId="0" borderId="0" applyFill="0" applyBorder="0"/>
    <xf numFmtId="230" fontId="54" fillId="0" borderId="0" applyFill="0" applyBorder="0"/>
    <xf numFmtId="231" fontId="54" fillId="0" borderId="0" applyFill="0" applyBorder="0"/>
    <xf numFmtId="232" fontId="54" fillId="0" borderId="0" applyFill="0" applyBorder="0"/>
    <xf numFmtId="233" fontId="54" fillId="0" borderId="0" applyFill="0" applyBorder="0"/>
    <xf numFmtId="234" fontId="54" fillId="0" borderId="0" applyFill="0" applyBorder="0"/>
    <xf numFmtId="235" fontId="54" fillId="0" borderId="0" applyFill="0" applyBorder="0"/>
    <xf numFmtId="236" fontId="54" fillId="0" borderId="0" applyFill="0" applyBorder="0"/>
    <xf numFmtId="237" fontId="54" fillId="0" borderId="0" applyFill="0" applyBorder="0"/>
    <xf numFmtId="237" fontId="54" fillId="0" borderId="0" applyFill="0" applyBorder="0">
      <alignment horizontal="center"/>
    </xf>
    <xf numFmtId="0" fontId="82" fillId="56" borderId="16" applyNumberFormat="0" applyAlignment="0" applyProtection="0"/>
    <xf numFmtId="0" fontId="83" fillId="0" borderId="0" applyFill="0" applyBorder="0" applyProtection="0">
      <alignment horizontal="center"/>
      <protection locked="0"/>
    </xf>
    <xf numFmtId="0" fontId="84" fillId="0" borderId="0">
      <alignment horizontal="right"/>
    </xf>
    <xf numFmtId="238" fontId="54" fillId="0" borderId="0" applyFill="0" applyBorder="0"/>
    <xf numFmtId="1" fontId="85" fillId="0" borderId="0"/>
    <xf numFmtId="0" fontId="8" fillId="57" borderId="0" applyNumberFormat="0" applyFont="0" applyBorder="0" applyAlignment="0" applyProtection="0"/>
    <xf numFmtId="9" fontId="32" fillId="0" borderId="0"/>
    <xf numFmtId="9" fontId="32" fillId="0" borderId="0"/>
    <xf numFmtId="0" fontId="11" fillId="0" borderId="0"/>
    <xf numFmtId="3" fontId="32" fillId="0" borderId="0"/>
    <xf numFmtId="3" fontId="32" fillId="0" borderId="0"/>
    <xf numFmtId="0" fontId="11" fillId="0" borderId="0"/>
    <xf numFmtId="195" fontId="86" fillId="0" borderId="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82" fillId="56" borderId="16" applyNumberFormat="0" applyAlignment="0" applyProtection="0"/>
    <xf numFmtId="0" fontId="11" fillId="0" borderId="0"/>
    <xf numFmtId="0" fontId="82" fillId="56" borderId="16" applyNumberFormat="0" applyAlignment="0" applyProtection="0"/>
    <xf numFmtId="0" fontId="82" fillId="56" borderId="16" applyNumberFormat="0" applyAlignment="0" applyProtection="0"/>
    <xf numFmtId="0" fontId="11" fillId="0" borderId="0"/>
    <xf numFmtId="0" fontId="82" fillId="56" borderId="16" applyNumberFormat="0" applyAlignment="0" applyProtection="0"/>
    <xf numFmtId="0" fontId="82" fillId="56" borderId="16" applyNumberFormat="0" applyAlignment="0" applyProtection="0"/>
    <xf numFmtId="0" fontId="87" fillId="0" borderId="0"/>
    <xf numFmtId="239" fontId="54" fillId="0" borderId="0" applyFill="0" applyBorder="0"/>
    <xf numFmtId="240" fontId="54" fillId="0" borderId="0" applyFill="0" applyBorder="0"/>
    <xf numFmtId="0" fontId="54" fillId="0" borderId="0" applyNumberFormat="0" applyFill="0" applyBorder="0" applyAlignment="0" applyProtection="0"/>
    <xf numFmtId="0" fontId="88" fillId="0" borderId="0" applyNumberFormat="0" applyFill="0" applyBorder="0" applyAlignment="0" applyProtection="0"/>
    <xf numFmtId="0" fontId="54" fillId="0" borderId="0" applyNumberFormat="0" applyFill="0" applyBorder="0" applyAlignment="0" applyProtection="0"/>
    <xf numFmtId="0" fontId="89" fillId="0" borderId="17" applyNumberFormat="0" applyFill="0" applyBorder="0" applyAlignment="0" applyProtection="0">
      <alignment horizontal="center"/>
    </xf>
    <xf numFmtId="0" fontId="90" fillId="58" borderId="2" applyNumberFormat="0" applyBorder="0" applyProtection="0">
      <alignment horizontal="center" vertical="center" wrapText="1"/>
    </xf>
    <xf numFmtId="0" fontId="91" fillId="0" borderId="4">
      <alignment horizontal="center"/>
    </xf>
    <xf numFmtId="0" fontId="92" fillId="0" borderId="0" applyNumberFormat="0" applyFont="0" applyFill="0" applyBorder="0" applyAlignment="0" applyProtection="0"/>
    <xf numFmtId="37" fontId="72" fillId="0" borderId="0"/>
    <xf numFmtId="0" fontId="11" fillId="0" borderId="0"/>
    <xf numFmtId="37" fontId="72" fillId="0" borderId="0"/>
    <xf numFmtId="0" fontId="31" fillId="0" borderId="0"/>
    <xf numFmtId="0" fontId="31" fillId="0" borderId="0"/>
    <xf numFmtId="0" fontId="31" fillId="0" borderId="0"/>
    <xf numFmtId="0" fontId="31" fillId="0" borderId="0"/>
    <xf numFmtId="0" fontId="31" fillId="0" borderId="0"/>
    <xf numFmtId="0" fontId="31" fillId="0" borderId="0"/>
    <xf numFmtId="241" fontId="93" fillId="0" borderId="0"/>
    <xf numFmtId="242" fontId="8" fillId="0" borderId="0"/>
    <xf numFmtId="242" fontId="8" fillId="0" borderId="0"/>
    <xf numFmtId="242" fontId="8" fillId="0" borderId="0"/>
    <xf numFmtId="242" fontId="8" fillId="0" borderId="0"/>
    <xf numFmtId="242" fontId="8" fillId="0" borderId="0"/>
    <xf numFmtId="241" fontId="93" fillId="0" borderId="0"/>
    <xf numFmtId="242" fontId="8" fillId="0" borderId="0"/>
    <xf numFmtId="242" fontId="8" fillId="0" borderId="0"/>
    <xf numFmtId="242" fontId="8" fillId="0" borderId="0"/>
    <xf numFmtId="242" fontId="8" fillId="0" borderId="0"/>
    <xf numFmtId="242" fontId="8" fillId="0" borderId="0"/>
    <xf numFmtId="241" fontId="93" fillId="0" borderId="0"/>
    <xf numFmtId="242" fontId="8" fillId="0" borderId="0"/>
    <xf numFmtId="242" fontId="8" fillId="0" borderId="0"/>
    <xf numFmtId="242" fontId="8" fillId="0" borderId="0"/>
    <xf numFmtId="242" fontId="8" fillId="0" borderId="0"/>
    <xf numFmtId="242" fontId="8" fillId="0" borderId="0"/>
    <xf numFmtId="241" fontId="93" fillId="0" borderId="0"/>
    <xf numFmtId="242" fontId="8" fillId="0" borderId="0"/>
    <xf numFmtId="242" fontId="8" fillId="0" borderId="0"/>
    <xf numFmtId="242" fontId="8" fillId="0" borderId="0"/>
    <xf numFmtId="242" fontId="8" fillId="0" borderId="0"/>
    <xf numFmtId="242" fontId="8" fillId="0" borderId="0"/>
    <xf numFmtId="241" fontId="93" fillId="0" borderId="0"/>
    <xf numFmtId="242" fontId="8" fillId="0" borderId="0"/>
    <xf numFmtId="242" fontId="8" fillId="0" borderId="0"/>
    <xf numFmtId="242" fontId="8" fillId="0" borderId="0"/>
    <xf numFmtId="242" fontId="8" fillId="0" borderId="0"/>
    <xf numFmtId="242" fontId="8" fillId="0" borderId="0"/>
    <xf numFmtId="241" fontId="93" fillId="0" borderId="0"/>
    <xf numFmtId="242" fontId="8" fillId="0" borderId="0"/>
    <xf numFmtId="242" fontId="8" fillId="0" borderId="0"/>
    <xf numFmtId="242" fontId="8" fillId="0" borderId="0"/>
    <xf numFmtId="242" fontId="8" fillId="0" borderId="0"/>
    <xf numFmtId="242" fontId="8" fillId="0" borderId="0"/>
    <xf numFmtId="241" fontId="93" fillId="0" borderId="0"/>
    <xf numFmtId="242" fontId="8" fillId="0" borderId="0"/>
    <xf numFmtId="242" fontId="8" fillId="0" borderId="0"/>
    <xf numFmtId="242" fontId="8" fillId="0" borderId="0"/>
    <xf numFmtId="242" fontId="8" fillId="0" borderId="0"/>
    <xf numFmtId="242" fontId="8" fillId="0" borderId="0"/>
    <xf numFmtId="241" fontId="93" fillId="0" borderId="0"/>
    <xf numFmtId="242" fontId="8" fillId="0" borderId="0"/>
    <xf numFmtId="242" fontId="8" fillId="0" borderId="0"/>
    <xf numFmtId="242" fontId="8" fillId="0" borderId="0"/>
    <xf numFmtId="242" fontId="8" fillId="0" borderId="0"/>
    <xf numFmtId="242" fontId="8" fillId="0" borderId="0"/>
    <xf numFmtId="243" fontId="8"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 fillId="0" borderId="0" applyFont="0" applyFill="0" applyBorder="0" applyAlignment="0" applyProtection="0"/>
    <xf numFmtId="41" fontId="11" fillId="0" borderId="0" applyFont="0" applyFill="0" applyBorder="0" applyAlignment="0" applyProtection="0"/>
    <xf numFmtId="0" fontId="11" fillId="0" borderId="0"/>
    <xf numFmtId="0" fontId="11" fillId="0" borderId="0"/>
    <xf numFmtId="41" fontId="11" fillId="0" borderId="0" applyFont="0" applyFill="0" applyBorder="0" applyAlignment="0" applyProtection="0"/>
    <xf numFmtId="41" fontId="1" fillId="0" borderId="0" applyFont="0" applyFill="0" applyBorder="0" applyAlignment="0" applyProtection="0"/>
    <xf numFmtId="41" fontId="11" fillId="0" borderId="0" applyFont="0" applyFill="0" applyBorder="0" applyAlignment="0" applyProtection="0"/>
    <xf numFmtId="0" fontId="11" fillId="0" borderId="0"/>
    <xf numFmtId="0" fontId="11" fillId="0" borderId="0"/>
    <xf numFmtId="41" fontId="1" fillId="0" borderId="0" applyFont="0" applyFill="0" applyBorder="0" applyAlignment="0" applyProtection="0"/>
    <xf numFmtId="41" fontId="11" fillId="0" borderId="0" applyFont="0" applyFill="0" applyBorder="0" applyAlignment="0" applyProtection="0"/>
    <xf numFmtId="0" fontId="11" fillId="0" borderId="0"/>
    <xf numFmtId="0" fontId="11" fillId="0" borderId="0"/>
    <xf numFmtId="41" fontId="8" fillId="0" borderId="0" applyFont="0" applyFill="0" applyBorder="0" applyAlignment="0" applyProtection="0"/>
    <xf numFmtId="242" fontId="60" fillId="0" borderId="0" applyFont="0" applyFill="0" applyBorder="0" applyAlignment="0" applyProtection="0"/>
    <xf numFmtId="0" fontId="11" fillId="0" borderId="0"/>
    <xf numFmtId="41" fontId="4" fillId="0" borderId="0" applyFont="0" applyFill="0" applyBorder="0" applyAlignment="0" applyProtection="0"/>
    <xf numFmtId="244" fontId="60" fillId="0" borderId="0" applyFont="0" applyFill="0" applyBorder="0" applyAlignment="0" applyProtection="0"/>
    <xf numFmtId="41" fontId="4" fillId="0" borderId="0" applyFont="0" applyFill="0" applyBorder="0" applyAlignment="0" applyProtection="0"/>
    <xf numFmtId="0" fontId="11" fillId="0" borderId="0"/>
    <xf numFmtId="245" fontId="8" fillId="0" borderId="0" applyFont="0" applyFill="0" applyBorder="0" applyAlignment="0" applyProtection="0"/>
    <xf numFmtId="245" fontId="8" fillId="0" borderId="0" applyFont="0" applyFill="0" applyBorder="0" applyAlignment="0" applyProtection="0"/>
    <xf numFmtId="0" fontId="11" fillId="0" borderId="0"/>
    <xf numFmtId="245" fontId="8" fillId="0" borderId="0" applyFont="0" applyFill="0" applyBorder="0" applyAlignment="0" applyProtection="0"/>
    <xf numFmtId="245" fontId="8" fillId="0" borderId="0" applyFont="0" applyFill="0" applyBorder="0" applyAlignment="0" applyProtection="0"/>
    <xf numFmtId="0" fontId="11" fillId="0" borderId="0"/>
    <xf numFmtId="38" fontId="94" fillId="0" borderId="0" applyFont="0" applyFill="0" applyBorder="0" applyAlignment="0" applyProtection="0">
      <alignment vertical="center"/>
    </xf>
    <xf numFmtId="41" fontId="8" fillId="0" borderId="0" applyFont="0" applyFill="0" applyBorder="0" applyAlignment="0" applyProtection="0"/>
    <xf numFmtId="0" fontId="1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1" fillId="0" borderId="0"/>
    <xf numFmtId="41" fontId="1" fillId="0" borderId="0" applyFont="0" applyFill="0" applyBorder="0" applyAlignment="0" applyProtection="0"/>
    <xf numFmtId="164" fontId="8" fillId="0" borderId="0" applyFont="0" applyFill="0" applyBorder="0" applyAlignment="0" applyProtection="0"/>
    <xf numFmtId="0" fontId="1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1" fillId="0" borderId="0"/>
    <xf numFmtId="164" fontId="8" fillId="0" borderId="0" applyFont="0" applyFill="0" applyBorder="0" applyAlignment="0" applyProtection="0"/>
    <xf numFmtId="164" fontId="8"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11" fillId="0" borderId="0"/>
    <xf numFmtId="41" fontId="4"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 fillId="0" borderId="0" applyFont="0" applyFill="0" applyBorder="0" applyAlignment="0" applyProtection="0"/>
    <xf numFmtId="41" fontId="95" fillId="0" borderId="0" applyFont="0" applyFill="0" applyBorder="0" applyAlignment="0" applyProtection="0"/>
    <xf numFmtId="41" fontId="96" fillId="0" borderId="0" applyFont="0" applyFill="0" applyBorder="0" applyAlignment="0" applyProtection="0"/>
    <xf numFmtId="41" fontId="95" fillId="0" borderId="0" applyFont="0" applyFill="0" applyBorder="0" applyAlignment="0" applyProtection="0"/>
    <xf numFmtId="41" fontId="96" fillId="0" borderId="0" applyFont="0" applyFill="0" applyBorder="0" applyAlignment="0" applyProtection="0"/>
    <xf numFmtId="0" fontId="11" fillId="0" borderId="0"/>
    <xf numFmtId="0" fontId="11" fillId="0" borderId="0"/>
    <xf numFmtId="41" fontId="96" fillId="0" borderId="0" applyFont="0" applyFill="0" applyBorder="0" applyAlignment="0" applyProtection="0"/>
    <xf numFmtId="0" fontId="1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95" fillId="0" borderId="0" applyFont="0" applyFill="0" applyBorder="0" applyAlignment="0" applyProtection="0"/>
    <xf numFmtId="41" fontId="96"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166" fontId="11" fillId="0" borderId="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1"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97"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1"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185" fontId="18"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246" fontId="11" fillId="0" borderId="0" applyFill="0" applyBorder="0" applyAlignment="0" applyProtection="0"/>
    <xf numFmtId="41" fontId="8" fillId="0" borderId="0" applyFont="0" applyFill="0" applyBorder="0" applyAlignment="0" applyProtection="0"/>
    <xf numFmtId="41" fontId="1" fillId="0" borderId="0" applyFont="0" applyFill="0" applyBorder="0" applyAlignment="0" applyProtection="0"/>
    <xf numFmtId="41" fontId="97" fillId="0" borderId="0" applyFont="0" applyFill="0" applyBorder="0" applyAlignment="0" applyProtection="0"/>
    <xf numFmtId="41" fontId="3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6" fillId="0" borderId="0" applyFont="0" applyFill="0" applyBorder="0" applyAlignment="0" applyProtection="0"/>
    <xf numFmtId="41" fontId="8" fillId="0" borderId="0" applyFont="0" applyFill="0" applyBorder="0" applyAlignment="0" applyProtection="0"/>
    <xf numFmtId="41" fontId="96" fillId="0" borderId="0" applyFont="0" applyFill="0" applyBorder="0" applyAlignment="0" applyProtection="0"/>
    <xf numFmtId="41" fontId="11" fillId="0" borderId="0" applyFont="0" applyFill="0" applyBorder="0" applyAlignment="0" applyProtection="0"/>
    <xf numFmtId="41" fontId="11" fillId="0" borderId="0" applyFont="0" applyFill="0" applyBorder="0" applyAlignment="0" applyProtection="0"/>
    <xf numFmtId="0" fontId="11" fillId="0" borderId="0"/>
    <xf numFmtId="247" fontId="97"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0" fontId="1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246" fontId="11" fillId="0" borderId="0" applyFill="0" applyBorder="0" applyAlignment="0" applyProtection="0"/>
    <xf numFmtId="41" fontId="1"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41" fontId="8" fillId="0" borderId="0" applyFont="0" applyFill="0" applyBorder="0" applyAlignment="0" applyProtection="0"/>
    <xf numFmtId="41" fontId="11" fillId="0" borderId="0" applyFont="0" applyFill="0" applyBorder="0" applyAlignment="0" applyProtection="0"/>
    <xf numFmtId="170" fontId="97" fillId="0" borderId="0" applyFont="0" applyFill="0" applyBorder="0" applyAlignment="0" applyProtection="0"/>
    <xf numFmtId="0" fontId="11" fillId="0" borderId="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170" fontId="97" fillId="0" borderId="0" applyFont="0" applyFill="0" applyBorder="0" applyAlignment="0" applyProtection="0"/>
    <xf numFmtId="41" fontId="1"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11" fillId="0" borderId="0" applyFont="0" applyFill="0" applyBorder="0" applyAlignment="0" applyProtection="0"/>
    <xf numFmtId="0" fontId="11" fillId="0" borderId="0"/>
    <xf numFmtId="38" fontId="94" fillId="0" borderId="0" applyFont="0" applyFill="0" applyBorder="0" applyAlignment="0" applyProtection="0"/>
    <xf numFmtId="41" fontId="11" fillId="0" borderId="0" applyFont="0" applyFill="0" applyBorder="0" applyAlignment="0" applyProtection="0"/>
    <xf numFmtId="0" fontId="11" fillId="0" borderId="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41" fontId="8" fillId="0" borderId="0" applyFont="0" applyFill="0" applyBorder="0" applyAlignment="0" applyProtection="0"/>
    <xf numFmtId="0" fontId="11" fillId="0" borderId="0"/>
    <xf numFmtId="41" fontId="8" fillId="0" borderId="0" applyFont="0" applyFill="0" applyBorder="0" applyAlignment="0" applyProtection="0"/>
    <xf numFmtId="41" fontId="4" fillId="0" borderId="0" applyFont="0" applyFill="0" applyBorder="0" applyAlignment="0" applyProtection="0"/>
    <xf numFmtId="0" fontId="11" fillId="0" borderId="0"/>
    <xf numFmtId="41" fontId="8" fillId="0" borderId="0" applyFont="0" applyFill="0" applyBorder="0" applyAlignment="0" applyProtection="0"/>
    <xf numFmtId="248" fontId="60" fillId="0" borderId="0" applyFont="0" applyFill="0" applyBorder="0" applyAlignment="0" applyProtection="0"/>
    <xf numFmtId="248" fontId="6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1" fillId="0" borderId="0"/>
    <xf numFmtId="0" fontId="11" fillId="0" borderId="0"/>
    <xf numFmtId="0" fontId="11" fillId="0" borderId="0"/>
    <xf numFmtId="249" fontId="60" fillId="0" borderId="0" applyFont="0" applyFill="0" applyBorder="0" applyAlignment="0" applyProtection="0"/>
    <xf numFmtId="0" fontId="11" fillId="0" borderId="0"/>
    <xf numFmtId="222" fontId="8" fillId="0" borderId="0" applyFont="0" applyFill="0" applyBorder="0" applyAlignment="0" applyProtection="0"/>
    <xf numFmtId="222" fontId="8" fillId="0" borderId="0" applyFont="0" applyFill="0" applyBorder="0" applyAlignment="0" applyProtection="0"/>
    <xf numFmtId="223" fontId="8" fillId="0" borderId="0" applyFont="0" applyFill="0" applyBorder="0" applyAlignment="0" applyProtection="0"/>
    <xf numFmtId="224" fontId="8" fillId="0" borderId="0" applyFont="0" applyFill="0" applyBorder="0" applyAlignment="0" applyProtection="0"/>
    <xf numFmtId="0" fontId="11" fillId="0" borderId="0"/>
    <xf numFmtId="223" fontId="8" fillId="0" borderId="0" applyFont="0" applyFill="0" applyBorder="0" applyAlignment="0" applyProtection="0"/>
    <xf numFmtId="224" fontId="8" fillId="0" borderId="0" applyFont="0" applyFill="0" applyBorder="0" applyAlignment="0" applyProtection="0"/>
    <xf numFmtId="38" fontId="32" fillId="0" borderId="0" applyProtection="0"/>
    <xf numFmtId="38" fontId="32" fillId="0" borderId="0" applyProtection="0"/>
    <xf numFmtId="0" fontId="11" fillId="0" borderId="0"/>
    <xf numFmtId="41" fontId="98" fillId="0" borderId="5" applyBorder="0" applyAlignment="0"/>
    <xf numFmtId="41" fontId="98" fillId="0" borderId="5" applyBorder="0" applyAlignment="0"/>
    <xf numFmtId="41" fontId="98" fillId="0" borderId="5" applyBorder="0" applyAlignment="0"/>
    <xf numFmtId="0" fontId="11" fillId="0" borderId="0"/>
    <xf numFmtId="41" fontId="98" fillId="0" borderId="5" applyBorder="0" applyAlignment="0"/>
    <xf numFmtId="41" fontId="98" fillId="0" borderId="5" applyBorder="0" applyAlignment="0"/>
    <xf numFmtId="41" fontId="98" fillId="0" borderId="5" applyBorder="0" applyAlignment="0"/>
    <xf numFmtId="41" fontId="98" fillId="0" borderId="5" applyBorder="0" applyAlignment="0"/>
    <xf numFmtId="41" fontId="98" fillId="0" borderId="5" applyBorder="0" applyAlignment="0"/>
    <xf numFmtId="0" fontId="11" fillId="0" borderId="0"/>
    <xf numFmtId="246" fontId="8" fillId="0" borderId="0"/>
    <xf numFmtId="246" fontId="8" fillId="0" borderId="0"/>
    <xf numFmtId="0" fontId="11" fillId="0" borderId="0"/>
    <xf numFmtId="250" fontId="99" fillId="0" borderId="0" applyFont="0" applyFill="0" applyBorder="0" applyAlignment="0" applyProtection="0"/>
    <xf numFmtId="251" fontId="12" fillId="0" borderId="0" applyFont="0" applyFill="0" applyBorder="0" applyAlignment="0" applyProtection="0"/>
    <xf numFmtId="0" fontId="11" fillId="0" borderId="0"/>
    <xf numFmtId="252" fontId="100" fillId="0" borderId="0" applyFont="0" applyFill="0" applyBorder="0" applyAlignment="0" applyProtection="0"/>
    <xf numFmtId="253" fontId="12" fillId="0" borderId="0" applyFont="0" applyFill="0" applyBorder="0" applyAlignment="0" applyProtection="0"/>
    <xf numFmtId="0" fontId="11" fillId="0" borderId="0"/>
    <xf numFmtId="254" fontId="100" fillId="0" borderId="0" applyFont="0" applyFill="0" applyBorder="0" applyAlignment="0" applyProtection="0"/>
    <xf numFmtId="255" fontId="12" fillId="0" borderId="0" applyFont="0" applyFill="0" applyBorder="0" applyAlignment="0" applyProtection="0"/>
    <xf numFmtId="0" fontId="11" fillId="0" borderId="0"/>
    <xf numFmtId="256" fontId="10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0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57" fontId="10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180" fontId="8" fillId="0" borderId="0" applyFont="0" applyFill="0" applyBorder="0" applyAlignment="0" applyProtection="0"/>
    <xf numFmtId="180" fontId="8" fillId="0" borderId="0" applyFont="0" applyFill="0" applyBorder="0" applyAlignment="0" applyProtection="0"/>
    <xf numFmtId="258" fontId="8" fillId="0" borderId="0" applyFill="0" applyBorder="0" applyAlignment="0" applyProtection="0"/>
    <xf numFmtId="258" fontId="8" fillId="0" borderId="0" applyFill="0" applyBorder="0" applyAlignment="0" applyProtection="0"/>
    <xf numFmtId="258" fontId="8"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0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59" fontId="10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60"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60"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61" fontId="8" fillId="0" borderId="0" applyFont="0" applyFill="0" applyBorder="0" applyAlignment="0" applyProtection="0"/>
    <xf numFmtId="261"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167"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7"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4" fillId="0" borderId="0" applyFont="0" applyFill="0" applyBorder="0" applyAlignment="0" applyProtection="0"/>
    <xf numFmtId="43" fontId="8" fillId="0" borderId="0" applyFont="0" applyFill="0" applyBorder="0" applyAlignment="0" applyProtection="0"/>
    <xf numFmtId="257" fontId="10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ill="0" applyBorder="0" applyAlignment="0" applyProtection="0"/>
    <xf numFmtId="43" fontId="8" fillId="0" borderId="0" applyFill="0" applyBorder="0" applyAlignment="0" applyProtection="0"/>
    <xf numFmtId="43" fontId="8" fillId="0" borderId="0" applyFill="0" applyBorder="0" applyAlignment="0" applyProtection="0"/>
    <xf numFmtId="43" fontId="8" fillId="0" borderId="0" applyFill="0" applyBorder="0" applyAlignment="0" applyProtection="0"/>
    <xf numFmtId="43" fontId="104" fillId="0" borderId="0" applyFont="0" applyFill="0" applyBorder="0" applyAlignment="0" applyProtection="0"/>
    <xf numFmtId="43" fontId="104" fillId="0" borderId="0" applyFont="0" applyFill="0" applyBorder="0" applyAlignment="0" applyProtection="0"/>
    <xf numFmtId="43" fontId="6"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1" fillId="0" borderId="0" applyFont="0" applyFill="0" applyBorder="0" applyAlignment="0" applyProtection="0"/>
    <xf numFmtId="258" fontId="9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258" fontId="9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258" fontId="9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58" fontId="9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0" fontId="11" fillId="0" borderId="0"/>
    <xf numFmtId="43" fontId="8"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0" fontId="11" fillId="0" borderId="0"/>
    <xf numFmtId="43" fontId="8"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165" fontId="1"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57" fontId="10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263" fontId="101" fillId="0" borderId="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0" fontId="11" fillId="0" borderId="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5"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64"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4"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43" fontId="54" fillId="0" borderId="0" applyFont="0" applyFill="0" applyBorder="0" applyAlignment="0" applyProtection="0"/>
    <xf numFmtId="0" fontId="11" fillId="0" borderId="0"/>
    <xf numFmtId="265" fontId="11" fillId="0" borderId="0" applyFill="0" applyBorder="0" applyAlignment="0" applyProtection="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56" fillId="0" borderId="0" applyFont="0" applyFill="0" applyBorder="0" applyAlignment="0" applyProtection="0"/>
    <xf numFmtId="244" fontId="60" fillId="0" borderId="0" applyFont="0" applyFill="0" applyBorder="0" applyAlignment="0" applyProtection="0"/>
    <xf numFmtId="244" fontId="60" fillId="0" borderId="0" applyFont="0" applyFill="0" applyBorder="0" applyAlignment="0" applyProtection="0"/>
    <xf numFmtId="0" fontId="11" fillId="0" borderId="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260" fontId="60" fillId="0" borderId="0" applyFont="0" applyFill="0" applyBorder="0" applyAlignment="0" applyProtection="0"/>
    <xf numFmtId="0" fontId="11" fillId="0" borderId="0"/>
    <xf numFmtId="260" fontId="60" fillId="0" borderId="0" applyFont="0" applyFill="0" applyBorder="0" applyAlignment="0" applyProtection="0"/>
    <xf numFmtId="260" fontId="60" fillId="0" borderId="0" applyFont="0" applyFill="0" applyBorder="0" applyAlignment="0" applyProtection="0"/>
    <xf numFmtId="0" fontId="11" fillId="0" borderId="0"/>
    <xf numFmtId="260" fontId="60" fillId="0" borderId="0" applyFont="0" applyFill="0" applyBorder="0" applyAlignment="0" applyProtection="0"/>
    <xf numFmtId="260" fontId="60" fillId="0" borderId="0" applyFont="0" applyFill="0" applyBorder="0" applyAlignment="0" applyProtection="0"/>
    <xf numFmtId="0" fontId="11" fillId="0" borderId="0"/>
    <xf numFmtId="260" fontId="60" fillId="0" borderId="0" applyFont="0" applyFill="0" applyBorder="0" applyAlignment="0" applyProtection="0"/>
    <xf numFmtId="260" fontId="60" fillId="0" borderId="0" applyFont="0" applyFill="0" applyBorder="0" applyAlignment="0" applyProtection="0"/>
    <xf numFmtId="0" fontId="11" fillId="0" borderId="0"/>
    <xf numFmtId="0" fontId="60" fillId="0" borderId="0" applyFont="0" applyFill="0" applyBorder="0" applyAlignment="0" applyProtection="0"/>
    <xf numFmtId="0" fontId="60"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92" fillId="0" borderId="0" applyNumberFormat="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66"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04"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67"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67"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268"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43" fontId="8" fillId="0" borderId="0" applyFill="0" applyBorder="0" applyAlignment="0" applyProtection="0"/>
    <xf numFmtId="43" fontId="8" fillId="0" borderId="0" applyFill="0" applyBorder="0" applyAlignment="0" applyProtection="0"/>
    <xf numFmtId="43"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262" fontId="105"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8"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8" fillId="0" borderId="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165" fontId="8" fillId="0" borderId="0" applyFont="0" applyFill="0" applyBorder="0" applyAlignment="0" applyProtection="0"/>
    <xf numFmtId="0" fontId="11" fillId="0" borderId="0"/>
    <xf numFmtId="43" fontId="8" fillId="0" borderId="0" applyFont="0" applyFill="0" applyBorder="0" applyAlignment="0" applyProtection="0"/>
    <xf numFmtId="43" fontId="96"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0" fontId="11" fillId="0" borderId="0"/>
    <xf numFmtId="165" fontId="8" fillId="0" borderId="0" applyFont="0" applyFill="0" applyBorder="0" applyAlignment="0" applyProtection="0"/>
    <xf numFmtId="0" fontId="11" fillId="0" borderId="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0" fontId="11" fillId="0" borderId="0"/>
    <xf numFmtId="165"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0" fontId="11" fillId="0" borderId="0"/>
    <xf numFmtId="165" fontId="8" fillId="0" borderId="0" applyFont="0" applyFill="0" applyBorder="0" applyAlignment="0" applyProtection="0"/>
    <xf numFmtId="165" fontId="8" fillId="0" borderId="0" applyFont="0" applyFill="0" applyBorder="0" applyAlignment="0" applyProtection="0"/>
    <xf numFmtId="0" fontId="11" fillId="0" borderId="0"/>
    <xf numFmtId="165" fontId="8" fillId="0" borderId="0" applyFont="0" applyFill="0" applyBorder="0" applyAlignment="0" applyProtection="0"/>
    <xf numFmtId="165" fontId="8" fillId="0" borderId="0" applyFont="0" applyFill="0" applyBorder="0" applyAlignment="0" applyProtection="0"/>
    <xf numFmtId="0" fontId="11" fillId="0" borderId="0"/>
    <xf numFmtId="165" fontId="8" fillId="0" borderId="0" applyFont="0" applyFill="0" applyBorder="0" applyAlignment="0" applyProtection="0"/>
    <xf numFmtId="165" fontId="8" fillId="0" borderId="0" applyFont="0" applyFill="0" applyBorder="0" applyAlignment="0" applyProtection="0"/>
    <xf numFmtId="0" fontId="11" fillId="0" borderId="0"/>
    <xf numFmtId="165" fontId="8" fillId="0" borderId="0" applyFont="0" applyFill="0" applyBorder="0" applyAlignment="0" applyProtection="0"/>
    <xf numFmtId="165" fontId="8" fillId="0" borderId="0" applyFont="0" applyFill="0" applyBorder="0" applyAlignment="0" applyProtection="0"/>
    <xf numFmtId="0" fontId="11" fillId="0" borderId="0"/>
    <xf numFmtId="165"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165"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5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97" fillId="0" borderId="0" applyFont="0" applyFill="0" applyBorder="0" applyAlignment="0" applyProtection="0"/>
    <xf numFmtId="43" fontId="3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95" fillId="0" borderId="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43" fontId="106" fillId="0" borderId="0" applyFont="0" applyFill="0" applyBorder="0" applyAlignment="0" applyProtection="0"/>
    <xf numFmtId="43" fontId="1"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43" fontId="1" fillId="0" borderId="0" applyFont="0" applyFill="0" applyBorder="0" applyAlignment="0" applyProtection="0"/>
    <xf numFmtId="269" fontId="97"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69" fontId="97" fillId="0" borderId="0" applyFont="0" applyFill="0" applyBorder="0" applyAlignment="0" applyProtection="0"/>
    <xf numFmtId="0" fontId="11" fillId="0" borderId="0"/>
    <xf numFmtId="244" fontId="18" fillId="0" borderId="0" applyFont="0" applyFill="0" applyBorder="0" applyAlignment="0" applyProtection="0"/>
    <xf numFmtId="0" fontId="95" fillId="0" borderId="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0" borderId="0"/>
    <xf numFmtId="171" fontId="8" fillId="0" borderId="0" applyFont="0" applyFill="0" applyBorder="0" applyAlignment="0" applyProtection="0"/>
    <xf numFmtId="171" fontId="8" fillId="0" borderId="0" applyFont="0" applyFill="0" applyBorder="0" applyAlignment="0" applyProtection="0"/>
    <xf numFmtId="269" fontId="97" fillId="0" borderId="0" applyFont="0" applyFill="0" applyBorder="0" applyAlignment="0" applyProtection="0"/>
    <xf numFmtId="269" fontId="97"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0" fontId="11" fillId="0" borderId="0"/>
    <xf numFmtId="269" fontId="97" fillId="0" borderId="0" applyFont="0" applyFill="0" applyBorder="0" applyAlignment="0" applyProtection="0"/>
    <xf numFmtId="269" fontId="97"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70" fontId="8"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0" fontId="11" fillId="0" borderId="0"/>
    <xf numFmtId="258" fontId="8" fillId="0" borderId="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07"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80" fontId="108" fillId="0" borderId="0" applyFont="0" applyFill="0" applyBorder="0" applyAlignment="0" applyProtection="0"/>
    <xf numFmtId="180" fontId="108" fillId="0" borderId="0" applyFont="0" applyFill="0" applyBorder="0" applyAlignment="0" applyProtection="0"/>
    <xf numFmtId="169" fontId="11"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180" fontId="108" fillId="0" borderId="0" applyFont="0" applyFill="0" applyBorder="0" applyAlignment="0" applyProtection="0"/>
    <xf numFmtId="0" fontId="11"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43" fontId="4" fillId="0" borderId="0" applyFont="0" applyFill="0" applyBorder="0" applyAlignment="0" applyProtection="0"/>
    <xf numFmtId="0" fontId="11" fillId="0" borderId="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2" fontId="8" fillId="0" borderId="0"/>
    <xf numFmtId="272" fontId="21" fillId="0" borderId="0"/>
    <xf numFmtId="0" fontId="11" fillId="0" borderId="0"/>
    <xf numFmtId="273" fontId="21" fillId="0" borderId="0"/>
    <xf numFmtId="43" fontId="1" fillId="0" borderId="0" applyFont="0" applyFill="0" applyBorder="0" applyAlignment="0" applyProtection="0"/>
    <xf numFmtId="273" fontId="8" fillId="0" borderId="0" applyFont="0" applyFill="0" applyBorder="0" applyAlignment="0" applyProtection="0"/>
    <xf numFmtId="27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71" fontId="8" fillId="0" borderId="0" applyFont="0" applyFill="0" applyBorder="0" applyAlignment="0" applyProtection="0"/>
    <xf numFmtId="271" fontId="96"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71" fontId="8" fillId="0" borderId="0" applyFont="0" applyFill="0" applyBorder="0" applyAlignment="0" applyProtection="0"/>
    <xf numFmtId="271" fontId="96" fillId="0" borderId="0"/>
    <xf numFmtId="0" fontId="11" fillId="0" borderId="0"/>
    <xf numFmtId="258" fontId="11"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 fillId="0" borderId="0" applyFont="0" applyFill="0" applyBorder="0" applyAlignment="0" applyProtection="0"/>
    <xf numFmtId="271"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71" fontId="9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71"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71" fontId="9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71"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71" fontId="9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71"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71" fontId="9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71"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71" fontId="9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71"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71" fontId="9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71"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71" fontId="9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71"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71" fontId="9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58" fontId="10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58" fontId="109"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58" fontId="8" fillId="0" borderId="0" applyFill="0" applyBorder="0" applyAlignment="0" applyProtection="0"/>
    <xf numFmtId="258" fontId="8" fillId="0" borderId="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43" fontId="11" fillId="0" borderId="0" applyFont="0" applyFill="0" applyBorder="0" applyAlignment="0" applyProtection="0"/>
    <xf numFmtId="258" fontId="8" fillId="0" borderId="0" applyFill="0" applyBorder="0" applyAlignment="0" applyProtection="0"/>
    <xf numFmtId="43" fontId="11" fillId="0" borderId="0" applyFont="0" applyFill="0" applyBorder="0" applyAlignment="0" applyProtection="0"/>
    <xf numFmtId="258" fontId="8" fillId="0" borderId="0" applyFill="0" applyBorder="0" applyAlignment="0" applyProtection="0"/>
    <xf numFmtId="258" fontId="8" fillId="0" borderId="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58" fontId="8" fillId="0" borderId="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258" fontId="9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58" fontId="8" fillId="0" borderId="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58" fontId="8" fillId="0" borderId="0" applyFill="0" applyBorder="0" applyAlignment="0" applyProtection="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58" fontId="8" fillId="0" borderId="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58" fontId="8" fillId="0" borderId="0" applyFill="0" applyBorder="0" applyAlignment="0" applyProtection="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58" fontId="8" fillId="0" borderId="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58" fontId="8" fillId="0" borderId="0" applyFill="0" applyBorder="0" applyAlignment="0" applyProtection="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43" fontId="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1" fillId="0" borderId="0" applyFont="0" applyFill="0" applyBorder="0" applyAlignment="0" applyProtection="0"/>
    <xf numFmtId="0" fontId="11" fillId="0" borderId="0"/>
    <xf numFmtId="186" fontId="110" fillId="0" borderId="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71"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271" fontId="96"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58" fontId="11"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11" fillId="0" borderId="0" applyFont="0" applyFill="0" applyBorder="0" applyAlignment="0" applyProtection="0"/>
    <xf numFmtId="43" fontId="11" fillId="0" borderId="0" applyFont="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258" fontId="8" fillId="0" borderId="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0" borderId="0"/>
    <xf numFmtId="0" fontId="11" fillId="0" borderId="0"/>
    <xf numFmtId="43"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 fillId="0" borderId="0" applyFont="0" applyFill="0" applyBorder="0" applyAlignment="0" applyProtection="0"/>
    <xf numFmtId="165" fontId="1" fillId="0" borderId="0" applyFont="0" applyFill="0" applyBorder="0" applyAlignment="0" applyProtection="0"/>
    <xf numFmtId="273" fontId="1" fillId="0" borderId="0" applyFont="0" applyFill="0" applyBorder="0" applyAlignment="0" applyProtection="0"/>
    <xf numFmtId="273" fontId="1" fillId="0" borderId="0" applyFont="0" applyFill="0" applyBorder="0" applyAlignment="0" applyProtection="0"/>
    <xf numFmtId="273" fontId="1" fillId="0" borderId="0" applyFont="0" applyFill="0" applyBorder="0" applyAlignment="0" applyProtection="0"/>
    <xf numFmtId="273" fontId="1" fillId="0" borderId="0" applyFont="0" applyFill="0" applyBorder="0" applyAlignment="0" applyProtection="0"/>
    <xf numFmtId="273" fontId="1" fillId="0" borderId="0" applyFont="0" applyFill="0" applyBorder="0" applyAlignment="0" applyProtection="0"/>
    <xf numFmtId="273" fontId="1" fillId="0" borderId="0" applyFont="0" applyFill="0" applyBorder="0" applyAlignment="0" applyProtection="0"/>
    <xf numFmtId="273" fontId="1" fillId="0" borderId="0" applyFont="0" applyFill="0" applyBorder="0" applyAlignment="0" applyProtection="0"/>
    <xf numFmtId="0" fontId="1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 fillId="0" borderId="0" applyFont="0" applyFill="0" applyBorder="0" applyAlignment="0" applyProtection="0"/>
    <xf numFmtId="258" fontId="8" fillId="0" borderId="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1" fillId="0" borderId="0"/>
    <xf numFmtId="0" fontId="11" fillId="0" borderId="0"/>
    <xf numFmtId="171" fontId="8" fillId="0" borderId="0" applyFont="0" applyFill="0" applyBorder="0" applyAlignment="0" applyProtection="0"/>
    <xf numFmtId="171" fontId="8" fillId="0" borderId="0" applyFont="0" applyFill="0" applyBorder="0" applyAlignment="0" applyProtection="0"/>
    <xf numFmtId="258" fontId="8" fillId="0" borderId="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258" fontId="8" fillId="0" borderId="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65" fontId="11" fillId="0" borderId="0" applyFont="0" applyFill="0" applyBorder="0" applyAlignment="0" applyProtection="0"/>
    <xf numFmtId="165" fontId="11" fillId="0" borderId="0" applyFont="0" applyFill="0" applyBorder="0" applyAlignment="0" applyProtection="0"/>
    <xf numFmtId="0" fontId="11" fillId="0" borderId="0"/>
    <xf numFmtId="258" fontId="11"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74" fontId="10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0" fontId="11" fillId="0" borderId="0"/>
    <xf numFmtId="43" fontId="8" fillId="0" borderId="0" applyFont="0" applyFill="0" applyBorder="0" applyAlignment="0" applyProtection="0"/>
    <xf numFmtId="43" fontId="8" fillId="0" borderId="0" applyFont="0" applyFill="0" applyBorder="0" applyAlignment="0" applyProtection="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260" fontId="18" fillId="0" borderId="0" applyFont="0" applyFill="0" applyBorder="0" applyAlignment="0" applyProtection="0"/>
    <xf numFmtId="260" fontId="18" fillId="0" borderId="0" applyFont="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258" fontId="8" fillId="0" borderId="0" applyFill="0" applyBorder="0" applyAlignment="0" applyProtection="0"/>
    <xf numFmtId="0" fontId="11" fillId="0" borderId="0"/>
    <xf numFmtId="258" fontId="8" fillId="0" borderId="0" applyFill="0" applyBorder="0" applyAlignment="0" applyProtection="0"/>
    <xf numFmtId="43" fontId="1" fillId="0" borderId="0" applyFont="0" applyFill="0" applyBorder="0" applyAlignment="0" applyProtection="0"/>
    <xf numFmtId="258" fontId="8" fillId="0" borderId="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58" fontId="8" fillId="0" borderId="0" applyFill="0" applyBorder="0" applyAlignment="0" applyProtection="0"/>
    <xf numFmtId="0" fontId="11" fillId="0" borderId="0"/>
    <xf numFmtId="258" fontId="8" fillId="0" borderId="0" applyFill="0" applyBorder="0" applyAlignment="0" applyProtection="0"/>
    <xf numFmtId="258" fontId="8" fillId="0" borderId="0" applyFill="0" applyBorder="0" applyAlignment="0" applyProtection="0"/>
    <xf numFmtId="258" fontId="8" fillId="0" borderId="0" applyFill="0" applyBorder="0" applyAlignment="0" applyProtection="0"/>
    <xf numFmtId="0" fontId="11" fillId="0" borderId="0"/>
    <xf numFmtId="275" fontId="101" fillId="0" borderId="0"/>
    <xf numFmtId="275" fontId="101" fillId="0" borderId="0"/>
    <xf numFmtId="0" fontId="11" fillId="0" borderId="0"/>
    <xf numFmtId="185" fontId="101" fillId="0" borderId="0"/>
    <xf numFmtId="43" fontId="4" fillId="0" borderId="0" applyFont="0" applyFill="0" applyBorder="0" applyAlignment="0" applyProtection="0"/>
    <xf numFmtId="258" fontId="8" fillId="0" borderId="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56" fontId="10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57" fontId="10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276" fontId="96"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1" fillId="0" borderId="0"/>
    <xf numFmtId="276" fontId="96"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1" fillId="0" borderId="0"/>
    <xf numFmtId="272" fontId="101" fillId="0" borderId="0"/>
    <xf numFmtId="272" fontId="109"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257" fontId="10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165" fontId="8" fillId="0" borderId="0" applyFont="0" applyFill="0" applyBorder="0" applyAlignment="0" applyProtection="0"/>
    <xf numFmtId="165" fontId="8" fillId="0" borderId="0" applyFont="0" applyFill="0" applyBorder="0" applyAlignment="0" applyProtection="0"/>
    <xf numFmtId="277" fontId="10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258" fontId="96"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1" fillId="0" borderId="0"/>
    <xf numFmtId="0" fontId="11" fillId="0" borderId="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278" fontId="18" fillId="0" borderId="0"/>
    <xf numFmtId="3" fontId="111" fillId="0" borderId="0" applyFont="0" applyFill="0" applyBorder="0" applyAlignment="0" applyProtection="0"/>
    <xf numFmtId="279" fontId="8" fillId="0" borderId="0">
      <protection locked="0"/>
    </xf>
    <xf numFmtId="0" fontId="11" fillId="0" borderId="0"/>
    <xf numFmtId="264" fontId="38" fillId="10" borderId="7" applyBorder="0">
      <alignment horizontal="center" vertical="center"/>
    </xf>
    <xf numFmtId="264" fontId="38" fillId="10" borderId="7" applyBorder="0">
      <alignment horizontal="center" vertical="center"/>
    </xf>
    <xf numFmtId="264" fontId="38" fillId="10" borderId="7" applyBorder="0">
      <alignment horizontal="center" vertical="center"/>
    </xf>
    <xf numFmtId="264" fontId="38" fillId="10" borderId="7" applyBorder="0">
      <alignment horizontal="center" vertical="center"/>
    </xf>
    <xf numFmtId="0" fontId="11" fillId="0" borderId="0"/>
    <xf numFmtId="264" fontId="38" fillId="10" borderId="7" applyBorder="0">
      <alignment horizontal="center" vertical="center"/>
    </xf>
    <xf numFmtId="0" fontId="11" fillId="0" borderId="0"/>
    <xf numFmtId="264" fontId="38" fillId="10" borderId="7" applyBorder="0">
      <alignment horizontal="center" vertical="center"/>
    </xf>
    <xf numFmtId="264" fontId="38" fillId="10" borderId="7" applyBorder="0">
      <alignment horizontal="center" vertical="center"/>
    </xf>
    <xf numFmtId="0" fontId="11" fillId="0" borderId="0"/>
    <xf numFmtId="264" fontId="38" fillId="10" borderId="7" applyBorder="0">
      <alignment horizontal="center" vertical="center"/>
    </xf>
    <xf numFmtId="0" fontId="11" fillId="0" borderId="0"/>
    <xf numFmtId="0" fontId="112" fillId="0" borderId="0" applyNumberFormat="0" applyFill="0" applyBorder="0" applyAlignment="0" applyProtection="0"/>
    <xf numFmtId="0" fontId="113" fillId="0" borderId="0" applyFill="0" applyBorder="0">
      <alignment horizontal="left"/>
    </xf>
    <xf numFmtId="0" fontId="114" fillId="0" borderId="0" applyNumberFormat="0" applyFill="0" applyBorder="0" applyAlignment="0" applyProtection="0"/>
    <xf numFmtId="196" fontId="115" fillId="0" borderId="18" applyNumberFormat="0" applyFill="0" applyBorder="0" applyAlignment="0" applyProtection="0">
      <alignment horizontal="left"/>
    </xf>
    <xf numFmtId="0" fontId="116" fillId="0" borderId="0"/>
    <xf numFmtId="0" fontId="11" fillId="0" borderId="0"/>
    <xf numFmtId="0" fontId="117" fillId="0" borderId="0" applyNumberFormat="0" applyAlignment="0"/>
    <xf numFmtId="280" fontId="8" fillId="59" borderId="0"/>
    <xf numFmtId="280" fontId="8" fillId="49" borderId="0"/>
    <xf numFmtId="281" fontId="54" fillId="0" borderId="0" applyFill="0" applyBorder="0"/>
    <xf numFmtId="282" fontId="98" fillId="0" borderId="0" applyFill="0" applyBorder="0"/>
    <xf numFmtId="283" fontId="54" fillId="0" borderId="0" applyFill="0" applyBorder="0"/>
    <xf numFmtId="284" fontId="54" fillId="0" borderId="0" applyFill="0" applyBorder="0"/>
    <xf numFmtId="285" fontId="118" fillId="0" borderId="0" applyFill="0" applyBorder="0" applyProtection="0"/>
    <xf numFmtId="286" fontId="99" fillId="0" borderId="0" applyFont="0" applyFill="0" applyBorder="0" applyAlignment="0" applyProtection="0"/>
    <xf numFmtId="287" fontId="99" fillId="0" borderId="0" applyFont="0" applyFill="0" applyBorder="0" applyAlignment="0" applyProtection="0"/>
    <xf numFmtId="286" fontId="99" fillId="0" borderId="0" applyFont="0" applyFill="0" applyBorder="0" applyAlignment="0" applyProtection="0"/>
    <xf numFmtId="0" fontId="11" fillId="0" borderId="0"/>
    <xf numFmtId="288" fontId="54" fillId="0" borderId="0" applyFill="0" applyBorder="0"/>
    <xf numFmtId="289" fontId="54" fillId="0" borderId="0" applyFill="0" applyBorder="0"/>
    <xf numFmtId="290" fontId="54" fillId="0" borderId="0" applyFill="0" applyBorder="0"/>
    <xf numFmtId="291" fontId="54" fillId="0" borderId="0" applyFill="0" applyBorder="0"/>
    <xf numFmtId="292" fontId="54" fillId="0" borderId="0" applyFill="0" applyBorder="0"/>
    <xf numFmtId="293" fontId="18" fillId="0" borderId="0" applyFill="0" applyBorder="0" applyProtection="0"/>
    <xf numFmtId="293" fontId="18" fillId="0" borderId="19" applyFill="0" applyProtection="0"/>
    <xf numFmtId="293" fontId="18" fillId="0" borderId="19" applyFill="0" applyProtection="0"/>
    <xf numFmtId="0" fontId="11" fillId="0" borderId="0"/>
    <xf numFmtId="293" fontId="18" fillId="0" borderId="20" applyFill="0" applyProtection="0"/>
    <xf numFmtId="293" fontId="18" fillId="0" borderId="20" applyFill="0" applyProtection="0"/>
    <xf numFmtId="0" fontId="11" fillId="0" borderId="0"/>
    <xf numFmtId="0" fontId="11" fillId="0" borderId="0"/>
    <xf numFmtId="294" fontId="119" fillId="60" borderId="0" applyFill="0">
      <alignment horizontal="left" vertical="top"/>
      <protection locked="0"/>
    </xf>
    <xf numFmtId="196" fontId="120" fillId="0" borderId="0"/>
    <xf numFmtId="295" fontId="121" fillId="0" borderId="0"/>
    <xf numFmtId="0" fontId="11" fillId="0" borderId="0"/>
    <xf numFmtId="196" fontId="120" fillId="0" borderId="0"/>
    <xf numFmtId="295" fontId="121" fillId="0" borderId="0"/>
    <xf numFmtId="0" fontId="11" fillId="0" borderId="0"/>
    <xf numFmtId="296" fontId="8" fillId="0" borderId="0" applyFont="0" applyFill="0" applyBorder="0" applyAlignment="0" applyProtection="0"/>
    <xf numFmtId="297" fontId="8" fillId="0" borderId="0" applyFont="0" applyFill="0" applyBorder="0" applyAlignment="0" applyProtection="0"/>
    <xf numFmtId="296" fontId="8" fillId="0" borderId="0" applyFont="0" applyFill="0" applyBorder="0" applyAlignment="0" applyProtection="0"/>
    <xf numFmtId="0" fontId="11" fillId="0" borderId="0"/>
    <xf numFmtId="298" fontId="59" fillId="0" borderId="0" applyFont="0" applyFill="0" applyBorder="0" applyAlignment="0" applyProtection="0">
      <protection locked="0"/>
    </xf>
    <xf numFmtId="299" fontId="59" fillId="0" borderId="0" applyFont="0" applyFill="0" applyBorder="0" applyAlignment="0" applyProtection="0">
      <protection locked="0"/>
    </xf>
    <xf numFmtId="298" fontId="59" fillId="0" borderId="0" applyFont="0" applyFill="0" applyBorder="0" applyAlignment="0" applyProtection="0">
      <protection locked="0"/>
    </xf>
    <xf numFmtId="0" fontId="11" fillId="0" borderId="0"/>
    <xf numFmtId="300" fontId="59" fillId="0" borderId="0" applyFont="0" applyFill="0" applyBorder="0" applyAlignment="0" applyProtection="0">
      <protection locked="0"/>
    </xf>
    <xf numFmtId="301" fontId="93" fillId="0" borderId="2"/>
    <xf numFmtId="302" fontId="8" fillId="0" borderId="2"/>
    <xf numFmtId="303" fontId="8" fillId="0" borderId="2"/>
    <xf numFmtId="303" fontId="8" fillId="0" borderId="2"/>
    <xf numFmtId="303" fontId="8" fillId="0" borderId="2"/>
    <xf numFmtId="303" fontId="8" fillId="0" borderId="2"/>
    <xf numFmtId="303" fontId="8" fillId="0" borderId="2"/>
    <xf numFmtId="0" fontId="11" fillId="0" borderId="0"/>
    <xf numFmtId="303" fontId="8" fillId="0" borderId="2"/>
    <xf numFmtId="0" fontId="11" fillId="0" borderId="0"/>
    <xf numFmtId="303" fontId="8" fillId="0" borderId="2"/>
    <xf numFmtId="303" fontId="8" fillId="0" borderId="2"/>
    <xf numFmtId="0" fontId="11" fillId="0" borderId="0"/>
    <xf numFmtId="303" fontId="8" fillId="0" borderId="2"/>
    <xf numFmtId="0" fontId="11" fillId="0" borderId="0"/>
    <xf numFmtId="303" fontId="8" fillId="0" borderId="2"/>
    <xf numFmtId="303" fontId="8" fillId="0" borderId="2"/>
    <xf numFmtId="303" fontId="8" fillId="0" borderId="2"/>
    <xf numFmtId="303" fontId="8" fillId="0" borderId="2"/>
    <xf numFmtId="0" fontId="11" fillId="0" borderId="0"/>
    <xf numFmtId="303" fontId="8" fillId="0" borderId="2"/>
    <xf numFmtId="0" fontId="11" fillId="0" borderId="0"/>
    <xf numFmtId="303" fontId="8" fillId="0" borderId="2"/>
    <xf numFmtId="303" fontId="8" fillId="0" borderId="2"/>
    <xf numFmtId="0" fontId="11" fillId="0" borderId="0"/>
    <xf numFmtId="303" fontId="8" fillId="0" borderId="2"/>
    <xf numFmtId="0" fontId="11" fillId="0" borderId="0"/>
    <xf numFmtId="303" fontId="8" fillId="0" borderId="2"/>
    <xf numFmtId="303" fontId="8" fillId="0" borderId="2"/>
    <xf numFmtId="303" fontId="8" fillId="0" borderId="2"/>
    <xf numFmtId="0" fontId="11" fillId="0" borderId="0"/>
    <xf numFmtId="303" fontId="8" fillId="0" borderId="2"/>
    <xf numFmtId="0" fontId="11" fillId="0" borderId="0"/>
    <xf numFmtId="303" fontId="8" fillId="0" borderId="2"/>
    <xf numFmtId="303" fontId="8" fillId="0" borderId="2"/>
    <xf numFmtId="0" fontId="11" fillId="0" borderId="0"/>
    <xf numFmtId="303" fontId="8" fillId="0" borderId="2"/>
    <xf numFmtId="0" fontId="11" fillId="0" borderId="0"/>
    <xf numFmtId="303" fontId="8" fillId="0" borderId="2"/>
    <xf numFmtId="302" fontId="8" fillId="0" borderId="2"/>
    <xf numFmtId="302" fontId="8" fillId="0" borderId="2"/>
    <xf numFmtId="302" fontId="8" fillId="0" borderId="2"/>
    <xf numFmtId="302" fontId="8" fillId="0" borderId="2"/>
    <xf numFmtId="0" fontId="11" fillId="0" borderId="0"/>
    <xf numFmtId="302" fontId="8" fillId="0" borderId="2"/>
    <xf numFmtId="0" fontId="11" fillId="0" borderId="0"/>
    <xf numFmtId="302" fontId="8" fillId="0" borderId="2"/>
    <xf numFmtId="302" fontId="8" fillId="0" borderId="2"/>
    <xf numFmtId="0" fontId="11" fillId="0" borderId="0"/>
    <xf numFmtId="302" fontId="8" fillId="0" borderId="2"/>
    <xf numFmtId="0" fontId="11" fillId="0" borderId="0"/>
    <xf numFmtId="303" fontId="8" fillId="0" borderId="2"/>
    <xf numFmtId="303" fontId="8" fillId="0" borderId="2"/>
    <xf numFmtId="303" fontId="8" fillId="0" borderId="2"/>
    <xf numFmtId="0" fontId="11" fillId="0" borderId="0"/>
    <xf numFmtId="303" fontId="8" fillId="0" borderId="2"/>
    <xf numFmtId="0" fontId="11" fillId="0" borderId="0"/>
    <xf numFmtId="303" fontId="8" fillId="0" borderId="2"/>
    <xf numFmtId="303" fontId="8" fillId="0" borderId="2"/>
    <xf numFmtId="0" fontId="11" fillId="0" borderId="0"/>
    <xf numFmtId="303" fontId="8" fillId="0" borderId="2"/>
    <xf numFmtId="0" fontId="11" fillId="0" borderId="0"/>
    <xf numFmtId="302" fontId="8" fillId="0" borderId="2"/>
    <xf numFmtId="302" fontId="8" fillId="0" borderId="2"/>
    <xf numFmtId="302" fontId="8" fillId="0" borderId="2"/>
    <xf numFmtId="302" fontId="8" fillId="0" borderId="2"/>
    <xf numFmtId="0" fontId="11" fillId="0" borderId="0"/>
    <xf numFmtId="302" fontId="8" fillId="0" borderId="2"/>
    <xf numFmtId="0" fontId="11" fillId="0" borderId="0"/>
    <xf numFmtId="302" fontId="8" fillId="0" borderId="2"/>
    <xf numFmtId="302" fontId="8" fillId="0" borderId="2"/>
    <xf numFmtId="0" fontId="11" fillId="0" borderId="0"/>
    <xf numFmtId="302" fontId="8" fillId="0" borderId="2"/>
    <xf numFmtId="0" fontId="11" fillId="0" borderId="0"/>
    <xf numFmtId="302" fontId="8" fillId="0" borderId="2"/>
    <xf numFmtId="302" fontId="8" fillId="0" borderId="2"/>
    <xf numFmtId="302" fontId="8" fillId="0" borderId="2"/>
    <xf numFmtId="302" fontId="8" fillId="0" borderId="2"/>
    <xf numFmtId="0" fontId="11" fillId="0" borderId="0"/>
    <xf numFmtId="302" fontId="8" fillId="0" borderId="2"/>
    <xf numFmtId="0" fontId="11" fillId="0" borderId="0"/>
    <xf numFmtId="302" fontId="8" fillId="0" borderId="2"/>
    <xf numFmtId="302" fontId="8" fillId="0" borderId="2"/>
    <xf numFmtId="0" fontId="11" fillId="0" borderId="0"/>
    <xf numFmtId="302" fontId="8" fillId="0" borderId="2"/>
    <xf numFmtId="0" fontId="11" fillId="0" borderId="0"/>
    <xf numFmtId="304" fontId="8" fillId="0" borderId="2"/>
    <xf numFmtId="304" fontId="8" fillId="0" borderId="2"/>
    <xf numFmtId="304" fontId="8" fillId="0" borderId="2"/>
    <xf numFmtId="304" fontId="8" fillId="0" borderId="2"/>
    <xf numFmtId="0" fontId="11" fillId="0" borderId="0"/>
    <xf numFmtId="304" fontId="8" fillId="0" borderId="2"/>
    <xf numFmtId="0" fontId="11" fillId="0" borderId="0"/>
    <xf numFmtId="304" fontId="8" fillId="0" borderId="2"/>
    <xf numFmtId="304" fontId="8" fillId="0" borderId="2"/>
    <xf numFmtId="0" fontId="11" fillId="0" borderId="0"/>
    <xf numFmtId="304" fontId="8" fillId="0" borderId="2"/>
    <xf numFmtId="0" fontId="11" fillId="0" borderId="0"/>
    <xf numFmtId="302" fontId="8" fillId="0" borderId="2"/>
    <xf numFmtId="302" fontId="8" fillId="0" borderId="2"/>
    <xf numFmtId="302" fontId="8" fillId="0" borderId="2"/>
    <xf numFmtId="0" fontId="11" fillId="0" borderId="0"/>
    <xf numFmtId="302" fontId="8" fillId="0" borderId="2"/>
    <xf numFmtId="302" fontId="8" fillId="0" borderId="2"/>
    <xf numFmtId="0" fontId="11" fillId="0" borderId="0"/>
    <xf numFmtId="302" fontId="8" fillId="0" borderId="2"/>
    <xf numFmtId="0" fontId="11" fillId="0" borderId="0"/>
    <xf numFmtId="302" fontId="8" fillId="0" borderId="2"/>
    <xf numFmtId="302" fontId="8" fillId="0" borderId="2"/>
    <xf numFmtId="302" fontId="8" fillId="0" borderId="2"/>
    <xf numFmtId="0" fontId="11" fillId="0" borderId="0"/>
    <xf numFmtId="302" fontId="8" fillId="0" borderId="2"/>
    <xf numFmtId="0" fontId="11" fillId="0" borderId="0"/>
    <xf numFmtId="302" fontId="8" fillId="0" borderId="2"/>
    <xf numFmtId="302" fontId="8" fillId="0" borderId="2"/>
    <xf numFmtId="0" fontId="11" fillId="0" borderId="0"/>
    <xf numFmtId="303" fontId="8" fillId="0" borderId="2"/>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1" fillId="0" borderId="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1" fillId="0" borderId="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1" fillId="0" borderId="0"/>
    <xf numFmtId="42" fontId="122"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169" fontId="1" fillId="0" borderId="0" applyFont="0" applyFill="0" applyBorder="0" applyAlignment="0" applyProtection="0"/>
    <xf numFmtId="0" fontId="11" fillId="0" borderId="0"/>
    <xf numFmtId="0" fontId="11" fillId="0" borderId="0"/>
    <xf numFmtId="0" fontId="11" fillId="0" borderId="0"/>
    <xf numFmtId="0" fontId="11" fillId="0" borderId="0"/>
    <xf numFmtId="278" fontId="123" fillId="0" borderId="0" applyFill="0" applyBorder="0">
      <protection locked="0"/>
    </xf>
    <xf numFmtId="210" fontId="8" fillId="0" borderId="0" applyFont="0" applyFill="0" applyBorder="0" applyAlignment="0" applyProtection="0"/>
    <xf numFmtId="210" fontId="8" fillId="0" borderId="0" applyFont="0" applyFill="0" applyBorder="0" applyAlignment="0" applyProtection="0"/>
    <xf numFmtId="211" fontId="8" fillId="0" borderId="0" applyFont="0" applyFill="0" applyBorder="0" applyAlignment="0" applyProtection="0"/>
    <xf numFmtId="0" fontId="11" fillId="0" borderId="0"/>
    <xf numFmtId="305" fontId="8" fillId="0" borderId="0" applyFont="0" applyFill="0" applyBorder="0" applyAlignment="0"/>
    <xf numFmtId="305" fontId="8" fillId="0" borderId="0" applyFont="0" applyFill="0" applyBorder="0" applyAlignment="0"/>
    <xf numFmtId="306" fontId="18" fillId="0" borderId="0" applyFont="0" applyFill="0" applyBorder="0" applyAlignment="0" applyProtection="0"/>
    <xf numFmtId="0" fontId="11" fillId="0" borderId="0"/>
    <xf numFmtId="8" fontId="8" fillId="0" borderId="0" applyFont="0" applyFill="0" applyBorder="0" applyAlignment="0"/>
    <xf numFmtId="8" fontId="8" fillId="0" borderId="0" applyFont="0" applyFill="0" applyBorder="0" applyAlignment="0"/>
    <xf numFmtId="8" fontId="59" fillId="0" borderId="0" applyFont="0" applyFill="0" applyBorder="0" applyAlignment="0" applyProtection="0"/>
    <xf numFmtId="0" fontId="11" fillId="0" borderId="0"/>
    <xf numFmtId="307" fontId="59" fillId="0" borderId="0" applyFont="0" applyFill="0" applyBorder="0" applyAlignment="0" applyProtection="0"/>
    <xf numFmtId="308" fontId="59" fillId="0" borderId="0" applyFont="0" applyFill="0" applyBorder="0" applyAlignment="0" applyProtection="0"/>
    <xf numFmtId="307" fontId="59" fillId="0" borderId="0" applyFont="0" applyFill="0" applyBorder="0" applyAlignment="0" applyProtection="0"/>
    <xf numFmtId="0" fontId="11" fillId="0" borderId="0"/>
    <xf numFmtId="309" fontId="100" fillId="0" borderId="0" applyFont="0" applyFill="0" applyBorder="0" applyAlignment="0" applyProtection="0"/>
    <xf numFmtId="310" fontId="100" fillId="0" borderId="0" applyFont="0" applyFill="0" applyBorder="0" applyAlignment="0" applyProtection="0"/>
    <xf numFmtId="309" fontId="100" fillId="0" borderId="0" applyFont="0" applyFill="0" applyBorder="0" applyAlignment="0" applyProtection="0"/>
    <xf numFmtId="311" fontId="12" fillId="0" borderId="0" applyFont="0" applyFill="0" applyBorder="0" applyAlignment="0" applyProtection="0"/>
    <xf numFmtId="312" fontId="12" fillId="0" borderId="0" applyFont="0" applyFill="0" applyBorder="0" applyAlignment="0" applyProtection="0"/>
    <xf numFmtId="311" fontId="12" fillId="0" borderId="0" applyFont="0" applyFill="0" applyBorder="0" applyAlignment="0" applyProtection="0"/>
    <xf numFmtId="0" fontId="11" fillId="0" borderId="0"/>
    <xf numFmtId="310" fontId="100" fillId="0" borderId="0" applyFont="0" applyFill="0" applyBorder="0" applyAlignment="0" applyProtection="0"/>
    <xf numFmtId="313" fontId="100" fillId="0" borderId="0" applyFont="0" applyFill="0" applyBorder="0" applyAlignment="0" applyProtection="0"/>
    <xf numFmtId="314" fontId="100" fillId="0" borderId="0" applyFont="0" applyFill="0" applyBorder="0" applyAlignment="0" applyProtection="0"/>
    <xf numFmtId="313" fontId="100" fillId="0" borderId="0" applyFont="0" applyFill="0" applyBorder="0" applyAlignment="0" applyProtection="0"/>
    <xf numFmtId="315" fontId="12" fillId="0" borderId="0" applyFont="0" applyFill="0" applyBorder="0" applyAlignment="0" applyProtection="0"/>
    <xf numFmtId="316" fontId="12" fillId="0" borderId="0" applyFont="0" applyFill="0" applyBorder="0" applyAlignment="0" applyProtection="0"/>
    <xf numFmtId="315" fontId="12" fillId="0" borderId="0" applyFont="0" applyFill="0" applyBorder="0" applyAlignment="0" applyProtection="0"/>
    <xf numFmtId="0" fontId="11" fillId="0" borderId="0"/>
    <xf numFmtId="314" fontId="100" fillId="0" borderId="0" applyFont="0" applyFill="0" applyBorder="0" applyAlignment="0" applyProtection="0"/>
    <xf numFmtId="317" fontId="100" fillId="0" borderId="0" applyFont="0" applyFill="0" applyBorder="0" applyAlignment="0" applyProtection="0"/>
    <xf numFmtId="318" fontId="100" fillId="0" borderId="0" applyFont="0" applyFill="0" applyBorder="0" applyAlignment="0" applyProtection="0"/>
    <xf numFmtId="317" fontId="100" fillId="0" borderId="0" applyFont="0" applyFill="0" applyBorder="0" applyAlignment="0" applyProtection="0"/>
    <xf numFmtId="319" fontId="12" fillId="0" borderId="0" applyFont="0" applyFill="0" applyBorder="0" applyAlignment="0" applyProtection="0"/>
    <xf numFmtId="320" fontId="12" fillId="0" borderId="0" applyFont="0" applyFill="0" applyBorder="0" applyAlignment="0" applyProtection="0"/>
    <xf numFmtId="319" fontId="12" fillId="0" borderId="0" applyFont="0" applyFill="0" applyBorder="0" applyAlignment="0" applyProtection="0"/>
    <xf numFmtId="0" fontId="11" fillId="0" borderId="0"/>
    <xf numFmtId="318" fontId="100" fillId="0" borderId="0" applyFont="0" applyFill="0" applyBorder="0" applyAlignment="0" applyProtection="0"/>
    <xf numFmtId="170" fontId="124" fillId="0" borderId="0" applyFont="0" applyFill="0" applyBorder="0" applyAlignment="0" applyProtection="0"/>
    <xf numFmtId="170" fontId="124" fillId="0" borderId="0" applyFont="0" applyFill="0" applyBorder="0" applyAlignment="0" applyProtection="0"/>
    <xf numFmtId="44" fontId="124" fillId="0" borderId="0" applyFont="0" applyFill="0" applyBorder="0" applyAlignment="0" applyProtection="0"/>
    <xf numFmtId="44" fontId="124" fillId="0" borderId="0" applyFont="0" applyFill="0" applyBorder="0" applyAlignment="0" applyProtection="0"/>
    <xf numFmtId="0" fontId="11" fillId="0" borderId="0"/>
    <xf numFmtId="44" fontId="1" fillId="0" borderId="0" applyFont="0" applyFill="0" applyBorder="0" applyAlignment="0" applyProtection="0"/>
    <xf numFmtId="42" fontId="8" fillId="0" borderId="0" applyFont="0" applyFill="0" applyBorder="0" applyAlignment="0" applyProtection="0"/>
    <xf numFmtId="42" fontId="8" fillId="0" borderId="0" applyFont="0" applyFill="0" applyBorder="0" applyAlignment="0" applyProtection="0"/>
    <xf numFmtId="0" fontId="11" fillId="0" borderId="0"/>
    <xf numFmtId="321" fontId="8" fillId="0" borderId="0" applyFill="0" applyBorder="0" applyAlignment="0" applyProtection="0"/>
    <xf numFmtId="322" fontId="8" fillId="0" borderId="0" applyFill="0" applyBorder="0" applyAlignment="0" applyProtection="0"/>
    <xf numFmtId="44" fontId="11" fillId="0" borderId="0" applyFont="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1" fillId="0" borderId="0"/>
    <xf numFmtId="44" fontId="8" fillId="0" borderId="0" applyFont="0" applyFill="0" applyBorder="0" applyAlignment="0" applyProtection="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44" fontId="8" fillId="0" borderId="0" applyFont="0" applyFill="0" applyBorder="0" applyAlignment="0" applyProtection="0"/>
    <xf numFmtId="276" fontId="8" fillId="0" borderId="0" applyFill="0" applyBorder="0" applyAlignment="0" applyProtection="0"/>
    <xf numFmtId="276" fontId="8" fillId="0" borderId="0" applyFill="0" applyBorder="0" applyAlignment="0" applyProtection="0"/>
    <xf numFmtId="170" fontId="1" fillId="0" borderId="0" applyFont="0" applyFill="0" applyBorder="0" applyAlignment="0" applyProtection="0"/>
    <xf numFmtId="170" fontId="1" fillId="0" borderId="0" applyFont="0" applyFill="0" applyBorder="0" applyAlignment="0" applyProtection="0"/>
    <xf numFmtId="0" fontId="11" fillId="0" borderId="0"/>
    <xf numFmtId="0" fontId="11" fillId="0" borderId="0"/>
    <xf numFmtId="276" fontId="8" fillId="0" borderId="0" applyFill="0" applyBorder="0" applyAlignment="0" applyProtection="0"/>
    <xf numFmtId="44" fontId="11" fillId="0" borderId="0" applyFont="0" applyFill="0" applyBorder="0" applyAlignment="0" applyProtection="0"/>
    <xf numFmtId="0" fontId="11" fillId="0" borderId="0"/>
    <xf numFmtId="276" fontId="8" fillId="0" borderId="0" applyFill="0" applyBorder="0" applyAlignment="0" applyProtection="0"/>
    <xf numFmtId="276" fontId="8" fillId="0" borderId="0" applyFill="0" applyBorder="0" applyAlignment="0" applyProtection="0"/>
    <xf numFmtId="276" fontId="8" fillId="0" borderId="0" applyFill="0" applyBorder="0" applyAlignment="0" applyProtection="0"/>
    <xf numFmtId="0" fontId="11" fillId="0" borderId="0"/>
    <xf numFmtId="276" fontId="8" fillId="0" borderId="0" applyFill="0" applyBorder="0" applyAlignment="0" applyProtection="0"/>
    <xf numFmtId="276" fontId="8" fillId="0" borderId="0" applyFill="0" applyBorder="0" applyAlignment="0" applyProtection="0"/>
    <xf numFmtId="276" fontId="8" fillId="0" borderId="0" applyFill="0" applyBorder="0" applyAlignment="0" applyProtection="0"/>
    <xf numFmtId="0" fontId="11" fillId="0" borderId="0"/>
    <xf numFmtId="8" fontId="32" fillId="0" borderId="0" applyFont="0" applyFill="0" applyBorder="0" applyAlignment="0" applyProtection="0"/>
    <xf numFmtId="44" fontId="8" fillId="0" borderId="0" applyFont="0" applyFill="0" applyBorder="0" applyAlignment="0" applyProtection="0"/>
    <xf numFmtId="0" fontId="11" fillId="0" borderId="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8" fontId="32" fillId="0" borderId="0" applyFont="0" applyFill="0" applyBorder="0" applyAlignment="0" applyProtection="0"/>
    <xf numFmtId="323" fontId="96" fillId="0" borderId="0"/>
    <xf numFmtId="0" fontId="11" fillId="0" borderId="0"/>
    <xf numFmtId="0" fontId="11" fillId="0" borderId="0"/>
    <xf numFmtId="44" fontId="8" fillId="0" borderId="0" applyFont="0" applyFill="0" applyBorder="0" applyAlignment="0" applyProtection="0"/>
    <xf numFmtId="44" fontId="1" fillId="0" borderId="0" applyFont="0" applyFill="0" applyBorder="0" applyAlignment="0" applyProtection="0"/>
    <xf numFmtId="276" fontId="8" fillId="0" borderId="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1" fillId="0" borderId="0"/>
    <xf numFmtId="276" fontId="8" fillId="0" borderId="0" applyFill="0" applyBorder="0" applyAlignment="0" applyProtection="0"/>
    <xf numFmtId="0" fontId="11" fillId="0" borderId="0"/>
    <xf numFmtId="276" fontId="8" fillId="0" borderId="0" applyFill="0" applyBorder="0" applyAlignment="0" applyProtection="0"/>
    <xf numFmtId="276" fontId="8" fillId="0" borderId="0" applyFill="0" applyBorder="0" applyAlignment="0" applyProtection="0"/>
    <xf numFmtId="276" fontId="8" fillId="0" borderId="0" applyFill="0" applyBorder="0" applyAlignment="0" applyProtection="0"/>
    <xf numFmtId="0" fontId="11" fillId="0" borderId="0"/>
    <xf numFmtId="44" fontId="1" fillId="0" borderId="0" applyFont="0" applyFill="0" applyBorder="0" applyAlignment="0" applyProtection="0"/>
    <xf numFmtId="276" fontId="96"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1" fillId="0" borderId="0"/>
    <xf numFmtId="44" fontId="1" fillId="0" borderId="0" applyFont="0" applyFill="0" applyBorder="0" applyAlignment="0" applyProtection="0"/>
    <xf numFmtId="276" fontId="96" fillId="0" borderId="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1" fillId="0" borderId="0"/>
    <xf numFmtId="38" fontId="99" fillId="0" borderId="5" applyBorder="0"/>
    <xf numFmtId="324" fontId="8" fillId="0" borderId="0" applyFont="0" applyFill="0" applyBorder="0" applyAlignment="0" applyProtection="0"/>
    <xf numFmtId="324" fontId="8" fillId="0" borderId="0" applyFont="0" applyFill="0" applyBorder="0" applyAlignment="0" applyProtection="0"/>
    <xf numFmtId="325" fontId="125" fillId="0" borderId="0" applyFont="0" applyFill="0" applyBorder="0" applyAlignment="0" applyProtection="0"/>
    <xf numFmtId="0" fontId="11" fillId="0" borderId="0"/>
    <xf numFmtId="326" fontId="8" fillId="0" borderId="0"/>
    <xf numFmtId="326" fontId="8" fillId="0" borderId="0"/>
    <xf numFmtId="0" fontId="11" fillId="0" borderId="0"/>
    <xf numFmtId="327" fontId="8" fillId="9" borderId="0" applyFont="0" applyBorder="0"/>
    <xf numFmtId="0" fontId="126" fillId="0" borderId="0"/>
    <xf numFmtId="327" fontId="8" fillId="9" borderId="0" applyFont="0" applyBorder="0"/>
    <xf numFmtId="0" fontId="11" fillId="0" borderId="0"/>
    <xf numFmtId="5" fontId="8" fillId="0" borderId="0" applyFont="0" applyFill="0" applyBorder="0" applyAlignment="0" applyProtection="0"/>
    <xf numFmtId="0" fontId="126" fillId="0" borderId="21"/>
    <xf numFmtId="0" fontId="126" fillId="0" borderId="21"/>
    <xf numFmtId="0" fontId="11" fillId="0" borderId="0"/>
    <xf numFmtId="0" fontId="111" fillId="0" borderId="0" applyFont="0" applyFill="0" applyBorder="0" applyAlignment="0" applyProtection="0"/>
    <xf numFmtId="15" fontId="91" fillId="0" borderId="0" applyFill="0" applyBorder="0" applyAlignment="0"/>
    <xf numFmtId="328" fontId="127" fillId="59" borderId="0"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0" fontId="11" fillId="0" borderId="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0" fontId="11" fillId="0" borderId="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0" fontId="11" fillId="0" borderId="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328" fontId="127" fillId="59" borderId="6" applyFont="0" applyFill="0" applyBorder="0" applyAlignment="0" applyProtection="0"/>
    <xf numFmtId="0" fontId="11" fillId="0" borderId="0"/>
    <xf numFmtId="17" fontId="91" fillId="0" borderId="0" applyFill="0" applyBorder="0">
      <alignment horizontal="right"/>
    </xf>
    <xf numFmtId="220" fontId="8" fillId="0" borderId="0"/>
    <xf numFmtId="220" fontId="8" fillId="0" borderId="0"/>
    <xf numFmtId="0" fontId="11" fillId="0" borderId="0"/>
    <xf numFmtId="220" fontId="8" fillId="0" borderId="0"/>
    <xf numFmtId="220" fontId="8" fillId="0" borderId="0"/>
    <xf numFmtId="0" fontId="11" fillId="0" borderId="0"/>
    <xf numFmtId="220" fontId="8" fillId="0" borderId="0"/>
    <xf numFmtId="220" fontId="8" fillId="0" borderId="0"/>
    <xf numFmtId="0" fontId="11" fillId="0" borderId="0"/>
    <xf numFmtId="220" fontId="8" fillId="0" borderId="0"/>
    <xf numFmtId="220" fontId="8" fillId="0" borderId="0"/>
    <xf numFmtId="0" fontId="11" fillId="0" borderId="0"/>
    <xf numFmtId="220" fontId="8" fillId="0" borderId="0"/>
    <xf numFmtId="220" fontId="8" fillId="0" borderId="0"/>
    <xf numFmtId="0" fontId="11" fillId="0" borderId="0"/>
    <xf numFmtId="220" fontId="8" fillId="0" borderId="0"/>
    <xf numFmtId="220" fontId="8" fillId="0" borderId="0"/>
    <xf numFmtId="0" fontId="11" fillId="0" borderId="0"/>
    <xf numFmtId="0" fontId="27" fillId="0" borderId="0">
      <protection locked="0"/>
    </xf>
    <xf numFmtId="14" fontId="26" fillId="0" borderId="0" applyFill="0" applyBorder="0" applyAlignment="0"/>
    <xf numFmtId="14" fontId="8" fillId="0" borderId="0" applyFont="0" applyFill="0" applyBorder="0" applyAlignment="0" applyProtection="0"/>
    <xf numFmtId="0" fontId="8" fillId="0" borderId="0" applyNumberFormat="0">
      <alignment horizontal="centerContinuous"/>
    </xf>
    <xf numFmtId="329" fontId="8" fillId="0" borderId="0">
      <alignment horizontal="center"/>
    </xf>
    <xf numFmtId="329" fontId="8" fillId="0" borderId="0">
      <alignment horizontal="center"/>
    </xf>
    <xf numFmtId="0" fontId="11" fillId="0" borderId="0"/>
    <xf numFmtId="329" fontId="8" fillId="0" borderId="0">
      <alignment horizontal="center"/>
    </xf>
    <xf numFmtId="329" fontId="8" fillId="0" borderId="0">
      <alignment horizontal="center"/>
    </xf>
    <xf numFmtId="0" fontId="11" fillId="0" borderId="0"/>
    <xf numFmtId="329" fontId="8" fillId="0" borderId="0">
      <alignment horizontal="center"/>
    </xf>
    <xf numFmtId="329" fontId="8" fillId="0" borderId="0">
      <alignment horizontal="center"/>
    </xf>
    <xf numFmtId="0" fontId="11" fillId="0" borderId="0"/>
    <xf numFmtId="329" fontId="8" fillId="0" borderId="0">
      <alignment horizontal="center"/>
    </xf>
    <xf numFmtId="329" fontId="8" fillId="0" borderId="0">
      <alignment horizontal="center"/>
    </xf>
    <xf numFmtId="0" fontId="11" fillId="0" borderId="0"/>
    <xf numFmtId="329" fontId="8" fillId="0" borderId="0">
      <alignment horizontal="center"/>
    </xf>
    <xf numFmtId="329" fontId="8" fillId="0" borderId="0">
      <alignment horizontal="center"/>
    </xf>
    <xf numFmtId="0" fontId="11" fillId="0" borderId="0"/>
    <xf numFmtId="329" fontId="8" fillId="0" borderId="0">
      <alignment horizontal="center"/>
    </xf>
    <xf numFmtId="329" fontId="8" fillId="0" borderId="0">
      <alignment horizontal="center"/>
    </xf>
    <xf numFmtId="0" fontId="11" fillId="0" borderId="0"/>
    <xf numFmtId="0" fontId="8" fillId="0" borderId="0" applyNumberFormat="0">
      <alignment horizontal="centerContinuous"/>
    </xf>
    <xf numFmtId="0" fontId="11" fillId="0" borderId="0"/>
    <xf numFmtId="1" fontId="8" fillId="0" borderId="0" applyFill="0" applyBorder="0">
      <alignment horizontal="right"/>
    </xf>
    <xf numFmtId="2" fontId="8" fillId="0" borderId="0" applyFill="0" applyBorder="0">
      <alignment horizontal="right"/>
    </xf>
    <xf numFmtId="330" fontId="8" fillId="0" borderId="0" applyFill="0" applyBorder="0">
      <alignment horizontal="right"/>
    </xf>
    <xf numFmtId="0" fontId="128" fillId="0" borderId="0"/>
    <xf numFmtId="280" fontId="8" fillId="10" borderId="0"/>
    <xf numFmtId="331" fontId="129" fillId="0" borderId="0" applyFont="0" applyFill="0" applyBorder="0">
      <alignment horizontal="left" vertical="top" wrapText="1"/>
      <protection locked="0"/>
    </xf>
    <xf numFmtId="168" fontId="8" fillId="0" borderId="0" applyFont="0" applyFill="0" applyBorder="0" applyAlignment="0" applyProtection="0"/>
    <xf numFmtId="170" fontId="8" fillId="0" borderId="0" applyFont="0" applyFill="0" applyBorder="0" applyAlignment="0" applyProtection="0"/>
    <xf numFmtId="0" fontId="27" fillId="0" borderId="0">
      <protection locked="0"/>
    </xf>
    <xf numFmtId="332" fontId="8" fillId="0" borderId="0"/>
    <xf numFmtId="332" fontId="8" fillId="0" borderId="0"/>
    <xf numFmtId="0" fontId="11" fillId="0" borderId="0"/>
    <xf numFmtId="0" fontId="128" fillId="0" borderId="21"/>
    <xf numFmtId="0" fontId="128" fillId="0" borderId="21"/>
    <xf numFmtId="0" fontId="11" fillId="0" borderId="0"/>
    <xf numFmtId="0" fontId="128" fillId="0" borderId="21"/>
    <xf numFmtId="0" fontId="128" fillId="0" borderId="21"/>
    <xf numFmtId="0" fontId="11" fillId="0" borderId="0"/>
    <xf numFmtId="0" fontId="8" fillId="0" borderId="0">
      <alignment vertical="center"/>
    </xf>
    <xf numFmtId="0" fontId="8" fillId="0" borderId="0">
      <alignment vertical="center"/>
    </xf>
    <xf numFmtId="0" fontId="11" fillId="0" borderId="0"/>
    <xf numFmtId="0" fontId="130" fillId="61" borderId="0" applyNumberFormat="0" applyBorder="0" applyAlignment="0" applyProtection="0"/>
    <xf numFmtId="0" fontId="130" fillId="62" borderId="0" applyNumberFormat="0" applyBorder="0" applyAlignment="0" applyProtection="0"/>
    <xf numFmtId="0" fontId="130" fillId="63" borderId="0" applyNumberFormat="0" applyBorder="0" applyAlignment="0" applyProtection="0"/>
    <xf numFmtId="0" fontId="131" fillId="0" borderId="0">
      <protection locked="0"/>
    </xf>
    <xf numFmtId="0" fontId="131" fillId="0" borderId="0">
      <protection locked="0"/>
    </xf>
    <xf numFmtId="0" fontId="132" fillId="64" borderId="0"/>
    <xf numFmtId="222" fontId="8" fillId="0" borderId="0" applyFill="0" applyBorder="0" applyAlignment="0"/>
    <xf numFmtId="222" fontId="8" fillId="0" borderId="0" applyFill="0" applyBorder="0" applyAlignment="0"/>
    <xf numFmtId="223" fontId="8" fillId="0" borderId="0" applyFill="0" applyBorder="0" applyAlignment="0"/>
    <xf numFmtId="224" fontId="8" fillId="0" borderId="0" applyFill="0" applyBorder="0" applyAlignment="0"/>
    <xf numFmtId="0" fontId="11" fillId="0" borderId="0"/>
    <xf numFmtId="223" fontId="8" fillId="0" borderId="0" applyFill="0" applyBorder="0" applyAlignment="0"/>
    <xf numFmtId="223" fontId="8" fillId="0" borderId="0" applyFill="0" applyBorder="0" applyAlignment="0"/>
    <xf numFmtId="210" fontId="8" fillId="0" borderId="0" applyFill="0" applyBorder="0" applyAlignment="0"/>
    <xf numFmtId="210" fontId="8" fillId="0" borderId="0" applyFill="0" applyBorder="0" applyAlignment="0"/>
    <xf numFmtId="211" fontId="8" fillId="0" borderId="0" applyFill="0" applyBorder="0" applyAlignment="0"/>
    <xf numFmtId="211" fontId="8" fillId="0" borderId="0" applyFill="0" applyBorder="0" applyAlignment="0"/>
    <xf numFmtId="222" fontId="8" fillId="0" borderId="0" applyFill="0" applyBorder="0" applyAlignment="0"/>
    <xf numFmtId="222" fontId="8" fillId="0" borderId="0" applyFill="0" applyBorder="0" applyAlignment="0"/>
    <xf numFmtId="223" fontId="8" fillId="0" borderId="0" applyFill="0" applyBorder="0" applyAlignment="0"/>
    <xf numFmtId="224" fontId="8" fillId="0" borderId="0" applyFill="0" applyBorder="0" applyAlignment="0"/>
    <xf numFmtId="0" fontId="11" fillId="0" borderId="0"/>
    <xf numFmtId="223" fontId="8" fillId="0" borderId="0" applyFill="0" applyBorder="0" applyAlignment="0"/>
    <xf numFmtId="223" fontId="8" fillId="0" borderId="0" applyFill="0" applyBorder="0" applyAlignment="0"/>
    <xf numFmtId="225" fontId="8" fillId="0" borderId="0" applyFill="0" applyBorder="0" applyAlignment="0"/>
    <xf numFmtId="225" fontId="8" fillId="0" borderId="0" applyFill="0" applyBorder="0" applyAlignment="0"/>
    <xf numFmtId="226" fontId="8" fillId="0" borderId="0" applyFill="0" applyBorder="0" applyAlignment="0"/>
    <xf numFmtId="227" fontId="8" fillId="0" borderId="0" applyFill="0" applyBorder="0" applyAlignment="0"/>
    <xf numFmtId="0" fontId="11" fillId="0" borderId="0"/>
    <xf numFmtId="226" fontId="8" fillId="0" borderId="0" applyFill="0" applyBorder="0" applyAlignment="0"/>
    <xf numFmtId="226" fontId="8" fillId="0" borderId="0" applyFill="0" applyBorder="0" applyAlignment="0"/>
    <xf numFmtId="210" fontId="8" fillId="0" borderId="0" applyFill="0" applyBorder="0" applyAlignment="0"/>
    <xf numFmtId="210" fontId="8" fillId="0" borderId="0" applyFill="0" applyBorder="0" applyAlignment="0"/>
    <xf numFmtId="211" fontId="8" fillId="0" borderId="0" applyFill="0" applyBorder="0" applyAlignment="0"/>
    <xf numFmtId="211" fontId="8" fillId="0" borderId="0" applyFill="0" applyBorder="0" applyAlignment="0"/>
    <xf numFmtId="0" fontId="133" fillId="0" borderId="0" applyNumberFormat="0" applyAlignment="0"/>
    <xf numFmtId="333" fontId="56" fillId="0" borderId="0" applyFont="0" applyFill="0" applyBorder="0" applyAlignment="0" applyProtection="0"/>
    <xf numFmtId="333" fontId="8" fillId="0" borderId="0" applyFont="0" applyFill="0" applyBorder="0" applyAlignment="0" applyProtection="0"/>
    <xf numFmtId="0" fontId="11" fillId="0" borderId="0"/>
    <xf numFmtId="259" fontId="11" fillId="0" borderId="0"/>
    <xf numFmtId="0" fontId="11" fillId="0" borderId="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1" fillId="0" borderId="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1" fillId="0" borderId="0"/>
    <xf numFmtId="0" fontId="134" fillId="0" borderId="0" applyNumberFormat="0" applyFill="0" applyBorder="0" applyAlignment="0" applyProtection="0"/>
    <xf numFmtId="0" fontId="134" fillId="0" borderId="0" applyNumberFormat="0" applyFill="0" applyBorder="0" applyAlignment="0" applyProtection="0"/>
    <xf numFmtId="0" fontId="134" fillId="0" borderId="0" applyNumberFormat="0" applyFill="0" applyBorder="0" applyAlignment="0" applyProtection="0"/>
    <xf numFmtId="0" fontId="11" fillId="0" borderId="0"/>
    <xf numFmtId="0" fontId="134" fillId="0" borderId="0" applyNumberFormat="0" applyFill="0" applyBorder="0" applyAlignment="0" applyProtection="0"/>
    <xf numFmtId="0" fontId="134" fillId="0" borderId="0" applyNumberFormat="0" applyFill="0" applyBorder="0" applyAlignment="0" applyProtection="0"/>
    <xf numFmtId="0" fontId="11" fillId="0" borderId="0"/>
    <xf numFmtId="0" fontId="134" fillId="0" borderId="0" applyNumberFormat="0" applyFill="0" applyBorder="0" applyAlignment="0" applyProtection="0"/>
    <xf numFmtId="0" fontId="134" fillId="0" borderId="0" applyNumberFormat="0" applyFill="0" applyBorder="0" applyAlignment="0" applyProtection="0"/>
    <xf numFmtId="0" fontId="27" fillId="0" borderId="0">
      <protection locked="0"/>
    </xf>
    <xf numFmtId="0" fontId="11" fillId="0" borderId="0"/>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0" fontId="27" fillId="0" borderId="0">
      <protection locked="0"/>
    </xf>
    <xf numFmtId="263" fontId="27" fillId="0" borderId="0">
      <protection locked="0"/>
    </xf>
    <xf numFmtId="334" fontId="27" fillId="0" borderId="0">
      <protection locked="0"/>
    </xf>
    <xf numFmtId="2" fontId="111" fillId="0" borderId="0" applyFont="0" applyFill="0" applyBorder="0" applyAlignment="0" applyProtection="0"/>
    <xf numFmtId="335" fontId="127" fillId="59" borderId="0" applyFont="0" applyFill="0" applyBorder="0" applyAlignment="0"/>
    <xf numFmtId="336" fontId="27" fillId="0" borderId="0">
      <protection locked="0"/>
    </xf>
    <xf numFmtId="337" fontId="8" fillId="0" borderId="0">
      <protection locked="0"/>
    </xf>
    <xf numFmtId="2" fontId="8" fillId="0" borderId="0" applyFont="0" applyFill="0" applyBorder="0" applyAlignment="0" applyProtection="0"/>
    <xf numFmtId="338" fontId="129" fillId="0" borderId="0" applyFont="0">
      <alignment horizontal="left"/>
      <protection locked="0"/>
    </xf>
    <xf numFmtId="0" fontId="135" fillId="0" borderId="22"/>
    <xf numFmtId="0" fontId="135" fillId="0" borderId="21"/>
    <xf numFmtId="0" fontId="135" fillId="0" borderId="21"/>
    <xf numFmtId="0" fontId="11" fillId="0" borderId="0"/>
    <xf numFmtId="0" fontId="67" fillId="13"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67" fillId="13" borderId="0" applyNumberFormat="0" applyBorder="0" applyAlignment="0" applyProtection="0"/>
    <xf numFmtId="0" fontId="67" fillId="13" borderId="0" applyNumberFormat="0" applyBorder="0" applyAlignment="0" applyProtection="0"/>
    <xf numFmtId="0" fontId="67" fillId="13" borderId="0" applyNumberFormat="0" applyBorder="0" applyAlignment="0" applyProtection="0"/>
    <xf numFmtId="0" fontId="67" fillId="13" borderId="0" applyNumberFormat="0" applyBorder="0" applyAlignment="0" applyProtection="0"/>
    <xf numFmtId="0" fontId="67" fillId="13"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67" fillId="13" borderId="0" applyNumberFormat="0" applyBorder="0" applyAlignment="0" applyProtection="0"/>
    <xf numFmtId="0" fontId="67" fillId="13" borderId="0" applyNumberFormat="0" applyBorder="0" applyAlignment="0" applyProtection="0"/>
    <xf numFmtId="0" fontId="67" fillId="13" borderId="0" applyNumberFormat="0" applyBorder="0" applyAlignment="0" applyProtection="0"/>
    <xf numFmtId="0" fontId="67" fillId="13"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11" fillId="0" borderId="0"/>
    <xf numFmtId="0" fontId="67" fillId="13" borderId="0" applyNumberFormat="0" applyBorder="0" applyAlignment="0" applyProtection="0"/>
    <xf numFmtId="0" fontId="67" fillId="13" borderId="0" applyNumberFormat="0" applyBorder="0" applyAlignment="0" applyProtection="0"/>
    <xf numFmtId="0" fontId="67" fillId="13" borderId="0" applyNumberFormat="0" applyBorder="0" applyAlignment="0" applyProtection="0"/>
    <xf numFmtId="0" fontId="67" fillId="15" borderId="0" applyNumberFormat="0" applyBorder="0" applyAlignment="0" applyProtection="0"/>
    <xf numFmtId="0" fontId="11" fillId="0" borderId="0"/>
    <xf numFmtId="0" fontId="67" fillId="13" borderId="0" applyNumberFormat="0" applyBorder="0" applyAlignment="0" applyProtection="0"/>
    <xf numFmtId="0" fontId="67" fillId="15" borderId="0" applyNumberFormat="0" applyBorder="0" applyAlignment="0" applyProtection="0"/>
    <xf numFmtId="0" fontId="67" fillId="15" borderId="0" applyNumberFormat="0" applyBorder="0" applyAlignment="0" applyProtection="0"/>
    <xf numFmtId="0" fontId="11" fillId="0" borderId="0"/>
    <xf numFmtId="0" fontId="67" fillId="15" borderId="0" applyNumberFormat="0" applyBorder="0" applyAlignment="0" applyProtection="0"/>
    <xf numFmtId="0" fontId="67" fillId="15" borderId="0" applyNumberFormat="0" applyBorder="0" applyAlignment="0" applyProtection="0"/>
    <xf numFmtId="0" fontId="11" fillId="0" borderId="0"/>
    <xf numFmtId="0" fontId="67" fillId="15" borderId="0" applyNumberFormat="0" applyBorder="0" applyAlignment="0" applyProtection="0"/>
    <xf numFmtId="0" fontId="67" fillId="15" borderId="0" applyNumberFormat="0" applyBorder="0" applyAlignment="0" applyProtection="0"/>
    <xf numFmtId="38" fontId="54" fillId="9" borderId="0" applyNumberFormat="0" applyBorder="0" applyAlignment="0" applyProtection="0"/>
    <xf numFmtId="38" fontId="54" fillId="9" borderId="0" applyNumberFormat="0" applyBorder="0" applyAlignment="0" applyProtection="0"/>
    <xf numFmtId="38" fontId="54" fillId="29" borderId="0" applyNumberFormat="0" applyBorder="0" applyAlignment="0" applyProtection="0"/>
    <xf numFmtId="38" fontId="54" fillId="29" borderId="0" applyNumberFormat="0" applyBorder="0" applyAlignment="0" applyProtection="0"/>
    <xf numFmtId="38" fontId="54" fillId="29" borderId="0" applyNumberFormat="0" applyBorder="0" applyAlignment="0" applyProtection="0"/>
    <xf numFmtId="0" fontId="11" fillId="0" borderId="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0" fontId="11" fillId="0" borderId="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0" fontId="11" fillId="0" borderId="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0" fontId="11" fillId="0" borderId="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0" fontId="11" fillId="0" borderId="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0" fontId="11" fillId="0" borderId="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321" fontId="8" fillId="0" borderId="23" applyFont="0" applyFill="0" applyBorder="0" applyAlignment="0"/>
    <xf numFmtId="0" fontId="11" fillId="0" borderId="0"/>
    <xf numFmtId="321" fontId="8" fillId="0" borderId="23" applyFont="0" applyFill="0" applyBorder="0" applyAlignment="0"/>
    <xf numFmtId="321" fontId="8" fillId="0" borderId="23" applyFont="0" applyFill="0" applyBorder="0" applyAlignment="0"/>
    <xf numFmtId="0" fontId="11" fillId="0" borderId="0"/>
    <xf numFmtId="0" fontId="136" fillId="0" borderId="0" applyFill="0" applyBorder="0"/>
    <xf numFmtId="0" fontId="137" fillId="0" borderId="0" applyFill="0" applyBorder="0"/>
    <xf numFmtId="0" fontId="105" fillId="0" borderId="0" applyFill="0" applyBorder="0"/>
    <xf numFmtId="0" fontId="105" fillId="0" borderId="0" applyFill="0" applyBorder="0"/>
    <xf numFmtId="0" fontId="105" fillId="0" borderId="0" applyFill="0" applyBorder="0"/>
    <xf numFmtId="0" fontId="11" fillId="0" borderId="0"/>
    <xf numFmtId="0" fontId="91" fillId="0" borderId="0" applyFill="0" applyBorder="0"/>
    <xf numFmtId="0" fontId="112" fillId="0" borderId="0"/>
    <xf numFmtId="0" fontId="137" fillId="65" borderId="24"/>
    <xf numFmtId="179" fontId="137" fillId="65" borderId="24"/>
    <xf numFmtId="0" fontId="137" fillId="66" borderId="24"/>
    <xf numFmtId="0" fontId="11" fillId="0" borderId="0"/>
    <xf numFmtId="0" fontId="137" fillId="66" borderId="24"/>
    <xf numFmtId="0" fontId="11" fillId="0" borderId="0"/>
    <xf numFmtId="0" fontId="11" fillId="0" borderId="0"/>
    <xf numFmtId="0" fontId="137" fillId="0" borderId="25" applyNumberFormat="0" applyAlignment="0" applyProtection="0">
      <alignment horizontal="left" vertical="center"/>
    </xf>
    <xf numFmtId="179" fontId="137" fillId="0" borderId="25" applyNumberFormat="0" applyAlignment="0" applyProtection="0">
      <alignment horizontal="left" vertical="center"/>
    </xf>
    <xf numFmtId="0" fontId="137" fillId="0" borderId="26" applyNumberFormat="0" applyAlignment="0" applyProtection="0"/>
    <xf numFmtId="0" fontId="137" fillId="0" borderId="26" applyNumberFormat="0" applyAlignment="0" applyProtection="0"/>
    <xf numFmtId="0" fontId="137" fillId="0" borderId="26" applyNumberFormat="0" applyAlignment="0" applyProtection="0"/>
    <xf numFmtId="0" fontId="137" fillId="0" borderId="26" applyNumberFormat="0" applyAlignment="0" applyProtection="0"/>
    <xf numFmtId="0" fontId="11" fillId="0" borderId="0"/>
    <xf numFmtId="0" fontId="137" fillId="0" borderId="26" applyNumberFormat="0" applyAlignment="0" applyProtection="0"/>
    <xf numFmtId="0" fontId="11" fillId="0" borderId="0"/>
    <xf numFmtId="0" fontId="137" fillId="0" borderId="26" applyNumberFormat="0" applyAlignment="0" applyProtection="0"/>
    <xf numFmtId="0" fontId="137" fillId="0" borderId="26" applyNumberFormat="0" applyAlignment="0" applyProtection="0"/>
    <xf numFmtId="0" fontId="137" fillId="0" borderId="26" applyNumberFormat="0" applyAlignment="0" applyProtection="0"/>
    <xf numFmtId="0" fontId="137" fillId="0" borderId="26" applyNumberFormat="0" applyAlignment="0" applyProtection="0"/>
    <xf numFmtId="0" fontId="11" fillId="0" borderId="0"/>
    <xf numFmtId="0" fontId="137" fillId="0" borderId="26" applyNumberFormat="0" applyAlignment="0" applyProtection="0"/>
    <xf numFmtId="0" fontId="11" fillId="0" borderId="0"/>
    <xf numFmtId="0" fontId="137" fillId="0" borderId="26" applyNumberFormat="0" applyAlignment="0" applyProtection="0"/>
    <xf numFmtId="0" fontId="137" fillId="0" borderId="26" applyNumberFormat="0" applyAlignment="0" applyProtection="0"/>
    <xf numFmtId="0" fontId="137" fillId="0" borderId="26" applyNumberFormat="0" applyAlignment="0" applyProtection="0"/>
    <xf numFmtId="0" fontId="11" fillId="0" borderId="0"/>
    <xf numFmtId="0" fontId="137" fillId="0" borderId="26" applyNumberFormat="0" applyAlignment="0" applyProtection="0"/>
    <xf numFmtId="0" fontId="137" fillId="0" borderId="26" applyNumberFormat="0" applyAlignment="0" applyProtection="0"/>
    <xf numFmtId="0" fontId="11" fillId="0" borderId="0"/>
    <xf numFmtId="0" fontId="137" fillId="0" borderId="26" applyNumberFormat="0" applyAlignment="0" applyProtection="0"/>
    <xf numFmtId="0" fontId="137" fillId="0" borderId="26" applyNumberFormat="0" applyAlignment="0" applyProtection="0"/>
    <xf numFmtId="0" fontId="137" fillId="0" borderId="26" applyNumberFormat="0" applyAlignment="0" applyProtection="0"/>
    <xf numFmtId="0" fontId="11" fillId="0" borderId="0"/>
    <xf numFmtId="0" fontId="137" fillId="0" borderId="26" applyNumberFormat="0" applyAlignment="0" applyProtection="0"/>
    <xf numFmtId="0" fontId="11" fillId="0" borderId="0"/>
    <xf numFmtId="0" fontId="137" fillId="0" borderId="26" applyNumberFormat="0" applyAlignment="0" applyProtection="0"/>
    <xf numFmtId="0" fontId="137" fillId="0" borderId="26" applyNumberFormat="0" applyAlignment="0" applyProtection="0"/>
    <xf numFmtId="0" fontId="137" fillId="0" borderId="26" applyNumberFormat="0" applyAlignment="0" applyProtection="0"/>
    <xf numFmtId="0" fontId="137" fillId="0" borderId="26" applyNumberFormat="0" applyAlignment="0" applyProtection="0"/>
    <xf numFmtId="0" fontId="11" fillId="0" borderId="0"/>
    <xf numFmtId="0" fontId="137" fillId="0" borderId="26" applyNumberFormat="0" applyAlignment="0" applyProtection="0"/>
    <xf numFmtId="0" fontId="11" fillId="0" borderId="0"/>
    <xf numFmtId="0" fontId="137" fillId="0" borderId="26" applyNumberFormat="0" applyAlignment="0" applyProtection="0"/>
    <xf numFmtId="0" fontId="137" fillId="0" borderId="26" applyNumberFormat="0" applyAlignment="0" applyProtection="0"/>
    <xf numFmtId="0" fontId="137" fillId="0" borderId="26" applyNumberFormat="0" applyAlignment="0" applyProtection="0"/>
    <xf numFmtId="0" fontId="11" fillId="0" borderId="0"/>
    <xf numFmtId="0" fontId="137" fillId="0" borderId="26" applyNumberFormat="0" applyAlignment="0" applyProtection="0"/>
    <xf numFmtId="0" fontId="137" fillId="0" borderId="26" applyNumberFormat="0" applyAlignment="0" applyProtection="0"/>
    <xf numFmtId="0" fontId="11" fillId="0" borderId="0"/>
    <xf numFmtId="0" fontId="137" fillId="0" borderId="27">
      <alignment horizontal="left" vertical="center"/>
    </xf>
    <xf numFmtId="0" fontId="137" fillId="0" borderId="27">
      <alignment horizontal="left" vertical="center"/>
    </xf>
    <xf numFmtId="0" fontId="137" fillId="0" borderId="27">
      <alignment horizontal="left" vertical="center"/>
    </xf>
    <xf numFmtId="0" fontId="137" fillId="0" borderId="27">
      <alignment horizontal="left" vertical="center"/>
    </xf>
    <xf numFmtId="0" fontId="11" fillId="0" borderId="0"/>
    <xf numFmtId="0" fontId="137" fillId="0" borderId="27">
      <alignment horizontal="left" vertical="center"/>
    </xf>
    <xf numFmtId="0" fontId="137" fillId="0" borderId="27">
      <alignment horizontal="left" vertical="center"/>
    </xf>
    <xf numFmtId="0" fontId="11" fillId="0" borderId="0"/>
    <xf numFmtId="0" fontId="137" fillId="0" borderId="27">
      <alignment horizontal="left" vertical="center"/>
    </xf>
    <xf numFmtId="0" fontId="11" fillId="0" borderId="0"/>
    <xf numFmtId="0" fontId="137" fillId="0" borderId="27">
      <alignment horizontal="left" vertical="center"/>
    </xf>
    <xf numFmtId="0" fontId="137" fillId="0" borderId="27">
      <alignment horizontal="left" vertical="center"/>
    </xf>
    <xf numFmtId="0" fontId="137" fillId="0" borderId="27">
      <alignment horizontal="left" vertical="center"/>
    </xf>
    <xf numFmtId="0" fontId="11" fillId="0" borderId="0"/>
    <xf numFmtId="0" fontId="137" fillId="0" borderId="27">
      <alignment horizontal="left" vertical="center"/>
    </xf>
    <xf numFmtId="0" fontId="137" fillId="0" borderId="27">
      <alignment horizontal="left" vertical="center"/>
    </xf>
    <xf numFmtId="0" fontId="11" fillId="0" borderId="0"/>
    <xf numFmtId="0" fontId="137" fillId="0" borderId="27">
      <alignment horizontal="left" vertical="center"/>
    </xf>
    <xf numFmtId="0" fontId="11" fillId="0" borderId="0"/>
    <xf numFmtId="179" fontId="137" fillId="0" borderId="27">
      <alignment horizontal="left" vertical="center"/>
    </xf>
    <xf numFmtId="179" fontId="137" fillId="0" borderId="27">
      <alignment horizontal="left" vertical="center"/>
    </xf>
    <xf numFmtId="179" fontId="137" fillId="0" borderId="27">
      <alignment horizontal="left" vertical="center"/>
    </xf>
    <xf numFmtId="0" fontId="11" fillId="0" borderId="0"/>
    <xf numFmtId="179" fontId="137" fillId="0" borderId="27">
      <alignment horizontal="left" vertical="center"/>
    </xf>
    <xf numFmtId="0" fontId="11" fillId="0" borderId="0"/>
    <xf numFmtId="0" fontId="137" fillId="0" borderId="27">
      <alignment horizontal="left" vertical="center"/>
    </xf>
    <xf numFmtId="0" fontId="137" fillId="0" borderId="27">
      <alignment horizontal="left" vertical="center"/>
    </xf>
    <xf numFmtId="0" fontId="11" fillId="0" borderId="0"/>
    <xf numFmtId="0" fontId="137" fillId="0" borderId="27">
      <alignment horizontal="left" vertical="center"/>
    </xf>
    <xf numFmtId="0" fontId="137" fillId="0" borderId="27">
      <alignment horizontal="left" vertical="center"/>
    </xf>
    <xf numFmtId="0" fontId="11" fillId="0" borderId="0"/>
    <xf numFmtId="0" fontId="137" fillId="0" borderId="27">
      <alignment horizontal="left" vertical="center"/>
    </xf>
    <xf numFmtId="0" fontId="11" fillId="0" borderId="0"/>
    <xf numFmtId="0" fontId="105" fillId="51" borderId="28">
      <alignment vertical="center" wrapText="1"/>
    </xf>
    <xf numFmtId="0" fontId="138" fillId="0" borderId="29" applyNumberFormat="0" applyFill="0" applyAlignment="0" applyProtection="0"/>
    <xf numFmtId="179" fontId="138" fillId="0" borderId="29" applyNumberFormat="0" applyFill="0" applyAlignment="0" applyProtection="0"/>
    <xf numFmtId="0" fontId="11" fillId="0" borderId="0"/>
    <xf numFmtId="0" fontId="139" fillId="0" borderId="29"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39" fillId="0" borderId="29" applyNumberFormat="0" applyFill="0" applyAlignment="0" applyProtection="0"/>
    <xf numFmtId="0" fontId="139" fillId="0" borderId="29"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39" fillId="0" borderId="29" applyNumberFormat="0" applyFill="0" applyAlignment="0" applyProtection="0"/>
    <xf numFmtId="0" fontId="139" fillId="0" borderId="29" applyNumberFormat="0" applyFill="0" applyAlignment="0" applyProtection="0"/>
    <xf numFmtId="0" fontId="139" fillId="0" borderId="29" applyNumberFormat="0" applyFill="0" applyAlignment="0" applyProtection="0"/>
    <xf numFmtId="0" fontId="139" fillId="0" borderId="29"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39" fillId="0" borderId="29" applyNumberFormat="0" applyFill="0" applyAlignment="0" applyProtection="0"/>
    <xf numFmtId="0" fontId="139" fillId="0" borderId="29" applyNumberFormat="0" applyFill="0" applyAlignment="0" applyProtection="0"/>
    <xf numFmtId="0" fontId="139" fillId="0" borderId="29" applyNumberFormat="0" applyFill="0" applyAlignment="0" applyProtection="0"/>
    <xf numFmtId="0" fontId="139" fillId="0" borderId="29" applyNumberFormat="0" applyFill="0" applyAlignment="0" applyProtection="0"/>
    <xf numFmtId="0" fontId="140" fillId="0" borderId="30" applyNumberFormat="0" applyFill="0" applyAlignment="0" applyProtection="0"/>
    <xf numFmtId="0" fontId="139" fillId="0" borderId="29" applyNumberFormat="0" applyFill="0" applyAlignment="0" applyProtection="0"/>
    <xf numFmtId="0" fontId="139" fillId="0" borderId="29" applyNumberFormat="0" applyFill="0" applyAlignment="0" applyProtection="0"/>
    <xf numFmtId="0" fontId="140" fillId="0" borderId="30" applyNumberFormat="0" applyFill="0" applyAlignment="0" applyProtection="0"/>
    <xf numFmtId="0" fontId="140" fillId="0" borderId="30" applyNumberFormat="0" applyFill="0" applyAlignment="0" applyProtection="0"/>
    <xf numFmtId="0" fontId="11" fillId="0" borderId="0"/>
    <xf numFmtId="0" fontId="140" fillId="0" borderId="30" applyNumberFormat="0" applyFill="0" applyAlignment="0" applyProtection="0"/>
    <xf numFmtId="0" fontId="140" fillId="0" borderId="30" applyNumberFormat="0" applyFill="0" applyAlignment="0" applyProtection="0"/>
    <xf numFmtId="0" fontId="11" fillId="0" borderId="0"/>
    <xf numFmtId="0" fontId="140" fillId="0" borderId="30" applyNumberFormat="0" applyFill="0" applyAlignment="0" applyProtection="0"/>
    <xf numFmtId="0" fontId="140" fillId="0" borderId="30" applyNumberFormat="0" applyFill="0" applyAlignment="0" applyProtection="0"/>
    <xf numFmtId="0" fontId="105" fillId="51" borderId="28">
      <alignment vertical="center" wrapText="1"/>
    </xf>
    <xf numFmtId="0" fontId="141" fillId="0" borderId="31"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41" fillId="0" borderId="31" applyNumberFormat="0" applyFill="0" applyAlignment="0" applyProtection="0"/>
    <xf numFmtId="0" fontId="141" fillId="0" borderId="31"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41" fillId="0" borderId="31" applyNumberFormat="0" applyFill="0" applyAlignment="0" applyProtection="0"/>
    <xf numFmtId="0" fontId="141" fillId="0" borderId="31" applyNumberFormat="0" applyFill="0" applyAlignment="0" applyProtection="0"/>
    <xf numFmtId="0" fontId="141" fillId="0" borderId="31" applyNumberFormat="0" applyFill="0" applyAlignment="0" applyProtection="0"/>
    <xf numFmtId="0" fontId="141" fillId="0" borderId="31"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41" fillId="0" borderId="31" applyNumberFormat="0" applyFill="0" applyAlignment="0" applyProtection="0"/>
    <xf numFmtId="0" fontId="141" fillId="0" borderId="31" applyNumberFormat="0" applyFill="0" applyAlignment="0" applyProtection="0"/>
    <xf numFmtId="0" fontId="141" fillId="0" borderId="31" applyNumberFormat="0" applyFill="0" applyAlignment="0" applyProtection="0"/>
    <xf numFmtId="0" fontId="141" fillId="0" borderId="31" applyNumberFormat="0" applyFill="0" applyAlignment="0" applyProtection="0"/>
    <xf numFmtId="0" fontId="142" fillId="0" borderId="32" applyNumberFormat="0" applyFill="0" applyAlignment="0" applyProtection="0"/>
    <xf numFmtId="0" fontId="141" fillId="0" borderId="31" applyNumberFormat="0" applyFill="0" applyAlignment="0" applyProtection="0"/>
    <xf numFmtId="0" fontId="141" fillId="0" borderId="31" applyNumberFormat="0" applyFill="0" applyAlignment="0" applyProtection="0"/>
    <xf numFmtId="0" fontId="142" fillId="0" borderId="32" applyNumberFormat="0" applyFill="0" applyAlignment="0" applyProtection="0"/>
    <xf numFmtId="0" fontId="142" fillId="0" borderId="32" applyNumberFormat="0" applyFill="0" applyAlignment="0" applyProtection="0"/>
    <xf numFmtId="0" fontId="11" fillId="0" borderId="0"/>
    <xf numFmtId="0" fontId="142" fillId="0" borderId="32" applyNumberFormat="0" applyFill="0" applyAlignment="0" applyProtection="0"/>
    <xf numFmtId="0" fontId="142" fillId="0" borderId="32" applyNumberFormat="0" applyFill="0" applyAlignment="0" applyProtection="0"/>
    <xf numFmtId="0" fontId="11" fillId="0" borderId="0"/>
    <xf numFmtId="0" fontId="142" fillId="0" borderId="32" applyNumberFormat="0" applyFill="0" applyAlignment="0" applyProtection="0"/>
    <xf numFmtId="0" fontId="142" fillId="0" borderId="32"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43" fillId="0" borderId="33" applyNumberFormat="0" applyFill="0" applyAlignment="0" applyProtection="0"/>
    <xf numFmtId="0" fontId="11" fillId="0" borderId="0"/>
    <xf numFmtId="0" fontId="143" fillId="0" borderId="33" applyNumberFormat="0" applyFill="0" applyAlignment="0" applyProtection="0"/>
    <xf numFmtId="0" fontId="143" fillId="0" borderId="33"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44" fillId="0" borderId="34" applyNumberFormat="0" applyFill="0" applyAlignment="0" applyProtection="0"/>
    <xf numFmtId="0" fontId="11" fillId="0" borderId="0"/>
    <xf numFmtId="0" fontId="144" fillId="0" borderId="34" applyNumberFormat="0" applyFill="0" applyAlignment="0" applyProtection="0"/>
    <xf numFmtId="0" fontId="144" fillId="0" borderId="34" applyNumberFormat="0" applyFill="0" applyAlignment="0" applyProtection="0"/>
    <xf numFmtId="0" fontId="11" fillId="0" borderId="0"/>
    <xf numFmtId="0" fontId="143"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1" fillId="0" borderId="0"/>
    <xf numFmtId="0" fontId="143" fillId="0" borderId="0" applyNumberFormat="0" applyFill="0" applyBorder="0" applyAlignment="0" applyProtection="0"/>
    <xf numFmtId="0" fontId="143" fillId="0" borderId="0" applyNumberFormat="0" applyFill="0" applyBorder="0" applyAlignment="0" applyProtection="0"/>
    <xf numFmtId="0" fontId="143" fillId="0" borderId="0" applyNumberFormat="0" applyFill="0" applyBorder="0" applyAlignment="0" applyProtection="0"/>
    <xf numFmtId="0" fontId="144" fillId="0" borderId="0" applyNumberFormat="0" applyFill="0" applyBorder="0" applyAlignment="0" applyProtection="0"/>
    <xf numFmtId="0" fontId="11" fillId="0" borderId="0"/>
    <xf numFmtId="0" fontId="143" fillId="0" borderId="0" applyNumberFormat="0" applyFill="0" applyBorder="0" applyAlignment="0" applyProtection="0"/>
    <xf numFmtId="0" fontId="144" fillId="0" borderId="0" applyNumberFormat="0" applyFill="0" applyBorder="0" applyAlignment="0" applyProtection="0"/>
    <xf numFmtId="0" fontId="144" fillId="0" borderId="0" applyNumberFormat="0" applyFill="0" applyBorder="0" applyAlignment="0" applyProtection="0"/>
    <xf numFmtId="0" fontId="11" fillId="0" borderId="0"/>
    <xf numFmtId="0" fontId="144" fillId="0" borderId="0" applyNumberFormat="0" applyFill="0" applyBorder="0" applyAlignment="0" applyProtection="0"/>
    <xf numFmtId="0" fontId="144" fillId="0" borderId="0" applyNumberFormat="0" applyFill="0" applyBorder="0" applyAlignment="0" applyProtection="0"/>
    <xf numFmtId="0" fontId="11" fillId="0" borderId="0"/>
    <xf numFmtId="0" fontId="144" fillId="0" borderId="0" applyNumberFormat="0" applyFill="0" applyBorder="0" applyAlignment="0" applyProtection="0"/>
    <xf numFmtId="0" fontId="144" fillId="0" borderId="0" applyNumberFormat="0" applyFill="0" applyBorder="0" applyAlignment="0" applyProtection="0"/>
    <xf numFmtId="0" fontId="105" fillId="51" borderId="28">
      <alignment vertical="center" wrapText="1"/>
    </xf>
    <xf numFmtId="0" fontId="105" fillId="51" borderId="28">
      <alignment vertical="center" wrapText="1"/>
    </xf>
    <xf numFmtId="0" fontId="105" fillId="51" borderId="28">
      <alignment vertical="center" wrapText="1"/>
    </xf>
    <xf numFmtId="0" fontId="105" fillId="51" borderId="28">
      <alignment vertical="center" wrapText="1"/>
    </xf>
    <xf numFmtId="0" fontId="11" fillId="0" borderId="0"/>
    <xf numFmtId="0" fontId="105" fillId="51" borderId="28">
      <alignment vertical="center" wrapText="1"/>
    </xf>
    <xf numFmtId="0" fontId="11" fillId="0" borderId="0"/>
    <xf numFmtId="0" fontId="105" fillId="51" borderId="28">
      <alignment vertical="center" wrapText="1"/>
    </xf>
    <xf numFmtId="0" fontId="105" fillId="51" borderId="28">
      <alignment vertical="center" wrapText="1"/>
    </xf>
    <xf numFmtId="0" fontId="105" fillId="51" borderId="28">
      <alignment vertical="center" wrapText="1"/>
    </xf>
    <xf numFmtId="0" fontId="11" fillId="0" borderId="0"/>
    <xf numFmtId="0" fontId="105" fillId="51" borderId="28">
      <alignment vertical="center" wrapText="1"/>
    </xf>
    <xf numFmtId="0" fontId="11" fillId="0" borderId="0"/>
    <xf numFmtId="0" fontId="105" fillId="51" borderId="28">
      <alignment vertical="center" wrapText="1"/>
    </xf>
    <xf numFmtId="0" fontId="105" fillId="51" borderId="28">
      <alignment vertical="center" wrapText="1"/>
    </xf>
    <xf numFmtId="0" fontId="11" fillId="0" borderId="0"/>
    <xf numFmtId="0" fontId="105" fillId="51" borderId="28">
      <alignment vertical="center" wrapText="1"/>
    </xf>
    <xf numFmtId="0" fontId="105" fillId="51" borderId="28">
      <alignment vertical="center" wrapText="1"/>
    </xf>
    <xf numFmtId="0" fontId="11" fillId="0" borderId="0"/>
    <xf numFmtId="0" fontId="105" fillId="51" borderId="28">
      <alignment vertical="center" wrapText="1"/>
    </xf>
    <xf numFmtId="0" fontId="105" fillId="51" borderId="28">
      <alignment vertical="center" wrapText="1"/>
    </xf>
    <xf numFmtId="0" fontId="105" fillId="51" borderId="28">
      <alignment vertical="center" wrapText="1"/>
    </xf>
    <xf numFmtId="0" fontId="11" fillId="0" borderId="0"/>
    <xf numFmtId="0" fontId="105" fillId="51" borderId="28">
      <alignment vertical="center" wrapText="1"/>
    </xf>
    <xf numFmtId="0" fontId="11" fillId="0" borderId="0"/>
    <xf numFmtId="0" fontId="105" fillId="51" borderId="28">
      <alignment vertical="center" wrapText="1"/>
    </xf>
    <xf numFmtId="0" fontId="105" fillId="51" borderId="28">
      <alignment vertical="center" wrapText="1"/>
    </xf>
    <xf numFmtId="0" fontId="105" fillId="51" borderId="28">
      <alignment vertical="center" wrapText="1"/>
    </xf>
    <xf numFmtId="0" fontId="11" fillId="0" borderId="0"/>
    <xf numFmtId="0" fontId="105" fillId="51" borderId="28">
      <alignment vertical="center" wrapText="1"/>
    </xf>
    <xf numFmtId="0" fontId="11" fillId="0" borderId="0"/>
    <xf numFmtId="0" fontId="105" fillId="51" borderId="28">
      <alignment vertical="center" wrapText="1"/>
    </xf>
    <xf numFmtId="0" fontId="105" fillId="51" borderId="28">
      <alignment vertical="center" wrapText="1"/>
    </xf>
    <xf numFmtId="0" fontId="11" fillId="0" borderId="0"/>
    <xf numFmtId="0" fontId="105" fillId="51" borderId="28">
      <alignment vertical="center" wrapText="1"/>
    </xf>
    <xf numFmtId="185" fontId="131" fillId="0" borderId="0">
      <protection locked="0"/>
    </xf>
    <xf numFmtId="185" fontId="131" fillId="0" borderId="0">
      <protection locked="0"/>
    </xf>
    <xf numFmtId="0" fontId="11" fillId="0" borderId="0"/>
    <xf numFmtId="185" fontId="131" fillId="0" borderId="0">
      <protection locked="0"/>
    </xf>
    <xf numFmtId="185" fontId="131" fillId="0" borderId="0">
      <protection locked="0"/>
    </xf>
    <xf numFmtId="0" fontId="11" fillId="0" borderId="0"/>
    <xf numFmtId="0" fontId="145" fillId="0" borderId="35">
      <alignment horizontal="center"/>
    </xf>
    <xf numFmtId="0" fontId="145" fillId="0" borderId="35">
      <alignment horizontal="center"/>
    </xf>
    <xf numFmtId="0" fontId="145" fillId="0" borderId="35">
      <alignment horizontal="center"/>
    </xf>
    <xf numFmtId="0" fontId="145" fillId="0" borderId="35">
      <alignment horizontal="center"/>
    </xf>
    <xf numFmtId="0" fontId="145" fillId="0" borderId="35">
      <alignment horizontal="center"/>
    </xf>
    <xf numFmtId="0" fontId="11" fillId="0" borderId="0"/>
    <xf numFmtId="0" fontId="145" fillId="0" borderId="35">
      <alignment horizontal="center"/>
    </xf>
    <xf numFmtId="0" fontId="145" fillId="0" borderId="35">
      <alignment horizontal="center"/>
    </xf>
    <xf numFmtId="0" fontId="11" fillId="0" borderId="0"/>
    <xf numFmtId="0" fontId="145" fillId="0" borderId="35">
      <alignment horizontal="center"/>
    </xf>
    <xf numFmtId="0" fontId="11" fillId="0" borderId="0"/>
    <xf numFmtId="0" fontId="145" fillId="0" borderId="35">
      <alignment horizontal="center"/>
    </xf>
    <xf numFmtId="0" fontId="145" fillId="0" borderId="35">
      <alignment horizontal="center"/>
    </xf>
    <xf numFmtId="0" fontId="145" fillId="0" borderId="35">
      <alignment horizontal="center"/>
    </xf>
    <xf numFmtId="0" fontId="145" fillId="0" borderId="35">
      <alignment horizontal="center"/>
    </xf>
    <xf numFmtId="0" fontId="11" fillId="0" borderId="0"/>
    <xf numFmtId="0" fontId="145" fillId="0" borderId="35">
      <alignment horizontal="center"/>
    </xf>
    <xf numFmtId="0" fontId="11" fillId="0" borderId="0"/>
    <xf numFmtId="0" fontId="145" fillId="0" borderId="35">
      <alignment horizontal="center"/>
    </xf>
    <xf numFmtId="0" fontId="145" fillId="0" borderId="35">
      <alignment horizontal="center"/>
    </xf>
    <xf numFmtId="0" fontId="145" fillId="0" borderId="35">
      <alignment horizontal="center"/>
    </xf>
    <xf numFmtId="0" fontId="11" fillId="0" borderId="0"/>
    <xf numFmtId="0" fontId="145" fillId="0" borderId="35">
      <alignment horizontal="center"/>
    </xf>
    <xf numFmtId="0" fontId="145" fillId="0" borderId="35">
      <alignment horizontal="center"/>
    </xf>
    <xf numFmtId="0" fontId="11" fillId="0" borderId="0"/>
    <xf numFmtId="0" fontId="145" fillId="0" borderId="0">
      <alignment horizontal="center"/>
    </xf>
    <xf numFmtId="0" fontId="146" fillId="0" borderId="0" applyNumberFormat="0" applyFill="0" applyBorder="0" applyAlignment="0" applyProtection="0"/>
    <xf numFmtId="0" fontId="147" fillId="0" borderId="0" applyFill="0" applyBorder="0">
      <alignment horizontal="left"/>
      <protection hidden="1"/>
    </xf>
    <xf numFmtId="0" fontId="147" fillId="0" borderId="0" applyFill="0" applyBorder="0">
      <alignment horizontal="left" indent="1"/>
      <protection hidden="1"/>
    </xf>
    <xf numFmtId="0" fontId="147" fillId="0" borderId="0" applyFill="0" applyBorder="0">
      <alignment horizontal="left" indent="2"/>
      <protection hidden="1"/>
    </xf>
    <xf numFmtId="0" fontId="147" fillId="0" borderId="0" applyFill="0" applyBorder="0">
      <alignment horizontal="left" indent="3"/>
      <protection hidden="1"/>
    </xf>
    <xf numFmtId="0" fontId="148" fillId="0" borderId="0" applyNumberFormat="0" applyFill="0" applyBorder="0" applyAlignment="0" applyProtection="0"/>
    <xf numFmtId="0" fontId="148" fillId="0" borderId="0" applyNumberFormat="0" applyFill="0" applyBorder="0" applyAlignment="0" applyProtection="0">
      <alignment vertical="top"/>
      <protection locked="0"/>
    </xf>
    <xf numFmtId="0" fontId="148" fillId="0" borderId="0" applyNumberFormat="0" applyFill="0" applyBorder="0" applyAlignment="0" applyProtection="0"/>
    <xf numFmtId="0" fontId="11" fillId="0" borderId="0"/>
    <xf numFmtId="0" fontId="149" fillId="0" borderId="0" applyNumberFormat="0" applyFill="0" applyBorder="0" applyAlignment="0" applyProtection="0">
      <alignment vertical="top"/>
      <protection locked="0"/>
    </xf>
    <xf numFmtId="0" fontId="149" fillId="0" borderId="0" applyNumberFormat="0" applyFill="0" applyBorder="0" applyAlignment="0" applyProtection="0">
      <alignment vertical="top"/>
      <protection locked="0"/>
    </xf>
    <xf numFmtId="0" fontId="11" fillId="0" borderId="0"/>
    <xf numFmtId="0" fontId="148" fillId="0" borderId="0" applyNumberFormat="0" applyFill="0" applyBorder="0" applyAlignment="0" applyProtection="0">
      <alignment vertical="top"/>
      <protection locked="0"/>
    </xf>
    <xf numFmtId="0" fontId="148" fillId="0" borderId="0" applyNumberFormat="0" applyFill="0" applyBorder="0" applyAlignment="0" applyProtection="0">
      <alignment vertical="top"/>
      <protection locked="0"/>
    </xf>
    <xf numFmtId="0" fontId="11" fillId="0" borderId="0"/>
    <xf numFmtId="0" fontId="150" fillId="0" borderId="0" applyNumberFormat="0" applyFill="0" applyBorder="0" applyAlignment="0" applyProtection="0">
      <alignment vertical="top"/>
      <protection locked="0"/>
    </xf>
    <xf numFmtId="0" fontId="150" fillId="0" borderId="0" applyNumberFormat="0" applyFill="0" applyBorder="0" applyAlignment="0" applyProtection="0">
      <alignment vertical="top"/>
      <protection locked="0"/>
    </xf>
    <xf numFmtId="0" fontId="11" fillId="0" borderId="0"/>
    <xf numFmtId="339" fontId="151" fillId="0" borderId="0" applyNumberFormat="0" applyFill="0" applyBorder="0" applyAlignment="0" applyProtection="0"/>
    <xf numFmtId="0" fontId="152" fillId="0" borderId="0"/>
    <xf numFmtId="0" fontId="11" fillId="0" borderId="0"/>
    <xf numFmtId="228" fontId="9" fillId="0" borderId="0" applyFill="0" applyBorder="0">
      <protection locked="0"/>
    </xf>
    <xf numFmtId="229" fontId="9" fillId="0" borderId="0" applyFill="0" applyBorder="0">
      <protection locked="0"/>
    </xf>
    <xf numFmtId="230" fontId="9" fillId="0" borderId="0" applyFill="0" applyBorder="0">
      <protection locked="0"/>
    </xf>
    <xf numFmtId="231" fontId="9" fillId="0" borderId="0" applyFill="0" applyBorder="0">
      <protection locked="0"/>
    </xf>
    <xf numFmtId="232" fontId="9" fillId="0" borderId="0" applyFill="0" applyBorder="0">
      <protection locked="0"/>
    </xf>
    <xf numFmtId="340" fontId="9" fillId="0" borderId="0" applyFill="0" applyBorder="0">
      <protection locked="0"/>
    </xf>
    <xf numFmtId="341" fontId="9" fillId="0" borderId="0" applyFill="0" applyBorder="0">
      <protection locked="0"/>
    </xf>
    <xf numFmtId="235" fontId="9" fillId="0" borderId="0" applyFill="0" applyBorder="0">
      <protection locked="0"/>
    </xf>
    <xf numFmtId="236" fontId="9" fillId="0" borderId="0" applyFill="0" applyBorder="0">
      <protection locked="0"/>
    </xf>
    <xf numFmtId="237" fontId="9" fillId="0" borderId="0" applyFill="0" applyBorder="0">
      <protection locked="0"/>
    </xf>
    <xf numFmtId="238" fontId="9" fillId="0" borderId="0" applyFill="0" applyBorder="0">
      <protection locked="0"/>
    </xf>
    <xf numFmtId="238" fontId="153" fillId="0" borderId="0" applyFill="0" applyBorder="0">
      <protection locked="0"/>
    </xf>
    <xf numFmtId="238" fontId="9" fillId="0" borderId="0" applyFill="0" applyBorder="0">
      <protection locked="0"/>
    </xf>
    <xf numFmtId="49" fontId="9" fillId="0" borderId="0" applyFill="0" applyBorder="0">
      <alignment vertical="top"/>
      <protection locked="0"/>
    </xf>
    <xf numFmtId="49" fontId="153" fillId="0" borderId="0" applyFill="0" applyBorder="0">
      <alignment vertical="top"/>
      <protection locked="0"/>
    </xf>
    <xf numFmtId="0" fontId="9" fillId="0" borderId="0" applyFill="0" applyBorder="0">
      <alignment vertical="top" wrapText="1"/>
      <protection locked="0"/>
    </xf>
    <xf numFmtId="239" fontId="9" fillId="0" borderId="0" applyFill="0" applyBorder="0">
      <protection locked="0"/>
    </xf>
    <xf numFmtId="240" fontId="9" fillId="0" borderId="0" applyFill="0" applyBorder="0">
      <protection locked="0"/>
    </xf>
    <xf numFmtId="10" fontId="54" fillId="5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5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10" fontId="54" fillId="29" borderId="36" applyNumberFormat="0" applyBorder="0" applyAlignment="0" applyProtection="0"/>
    <xf numFmtId="10" fontId="54" fillId="29" borderId="36" applyNumberFormat="0" applyBorder="0" applyAlignment="0" applyProtection="0"/>
    <xf numFmtId="10" fontId="54" fillId="29" borderId="36" applyNumberFormat="0" applyBorder="0" applyAlignment="0" applyProtection="0"/>
    <xf numFmtId="0" fontId="11" fillId="0" borderId="0"/>
    <xf numFmtId="10" fontId="54" fillId="29" borderId="36" applyNumberFormat="0" applyBorder="0" applyAlignment="0" applyProtection="0"/>
    <xf numFmtId="0" fontId="11" fillId="0" borderId="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1" fillId="0" borderId="0"/>
    <xf numFmtId="0" fontId="154" fillId="16"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54" fillId="16" borderId="14" applyNumberFormat="0" applyAlignment="0" applyProtection="0"/>
    <xf numFmtId="0" fontId="154" fillId="16"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16"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54" fillId="22" borderId="14" applyNumberFormat="0" applyAlignment="0" applyProtection="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0" fontId="154" fillId="22" borderId="14" applyNumberFormat="0" applyAlignment="0" applyProtection="0"/>
    <xf numFmtId="0" fontId="11" fillId="0" borderId="0"/>
    <xf numFmtId="8" fontId="54" fillId="59" borderId="0" applyFont="0" applyBorder="0" applyAlignment="0" applyProtection="0">
      <protection locked="0"/>
    </xf>
    <xf numFmtId="15" fontId="54" fillId="59" borderId="0" applyFont="0" applyBorder="0" applyAlignment="0" applyProtection="0">
      <protection locked="0"/>
    </xf>
    <xf numFmtId="335" fontId="127" fillId="59" borderId="0" applyFont="0" applyBorder="0" applyAlignment="0">
      <protection locked="0"/>
    </xf>
    <xf numFmtId="38" fontId="54" fillId="59" borderId="0">
      <protection locked="0"/>
    </xf>
    <xf numFmtId="342" fontId="127" fillId="59" borderId="0" applyFont="0" applyBorder="0" applyAlignment="0">
      <protection locked="0"/>
    </xf>
    <xf numFmtId="10" fontId="54" fillId="59" borderId="0">
      <protection locked="0"/>
    </xf>
    <xf numFmtId="343" fontId="54" fillId="59" borderId="0" applyFont="0" applyBorder="0" applyAlignment="0">
      <protection locked="0"/>
    </xf>
    <xf numFmtId="205" fontId="155" fillId="59" borderId="0" applyNumberFormat="0" applyBorder="0" applyAlignment="0">
      <protection locked="0"/>
    </xf>
    <xf numFmtId="281" fontId="9" fillId="0" borderId="0" applyFill="0" applyBorder="0">
      <protection locked="0"/>
    </xf>
    <xf numFmtId="282" fontId="9" fillId="0" borderId="0" applyFill="0" applyBorder="0">
      <protection locked="0"/>
    </xf>
    <xf numFmtId="283" fontId="9" fillId="0" borderId="0" applyFill="0" applyBorder="0">
      <protection locked="0"/>
    </xf>
    <xf numFmtId="284" fontId="9" fillId="0" borderId="0" applyFill="0" applyBorder="0">
      <protection locked="0"/>
    </xf>
    <xf numFmtId="288" fontId="9" fillId="0" borderId="0" applyFill="0" applyBorder="0">
      <protection locked="0"/>
    </xf>
    <xf numFmtId="289" fontId="9" fillId="0" borderId="0" applyFill="0" applyBorder="0">
      <protection locked="0"/>
    </xf>
    <xf numFmtId="290" fontId="9" fillId="0" borderId="0" applyFill="0" applyBorder="0">
      <protection locked="0"/>
    </xf>
    <xf numFmtId="291" fontId="9" fillId="0" borderId="0" applyFill="0" applyBorder="0">
      <protection locked="0"/>
    </xf>
    <xf numFmtId="292" fontId="9" fillId="0" borderId="0" applyFill="0" applyBorder="0">
      <protection locked="0"/>
    </xf>
    <xf numFmtId="49" fontId="9" fillId="0" borderId="0" applyFill="0" applyBorder="0">
      <alignment horizontal="left" vertical="top"/>
      <protection locked="0"/>
    </xf>
    <xf numFmtId="49" fontId="9" fillId="0" borderId="0" applyFill="0" applyBorder="0">
      <alignment horizontal="left" vertical="top" indent="1"/>
      <protection locked="0"/>
    </xf>
    <xf numFmtId="49" fontId="9" fillId="0" borderId="0" applyFill="0" applyBorder="0">
      <alignment horizontal="left" vertical="top" indent="2"/>
      <protection locked="0"/>
    </xf>
    <xf numFmtId="49" fontId="9" fillId="0" borderId="0" applyFill="0" applyBorder="0">
      <alignment horizontal="left" vertical="top" indent="3"/>
      <protection locked="0"/>
    </xf>
    <xf numFmtId="49" fontId="9" fillId="0" borderId="0" applyFill="0" applyBorder="0">
      <alignment horizontal="left" vertical="top" indent="4"/>
      <protection locked="0"/>
    </xf>
    <xf numFmtId="49" fontId="9" fillId="0" borderId="0" applyFill="0" applyBorder="0">
      <alignment horizontal="center"/>
      <protection locked="0"/>
    </xf>
    <xf numFmtId="49" fontId="9" fillId="0" borderId="0" applyFill="0" applyBorder="0">
      <alignment horizontal="center" wrapText="1"/>
      <protection locked="0"/>
    </xf>
    <xf numFmtId="0" fontId="156" fillId="0" borderId="0" applyNumberFormat="0" applyFill="0" applyBorder="0" applyAlignment="0" applyProtection="0"/>
    <xf numFmtId="344" fontId="8" fillId="0" borderId="0"/>
    <xf numFmtId="294" fontId="129" fillId="0" borderId="0" applyFont="0">
      <alignment horizontal="left"/>
    </xf>
    <xf numFmtId="0" fontId="11" fillId="0" borderId="0"/>
    <xf numFmtId="0" fontId="157" fillId="54" borderId="37" applyNumberFormat="0" applyAlignment="0" applyProtection="0"/>
    <xf numFmtId="0" fontId="157" fillId="54" borderId="37" applyNumberFormat="0" applyAlignment="0" applyProtection="0"/>
    <xf numFmtId="0" fontId="11" fillId="0" borderId="0"/>
    <xf numFmtId="0" fontId="59" fillId="0" borderId="38">
      <alignment horizontal="center" vertical="center" wrapText="1"/>
    </xf>
    <xf numFmtId="294" fontId="129" fillId="0" borderId="0" applyFont="0" applyFill="0" applyBorder="0">
      <alignment horizontal="left"/>
    </xf>
    <xf numFmtId="0" fontId="11" fillId="0" borderId="0"/>
    <xf numFmtId="0" fontId="158" fillId="0" borderId="8">
      <protection locked="0"/>
    </xf>
    <xf numFmtId="0" fontId="159" fillId="67" borderId="21"/>
    <xf numFmtId="0" fontId="159" fillId="67" borderId="21"/>
    <xf numFmtId="0" fontId="11" fillId="0" borderId="0"/>
    <xf numFmtId="0" fontId="18" fillId="0" borderId="0" applyNumberFormat="0" applyFont="0" applyFill="0" applyBorder="0" applyProtection="0">
      <alignment horizontal="left" vertical="center"/>
    </xf>
    <xf numFmtId="40" fontId="54" fillId="0" borderId="0" applyFont="0">
      <protection locked="0"/>
    </xf>
    <xf numFmtId="273" fontId="160" fillId="0" borderId="5" applyNumberFormat="0" applyFill="0" applyBorder="0" applyAlignment="0" applyProtection="0"/>
    <xf numFmtId="196" fontId="160" fillId="0" borderId="5" applyNumberFormat="0" applyFill="0" applyBorder="0" applyAlignment="0" applyProtection="0"/>
    <xf numFmtId="0" fontId="161" fillId="0" borderId="0"/>
    <xf numFmtId="0" fontId="11" fillId="0" borderId="0"/>
    <xf numFmtId="0" fontId="161" fillId="0" borderId="0"/>
    <xf numFmtId="222" fontId="8" fillId="0" borderId="0" applyFill="0" applyBorder="0" applyAlignment="0"/>
    <xf numFmtId="222" fontId="8" fillId="0" borderId="0" applyFill="0" applyBorder="0" applyAlignment="0"/>
    <xf numFmtId="223" fontId="8" fillId="0" borderId="0" applyFill="0" applyBorder="0" applyAlignment="0"/>
    <xf numFmtId="224" fontId="8" fillId="0" borderId="0" applyFill="0" applyBorder="0" applyAlignment="0"/>
    <xf numFmtId="0" fontId="11" fillId="0" borderId="0"/>
    <xf numFmtId="223" fontId="8" fillId="0" borderId="0" applyFill="0" applyBorder="0" applyAlignment="0"/>
    <xf numFmtId="223" fontId="8" fillId="0" borderId="0" applyFill="0" applyBorder="0" applyAlignment="0"/>
    <xf numFmtId="210" fontId="8" fillId="0" borderId="0" applyFill="0" applyBorder="0" applyAlignment="0"/>
    <xf numFmtId="210" fontId="8" fillId="0" borderId="0" applyFill="0" applyBorder="0" applyAlignment="0"/>
    <xf numFmtId="211" fontId="8" fillId="0" borderId="0" applyFill="0" applyBorder="0" applyAlignment="0"/>
    <xf numFmtId="211" fontId="8" fillId="0" borderId="0" applyFill="0" applyBorder="0" applyAlignment="0"/>
    <xf numFmtId="222" fontId="8" fillId="0" borderId="0" applyFill="0" applyBorder="0" applyAlignment="0"/>
    <xf numFmtId="222" fontId="8" fillId="0" borderId="0" applyFill="0" applyBorder="0" applyAlignment="0"/>
    <xf numFmtId="223" fontId="8" fillId="0" borderId="0" applyFill="0" applyBorder="0" applyAlignment="0"/>
    <xf numFmtId="224" fontId="8" fillId="0" borderId="0" applyFill="0" applyBorder="0" applyAlignment="0"/>
    <xf numFmtId="0" fontId="11" fillId="0" borderId="0"/>
    <xf numFmtId="223" fontId="8" fillId="0" borderId="0" applyFill="0" applyBorder="0" applyAlignment="0"/>
    <xf numFmtId="223" fontId="8" fillId="0" borderId="0" applyFill="0" applyBorder="0" applyAlignment="0"/>
    <xf numFmtId="225" fontId="8" fillId="0" borderId="0" applyFill="0" applyBorder="0" applyAlignment="0"/>
    <xf numFmtId="225" fontId="8" fillId="0" borderId="0" applyFill="0" applyBorder="0" applyAlignment="0"/>
    <xf numFmtId="226" fontId="8" fillId="0" borderId="0" applyFill="0" applyBorder="0" applyAlignment="0"/>
    <xf numFmtId="227" fontId="8" fillId="0" borderId="0" applyFill="0" applyBorder="0" applyAlignment="0"/>
    <xf numFmtId="0" fontId="11" fillId="0" borderId="0"/>
    <xf numFmtId="226" fontId="8" fillId="0" borderId="0" applyFill="0" applyBorder="0" applyAlignment="0"/>
    <xf numFmtId="226" fontId="8" fillId="0" borderId="0" applyFill="0" applyBorder="0" applyAlignment="0"/>
    <xf numFmtId="210" fontId="8" fillId="0" borderId="0" applyFill="0" applyBorder="0" applyAlignment="0"/>
    <xf numFmtId="210" fontId="8" fillId="0" borderId="0" applyFill="0" applyBorder="0" applyAlignment="0"/>
    <xf numFmtId="211" fontId="8" fillId="0" borderId="0" applyFill="0" applyBorder="0" applyAlignment="0"/>
    <xf numFmtId="211" fontId="8" fillId="0" borderId="0" applyFill="0" applyBorder="0" applyAlignment="0"/>
    <xf numFmtId="0" fontId="11" fillId="0" borderId="0"/>
    <xf numFmtId="0" fontId="162" fillId="0" borderId="39"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162" fillId="0" borderId="39" applyNumberFormat="0" applyFill="0" applyAlignment="0" applyProtection="0"/>
    <xf numFmtId="0" fontId="162" fillId="0" borderId="39" applyNumberFormat="0" applyFill="0" applyAlignment="0" applyProtection="0"/>
    <xf numFmtId="0" fontId="11" fillId="0" borderId="0"/>
    <xf numFmtId="0" fontId="162" fillId="0" borderId="39"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162" fillId="0" borderId="39" applyNumberFormat="0" applyFill="0" applyAlignment="0" applyProtection="0"/>
    <xf numFmtId="0" fontId="162" fillId="0" borderId="39" applyNumberFormat="0" applyFill="0" applyAlignment="0" applyProtection="0"/>
    <xf numFmtId="0" fontId="162" fillId="0" borderId="39" applyNumberFormat="0" applyFill="0" applyAlignment="0" applyProtection="0"/>
    <xf numFmtId="0" fontId="162" fillId="0" borderId="39"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162" fillId="0" borderId="39" applyNumberFormat="0" applyFill="0" applyAlignment="0" applyProtection="0"/>
    <xf numFmtId="0" fontId="162" fillId="0" borderId="39" applyNumberFormat="0" applyFill="0" applyAlignment="0" applyProtection="0"/>
    <xf numFmtId="0" fontId="162" fillId="0" borderId="39" applyNumberFormat="0" applyFill="0" applyAlignment="0" applyProtection="0"/>
    <xf numFmtId="0" fontId="162" fillId="0" borderId="39" applyNumberFormat="0" applyFill="0" applyAlignment="0" applyProtection="0"/>
    <xf numFmtId="0" fontId="64" fillId="0" borderId="40" applyNumberFormat="0" applyFill="0" applyAlignment="0" applyProtection="0"/>
    <xf numFmtId="0" fontId="162" fillId="0" borderId="39" applyNumberFormat="0" applyFill="0" applyAlignment="0" applyProtection="0"/>
    <xf numFmtId="0" fontId="162" fillId="0" borderId="39" applyNumberFormat="0" applyFill="0" applyAlignment="0" applyProtection="0"/>
    <xf numFmtId="0" fontId="64" fillId="0" borderId="40" applyNumberFormat="0" applyFill="0" applyAlignment="0" applyProtection="0"/>
    <xf numFmtId="0" fontId="64" fillId="0" borderId="40" applyNumberFormat="0" applyFill="0" applyAlignment="0" applyProtection="0"/>
    <xf numFmtId="0" fontId="11" fillId="0" borderId="0"/>
    <xf numFmtId="0" fontId="64" fillId="0" borderId="40" applyNumberFormat="0" applyFill="0" applyAlignment="0" applyProtection="0"/>
    <xf numFmtId="0" fontId="64" fillId="0" borderId="40" applyNumberFormat="0" applyFill="0" applyAlignment="0" applyProtection="0"/>
    <xf numFmtId="0" fontId="11" fillId="0" borderId="0"/>
    <xf numFmtId="0" fontId="64" fillId="0" borderId="40" applyNumberFormat="0" applyFill="0" applyAlignment="0" applyProtection="0"/>
    <xf numFmtId="0" fontId="64" fillId="0" borderId="40" applyNumberFormat="0" applyFill="0" applyAlignment="0" applyProtection="0"/>
    <xf numFmtId="39" fontId="163" fillId="0" borderId="41"/>
    <xf numFmtId="49" fontId="54" fillId="0" borderId="0" applyFill="0" applyBorder="0">
      <alignment vertical="top"/>
    </xf>
    <xf numFmtId="0" fontId="54" fillId="0" borderId="0" applyFill="0" applyBorder="0">
      <alignment vertical="top" wrapText="1"/>
    </xf>
    <xf numFmtId="294" fontId="129" fillId="0" borderId="0" applyFont="0" applyFill="0" applyBorder="0">
      <alignment horizontal="left"/>
    </xf>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2" fillId="0" borderId="41">
      <alignment horizontal="center"/>
    </xf>
    <xf numFmtId="0" fontId="12" fillId="0" borderId="41">
      <alignment horizontal="center"/>
    </xf>
    <xf numFmtId="0" fontId="11" fillId="0" borderId="0"/>
    <xf numFmtId="0" fontId="11" fillId="0" borderId="0"/>
    <xf numFmtId="0" fontId="12" fillId="0" borderId="23">
      <alignment horizontal="center"/>
    </xf>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1" fillId="0" borderId="0"/>
    <xf numFmtId="0" fontId="12" fillId="0" borderId="23">
      <alignment horizontal="center"/>
    </xf>
    <xf numFmtId="0" fontId="12" fillId="0" borderId="23">
      <alignment horizontal="center"/>
    </xf>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2" fillId="0" borderId="23">
      <alignment horizontal="center"/>
    </xf>
    <xf numFmtId="0" fontId="11" fillId="0" borderId="0"/>
    <xf numFmtId="0" fontId="11" fillId="0" borderId="0"/>
    <xf numFmtId="0" fontId="11" fillId="0" borderId="0"/>
    <xf numFmtId="0" fontId="11" fillId="0" borderId="0"/>
    <xf numFmtId="294" fontId="129" fillId="0" borderId="0" applyFont="0" applyFill="0" applyBorder="0">
      <alignment horizontal="left"/>
    </xf>
    <xf numFmtId="331" fontId="164" fillId="0" borderId="0">
      <alignment horizontal="left" vertical="top"/>
      <protection locked="0"/>
    </xf>
    <xf numFmtId="331" fontId="164" fillId="0" borderId="0">
      <alignment horizontal="left" vertical="top"/>
      <protection locked="0"/>
    </xf>
    <xf numFmtId="0" fontId="11" fillId="0" borderId="0"/>
    <xf numFmtId="331" fontId="54" fillId="0" borderId="0" applyFont="0"/>
    <xf numFmtId="186" fontId="8" fillId="0" borderId="0" applyFont="0" applyFill="0" applyBorder="0" applyAlignment="0" applyProtection="0"/>
    <xf numFmtId="188" fontId="8" fillId="0" borderId="0" applyFont="0" applyFill="0" applyBorder="0" applyAlignment="0" applyProtection="0"/>
    <xf numFmtId="38" fontId="32" fillId="0" borderId="0" applyFont="0" applyFill="0" applyBorder="0" applyAlignment="0" applyProtection="0"/>
    <xf numFmtId="40" fontId="32" fillId="0" borderId="0" applyFont="0" applyFill="0" applyBorder="0" applyAlignment="0" applyProtection="0"/>
    <xf numFmtId="280" fontId="8" fillId="68" borderId="0"/>
    <xf numFmtId="294" fontId="129" fillId="0" borderId="0" applyFont="0" applyFill="0" applyBorder="0">
      <alignment horizontal="left"/>
    </xf>
    <xf numFmtId="0" fontId="165" fillId="0" borderId="8"/>
    <xf numFmtId="0" fontId="8" fillId="0" borderId="0" applyFont="0" applyFill="0" applyBorder="0" applyAlignment="0" applyProtection="0"/>
    <xf numFmtId="0" fontId="8" fillId="0" borderId="0" applyFont="0" applyFill="0" applyBorder="0" applyAlignment="0" applyProtection="0"/>
    <xf numFmtId="345" fontId="8" fillId="0" borderId="0" applyFont="0" applyFill="0" applyBorder="0" applyAlignment="0" applyProtection="0"/>
    <xf numFmtId="346" fontId="8" fillId="0" borderId="0" applyFont="0" applyFill="0" applyBorder="0" applyAlignment="0" applyProtection="0"/>
    <xf numFmtId="6" fontId="32" fillId="0" borderId="0" applyFont="0" applyFill="0" applyBorder="0" applyAlignment="0" applyProtection="0"/>
    <xf numFmtId="8" fontId="32" fillId="0" borderId="0" applyFont="0" applyFill="0" applyBorder="0" applyAlignment="0" applyProtection="0"/>
    <xf numFmtId="347" fontId="27" fillId="0" borderId="0">
      <protection locked="0"/>
    </xf>
    <xf numFmtId="264" fontId="38" fillId="10" borderId="7" applyBorder="0">
      <alignment horizontal="center" vertical="center"/>
    </xf>
    <xf numFmtId="264" fontId="38" fillId="10" borderId="7" applyBorder="0">
      <alignment horizontal="center" vertical="center"/>
    </xf>
    <xf numFmtId="264" fontId="38" fillId="10" borderId="7" applyBorder="0">
      <alignment horizontal="center" vertical="center"/>
    </xf>
    <xf numFmtId="264" fontId="38" fillId="10" borderId="7" applyBorder="0">
      <alignment horizontal="center" vertical="center"/>
    </xf>
    <xf numFmtId="0" fontId="11" fillId="0" borderId="0"/>
    <xf numFmtId="264" fontId="38" fillId="10" borderId="7" applyBorder="0">
      <alignment horizontal="center" vertical="center"/>
    </xf>
    <xf numFmtId="0" fontId="11" fillId="0" borderId="0"/>
    <xf numFmtId="264" fontId="38" fillId="10" borderId="7" applyBorder="0">
      <alignment horizontal="center" vertical="center"/>
    </xf>
    <xf numFmtId="264" fontId="38" fillId="10" borderId="7" applyBorder="0">
      <alignment horizontal="center" vertical="center"/>
    </xf>
    <xf numFmtId="0" fontId="11" fillId="0" borderId="0"/>
    <xf numFmtId="264" fontId="38" fillId="10" borderId="7" applyBorder="0">
      <alignment horizontal="center" vertical="center"/>
    </xf>
    <xf numFmtId="0" fontId="11" fillId="0" borderId="0"/>
    <xf numFmtId="294" fontId="129" fillId="0" borderId="0" applyFont="0">
      <alignment horizontal="left"/>
    </xf>
    <xf numFmtId="0" fontId="11" fillId="0" borderId="0"/>
    <xf numFmtId="348" fontId="127" fillId="9" borderId="0" applyFont="0" applyBorder="0" applyAlignment="0" applyProtection="0">
      <alignment horizontal="right"/>
      <protection hidden="1"/>
    </xf>
    <xf numFmtId="280" fontId="8" fillId="69" borderId="0"/>
    <xf numFmtId="0" fontId="166" fillId="22" borderId="0" applyNumberFormat="0" applyBorder="0" applyAlignment="0" applyProtection="0"/>
    <xf numFmtId="0" fontId="166" fillId="22" borderId="0" applyNumberFormat="0" applyBorder="0" applyAlignment="0" applyProtection="0"/>
    <xf numFmtId="0" fontId="167" fillId="22" borderId="0" applyNumberFormat="0" applyBorder="0" applyAlignment="0" applyProtection="0"/>
    <xf numFmtId="0" fontId="167" fillId="22" borderId="0" applyNumberFormat="0" applyBorder="0" applyAlignment="0" applyProtection="0"/>
    <xf numFmtId="0" fontId="167" fillId="22" borderId="0" applyNumberFormat="0" applyBorder="0" applyAlignment="0" applyProtection="0"/>
    <xf numFmtId="0" fontId="167" fillId="22" borderId="0" applyNumberFormat="0" applyBorder="0" applyAlignment="0" applyProtection="0"/>
    <xf numFmtId="0" fontId="166" fillId="22" borderId="0" applyNumberFormat="0" applyBorder="0" applyAlignment="0" applyProtection="0"/>
    <xf numFmtId="0" fontId="166" fillId="22" borderId="0" applyNumberFormat="0" applyBorder="0" applyAlignment="0" applyProtection="0"/>
    <xf numFmtId="0" fontId="167" fillId="22" borderId="0" applyNumberFormat="0" applyBorder="0" applyAlignment="0" applyProtection="0"/>
    <xf numFmtId="0" fontId="167" fillId="22" borderId="0" applyNumberFormat="0" applyBorder="0" applyAlignment="0" applyProtection="0"/>
    <xf numFmtId="0" fontId="167" fillId="22" borderId="0" applyNumberFormat="0" applyBorder="0" applyAlignment="0" applyProtection="0"/>
    <xf numFmtId="0" fontId="167" fillId="22" borderId="0" applyNumberFormat="0" applyBorder="0" applyAlignment="0" applyProtection="0"/>
    <xf numFmtId="0" fontId="167" fillId="22" borderId="0" applyNumberFormat="0" applyBorder="0" applyAlignment="0" applyProtection="0"/>
    <xf numFmtId="0" fontId="167" fillId="22" borderId="0" applyNumberFormat="0" applyBorder="0" applyAlignment="0" applyProtection="0"/>
    <xf numFmtId="0" fontId="166" fillId="22" borderId="0" applyNumberFormat="0" applyBorder="0" applyAlignment="0" applyProtection="0"/>
    <xf numFmtId="0" fontId="166" fillId="22" borderId="0" applyNumberFormat="0" applyBorder="0" applyAlignment="0" applyProtection="0"/>
    <xf numFmtId="0" fontId="166" fillId="22" borderId="0" applyNumberFormat="0" applyBorder="0" applyAlignment="0" applyProtection="0"/>
    <xf numFmtId="0" fontId="166" fillId="22" borderId="0" applyNumberFormat="0" applyBorder="0" applyAlignment="0" applyProtection="0"/>
    <xf numFmtId="0" fontId="166" fillId="22" borderId="0" applyNumberFormat="0" applyBorder="0" applyAlignment="0" applyProtection="0"/>
    <xf numFmtId="0" fontId="166" fillId="22" borderId="0" applyNumberFormat="0" applyBorder="0" applyAlignment="0" applyProtection="0"/>
    <xf numFmtId="0" fontId="11" fillId="0" borderId="0"/>
    <xf numFmtId="0" fontId="166" fillId="22" borderId="0" applyNumberFormat="0" applyBorder="0" applyAlignment="0" applyProtection="0"/>
    <xf numFmtId="0" fontId="166" fillId="22" borderId="0" applyNumberFormat="0" applyBorder="0" applyAlignment="0" applyProtection="0"/>
    <xf numFmtId="0" fontId="166" fillId="22" borderId="0" applyNumberFormat="0" applyBorder="0" applyAlignment="0" applyProtection="0"/>
    <xf numFmtId="0" fontId="167" fillId="22" borderId="0" applyNumberFormat="0" applyBorder="0" applyAlignment="0" applyProtection="0"/>
    <xf numFmtId="0" fontId="11" fillId="0" borderId="0"/>
    <xf numFmtId="0" fontId="166" fillId="22" borderId="0" applyNumberFormat="0" applyBorder="0" applyAlignment="0" applyProtection="0"/>
    <xf numFmtId="0" fontId="167" fillId="22" borderId="0" applyNumberFormat="0" applyBorder="0" applyAlignment="0" applyProtection="0"/>
    <xf numFmtId="0" fontId="167" fillId="22" borderId="0" applyNumberFormat="0" applyBorder="0" applyAlignment="0" applyProtection="0"/>
    <xf numFmtId="0" fontId="11" fillId="0" borderId="0"/>
    <xf numFmtId="0" fontId="167" fillId="22" borderId="0" applyNumberFormat="0" applyBorder="0" applyAlignment="0" applyProtection="0"/>
    <xf numFmtId="0" fontId="167" fillId="22" borderId="0" applyNumberFormat="0" applyBorder="0" applyAlignment="0" applyProtection="0"/>
    <xf numFmtId="0" fontId="11" fillId="0" borderId="0"/>
    <xf numFmtId="0" fontId="167" fillId="22" borderId="0" applyNumberFormat="0" applyBorder="0" applyAlignment="0" applyProtection="0"/>
    <xf numFmtId="0" fontId="167" fillId="22" borderId="0" applyNumberFormat="0" applyBorder="0" applyAlignment="0" applyProtection="0"/>
    <xf numFmtId="0" fontId="18" fillId="0" borderId="0"/>
    <xf numFmtId="49" fontId="13" fillId="0" borderId="18" applyFont="0" applyBorder="0" applyAlignment="0">
      <alignment vertical="center"/>
    </xf>
    <xf numFmtId="49" fontId="13" fillId="0" borderId="18" applyFont="0" applyBorder="0" applyAlignment="0">
      <alignment vertical="center"/>
    </xf>
    <xf numFmtId="49" fontId="13" fillId="0" borderId="18" applyFont="0" applyBorder="0" applyAlignment="0">
      <alignment vertical="center"/>
    </xf>
    <xf numFmtId="0" fontId="11" fillId="0" borderId="0"/>
    <xf numFmtId="0" fontId="11" fillId="0" borderId="0"/>
    <xf numFmtId="37" fontId="168" fillId="0" borderId="0"/>
    <xf numFmtId="349" fontId="169" fillId="0" borderId="0"/>
    <xf numFmtId="350" fontId="8" fillId="0" borderId="0"/>
    <xf numFmtId="0" fontId="31" fillId="0" borderId="0"/>
    <xf numFmtId="0" fontId="31" fillId="0" borderId="0"/>
    <xf numFmtId="351" fontId="170" fillId="0" borderId="0"/>
    <xf numFmtId="352" fontId="171" fillId="0" borderId="0"/>
    <xf numFmtId="0" fontId="31" fillId="0" borderId="0"/>
    <xf numFmtId="0" fontId="31" fillId="0" borderId="0"/>
    <xf numFmtId="0" fontId="31" fillId="0" borderId="0"/>
    <xf numFmtId="0" fontId="31" fillId="0" borderId="0"/>
    <xf numFmtId="0" fontId="31" fillId="0" borderId="0"/>
    <xf numFmtId="0" fontId="11" fillId="0" borderId="0"/>
    <xf numFmtId="0" fontId="31" fillId="0" borderId="0"/>
    <xf numFmtId="0" fontId="31" fillId="0" borderId="0"/>
    <xf numFmtId="0" fontId="11" fillId="0" borderId="0"/>
    <xf numFmtId="0" fontId="31" fillId="0" borderId="0"/>
    <xf numFmtId="0" fontId="31" fillId="0" borderId="0"/>
    <xf numFmtId="1" fontId="46" fillId="0" borderId="36"/>
    <xf numFmtId="1" fontId="46" fillId="0" borderId="36"/>
    <xf numFmtId="0" fontId="11" fillId="0" borderId="0"/>
    <xf numFmtId="38" fontId="54" fillId="0" borderId="0" applyFont="0" applyFill="0" applyBorder="0" applyAlignment="0"/>
    <xf numFmtId="205" fontId="8" fillId="0" borderId="0" applyFont="0" applyFill="0" applyBorder="0" applyAlignment="0"/>
    <xf numFmtId="205" fontId="8" fillId="0" borderId="0" applyFont="0" applyFill="0" applyBorder="0" applyAlignment="0"/>
    <xf numFmtId="0" fontId="11" fillId="0" borderId="0"/>
    <xf numFmtId="40" fontId="54" fillId="0" borderId="0" applyFont="0" applyFill="0" applyBorder="0" applyAlignment="0"/>
    <xf numFmtId="353" fontId="54" fillId="0" borderId="0" applyFont="0" applyFill="0" applyBorder="0" applyAlignment="0"/>
    <xf numFmtId="0" fontId="1" fillId="0" borderId="0"/>
    <xf numFmtId="0" fontId="11" fillId="0" borderId="0"/>
    <xf numFmtId="0" fontId="11" fillId="0" borderId="0"/>
    <xf numFmtId="179" fontId="1" fillId="0" borderId="0"/>
    <xf numFmtId="354" fontId="1" fillId="0" borderId="0"/>
    <xf numFmtId="354" fontId="1" fillId="0" borderId="0"/>
    <xf numFmtId="354" fontId="1" fillId="0" borderId="0"/>
    <xf numFmtId="354" fontId="1" fillId="0" borderId="0"/>
    <xf numFmtId="179" fontId="1" fillId="0" borderId="0"/>
    <xf numFmtId="354" fontId="1" fillId="0" borderId="0"/>
    <xf numFmtId="354" fontId="1" fillId="0" borderId="0"/>
    <xf numFmtId="354" fontId="1" fillId="0" borderId="0"/>
    <xf numFmtId="354" fontId="1" fillId="0" borderId="0"/>
    <xf numFmtId="354" fontId="1" fillId="0" borderId="0"/>
    <xf numFmtId="0" fontId="11" fillId="0" borderId="0"/>
    <xf numFmtId="354" fontId="1" fillId="0" borderId="0"/>
    <xf numFmtId="354" fontId="1" fillId="0" borderId="0"/>
    <xf numFmtId="354" fontId="1" fillId="0" borderId="0"/>
    <xf numFmtId="354" fontId="1" fillId="0" borderId="0"/>
    <xf numFmtId="0" fontId="172" fillId="0" borderId="0"/>
    <xf numFmtId="354" fontId="1" fillId="0" borderId="0"/>
    <xf numFmtId="0" fontId="8" fillId="0" borderId="0"/>
    <xf numFmtId="0" fontId="11" fillId="0" borderId="0"/>
    <xf numFmtId="179" fontId="1" fillId="0" borderId="0"/>
    <xf numFmtId="179"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11" fillId="0" borderId="0"/>
    <xf numFmtId="0" fontId="11" fillId="0" borderId="0"/>
    <xf numFmtId="179" fontId="1" fillId="0" borderId="0"/>
    <xf numFmtId="179" fontId="1" fillId="0" borderId="0"/>
    <xf numFmtId="0" fontId="11" fillId="0" borderId="0"/>
    <xf numFmtId="0" fontId="11" fillId="0" borderId="0"/>
    <xf numFmtId="179" fontId="1" fillId="0" borderId="0"/>
    <xf numFmtId="179" fontId="1" fillId="0" borderId="0"/>
    <xf numFmtId="0" fontId="11" fillId="0" borderId="0"/>
    <xf numFmtId="0" fontId="11" fillId="0" borderId="0"/>
    <xf numFmtId="0" fontId="11" fillId="0" borderId="0"/>
    <xf numFmtId="0" fontId="11" fillId="0" borderId="0"/>
    <xf numFmtId="0" fontId="11" fillId="0" borderId="0"/>
    <xf numFmtId="0" fontId="11" fillId="0" borderId="0"/>
    <xf numFmtId="179" fontId="1" fillId="0" borderId="0"/>
    <xf numFmtId="0" fontId="11" fillId="0" borderId="0"/>
    <xf numFmtId="179" fontId="1" fillId="0" borderId="0"/>
    <xf numFmtId="0" fontId="11" fillId="0" borderId="0"/>
    <xf numFmtId="179" fontId="1" fillId="0" borderId="0"/>
    <xf numFmtId="179" fontId="1" fillId="0" borderId="0"/>
    <xf numFmtId="0" fontId="11" fillId="0" borderId="0"/>
    <xf numFmtId="179" fontId="1" fillId="0" borderId="0"/>
    <xf numFmtId="179" fontId="1" fillId="0" borderId="0"/>
    <xf numFmtId="0" fontId="11" fillId="0" borderId="0"/>
    <xf numFmtId="179" fontId="1" fillId="0" borderId="0"/>
    <xf numFmtId="0" fontId="11" fillId="0" borderId="0"/>
    <xf numFmtId="179" fontId="1" fillId="0" borderId="0"/>
    <xf numFmtId="179" fontId="1" fillId="0" borderId="0"/>
    <xf numFmtId="0" fontId="11" fillId="0" borderId="0"/>
    <xf numFmtId="179" fontId="1" fillId="0" borderId="0"/>
    <xf numFmtId="179" fontId="1" fillId="0" borderId="0"/>
    <xf numFmtId="354" fontId="1" fillId="0" borderId="0"/>
    <xf numFmtId="354" fontId="1" fillId="0" borderId="0"/>
    <xf numFmtId="0" fontId="11" fillId="0" borderId="0"/>
    <xf numFmtId="179" fontId="1" fillId="0" borderId="0"/>
    <xf numFmtId="179" fontId="1" fillId="0" borderId="0"/>
    <xf numFmtId="354" fontId="1" fillId="0" borderId="0"/>
    <xf numFmtId="354" fontId="1" fillId="0" borderId="0"/>
    <xf numFmtId="354" fontId="1" fillId="0" borderId="0"/>
    <xf numFmtId="0" fontId="11" fillId="0" borderId="0"/>
    <xf numFmtId="179"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03" fillId="0" borderId="0"/>
    <xf numFmtId="179" fontId="1" fillId="0" borderId="0"/>
    <xf numFmtId="0" fontId="8" fillId="0" borderId="0"/>
    <xf numFmtId="0" fontId="8" fillId="0" borderId="0"/>
    <xf numFmtId="0" fontId="1" fillId="0" borderId="0"/>
    <xf numFmtId="0" fontId="1" fillId="0" borderId="0"/>
    <xf numFmtId="0" fontId="1" fillId="0" borderId="0"/>
    <xf numFmtId="0" fontId="11" fillId="0" borderId="0"/>
    <xf numFmtId="0" fontId="1" fillId="0" borderId="0"/>
    <xf numFmtId="0" fontId="1" fillId="0" borderId="0"/>
    <xf numFmtId="0" fontId="56" fillId="0" borderId="0"/>
    <xf numFmtId="0" fontId="8" fillId="0" borderId="0"/>
    <xf numFmtId="0" fontId="8" fillId="0" borderId="0"/>
    <xf numFmtId="0" fontId="8" fillId="0" borderId="0"/>
    <xf numFmtId="0" fontId="8" fillId="0" borderId="0"/>
    <xf numFmtId="0" fontId="8"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179"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179" fontId="8" fillId="0" borderId="0"/>
    <xf numFmtId="179" fontId="8" fillId="0" borderId="0"/>
    <xf numFmtId="0" fontId="8"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 fillId="0" borderId="0"/>
    <xf numFmtId="0" fontId="1" fillId="0" borderId="0"/>
    <xf numFmtId="0" fontId="6" fillId="0" borderId="0"/>
    <xf numFmtId="0" fontId="107" fillId="0" borderId="0"/>
    <xf numFmtId="0" fontId="11" fillId="0" borderId="0"/>
    <xf numFmtId="0" fontId="11" fillId="0" borderId="0"/>
    <xf numFmtId="179" fontId="1" fillId="0" borderId="0"/>
    <xf numFmtId="0" fontId="1" fillId="0" borderId="0"/>
    <xf numFmtId="0" fontId="1" fillId="0" borderId="0"/>
    <xf numFmtId="0" fontId="1" fillId="0" borderId="0"/>
    <xf numFmtId="0" fontId="1" fillId="0" borderId="0"/>
    <xf numFmtId="0" fontId="1" fillId="0" borderId="0"/>
    <xf numFmtId="179" fontId="8" fillId="0" borderId="0"/>
    <xf numFmtId="0" fontId="11"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179" fontId="1" fillId="0" borderId="0"/>
    <xf numFmtId="0" fontId="11" fillId="0" borderId="0"/>
    <xf numFmtId="179" fontId="1" fillId="0" borderId="0"/>
    <xf numFmtId="179" fontId="1" fillId="0" borderId="0"/>
    <xf numFmtId="0" fontId="1" fillId="0" borderId="0"/>
    <xf numFmtId="0" fontId="11" fillId="0" borderId="0"/>
    <xf numFmtId="0" fontId="11" fillId="0" borderId="0"/>
    <xf numFmtId="179" fontId="1" fillId="0" borderId="0"/>
    <xf numFmtId="179" fontId="1" fillId="0" borderId="0"/>
    <xf numFmtId="0" fontId="11" fillId="0" borderId="0"/>
    <xf numFmtId="179" fontId="1" fillId="0" borderId="0"/>
    <xf numFmtId="179" fontId="1" fillId="0" borderId="0"/>
    <xf numFmtId="0" fontId="11" fillId="0" borderId="0"/>
    <xf numFmtId="179" fontId="1" fillId="0" borderId="0"/>
    <xf numFmtId="179" fontId="1" fillId="0" borderId="0"/>
    <xf numFmtId="0" fontId="11" fillId="0" borderId="0"/>
    <xf numFmtId="179" fontId="1" fillId="0" borderId="0"/>
    <xf numFmtId="179" fontId="1" fillId="0" borderId="0"/>
    <xf numFmtId="0" fontId="11" fillId="0" borderId="0"/>
    <xf numFmtId="179" fontId="1" fillId="0" borderId="0"/>
    <xf numFmtId="179" fontId="1" fillId="0" borderId="0"/>
    <xf numFmtId="0" fontId="1" fillId="0" borderId="0"/>
    <xf numFmtId="179" fontId="8"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2" fillId="0" borderId="0"/>
    <xf numFmtId="0" fontId="11" fillId="0" borderId="0"/>
    <xf numFmtId="0" fontId="1" fillId="0" borderId="0"/>
    <xf numFmtId="0" fontId="1" fillId="0" borderId="0"/>
    <xf numFmtId="0" fontId="1" fillId="0" borderId="0"/>
    <xf numFmtId="0" fontId="11" fillId="0" borderId="0"/>
    <xf numFmtId="0" fontId="11" fillId="0" borderId="0"/>
    <xf numFmtId="180" fontId="8" fillId="0" borderId="0"/>
    <xf numFmtId="0" fontId="11" fillId="0" borderId="0"/>
    <xf numFmtId="179"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179"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 fillId="0" borderId="0"/>
    <xf numFmtId="180" fontId="8" fillId="0" borderId="0"/>
    <xf numFmtId="0" fontId="96" fillId="0" borderId="0"/>
    <xf numFmtId="179" fontId="4" fillId="0" borderId="0"/>
    <xf numFmtId="0" fontId="1" fillId="0" borderId="0"/>
    <xf numFmtId="0" fontId="1" fillId="0" borderId="0"/>
    <xf numFmtId="0" fontId="1" fillId="0" borderId="0"/>
    <xf numFmtId="0" fontId="1" fillId="0" borderId="0"/>
    <xf numFmtId="0" fontId="1" fillId="0" borderId="0"/>
    <xf numFmtId="0" fontId="11" fillId="0" borderId="0"/>
    <xf numFmtId="179"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22"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180" fontId="8" fillId="0" borderId="0"/>
    <xf numFmtId="179"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94"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72" fillId="0" borderId="0"/>
    <xf numFmtId="0" fontId="106" fillId="0" borderId="0"/>
    <xf numFmtId="0" fontId="173" fillId="0" borderId="0"/>
    <xf numFmtId="0" fontId="1" fillId="0" borderId="0"/>
    <xf numFmtId="0" fontId="1" fillId="0" borderId="0"/>
    <xf numFmtId="179"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1"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54" fillId="0" borderId="0"/>
    <xf numFmtId="0" fontId="54" fillId="0" borderId="0"/>
    <xf numFmtId="0" fontId="54" fillId="0" borderId="0"/>
    <xf numFmtId="0" fontId="8"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54" fillId="0" borderId="0"/>
    <xf numFmtId="0" fontId="54" fillId="0" borderId="0"/>
    <xf numFmtId="0" fontId="54" fillId="0" borderId="0"/>
    <xf numFmtId="0" fontId="4" fillId="0" borderId="0"/>
    <xf numFmtId="0" fontId="4" fillId="0" borderId="0"/>
    <xf numFmtId="0" fontId="4" fillId="0" borderId="0"/>
    <xf numFmtId="0" fontId="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6" fillId="0" borderId="0"/>
    <xf numFmtId="179"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4" fillId="0" borderId="0"/>
    <xf numFmtId="0" fontId="4" fillId="0" borderId="0"/>
    <xf numFmtId="0" fontId="4" fillId="0" borderId="0"/>
    <xf numFmtId="0" fontId="4" fillId="0" borderId="0"/>
    <xf numFmtId="0" fontId="4" fillId="0" borderId="0"/>
    <xf numFmtId="0" fontId="54" fillId="0" borderId="0"/>
    <xf numFmtId="0" fontId="54" fillId="0" borderId="0"/>
    <xf numFmtId="0" fontId="54" fillId="0" borderId="0"/>
    <xf numFmtId="0" fontId="54" fillId="0" borderId="0"/>
    <xf numFmtId="0" fontId="54" fillId="0" borderId="0"/>
    <xf numFmtId="0" fontId="4" fillId="0" borderId="0"/>
    <xf numFmtId="0" fontId="54" fillId="0" borderId="0"/>
    <xf numFmtId="0" fontId="54" fillId="0" borderId="0"/>
    <xf numFmtId="0" fontId="54" fillId="0" borderId="0"/>
    <xf numFmtId="0" fontId="54" fillId="0" borderId="0"/>
    <xf numFmtId="0" fontId="5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8" fillId="0" borderId="0"/>
    <xf numFmtId="0" fontId="54" fillId="0" borderId="0"/>
    <xf numFmtId="0" fontId="54" fillId="0" borderId="0"/>
    <xf numFmtId="0" fontId="8" fillId="0" borderId="0"/>
    <xf numFmtId="0" fontId="8" fillId="0" borderId="0"/>
    <xf numFmtId="0" fontId="8" fillId="0" borderId="0"/>
    <xf numFmtId="0" fontId="8" fillId="0" borderId="0"/>
    <xf numFmtId="0" fontId="8"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54" fillId="0" borderId="0"/>
    <xf numFmtId="0" fontId="54" fillId="0" borderId="0"/>
    <xf numFmtId="0" fontId="8" fillId="0" borderId="0"/>
    <xf numFmtId="0" fontId="8" fillId="0" borderId="0"/>
    <xf numFmtId="0" fontId="8" fillId="0" borderId="0"/>
    <xf numFmtId="0" fontId="8" fillId="0" borderId="0"/>
    <xf numFmtId="0" fontId="8"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9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11" fillId="0" borderId="0"/>
    <xf numFmtId="0" fontId="54" fillId="0" borderId="0"/>
    <xf numFmtId="0" fontId="5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54"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11" fillId="0" borderId="0"/>
    <xf numFmtId="0" fontId="11" fillId="0" borderId="0"/>
    <xf numFmtId="0" fontId="95"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54" fillId="0" borderId="0"/>
    <xf numFmtId="0" fontId="54" fillId="0" borderId="0"/>
    <xf numFmtId="0" fontId="54"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0" fontId="8"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11" fillId="0" borderId="0"/>
    <xf numFmtId="0" fontId="11" fillId="0" borderId="0"/>
    <xf numFmtId="0" fontId="11" fillId="0" borderId="0"/>
    <xf numFmtId="0" fontId="60"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54" fillId="0" borderId="0"/>
    <xf numFmtId="0" fontId="54" fillId="0" borderId="0"/>
    <xf numFmtId="0" fontId="54" fillId="0" borderId="0"/>
    <xf numFmtId="0" fontId="5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6" fillId="0" borderId="0"/>
    <xf numFmtId="0" fontId="1" fillId="0" borderId="0"/>
    <xf numFmtId="0" fontId="8"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179" fontId="8"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11" fillId="0" borderId="0"/>
    <xf numFmtId="0" fontId="11" fillId="0" borderId="0"/>
    <xf numFmtId="0" fontId="11" fillId="0" borderId="0"/>
    <xf numFmtId="0" fontId="5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5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11" fillId="0" borderId="0"/>
    <xf numFmtId="0" fontId="11" fillId="0" borderId="0"/>
    <xf numFmtId="0" fontId="11" fillId="0" borderId="0"/>
    <xf numFmtId="0" fontId="54" fillId="0" borderId="0"/>
    <xf numFmtId="0" fontId="11" fillId="0" borderId="0"/>
    <xf numFmtId="0" fontId="11" fillId="0" borderId="0"/>
    <xf numFmtId="0" fontId="11"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8" fillId="0" borderId="0"/>
    <xf numFmtId="0" fontId="54" fillId="0" borderId="0"/>
    <xf numFmtId="0" fontId="54" fillId="0" borderId="0"/>
    <xf numFmtId="0" fontId="54" fillId="0" borderId="0"/>
    <xf numFmtId="0" fontId="54" fillId="0" borderId="0"/>
    <xf numFmtId="0" fontId="54" fillId="0" borderId="0"/>
    <xf numFmtId="0" fontId="8" fillId="0" borderId="0"/>
    <xf numFmtId="0" fontId="8" fillId="0" borderId="0"/>
    <xf numFmtId="0" fontId="8" fillId="0" borderId="0"/>
    <xf numFmtId="0" fontId="8" fillId="0" borderId="0"/>
    <xf numFmtId="0" fontId="8" fillId="0" borderId="0"/>
    <xf numFmtId="0" fontId="54" fillId="0" borderId="0"/>
    <xf numFmtId="0" fontId="8"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1"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 fillId="0" borderId="0"/>
    <xf numFmtId="0" fontId="1" fillId="0" borderId="0"/>
    <xf numFmtId="0" fontId="8" fillId="0" borderId="0"/>
    <xf numFmtId="0" fontId="11"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9" fontId="8" fillId="0" borderId="0"/>
    <xf numFmtId="0" fontId="8" fillId="0" borderId="0"/>
    <xf numFmtId="0" fontId="8" fillId="0" borderId="0"/>
    <xf numFmtId="0" fontId="8" fillId="0" borderId="0"/>
    <xf numFmtId="0" fontId="8" fillId="0" borderId="0"/>
    <xf numFmtId="0" fontId="8"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9" fontId="8" fillId="0" borderId="0"/>
    <xf numFmtId="179" fontId="8" fillId="0" borderId="0"/>
    <xf numFmtId="179" fontId="8" fillId="0" borderId="0"/>
    <xf numFmtId="179" fontId="8" fillId="0" borderId="0"/>
    <xf numFmtId="0" fontId="11" fillId="0" borderId="0"/>
    <xf numFmtId="179" fontId="8" fillId="0" borderId="0"/>
    <xf numFmtId="0" fontId="11" fillId="0" borderId="0"/>
    <xf numFmtId="0" fontId="11" fillId="0" borderId="0"/>
    <xf numFmtId="0" fontId="8"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9" fontId="1" fillId="0" borderId="0"/>
    <xf numFmtId="0" fontId="1"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11" fillId="0" borderId="0"/>
    <xf numFmtId="0" fontId="11"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 fillId="0" borderId="0"/>
    <xf numFmtId="0" fontId="1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9" fontId="1"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xf numFmtId="0" fontId="54" fillId="0" borderId="0"/>
    <xf numFmtId="0" fontId="54" fillId="0" borderId="0"/>
    <xf numFmtId="0" fontId="54" fillId="0" borderId="0"/>
    <xf numFmtId="0" fontId="54" fillId="0" borderId="0"/>
    <xf numFmtId="0" fontId="54"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9"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8" fillId="0" borderId="0"/>
    <xf numFmtId="0" fontId="4" fillId="0" borderId="0"/>
    <xf numFmtId="0" fontId="4" fillId="0" borderId="0"/>
    <xf numFmtId="0" fontId="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179"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97"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54" fillId="0" borderId="0"/>
    <xf numFmtId="0" fontId="11" fillId="0" borderId="0"/>
    <xf numFmtId="0" fontId="54" fillId="0" borderId="0"/>
    <xf numFmtId="0" fontId="54" fillId="0" borderId="0"/>
    <xf numFmtId="0" fontId="54"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1" fillId="0" borderId="0"/>
    <xf numFmtId="0" fontId="8" fillId="0" borderId="0"/>
    <xf numFmtId="0" fontId="1" fillId="0" borderId="0"/>
    <xf numFmtId="0" fontId="1" fillId="0" borderId="0"/>
    <xf numFmtId="179"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1" fillId="0" borderId="0"/>
    <xf numFmtId="0" fontId="8" fillId="0" borderId="0"/>
    <xf numFmtId="179" fontId="8" fillId="0" borderId="0"/>
    <xf numFmtId="273" fontId="8"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273" fontId="8" fillId="0" borderId="0"/>
    <xf numFmtId="0" fontId="1" fillId="0" borderId="0"/>
    <xf numFmtId="0" fontId="1" fillId="0" borderId="0"/>
    <xf numFmtId="0" fontId="1" fillId="0" borderId="0"/>
    <xf numFmtId="0" fontId="1" fillId="0" borderId="0"/>
    <xf numFmtId="0" fontId="11" fillId="0" borderId="0"/>
    <xf numFmtId="0" fontId="8" fillId="0" borderId="0"/>
    <xf numFmtId="0" fontId="1" fillId="0" borderId="0"/>
    <xf numFmtId="0" fontId="1" fillId="0" borderId="0"/>
    <xf numFmtId="179"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1" fillId="0" borderId="0"/>
    <xf numFmtId="0" fontId="8" fillId="0" borderId="0"/>
    <xf numFmtId="179" fontId="8"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8" fillId="0" borderId="0"/>
    <xf numFmtId="179" fontId="8"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1" fillId="0" borderId="0"/>
    <xf numFmtId="0" fontId="8" fillId="0" borderId="0"/>
    <xf numFmtId="179" fontId="8" fillId="0" borderId="0"/>
    <xf numFmtId="0" fontId="11" fillId="0" borderId="0"/>
    <xf numFmtId="0" fontId="174" fillId="0" borderId="0" applyNumberFormat="0" applyFill="0" applyBorder="0" applyAlignment="0" applyProtection="0"/>
    <xf numFmtId="0" fontId="8" fillId="0" borderId="0"/>
    <xf numFmtId="179" fontId="8" fillId="0" borderId="0"/>
    <xf numFmtId="0" fontId="11" fillId="0" borderId="0"/>
    <xf numFmtId="179" fontId="8" fillId="0" borderId="0"/>
    <xf numFmtId="0" fontId="11" fillId="0" borderId="0"/>
    <xf numFmtId="0" fontId="8" fillId="0" borderId="0"/>
    <xf numFmtId="179" fontId="8" fillId="0" borderId="0"/>
    <xf numFmtId="0" fontId="11" fillId="0" borderId="0"/>
    <xf numFmtId="0" fontId="8" fillId="0" borderId="0"/>
    <xf numFmtId="179" fontId="8" fillId="0" borderId="0"/>
    <xf numFmtId="0" fontId="21" fillId="0" borderId="0"/>
    <xf numFmtId="0" fontId="11" fillId="0" borderId="0"/>
    <xf numFmtId="0" fontId="11" fillId="0" borderId="0"/>
    <xf numFmtId="0" fontId="8" fillId="0" borderId="0"/>
    <xf numFmtId="179" fontId="8" fillId="0" borderId="0"/>
    <xf numFmtId="0" fontId="1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97"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1" fillId="0" borderId="0"/>
    <xf numFmtId="0" fontId="1" fillId="0" borderId="0"/>
    <xf numFmtId="0" fontId="1" fillId="0" borderId="0"/>
    <xf numFmtId="0" fontId="8" fillId="0" borderId="0"/>
    <xf numFmtId="0" fontId="1"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11"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97"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1" fillId="0" borderId="0"/>
    <xf numFmtId="0" fontId="1" fillId="0" borderId="0"/>
    <xf numFmtId="0" fontId="1" fillId="0" borderId="0"/>
    <xf numFmtId="0" fontId="8" fillId="0" borderId="0"/>
    <xf numFmtId="0" fontId="8" fillId="0" borderId="0"/>
    <xf numFmtId="0" fontId="8"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 fillId="0" borderId="0"/>
    <xf numFmtId="0" fontId="8" fillId="0" borderId="0"/>
    <xf numFmtId="0" fontId="8" fillId="0" borderId="0"/>
    <xf numFmtId="0" fontId="8" fillId="0" borderId="0"/>
    <xf numFmtId="0" fontId="8" fillId="0" borderId="0"/>
    <xf numFmtId="0" fontId="8" fillId="0" borderId="0"/>
    <xf numFmtId="0" fontId="22"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22" fillId="0" borderId="0"/>
    <xf numFmtId="0" fontId="11" fillId="0" borderId="0"/>
    <xf numFmtId="0" fontId="8" fillId="0" borderId="0"/>
    <xf numFmtId="0" fontId="8" fillId="0" borderId="0"/>
    <xf numFmtId="0" fontId="8" fillId="0" borderId="0"/>
    <xf numFmtId="0" fontId="8" fillId="0" borderId="0"/>
    <xf numFmtId="0" fontId="8" fillId="0" borderId="0"/>
    <xf numFmtId="0" fontId="11" fillId="0" borderId="0"/>
    <xf numFmtId="0" fontId="6"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11" fillId="0" borderId="0"/>
    <xf numFmtId="0" fontId="106" fillId="0" borderId="0"/>
    <xf numFmtId="179" fontId="8" fillId="0" borderId="0"/>
    <xf numFmtId="0" fontId="8" fillId="0" borderId="0"/>
    <xf numFmtId="179" fontId="8" fillId="0" borderId="0"/>
    <xf numFmtId="0" fontId="54" fillId="0" borderId="0"/>
    <xf numFmtId="179" fontId="8" fillId="0" borderId="0"/>
    <xf numFmtId="0" fontId="11" fillId="0" borderId="0"/>
    <xf numFmtId="179" fontId="8" fillId="0" borderId="0"/>
    <xf numFmtId="0" fontId="1" fillId="0" borderId="0"/>
    <xf numFmtId="179" fontId="8" fillId="0" borderId="0"/>
    <xf numFmtId="0" fontId="9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179" fontId="8" fillId="0" borderId="0"/>
    <xf numFmtId="179" fontId="8" fillId="0" borderId="0"/>
    <xf numFmtId="0" fontId="1" fillId="0" borderId="0"/>
    <xf numFmtId="0" fontId="1" fillId="0" borderId="0"/>
    <xf numFmtId="0" fontId="8" fillId="0" borderId="0"/>
    <xf numFmtId="0" fontId="11" fillId="0" borderId="0"/>
    <xf numFmtId="0" fontId="4" fillId="0" borderId="0"/>
    <xf numFmtId="0" fontId="8" fillId="0" borderId="0"/>
    <xf numFmtId="0" fontId="4" fillId="0" borderId="0"/>
    <xf numFmtId="0" fontId="11" fillId="0" borderId="0"/>
    <xf numFmtId="0" fontId="4" fillId="0" borderId="0"/>
    <xf numFmtId="0" fontId="8" fillId="0" borderId="0"/>
    <xf numFmtId="0" fontId="11" fillId="0" borderId="0"/>
    <xf numFmtId="0" fontId="11" fillId="0" borderId="0"/>
    <xf numFmtId="0" fontId="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5" fillId="0" borderId="0" applyNumberFormat="0" applyFill="0" applyBorder="0" applyProtection="0">
      <alignment vertical="top" wrapText="1"/>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9"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 fillId="0" borderId="0"/>
    <xf numFmtId="0" fontId="96"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75" fillId="0" borderId="0" applyNumberFormat="0" applyFill="0" applyBorder="0" applyProtection="0">
      <alignment vertical="top" wrapText="1"/>
    </xf>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7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97" fillId="0" borderId="0"/>
    <xf numFmtId="0" fontId="97" fillId="0" borderId="0"/>
    <xf numFmtId="0" fontId="9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4"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97" fillId="0" borderId="0"/>
    <xf numFmtId="0" fontId="8" fillId="0" borderId="0"/>
    <xf numFmtId="0" fontId="8" fillId="0" borderId="0"/>
    <xf numFmtId="0" fontId="1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 fillId="0" borderId="0"/>
    <xf numFmtId="0" fontId="1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97"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97" fillId="0" borderId="0"/>
    <xf numFmtId="0" fontId="97" fillId="0" borderId="0"/>
    <xf numFmtId="0" fontId="11" fillId="0" borderId="0"/>
    <xf numFmtId="0" fontId="11" fillId="0" borderId="0"/>
    <xf numFmtId="0" fontId="11" fillId="0" borderId="0"/>
    <xf numFmtId="0" fontId="11" fillId="0" borderId="0"/>
    <xf numFmtId="0" fontId="11" fillId="0" borderId="0"/>
    <xf numFmtId="0" fontId="11" fillId="0" borderId="0"/>
    <xf numFmtId="0" fontId="60"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1" fillId="0" borderId="0"/>
    <xf numFmtId="0" fontId="8" fillId="0" borderId="0"/>
    <xf numFmtId="0" fontId="8" fillId="0" borderId="0"/>
    <xf numFmtId="0" fontId="11"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196" fontId="8" fillId="0" borderId="0"/>
    <xf numFmtId="295" fontId="21" fillId="0" borderId="0"/>
    <xf numFmtId="0" fontId="11" fillId="0" borderId="0"/>
    <xf numFmtId="196" fontId="8" fillId="0" borderId="0"/>
    <xf numFmtId="295" fontId="21" fillId="0" borderId="0"/>
    <xf numFmtId="0" fontId="11" fillId="0" borderId="0"/>
    <xf numFmtId="196" fontId="8" fillId="0" borderId="0"/>
    <xf numFmtId="295" fontId="21" fillId="0" borderId="0"/>
    <xf numFmtId="0" fontId="11" fillId="0" borderId="0"/>
    <xf numFmtId="196" fontId="8" fillId="0" borderId="0"/>
    <xf numFmtId="295" fontId="21" fillId="0" borderId="0"/>
    <xf numFmtId="0" fontId="11" fillId="0" borderId="0"/>
    <xf numFmtId="196" fontId="8" fillId="0" borderId="0"/>
    <xf numFmtId="295" fontId="21" fillId="0" borderId="0"/>
    <xf numFmtId="0" fontId="11" fillId="0" borderId="0"/>
    <xf numFmtId="196" fontId="8" fillId="0" borderId="0"/>
    <xf numFmtId="295" fontId="21" fillId="0" borderId="0"/>
    <xf numFmtId="0" fontId="11" fillId="0" borderId="0"/>
    <xf numFmtId="196" fontId="8" fillId="0" borderId="0"/>
    <xf numFmtId="295" fontId="21" fillId="0" borderId="0"/>
    <xf numFmtId="0" fontId="11" fillId="0" borderId="0"/>
    <xf numFmtId="196" fontId="8" fillId="0" borderId="0"/>
    <xf numFmtId="295" fontId="21" fillId="0" borderId="0"/>
    <xf numFmtId="0" fontId="11" fillId="0" borderId="0"/>
    <xf numFmtId="0" fontId="11" fillId="0" borderId="0"/>
    <xf numFmtId="0" fontId="96" fillId="0" borderId="0"/>
    <xf numFmtId="0" fontId="1" fillId="0" borderId="0"/>
    <xf numFmtId="354"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06"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11" fillId="0" borderId="0"/>
    <xf numFmtId="0" fontId="1" fillId="0" borderId="0"/>
    <xf numFmtId="0" fontId="96"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 fillId="0" borderId="0"/>
    <xf numFmtId="0" fontId="11" fillId="0" borderId="0"/>
    <xf numFmtId="0" fontId="1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179"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 fillId="0" borderId="0"/>
    <xf numFmtId="179" fontId="8" fillId="0" borderId="0"/>
    <xf numFmtId="179" fontId="8" fillId="0" borderId="0"/>
    <xf numFmtId="179" fontId="8" fillId="0" borderId="0"/>
    <xf numFmtId="179" fontId="8" fillId="0" borderId="0"/>
    <xf numFmtId="179" fontId="8" fillId="0" borderId="0"/>
    <xf numFmtId="0" fontId="11" fillId="0" borderId="0"/>
    <xf numFmtId="179" fontId="8" fillId="0" borderId="0"/>
    <xf numFmtId="0" fontId="8" fillId="0" borderId="0"/>
    <xf numFmtId="0" fontId="8" fillId="0" borderId="0"/>
    <xf numFmtId="0" fontId="8" fillId="0" borderId="0"/>
    <xf numFmtId="0" fontId="8" fillId="0" borderId="0"/>
    <xf numFmtId="0" fontId="11" fillId="0" borderId="0"/>
    <xf numFmtId="0" fontId="97"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95" fontId="2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179"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295" fontId="2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179" fontId="8" fillId="0" borderId="0"/>
    <xf numFmtId="179" fontId="8" fillId="0" borderId="0"/>
    <xf numFmtId="179" fontId="8" fillId="0" borderId="0"/>
    <xf numFmtId="0" fontId="11" fillId="0" borderId="0"/>
    <xf numFmtId="179" fontId="8" fillId="0" borderId="0"/>
    <xf numFmtId="0" fontId="11" fillId="0" borderId="0"/>
    <xf numFmtId="179" fontId="8" fillId="0" borderId="0"/>
    <xf numFmtId="295" fontId="21" fillId="0" borderId="0"/>
    <xf numFmtId="0" fontId="11" fillId="0" borderId="0"/>
    <xf numFmtId="0" fontId="1" fillId="0" borderId="0"/>
    <xf numFmtId="295" fontId="2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6"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11" fillId="0" borderId="0"/>
    <xf numFmtId="179" fontId="1" fillId="0" borderId="0"/>
    <xf numFmtId="179"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179" fontId="1" fillId="0" borderId="0"/>
    <xf numFmtId="0" fontId="11" fillId="0" borderId="0"/>
    <xf numFmtId="0" fontId="11" fillId="0" borderId="0"/>
    <xf numFmtId="0" fontId="11" fillId="0" borderId="0"/>
    <xf numFmtId="0" fontId="11" fillId="0" borderId="0"/>
    <xf numFmtId="179" fontId="1" fillId="0" borderId="0"/>
    <xf numFmtId="179" fontId="1" fillId="0" borderId="0"/>
    <xf numFmtId="179" fontId="1" fillId="0" borderId="0"/>
    <xf numFmtId="179" fontId="1"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354"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9" fontId="1"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179"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0" fontId="11" fillId="0" borderId="0"/>
    <xf numFmtId="0" fontId="11" fillId="0" borderId="0"/>
    <xf numFmtId="0" fontId="11"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1"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1" fillId="0" borderId="0"/>
    <xf numFmtId="179" fontId="1" fillId="0" borderId="0"/>
    <xf numFmtId="354" fontId="1" fillId="0" borderId="0"/>
    <xf numFmtId="354" fontId="1" fillId="0" borderId="0"/>
    <xf numFmtId="354" fontId="1" fillId="0" borderId="0"/>
    <xf numFmtId="354" fontId="1" fillId="0" borderId="0"/>
    <xf numFmtId="354" fontId="1" fillId="0" borderId="0"/>
    <xf numFmtId="0" fontId="11" fillId="0" borderId="0"/>
    <xf numFmtId="0" fontId="1" fillId="0" borderId="0"/>
    <xf numFmtId="0" fontId="1" fillId="0" borderId="0"/>
    <xf numFmtId="0" fontId="1" fillId="0" borderId="0"/>
    <xf numFmtId="0" fontId="1" fillId="0" borderId="0"/>
    <xf numFmtId="0" fontId="1" fillId="0" borderId="0"/>
    <xf numFmtId="179" fontId="1" fillId="0" borderId="0"/>
    <xf numFmtId="354" fontId="1" fillId="0" borderId="0"/>
    <xf numFmtId="354" fontId="1" fillId="0" borderId="0"/>
    <xf numFmtId="354" fontId="1" fillId="0" borderId="0"/>
    <xf numFmtId="354" fontId="1" fillId="0" borderId="0"/>
    <xf numFmtId="354" fontId="1" fillId="0" borderId="0"/>
    <xf numFmtId="0" fontId="11" fillId="0" borderId="0"/>
    <xf numFmtId="354" fontId="1" fillId="0" borderId="0"/>
    <xf numFmtId="354" fontId="1" fillId="0" borderId="0"/>
    <xf numFmtId="354" fontId="1" fillId="0" borderId="0"/>
    <xf numFmtId="354" fontId="1" fillId="0" borderId="0"/>
    <xf numFmtId="354" fontId="1" fillId="0" borderId="0"/>
    <xf numFmtId="0" fontId="8" fillId="0" borderId="0"/>
    <xf numFmtId="0" fontId="8" fillId="0" borderId="0"/>
    <xf numFmtId="0" fontId="8" fillId="0" borderId="0"/>
    <xf numFmtId="0" fontId="8" fillId="0" borderId="0"/>
    <xf numFmtId="0" fontId="8" fillId="0" borderId="0"/>
    <xf numFmtId="0" fontId="11" fillId="0" borderId="0"/>
    <xf numFmtId="0" fontId="11" fillId="0" borderId="0"/>
    <xf numFmtId="179" fontId="1" fillId="0" borderId="0"/>
    <xf numFmtId="354" fontId="1" fillId="0" borderId="0"/>
    <xf numFmtId="354" fontId="1" fillId="0" borderId="0"/>
    <xf numFmtId="354" fontId="1" fillId="0" borderId="0"/>
    <xf numFmtId="354" fontId="1" fillId="0" borderId="0"/>
    <xf numFmtId="179" fontId="1" fillId="0" borderId="0"/>
    <xf numFmtId="354" fontId="1" fillId="0" borderId="0"/>
    <xf numFmtId="354" fontId="1" fillId="0" borderId="0"/>
    <xf numFmtId="354" fontId="1" fillId="0" borderId="0"/>
    <xf numFmtId="354" fontId="1" fillId="0" borderId="0"/>
    <xf numFmtId="354" fontId="1" fillId="0" borderId="0"/>
    <xf numFmtId="0" fontId="11" fillId="0" borderId="0"/>
    <xf numFmtId="354" fontId="1" fillId="0" borderId="0"/>
    <xf numFmtId="354" fontId="1" fillId="0" borderId="0"/>
    <xf numFmtId="354" fontId="1" fillId="0" borderId="0"/>
    <xf numFmtId="354" fontId="1" fillId="0" borderId="0"/>
    <xf numFmtId="354" fontId="1" fillId="0" borderId="0"/>
    <xf numFmtId="0" fontId="11" fillId="0" borderId="0"/>
    <xf numFmtId="0" fontId="11" fillId="0" borderId="0"/>
    <xf numFmtId="179" fontId="1" fillId="0" borderId="0"/>
    <xf numFmtId="354" fontId="1" fillId="0" borderId="0"/>
    <xf numFmtId="354" fontId="1" fillId="0" borderId="0"/>
    <xf numFmtId="354" fontId="1" fillId="0" borderId="0"/>
    <xf numFmtId="354" fontId="1" fillId="0" borderId="0"/>
    <xf numFmtId="179" fontId="1" fillId="0" borderId="0"/>
    <xf numFmtId="354" fontId="1" fillId="0" borderId="0"/>
    <xf numFmtId="354" fontId="1" fillId="0" borderId="0"/>
    <xf numFmtId="354" fontId="1" fillId="0" borderId="0"/>
    <xf numFmtId="354" fontId="1" fillId="0" borderId="0"/>
    <xf numFmtId="0" fontId="11" fillId="0" borderId="0"/>
    <xf numFmtId="0" fontId="11" fillId="0" borderId="0"/>
    <xf numFmtId="0" fontId="11" fillId="0" borderId="0"/>
    <xf numFmtId="0" fontId="11" fillId="0" borderId="0"/>
    <xf numFmtId="179" fontId="1" fillId="0" borderId="0"/>
    <xf numFmtId="179" fontId="1" fillId="0" borderId="0"/>
    <xf numFmtId="0" fontId="11" fillId="0" borderId="0"/>
    <xf numFmtId="179" fontId="1" fillId="0" borderId="0"/>
    <xf numFmtId="179" fontId="1" fillId="0" borderId="0"/>
    <xf numFmtId="354" fontId="1" fillId="0" borderId="0"/>
    <xf numFmtId="354" fontId="1" fillId="0" borderId="0"/>
    <xf numFmtId="0" fontId="11" fillId="0" borderId="0"/>
    <xf numFmtId="0" fontId="11" fillId="0" borderId="0"/>
    <xf numFmtId="0" fontId="11" fillId="0" borderId="0"/>
    <xf numFmtId="0" fontId="11" fillId="0" borderId="0"/>
    <xf numFmtId="0" fontId="11" fillId="0" borderId="0"/>
    <xf numFmtId="179" fontId="1" fillId="0" borderId="0"/>
    <xf numFmtId="0" fontId="11" fillId="0" borderId="0"/>
    <xf numFmtId="179" fontId="1" fillId="0" borderId="0"/>
    <xf numFmtId="179" fontId="1" fillId="0" borderId="0"/>
    <xf numFmtId="0" fontId="11" fillId="0" borderId="0"/>
    <xf numFmtId="179" fontId="1" fillId="0" borderId="0"/>
    <xf numFmtId="0" fontId="11" fillId="0" borderId="0"/>
    <xf numFmtId="179" fontId="1" fillId="0" borderId="0"/>
    <xf numFmtId="179" fontId="1" fillId="0" borderId="0"/>
    <xf numFmtId="0" fontId="11" fillId="0" borderId="0"/>
    <xf numFmtId="179" fontId="1" fillId="0" borderId="0"/>
    <xf numFmtId="179" fontId="1" fillId="0" borderId="0"/>
    <xf numFmtId="0" fontId="11" fillId="0" borderId="0"/>
    <xf numFmtId="179" fontId="1" fillId="0" borderId="0"/>
    <xf numFmtId="179" fontId="1" fillId="0" borderId="0"/>
    <xf numFmtId="0" fontId="11" fillId="0" borderId="0"/>
    <xf numFmtId="179" fontId="1" fillId="0" borderId="0"/>
    <xf numFmtId="179" fontId="1" fillId="0" borderId="0"/>
    <xf numFmtId="354" fontId="1" fillId="0" borderId="0"/>
    <xf numFmtId="354" fontId="1" fillId="0" borderId="0"/>
    <xf numFmtId="0" fontId="11" fillId="0" borderId="0"/>
    <xf numFmtId="179" fontId="1" fillId="0" borderId="0"/>
    <xf numFmtId="179" fontId="1" fillId="0" borderId="0"/>
    <xf numFmtId="0" fontId="8" fillId="0" borderId="0"/>
    <xf numFmtId="0" fontId="8"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60" fillId="0" borderId="0"/>
    <xf numFmtId="0" fontId="8"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96" fontId="1" fillId="0" borderId="0"/>
    <xf numFmtId="179" fontId="1" fillId="0" borderId="0"/>
    <xf numFmtId="196" fontId="1" fillId="0" borderId="0"/>
    <xf numFmtId="196" fontId="1" fillId="0" borderId="0"/>
    <xf numFmtId="196" fontId="1" fillId="0" borderId="0"/>
    <xf numFmtId="196"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60" fillId="0" borderId="0"/>
    <xf numFmtId="0" fontId="60" fillId="0" borderId="0"/>
    <xf numFmtId="0" fontId="60" fillId="0" borderId="0"/>
    <xf numFmtId="0" fontId="60" fillId="0" borderId="0"/>
    <xf numFmtId="0" fontId="60" fillId="0" borderId="0"/>
    <xf numFmtId="179" fontId="1" fillId="0" borderId="0"/>
    <xf numFmtId="196" fontId="1" fillId="0" borderId="0"/>
    <xf numFmtId="295" fontId="96" fillId="0" borderId="0"/>
    <xf numFmtId="196" fontId="1" fillId="0" borderId="0"/>
    <xf numFmtId="196" fontId="1" fillId="0" borderId="0"/>
    <xf numFmtId="196" fontId="1" fillId="0" borderId="0"/>
    <xf numFmtId="196" fontId="1" fillId="0" borderId="0"/>
    <xf numFmtId="196" fontId="1" fillId="0" borderId="0"/>
    <xf numFmtId="0" fontId="11" fillId="0" borderId="0"/>
    <xf numFmtId="295" fontId="96" fillId="0" borderId="0"/>
    <xf numFmtId="196" fontId="1" fillId="0" borderId="0"/>
    <xf numFmtId="196" fontId="1" fillId="0" borderId="0"/>
    <xf numFmtId="196" fontId="1" fillId="0" borderId="0"/>
    <xf numFmtId="196" fontId="1" fillId="0" borderId="0"/>
    <xf numFmtId="196" fontId="1" fillId="0" borderId="0"/>
    <xf numFmtId="0" fontId="11" fillId="0" borderId="0"/>
    <xf numFmtId="0" fontId="60" fillId="0" borderId="0"/>
    <xf numFmtId="0" fontId="1" fillId="0" borderId="0"/>
    <xf numFmtId="0" fontId="1" fillId="0" borderId="0"/>
    <xf numFmtId="0" fontId="1" fillId="0" borderId="0"/>
    <xf numFmtId="0" fontId="96" fillId="0" borderId="0"/>
    <xf numFmtId="0" fontId="1" fillId="0" borderId="0"/>
    <xf numFmtId="0" fontId="1" fillId="0" borderId="0"/>
    <xf numFmtId="0" fontId="1" fillId="0" borderId="0"/>
    <xf numFmtId="0" fontId="1" fillId="0" borderId="0"/>
    <xf numFmtId="0" fontId="1" fillId="0" borderId="0"/>
    <xf numFmtId="0" fontId="11" fillId="0" borderId="0"/>
    <xf numFmtId="0" fontId="177" fillId="0" borderId="0">
      <alignment vertical="center"/>
    </xf>
    <xf numFmtId="0" fontId="60" fillId="0" borderId="0"/>
    <xf numFmtId="0" fontId="60" fillId="0" borderId="0"/>
    <xf numFmtId="0" fontId="60" fillId="0" borderId="0"/>
    <xf numFmtId="0" fontId="11"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8" fillId="0" borderId="0"/>
    <xf numFmtId="0" fontId="8" fillId="0" borderId="0"/>
    <xf numFmtId="0" fontId="8" fillId="0" borderId="0"/>
    <xf numFmtId="0" fontId="8" fillId="0" borderId="0"/>
    <xf numFmtId="0" fontId="8" fillId="0" borderId="0"/>
    <xf numFmtId="0" fontId="11" fillId="0" borderId="0"/>
    <xf numFmtId="0" fontId="8" fillId="0" borderId="0"/>
    <xf numFmtId="0" fontId="8" fillId="0" borderId="0"/>
    <xf numFmtId="0" fontId="11" fillId="0" borderId="0"/>
    <xf numFmtId="0" fontId="8" fillId="0" borderId="0"/>
    <xf numFmtId="0" fontId="8" fillId="0" borderId="0"/>
    <xf numFmtId="0" fontId="8" fillId="0" borderId="0"/>
    <xf numFmtId="0" fontId="8"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 fillId="0" borderId="0"/>
    <xf numFmtId="0" fontId="1" fillId="0" borderId="0"/>
    <xf numFmtId="0" fontId="1" fillId="0" borderId="0"/>
    <xf numFmtId="0" fontId="1" fillId="0" borderId="0"/>
    <xf numFmtId="179"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179"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7"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1" fillId="0" borderId="0"/>
    <xf numFmtId="179"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1" fillId="0" borderId="0"/>
    <xf numFmtId="0" fontId="9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1" fillId="0" borderId="0"/>
    <xf numFmtId="0" fontId="5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97" fillId="0" borderId="0"/>
    <xf numFmtId="0" fontId="4"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 fillId="0" borderId="0"/>
    <xf numFmtId="0" fontId="1" fillId="0" borderId="0"/>
    <xf numFmtId="0" fontId="1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8" fillId="0" borderId="0"/>
    <xf numFmtId="0" fontId="8" fillId="0" borderId="0"/>
    <xf numFmtId="0" fontId="8" fillId="0" borderId="0"/>
    <xf numFmtId="0" fontId="11" fillId="0" borderId="0"/>
    <xf numFmtId="354" fontId="1" fillId="0" borderId="0"/>
    <xf numFmtId="354" fontId="1" fillId="0" borderId="0"/>
    <xf numFmtId="0" fontId="1" fillId="0" borderId="0"/>
    <xf numFmtId="0" fontId="1" fillId="0" borderId="0"/>
    <xf numFmtId="0" fontId="11" fillId="0" borderId="0"/>
    <xf numFmtId="0" fontId="11" fillId="0" borderId="0"/>
    <xf numFmtId="179" fontId="1" fillId="0" borderId="0"/>
    <xf numFmtId="354" fontId="1" fillId="0" borderId="0"/>
    <xf numFmtId="354" fontId="1" fillId="0" borderId="0"/>
    <xf numFmtId="354" fontId="1" fillId="0" borderId="0"/>
    <xf numFmtId="354" fontId="1" fillId="0" borderId="0"/>
    <xf numFmtId="179" fontId="1" fillId="0" borderId="0"/>
    <xf numFmtId="354" fontId="1" fillId="0" borderId="0"/>
    <xf numFmtId="354" fontId="1" fillId="0" borderId="0"/>
    <xf numFmtId="354" fontId="1" fillId="0" borderId="0"/>
    <xf numFmtId="354" fontId="1" fillId="0" borderId="0"/>
    <xf numFmtId="0" fontId="11" fillId="0" borderId="0"/>
    <xf numFmtId="0" fontId="11" fillId="0" borderId="0"/>
    <xf numFmtId="179" fontId="1" fillId="0" borderId="0"/>
    <xf numFmtId="354" fontId="1" fillId="0" borderId="0"/>
    <xf numFmtId="354" fontId="1" fillId="0" borderId="0"/>
    <xf numFmtId="354" fontId="1" fillId="0" borderId="0"/>
    <xf numFmtId="354" fontId="1" fillId="0" borderId="0"/>
    <xf numFmtId="179" fontId="1" fillId="0" borderId="0"/>
    <xf numFmtId="354" fontId="1" fillId="0" borderId="0"/>
    <xf numFmtId="354" fontId="1" fillId="0" borderId="0"/>
    <xf numFmtId="354" fontId="1" fillId="0" borderId="0"/>
    <xf numFmtId="354" fontId="1" fillId="0" borderId="0"/>
    <xf numFmtId="0" fontId="11" fillId="0" borderId="0"/>
    <xf numFmtId="0" fontId="11" fillId="0" borderId="0"/>
    <xf numFmtId="179" fontId="1" fillId="0" borderId="0"/>
    <xf numFmtId="354" fontId="1" fillId="0" borderId="0"/>
    <xf numFmtId="354" fontId="1" fillId="0" borderId="0"/>
    <xf numFmtId="354" fontId="1" fillId="0" borderId="0"/>
    <xf numFmtId="354" fontId="1" fillId="0" borderId="0"/>
    <xf numFmtId="179" fontId="1" fillId="0" borderId="0"/>
    <xf numFmtId="354" fontId="1" fillId="0" borderId="0"/>
    <xf numFmtId="354" fontId="1" fillId="0" borderId="0"/>
    <xf numFmtId="354" fontId="1" fillId="0" borderId="0"/>
    <xf numFmtId="354" fontId="1" fillId="0" borderId="0"/>
    <xf numFmtId="0" fontId="11" fillId="0" borderId="0"/>
    <xf numFmtId="0" fontId="11" fillId="0" borderId="0"/>
    <xf numFmtId="0" fontId="11" fillId="0" borderId="0"/>
    <xf numFmtId="0" fontId="11" fillId="0" borderId="0"/>
    <xf numFmtId="179" fontId="1" fillId="0" borderId="0"/>
    <xf numFmtId="179" fontId="1" fillId="0" borderId="0"/>
    <xf numFmtId="0" fontId="11" fillId="0" borderId="0"/>
    <xf numFmtId="179" fontId="1" fillId="0" borderId="0"/>
    <xf numFmtId="179" fontId="1" fillId="0" borderId="0"/>
    <xf numFmtId="354" fontId="1" fillId="0" borderId="0"/>
    <xf numFmtId="354" fontId="1" fillId="0" borderId="0"/>
    <xf numFmtId="0" fontId="11" fillId="0" borderId="0"/>
    <xf numFmtId="179" fontId="1" fillId="0" borderId="0"/>
    <xf numFmtId="179" fontId="1" fillId="0" borderId="0"/>
    <xf numFmtId="354" fontId="1" fillId="0" borderId="0"/>
    <xf numFmtId="354" fontId="1" fillId="0" borderId="0"/>
    <xf numFmtId="354" fontId="1" fillId="0" borderId="0"/>
    <xf numFmtId="0" fontId="11" fillId="0" borderId="0"/>
    <xf numFmtId="179" fontId="1" fillId="0" borderId="0"/>
    <xf numFmtId="354" fontId="1" fillId="0" borderId="0"/>
    <xf numFmtId="354" fontId="1" fillId="0" borderId="0"/>
    <xf numFmtId="354" fontId="1" fillId="0" borderId="0"/>
    <xf numFmtId="354" fontId="1" fillId="0" borderId="0"/>
    <xf numFmtId="179" fontId="1" fillId="0" borderId="0"/>
    <xf numFmtId="354" fontId="1" fillId="0" borderId="0"/>
    <xf numFmtId="354" fontId="1"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179" fontId="1" fillId="0" borderId="0"/>
    <xf numFmtId="354" fontId="1" fillId="0" borderId="0"/>
    <xf numFmtId="354" fontId="1" fillId="0" borderId="0"/>
    <xf numFmtId="354" fontId="1" fillId="0" borderId="0"/>
    <xf numFmtId="354" fontId="1" fillId="0" borderId="0"/>
    <xf numFmtId="354" fontId="1" fillId="0" borderId="0"/>
    <xf numFmtId="0" fontId="11" fillId="0" borderId="0"/>
    <xf numFmtId="354" fontId="1" fillId="0" borderId="0"/>
    <xf numFmtId="354" fontId="1" fillId="0" borderId="0"/>
    <xf numFmtId="354" fontId="1" fillId="0" borderId="0"/>
    <xf numFmtId="354" fontId="1" fillId="0" borderId="0"/>
    <xf numFmtId="354" fontId="1" fillId="0" borderId="0"/>
    <xf numFmtId="0" fontId="1" fillId="0" borderId="0"/>
    <xf numFmtId="0" fontId="1" fillId="0" borderId="0"/>
    <xf numFmtId="0" fontId="1" fillId="0" borderId="0"/>
    <xf numFmtId="179" fontId="1"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8" fillId="0" borderId="0"/>
    <xf numFmtId="0" fontId="1" fillId="0" borderId="0"/>
    <xf numFmtId="0" fontId="1" fillId="0" borderId="0"/>
    <xf numFmtId="0" fontId="1" fillId="0" borderId="0"/>
    <xf numFmtId="0" fontId="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179" fontId="1" fillId="0" borderId="0"/>
    <xf numFmtId="0" fontId="8" fillId="0" borderId="0"/>
    <xf numFmtId="0" fontId="8" fillId="0" borderId="0"/>
    <xf numFmtId="0" fontId="1" fillId="0" borderId="0"/>
    <xf numFmtId="0" fontId="1" fillId="0" borderId="0"/>
    <xf numFmtId="0" fontId="1" fillId="0" borderId="0"/>
    <xf numFmtId="0" fontId="1" fillId="0" borderId="0"/>
    <xf numFmtId="0" fontId="11" fillId="0" borderId="0"/>
    <xf numFmtId="0" fontId="8" fillId="0" borderId="0"/>
    <xf numFmtId="0" fontId="8" fillId="0" borderId="0"/>
    <xf numFmtId="0" fontId="8" fillId="0" borderId="0"/>
    <xf numFmtId="0" fontId="8" fillId="0" borderId="0"/>
    <xf numFmtId="0" fontId="8" fillId="0" borderId="0"/>
    <xf numFmtId="0" fontId="8" fillId="0" borderId="0"/>
    <xf numFmtId="0" fontId="1" fillId="0" borderId="0"/>
    <xf numFmtId="0" fontId="1" fillId="0" borderId="0"/>
    <xf numFmtId="0" fontId="1" fillId="0" borderId="0"/>
    <xf numFmtId="0" fontId="1" fillId="0" borderId="0"/>
    <xf numFmtId="0" fontId="1" fillId="0" borderId="0"/>
    <xf numFmtId="0" fontId="8"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1" fillId="0" borderId="0"/>
    <xf numFmtId="0" fontId="11" fillId="0" borderId="0"/>
    <xf numFmtId="0" fontId="11" fillId="0" borderId="0"/>
    <xf numFmtId="0" fontId="8" fillId="0" borderId="0"/>
    <xf numFmtId="0" fontId="8" fillId="0" borderId="0"/>
    <xf numFmtId="0" fontId="6" fillId="0" borderId="0"/>
    <xf numFmtId="0" fontId="6" fillId="0" borderId="0"/>
    <xf numFmtId="0" fontId="94"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1" fillId="0" borderId="0"/>
    <xf numFmtId="0" fontId="18"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205" fontId="91" fillId="0" borderId="0" applyNumberFormat="0" applyFill="0" applyBorder="0" applyAlignment="0" applyProtection="0"/>
    <xf numFmtId="355" fontId="127" fillId="0" borderId="0" applyFont="0" applyFill="0" applyBorder="0" applyAlignment="0" applyProtection="0"/>
    <xf numFmtId="0" fontId="4" fillId="0" borderId="0"/>
    <xf numFmtId="0" fontId="4" fillId="0" borderId="0"/>
    <xf numFmtId="0" fontId="11" fillId="0" borderId="0"/>
    <xf numFmtId="10" fontId="50" fillId="0" borderId="0">
      <alignment vertical="center"/>
    </xf>
    <xf numFmtId="0" fontId="1" fillId="2" borderId="1" applyNumberFormat="0" applyFont="0" applyAlignment="0" applyProtection="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 fillId="2" borderId="1" applyNumberFormat="0" applyFont="0" applyAlignment="0" applyProtection="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1" fillId="2" borderId="1"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1" fillId="2" borderId="1"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0" fontId="1" fillId="2" borderId="1"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8" fillId="19" borderId="15" applyNumberFormat="0" applyFont="0" applyAlignment="0" applyProtection="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8" fillId="19" borderId="15" applyNumberFormat="0" applyFont="0" applyAlignment="0" applyProtection="0"/>
    <xf numFmtId="0" fontId="11" fillId="0" borderId="0"/>
    <xf numFmtId="0" fontId="11" fillId="0" borderId="0"/>
    <xf numFmtId="0" fontId="1" fillId="2" borderId="1" applyNumberFormat="0" applyFont="0" applyAlignment="0" applyProtection="0"/>
    <xf numFmtId="356" fontId="8" fillId="0" borderId="0" applyFont="0" applyFill="0" applyBorder="0" applyAlignment="0" applyProtection="0"/>
    <xf numFmtId="356" fontId="8" fillId="0" borderId="0" applyFont="0" applyFill="0" applyBorder="0" applyAlignment="0" applyProtection="0"/>
    <xf numFmtId="0" fontId="11" fillId="0" borderId="0"/>
    <xf numFmtId="338" fontId="54" fillId="0" borderId="0" applyFont="0">
      <protection locked="0"/>
    </xf>
    <xf numFmtId="165" fontId="8" fillId="0" borderId="0" applyFont="0" applyFill="0" applyBorder="0" applyAlignment="0" applyProtection="0"/>
    <xf numFmtId="165" fontId="8" fillId="0" borderId="0" applyFont="0" applyFill="0" applyBorder="0" applyAlignment="0" applyProtection="0"/>
    <xf numFmtId="0" fontId="11" fillId="0" borderId="0"/>
    <xf numFmtId="43" fontId="8" fillId="0" borderId="0" applyFont="0" applyFill="0" applyBorder="0" applyAlignment="0" applyProtection="0"/>
    <xf numFmtId="41" fontId="8" fillId="0" borderId="0" applyFont="0" applyFill="0" applyBorder="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4"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1" fillId="0" borderId="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57" fillId="54" borderId="37" applyNumberFormat="0" applyAlignment="0" applyProtection="0"/>
    <xf numFmtId="0" fontId="157" fillId="54"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4"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57" fillId="55" borderId="37" applyNumberFormat="0" applyAlignment="0" applyProtection="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157" fillId="55" borderId="37" applyNumberFormat="0" applyAlignment="0" applyProtection="0"/>
    <xf numFmtId="0" fontId="11" fillId="0" borderId="0"/>
    <xf numFmtId="0" fontId="4" fillId="0" borderId="0"/>
    <xf numFmtId="0" fontId="4" fillId="0" borderId="0"/>
    <xf numFmtId="0" fontId="11" fillId="0" borderId="0"/>
    <xf numFmtId="0" fontId="4" fillId="0" borderId="0"/>
    <xf numFmtId="0" fontId="4" fillId="0" borderId="0"/>
    <xf numFmtId="0" fontId="11" fillId="0" borderId="0"/>
    <xf numFmtId="0" fontId="4" fillId="0" borderId="0"/>
    <xf numFmtId="0" fontId="4" fillId="0" borderId="0"/>
    <xf numFmtId="0" fontId="11" fillId="0" borderId="0"/>
    <xf numFmtId="0" fontId="4" fillId="0" borderId="0"/>
    <xf numFmtId="0" fontId="4" fillId="0" borderId="0"/>
    <xf numFmtId="0" fontId="11" fillId="0" borderId="0"/>
    <xf numFmtId="0" fontId="4" fillId="0" borderId="0"/>
    <xf numFmtId="0" fontId="4" fillId="0" borderId="0"/>
    <xf numFmtId="0" fontId="11" fillId="0" borderId="0"/>
    <xf numFmtId="191" fontId="8" fillId="0" borderId="0"/>
    <xf numFmtId="191" fontId="8" fillId="0" borderId="0"/>
    <xf numFmtId="0" fontId="11" fillId="0" borderId="0"/>
    <xf numFmtId="14" fontId="59" fillId="0" borderId="0">
      <alignment horizontal="center" wrapText="1"/>
      <protection locked="0"/>
    </xf>
    <xf numFmtId="219" fontId="8" fillId="0" borderId="0" applyFont="0" applyFill="0" applyBorder="0" applyAlignment="0" applyProtection="0"/>
    <xf numFmtId="219" fontId="8" fillId="0" borderId="0" applyFont="0" applyFill="0" applyBorder="0" applyAlignment="0" applyProtection="0"/>
    <xf numFmtId="220" fontId="8" fillId="0" borderId="0" applyFont="0" applyFill="0" applyBorder="0" applyAlignment="0" applyProtection="0"/>
    <xf numFmtId="221" fontId="8" fillId="0" borderId="0" applyFont="0" applyFill="0" applyBorder="0" applyAlignment="0" applyProtection="0"/>
    <xf numFmtId="0" fontId="11" fillId="0" borderId="0"/>
    <xf numFmtId="220" fontId="8" fillId="0" borderId="0" applyFont="0" applyFill="0" applyBorder="0" applyAlignment="0" applyProtection="0"/>
    <xf numFmtId="221" fontId="8" fillId="0" borderId="0" applyFont="0" applyFill="0" applyBorder="0" applyAlignment="0" applyProtection="0"/>
    <xf numFmtId="357" fontId="8" fillId="0" borderId="0" applyFont="0" applyFill="0" applyBorder="0" applyAlignment="0" applyProtection="0"/>
    <xf numFmtId="358" fontId="8" fillId="0" borderId="0" applyFont="0" applyFill="0" applyBorder="0" applyAlignment="0" applyProtection="0"/>
    <xf numFmtId="358" fontId="8" fillId="0" borderId="0" applyFont="0" applyFill="0" applyBorder="0" applyAlignment="0" applyProtection="0"/>
    <xf numFmtId="359" fontId="8" fillId="0" borderId="0" applyFont="0" applyFill="0" applyBorder="0" applyAlignment="0" applyProtection="0"/>
    <xf numFmtId="0" fontId="11" fillId="0" borderId="0"/>
    <xf numFmtId="358" fontId="8" fillId="0" borderId="0" applyFont="0" applyFill="0" applyBorder="0" applyAlignment="0" applyProtection="0"/>
    <xf numFmtId="359" fontId="8" fillId="0" borderId="0" applyFont="0" applyFill="0" applyBorder="0" applyAlignment="0" applyProtection="0"/>
    <xf numFmtId="342" fontId="127" fillId="0" borderId="0" applyFont="0" applyFill="0" applyBorder="0" applyAlignment="0"/>
    <xf numFmtId="10" fontId="8" fillId="0" borderId="0" applyFont="0" applyFill="0" applyBorder="0" applyAlignment="0" applyProtection="0"/>
    <xf numFmtId="10" fontId="8" fillId="0" borderId="0" applyFont="0" applyFill="0" applyBorder="0" applyAlignment="0" applyProtection="0"/>
    <xf numFmtId="10" fontId="8" fillId="0" borderId="0" applyFont="0" applyFill="0" applyBorder="0" applyAlignment="0" applyProtection="0"/>
    <xf numFmtId="0" fontId="4" fillId="0" borderId="0"/>
    <xf numFmtId="0" fontId="4" fillId="0" borderId="0"/>
    <xf numFmtId="0" fontId="11" fillId="0" borderId="0"/>
    <xf numFmtId="0" fontId="4" fillId="0" borderId="0"/>
    <xf numFmtId="9" fontId="8"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11" fillId="0" borderId="0"/>
    <xf numFmtId="9" fontId="8" fillId="0" borderId="0" applyFont="0" applyFill="0" applyBorder="0" applyAlignment="0" applyProtection="0"/>
    <xf numFmtId="9" fontId="8" fillId="0" borderId="0" applyFont="0" applyFill="0" applyBorder="0" applyAlignment="0" applyProtection="0"/>
    <xf numFmtId="0" fontId="11" fillId="0" borderId="0"/>
    <xf numFmtId="9" fontId="8" fillId="0" borderId="0" applyFont="0" applyFill="0" applyBorder="0" applyAlignment="0" applyProtection="0"/>
    <xf numFmtId="9" fontId="8" fillId="0" borderId="0" applyFont="0" applyFill="0" applyBorder="0" applyAlignment="0" applyProtection="0"/>
    <xf numFmtId="0" fontId="1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8" fillId="0" borderId="0" applyFill="0" applyBorder="0" applyAlignment="0" applyProtection="0"/>
    <xf numFmtId="9" fontId="177"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1" fillId="0" borderId="0" applyFont="0" applyFill="0" applyBorder="0" applyAlignment="0" applyProtection="0"/>
    <xf numFmtId="9" fontId="10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4" fillId="0" borderId="0" applyFont="0" applyFill="0" applyBorder="0" applyAlignment="0" applyProtection="0"/>
    <xf numFmtId="9" fontId="54" fillId="0" borderId="0" applyFont="0" applyFill="0" applyBorder="0" applyAlignment="0" applyProtection="0"/>
    <xf numFmtId="9" fontId="96" fillId="0" borderId="0"/>
    <xf numFmtId="0" fontId="11" fillId="0" borderId="0"/>
    <xf numFmtId="9" fontId="54" fillId="0" borderId="0" applyFont="0" applyFill="0" applyBorder="0" applyAlignment="0" applyProtection="0"/>
    <xf numFmtId="9" fontId="96" fillId="0" borderId="0"/>
    <xf numFmtId="0" fontId="11" fillId="0" borderId="0"/>
    <xf numFmtId="9" fontId="54" fillId="0" borderId="0" applyFont="0" applyFill="0" applyBorder="0" applyAlignment="0" applyProtection="0"/>
    <xf numFmtId="9" fontId="96" fillId="0" borderId="0"/>
    <xf numFmtId="0" fontId="11" fillId="0" borderId="0"/>
    <xf numFmtId="9" fontId="54" fillId="0" borderId="0" applyFont="0" applyFill="0" applyBorder="0" applyAlignment="0" applyProtection="0"/>
    <xf numFmtId="9" fontId="96" fillId="0" borderId="0"/>
    <xf numFmtId="0" fontId="11" fillId="0" borderId="0"/>
    <xf numFmtId="9" fontId="54" fillId="0" borderId="0" applyFont="0" applyFill="0" applyBorder="0" applyAlignment="0" applyProtection="0"/>
    <xf numFmtId="9" fontId="96" fillId="0" borderId="0"/>
    <xf numFmtId="0" fontId="11" fillId="0" borderId="0"/>
    <xf numFmtId="9" fontId="54" fillId="0" borderId="0" applyFont="0" applyFill="0" applyBorder="0" applyAlignment="0" applyProtection="0"/>
    <xf numFmtId="9" fontId="96" fillId="0" borderId="0"/>
    <xf numFmtId="0" fontId="11" fillId="0" borderId="0"/>
    <xf numFmtId="9" fontId="54" fillId="0" borderId="0" applyFont="0" applyFill="0" applyBorder="0" applyAlignment="0" applyProtection="0"/>
    <xf numFmtId="9" fontId="96" fillId="0" borderId="0"/>
    <xf numFmtId="0" fontId="11" fillId="0" borderId="0"/>
    <xf numFmtId="9" fontId="54" fillId="0" borderId="0" applyFont="0" applyFill="0" applyBorder="0" applyAlignment="0" applyProtection="0"/>
    <xf numFmtId="9" fontId="96" fillId="0" borderId="0"/>
    <xf numFmtId="0" fontId="11" fillId="0" borderId="0"/>
    <xf numFmtId="9" fontId="73" fillId="0" borderId="0" applyFont="0" applyFill="0" applyBorder="0" applyAlignment="0" applyProtection="0"/>
    <xf numFmtId="9" fontId="96" fillId="0" borderId="0"/>
    <xf numFmtId="0" fontId="1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1" fillId="0" borderId="0" applyFont="0" applyFill="0" applyBorder="0" applyAlignment="0" applyProtection="0"/>
    <xf numFmtId="9" fontId="11" fillId="0" borderId="0" applyFont="0" applyFill="0" applyBorder="0" applyAlignment="0" applyProtection="0"/>
    <xf numFmtId="9" fontId="8" fillId="0" borderId="0" applyFont="0" applyFill="0" applyBorder="0" applyAlignment="0" applyProtection="0"/>
    <xf numFmtId="0" fontId="11" fillId="0" borderId="0"/>
    <xf numFmtId="9" fontId="11" fillId="0" borderId="0" applyFont="0" applyFill="0" applyBorder="0" applyAlignment="0" applyProtection="0"/>
    <xf numFmtId="9" fontId="108" fillId="0" borderId="0" applyFont="0" applyFill="0" applyBorder="0" applyAlignment="0" applyProtection="0"/>
    <xf numFmtId="9" fontId="108" fillId="0" borderId="0" applyFont="0" applyFill="0" applyBorder="0" applyAlignment="0" applyProtection="0"/>
    <xf numFmtId="0" fontId="1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95" fillId="0" borderId="0" applyFont="0" applyFill="0" applyBorder="0" applyAlignment="0" applyProtection="0"/>
    <xf numFmtId="9" fontId="11" fillId="0" borderId="0" applyFont="0" applyFill="0" applyBorder="0" applyAlignment="0" applyProtection="0"/>
    <xf numFmtId="9" fontId="8" fillId="0" borderId="0" applyFont="0" applyFill="0" applyBorder="0" applyAlignment="0" applyProtection="0"/>
    <xf numFmtId="0" fontId="11"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 fillId="0" borderId="0" applyFont="0" applyFill="0" applyBorder="0" applyAlignment="0" applyProtection="0"/>
    <xf numFmtId="0" fontId="11"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11" fillId="0" borderId="0" applyFont="0" applyFill="0" applyBorder="0" applyAlignment="0" applyProtection="0"/>
    <xf numFmtId="9" fontId="104" fillId="0" borderId="0" applyFont="0" applyFill="0" applyBorder="0" applyAlignment="0" applyProtection="0"/>
    <xf numFmtId="0" fontId="11" fillId="0" borderId="0"/>
    <xf numFmtId="9" fontId="8" fillId="0" borderId="0" applyFont="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0" fontId="11" fillId="0" borderId="0"/>
    <xf numFmtId="9" fontId="11" fillId="0" borderId="0" applyFont="0" applyFill="0" applyBorder="0" applyAlignment="0" applyProtection="0"/>
    <xf numFmtId="9" fontId="96" fillId="0" borderId="0"/>
    <xf numFmtId="0" fontId="11" fillId="0" borderId="0"/>
    <xf numFmtId="9" fontId="11" fillId="0" borderId="0" applyFont="0" applyFill="0" applyBorder="0" applyAlignment="0" applyProtection="0"/>
    <xf numFmtId="9" fontId="96" fillId="0" borderId="0"/>
    <xf numFmtId="0" fontId="11" fillId="0" borderId="0"/>
    <xf numFmtId="9" fontId="54" fillId="0" borderId="0" applyFont="0" applyFill="0" applyBorder="0" applyAlignment="0" applyProtection="0"/>
    <xf numFmtId="9" fontId="96" fillId="0" borderId="0"/>
    <xf numFmtId="0" fontId="11" fillId="0" borderId="0"/>
    <xf numFmtId="0" fontId="11" fillId="0" borderId="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1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8" fillId="0" borderId="0" applyFont="0" applyFill="0" applyBorder="0" applyAlignment="0" applyProtection="0"/>
    <xf numFmtId="9" fontId="101" fillId="0" borderId="0"/>
    <xf numFmtId="0" fontId="11"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6" fillId="0" borderId="0" applyFont="0" applyFill="0" applyBorder="0" applyAlignment="0" applyProtection="0"/>
    <xf numFmtId="9" fontId="172" fillId="0" borderId="0" applyFont="0" applyFill="0" applyBorder="0" applyAlignment="0" applyProtection="0"/>
    <xf numFmtId="0" fontId="11" fillId="0" borderId="0"/>
    <xf numFmtId="9" fontId="6" fillId="0" borderId="0" applyFont="0" applyFill="0" applyBorder="0" applyAlignment="0" applyProtection="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12" fillId="0" borderId="0" applyFill="0" applyBorder="0" applyAlignment="0" applyProtection="0"/>
    <xf numFmtId="9" fontId="8"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0" fontId="11" fillId="0" borderId="0"/>
    <xf numFmtId="9" fontId="8" fillId="0" borderId="0" applyFont="0" applyFill="0" applyBorder="0" applyAlignment="0" applyProtection="0"/>
    <xf numFmtId="9" fontId="4" fillId="0" borderId="0" applyFont="0" applyFill="0" applyBorder="0" applyAlignment="0" applyProtection="0"/>
    <xf numFmtId="9" fontId="1" fillId="0" borderId="0" applyFont="0" applyFill="0" applyBorder="0" applyAlignment="0" applyProtection="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9" fontId="32" fillId="0" borderId="0" applyFont="0" applyFill="0" applyBorder="0" applyAlignment="0" applyProtection="0"/>
    <xf numFmtId="9" fontId="96" fillId="0" borderId="0"/>
    <xf numFmtId="0" fontId="11" fillId="0" borderId="0"/>
    <xf numFmtId="0" fontId="11" fillId="0" borderId="0"/>
    <xf numFmtId="9" fontId="1" fillId="0" borderId="0" applyFont="0" applyFill="0" applyBorder="0" applyAlignment="0" applyProtection="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1" fillId="0" borderId="0" applyFont="0" applyFill="0" applyBorder="0" applyAlignment="0" applyProtection="0"/>
    <xf numFmtId="9" fontId="1" fillId="0" borderId="0" applyFont="0" applyFill="0" applyBorder="0" applyAlignment="0" applyProtection="0"/>
    <xf numFmtId="0" fontId="4"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9" fontId="8" fillId="0" borderId="0" applyFont="0" applyFill="0" applyBorder="0" applyAlignment="0" applyProtection="0"/>
    <xf numFmtId="9" fontId="96" fillId="0" borderId="0"/>
    <xf numFmtId="0" fontId="11" fillId="0" borderId="0"/>
    <xf numFmtId="0" fontId="11" fillId="0" borderId="0"/>
    <xf numFmtId="9" fontId="8" fillId="0" borderId="0" applyFont="0" applyFill="0" applyBorder="0" applyAlignment="0" applyProtection="0"/>
    <xf numFmtId="9" fontId="1" fillId="0" borderId="0" applyFont="0" applyFill="0" applyBorder="0" applyAlignment="0" applyProtection="0"/>
    <xf numFmtId="9" fontId="96"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8" fillId="0" borderId="0" applyFont="0" applyFill="0" applyBorder="0" applyAlignment="0" applyProtection="0"/>
    <xf numFmtId="0" fontId="11" fillId="0" borderId="0"/>
    <xf numFmtId="9" fontId="4" fillId="0" borderId="0" applyFont="0" applyFill="0" applyBorder="0" applyAlignment="0" applyProtection="0"/>
    <xf numFmtId="9" fontId="107" fillId="0" borderId="0" applyFont="0" applyFill="0" applyBorder="0" applyAlignment="0" applyProtection="0"/>
    <xf numFmtId="9" fontId="107" fillId="0" borderId="0" applyFont="0" applyFill="0" applyBorder="0" applyAlignment="0" applyProtection="0"/>
    <xf numFmtId="0" fontId="11" fillId="0" borderId="0"/>
    <xf numFmtId="9" fontId="173" fillId="0" borderId="0" applyFont="0" applyFill="0" applyBorder="0" applyAlignment="0" applyProtection="0"/>
    <xf numFmtId="9" fontId="1" fillId="0" borderId="0" applyFont="0" applyFill="0" applyBorder="0" applyAlignment="0" applyProtection="0"/>
    <xf numFmtId="9" fontId="8" fillId="0" borderId="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1" fillId="0" borderId="0" applyFont="0" applyFill="0" applyBorder="0" applyAlignment="0" applyProtection="0"/>
    <xf numFmtId="9" fontId="1" fillId="0" borderId="0" applyFont="0" applyFill="0" applyBorder="0" applyAlignment="0" applyProtection="0"/>
    <xf numFmtId="9" fontId="96"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96"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0" fontId="11" fillId="0" borderId="0"/>
    <xf numFmtId="9" fontId="8" fillId="0" borderId="0" applyFill="0" applyBorder="0" applyAlignment="0" applyProtection="0"/>
    <xf numFmtId="0" fontId="11" fillId="0" borderId="0"/>
    <xf numFmtId="9" fontId="8" fillId="0" borderId="0" applyFont="0" applyFill="0" applyBorder="0" applyAlignment="0" applyProtection="0"/>
    <xf numFmtId="9" fontId="8" fillId="0" borderId="0" applyFont="0" applyFill="0" applyBorder="0" applyAlignment="0" applyProtection="0"/>
    <xf numFmtId="0" fontId="11" fillId="0" borderId="0"/>
    <xf numFmtId="9" fontId="1" fillId="0" borderId="0" applyFont="0" applyFill="0" applyBorder="0" applyAlignment="0" applyProtection="0"/>
    <xf numFmtId="9" fontId="94" fillId="0" borderId="0" applyFont="0" applyFill="0" applyBorder="0" applyAlignment="0" applyProtection="0">
      <alignment vertical="center"/>
    </xf>
    <xf numFmtId="0" fontId="11" fillId="0" borderId="0"/>
    <xf numFmtId="9" fontId="32" fillId="0" borderId="42" applyNumberFormat="0" applyBorder="0"/>
    <xf numFmtId="9" fontId="32" fillId="0" borderId="42" applyNumberFormat="0" applyBorder="0"/>
    <xf numFmtId="9" fontId="32" fillId="0" borderId="42" applyNumberFormat="0" applyBorder="0"/>
    <xf numFmtId="9" fontId="32" fillId="0" borderId="42" applyNumberFormat="0" applyBorder="0"/>
    <xf numFmtId="0" fontId="11" fillId="0" borderId="0"/>
    <xf numFmtId="9" fontId="32" fillId="0" borderId="42" applyNumberFormat="0" applyBorder="0"/>
    <xf numFmtId="0" fontId="11" fillId="0" borderId="0"/>
    <xf numFmtId="9" fontId="32" fillId="0" borderId="42" applyNumberFormat="0" applyBorder="0"/>
    <xf numFmtId="9" fontId="32" fillId="0" borderId="42" applyNumberFormat="0" applyBorder="0"/>
    <xf numFmtId="9" fontId="32" fillId="0" borderId="42" applyNumberFormat="0" applyBorder="0"/>
    <xf numFmtId="9" fontId="32" fillId="0" borderId="42" applyNumberFormat="0" applyBorder="0"/>
    <xf numFmtId="0" fontId="11" fillId="0" borderId="0"/>
    <xf numFmtId="9" fontId="32" fillId="0" borderId="42" applyNumberFormat="0" applyBorder="0"/>
    <xf numFmtId="0" fontId="11" fillId="0" borderId="0"/>
    <xf numFmtId="9" fontId="32" fillId="0" borderId="42" applyNumberFormat="0" applyBorder="0"/>
    <xf numFmtId="9" fontId="32" fillId="0" borderId="42" applyNumberFormat="0" applyBorder="0"/>
    <xf numFmtId="9" fontId="32" fillId="0" borderId="42" applyNumberFormat="0" applyBorder="0"/>
    <xf numFmtId="0" fontId="11" fillId="0" borderId="0"/>
    <xf numFmtId="9" fontId="32" fillId="0" borderId="42" applyNumberFormat="0" applyBorder="0"/>
    <xf numFmtId="9" fontId="32" fillId="0" borderId="42" applyNumberFormat="0" applyBorder="0"/>
    <xf numFmtId="0" fontId="11" fillId="0" borderId="0"/>
    <xf numFmtId="223" fontId="8" fillId="0" borderId="0" applyFont="0" applyFill="0" applyBorder="0" applyAlignment="0" applyProtection="0"/>
    <xf numFmtId="223" fontId="8" fillId="0" borderId="0" applyFont="0" applyFill="0" applyBorder="0" applyAlignment="0" applyProtection="0"/>
    <xf numFmtId="0" fontId="11" fillId="0" borderId="0"/>
    <xf numFmtId="0" fontId="72" fillId="0" borderId="0" applyNumberFormat="0" applyFill="0" applyBorder="0" applyAlignment="0"/>
    <xf numFmtId="0" fontId="27" fillId="0" borderId="0">
      <protection locked="0"/>
    </xf>
    <xf numFmtId="39" fontId="178" fillId="70" borderId="21"/>
    <xf numFmtId="222" fontId="8" fillId="0" borderId="0" applyFill="0" applyBorder="0" applyAlignment="0"/>
    <xf numFmtId="222" fontId="8" fillId="0" borderId="0" applyFill="0" applyBorder="0" applyAlignment="0"/>
    <xf numFmtId="223" fontId="8" fillId="0" borderId="0" applyFill="0" applyBorder="0" applyAlignment="0"/>
    <xf numFmtId="224" fontId="8" fillId="0" borderId="0" applyFill="0" applyBorder="0" applyAlignment="0"/>
    <xf numFmtId="0" fontId="11" fillId="0" borderId="0"/>
    <xf numFmtId="223" fontId="8" fillId="0" borderId="0" applyFill="0" applyBorder="0" applyAlignment="0"/>
    <xf numFmtId="223" fontId="8" fillId="0" borderId="0" applyFill="0" applyBorder="0" applyAlignment="0"/>
    <xf numFmtId="210" fontId="8" fillId="0" borderId="0" applyFill="0" applyBorder="0" applyAlignment="0"/>
    <xf numFmtId="210" fontId="8" fillId="0" borderId="0" applyFill="0" applyBorder="0" applyAlignment="0"/>
    <xf numFmtId="211" fontId="8" fillId="0" borderId="0" applyFill="0" applyBorder="0" applyAlignment="0"/>
    <xf numFmtId="211" fontId="8" fillId="0" borderId="0" applyFill="0" applyBorder="0" applyAlignment="0"/>
    <xf numFmtId="222" fontId="8" fillId="0" borderId="0" applyFill="0" applyBorder="0" applyAlignment="0"/>
    <xf numFmtId="222" fontId="8" fillId="0" borderId="0" applyFill="0" applyBorder="0" applyAlignment="0"/>
    <xf numFmtId="223" fontId="8" fillId="0" borderId="0" applyFill="0" applyBorder="0" applyAlignment="0"/>
    <xf numFmtId="224" fontId="8" fillId="0" borderId="0" applyFill="0" applyBorder="0" applyAlignment="0"/>
    <xf numFmtId="0" fontId="11" fillId="0" borderId="0"/>
    <xf numFmtId="223" fontId="8" fillId="0" borderId="0" applyFill="0" applyBorder="0" applyAlignment="0"/>
    <xf numFmtId="223" fontId="8" fillId="0" borderId="0" applyFill="0" applyBorder="0" applyAlignment="0"/>
    <xf numFmtId="225" fontId="8" fillId="0" borderId="0" applyFill="0" applyBorder="0" applyAlignment="0"/>
    <xf numFmtId="225" fontId="8" fillId="0" borderId="0" applyFill="0" applyBorder="0" applyAlignment="0"/>
    <xf numFmtId="226" fontId="8" fillId="0" borderId="0" applyFill="0" applyBorder="0" applyAlignment="0"/>
    <xf numFmtId="227" fontId="8" fillId="0" borderId="0" applyFill="0" applyBorder="0" applyAlignment="0"/>
    <xf numFmtId="0" fontId="11" fillId="0" borderId="0"/>
    <xf numFmtId="226" fontId="8" fillId="0" borderId="0" applyFill="0" applyBorder="0" applyAlignment="0"/>
    <xf numFmtId="226" fontId="8" fillId="0" borderId="0" applyFill="0" applyBorder="0" applyAlignment="0"/>
    <xf numFmtId="210" fontId="8" fillId="0" borderId="0" applyFill="0" applyBorder="0" applyAlignment="0"/>
    <xf numFmtId="210" fontId="8" fillId="0" borderId="0" applyFill="0" applyBorder="0" applyAlignment="0"/>
    <xf numFmtId="211" fontId="8" fillId="0" borderId="0" applyFill="0" applyBorder="0" applyAlignment="0"/>
    <xf numFmtId="211" fontId="8" fillId="0" borderId="0" applyFill="0" applyBorder="0" applyAlignment="0"/>
    <xf numFmtId="278" fontId="8" fillId="0" borderId="0"/>
    <xf numFmtId="278" fontId="8" fillId="0" borderId="0"/>
    <xf numFmtId="0" fontId="11" fillId="0" borderId="0"/>
    <xf numFmtId="40" fontId="129" fillId="0" borderId="0" applyFont="0">
      <protection locked="0"/>
    </xf>
    <xf numFmtId="40" fontId="179" fillId="0" borderId="0" applyFont="0">
      <protection locked="0"/>
    </xf>
    <xf numFmtId="205" fontId="180" fillId="0" borderId="0" applyNumberFormat="0" applyFill="0" applyBorder="0" applyAlignment="0" applyProtection="0">
      <alignment horizontal="left"/>
    </xf>
    <xf numFmtId="0" fontId="181" fillId="71" borderId="0" applyNumberFormat="0" applyBorder="0" applyAlignment="0"/>
    <xf numFmtId="0" fontId="126" fillId="0" borderId="0"/>
    <xf numFmtId="0" fontId="128" fillId="0" borderId="0"/>
    <xf numFmtId="0" fontId="182"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11" fillId="0" borderId="0"/>
    <xf numFmtId="0" fontId="88" fillId="0" borderId="43"/>
    <xf numFmtId="0" fontId="8" fillId="0" borderId="0"/>
    <xf numFmtId="0" fontId="164" fillId="0" borderId="44"/>
    <xf numFmtId="49" fontId="26" fillId="0" borderId="0" applyFill="0" applyBorder="0" applyAlignment="0"/>
    <xf numFmtId="0" fontId="8" fillId="0" borderId="0" applyFill="0" applyBorder="0" applyAlignment="0"/>
    <xf numFmtId="0" fontId="8" fillId="0" borderId="0" applyFill="0" applyBorder="0" applyAlignment="0"/>
    <xf numFmtId="0" fontId="8" fillId="0" borderId="0" applyFill="0" applyBorder="0" applyAlignment="0"/>
    <xf numFmtId="0" fontId="8" fillId="0" borderId="0" applyFill="0" applyBorder="0" applyAlignment="0"/>
    <xf numFmtId="43" fontId="1" fillId="0" borderId="0" applyFont="0" applyFill="0" applyBorder="0" applyAlignment="0" applyProtection="0"/>
    <xf numFmtId="0" fontId="6" fillId="0" borderId="0"/>
    <xf numFmtId="164" fontId="1" fillId="0" borderId="0" applyFont="0" applyFill="0" applyBorder="0" applyAlignment="0" applyProtection="0"/>
    <xf numFmtId="9" fontId="1" fillId="0" borderId="0" applyFont="0" applyFill="0" applyBorder="0" applyAlignment="0" applyProtection="0"/>
  </cellStyleXfs>
  <cellXfs count="617">
    <xf numFmtId="0" fontId="0" fillId="0" borderId="0" xfId="0"/>
    <xf numFmtId="0" fontId="4" fillId="0" borderId="0" xfId="1"/>
    <xf numFmtId="0" fontId="184" fillId="4" borderId="47" xfId="1" applyFont="1" applyFill="1" applyBorder="1" applyAlignment="1">
      <alignment horizontal="center" vertical="center" wrapText="1" readingOrder="1"/>
    </xf>
    <xf numFmtId="0" fontId="186" fillId="0" borderId="47" xfId="1" applyFont="1" applyBorder="1" applyAlignment="1">
      <alignment horizontal="left" vertical="center" wrapText="1"/>
    </xf>
    <xf numFmtId="0" fontId="188" fillId="4" borderId="47" xfId="1" applyFont="1" applyFill="1" applyBorder="1" applyAlignment="1">
      <alignment horizontal="center" vertical="center" wrapText="1" readingOrder="1"/>
    </xf>
    <xf numFmtId="0" fontId="190" fillId="0" borderId="47" xfId="1" applyFont="1" applyBorder="1" applyAlignment="1">
      <alignment horizontal="center" vertical="center" wrapText="1"/>
    </xf>
    <xf numFmtId="0" fontId="174" fillId="0" borderId="47" xfId="1" applyFont="1" applyBorder="1" applyAlignment="1">
      <alignment horizontal="center" vertical="center"/>
    </xf>
    <xf numFmtId="0" fontId="189" fillId="0" borderId="49" xfId="1" applyFont="1" applyBorder="1" applyAlignment="1">
      <alignment horizontal="center" vertical="center" wrapText="1"/>
    </xf>
    <xf numFmtId="0" fontId="190" fillId="0" borderId="47" xfId="1" applyFont="1" applyBorder="1" applyAlignment="1">
      <alignment vertical="center" wrapText="1"/>
    </xf>
    <xf numFmtId="9" fontId="190" fillId="72" borderId="47" xfId="1" applyNumberFormat="1" applyFont="1" applyFill="1" applyBorder="1" applyAlignment="1">
      <alignment horizontal="center" vertical="center" wrapText="1"/>
    </xf>
    <xf numFmtId="9" fontId="190" fillId="6" borderId="47" xfId="1" applyNumberFormat="1" applyFont="1" applyFill="1" applyBorder="1" applyAlignment="1">
      <alignment horizontal="center" vertical="center" wrapText="1"/>
    </xf>
    <xf numFmtId="9" fontId="189" fillId="5" borderId="47" xfId="1" applyNumberFormat="1" applyFont="1" applyFill="1" applyBorder="1" applyAlignment="1">
      <alignment horizontal="center" vertical="center" wrapText="1"/>
    </xf>
    <xf numFmtId="9" fontId="189" fillId="7" borderId="47" xfId="1" applyNumberFormat="1" applyFont="1" applyFill="1" applyBorder="1" applyAlignment="1">
      <alignment horizontal="center" vertical="center" wrapText="1"/>
    </xf>
    <xf numFmtId="9" fontId="189" fillId="8" borderId="47" xfId="1" applyNumberFormat="1" applyFont="1" applyFill="1" applyBorder="1" applyAlignment="1">
      <alignment horizontal="center" vertical="center" wrapText="1"/>
    </xf>
    <xf numFmtId="0" fontId="189" fillId="0" borderId="47" xfId="1" applyFont="1" applyBorder="1" applyAlignment="1">
      <alignment horizontal="center" vertical="center" wrapText="1"/>
    </xf>
    <xf numFmtId="0" fontId="190" fillId="72" borderId="47" xfId="1" applyFont="1" applyFill="1" applyBorder="1" applyAlignment="1">
      <alignment horizontal="center" vertical="center" wrapText="1"/>
    </xf>
    <xf numFmtId="0" fontId="190" fillId="6" borderId="47" xfId="1" applyFont="1" applyFill="1" applyBorder="1" applyAlignment="1">
      <alignment horizontal="center" vertical="center" wrapText="1"/>
    </xf>
    <xf numFmtId="0" fontId="189" fillId="5" borderId="47" xfId="1" applyFont="1" applyFill="1" applyBorder="1" applyAlignment="1">
      <alignment horizontal="center" vertical="center" wrapText="1"/>
    </xf>
    <xf numFmtId="0" fontId="189" fillId="7" borderId="47" xfId="1" applyFont="1" applyFill="1" applyBorder="1" applyAlignment="1">
      <alignment horizontal="center" vertical="center" wrapText="1"/>
    </xf>
    <xf numFmtId="0" fontId="189" fillId="8" borderId="47" xfId="1" applyFont="1" applyFill="1" applyBorder="1" applyAlignment="1">
      <alignment horizontal="center" vertical="center" wrapText="1"/>
    </xf>
    <xf numFmtId="0" fontId="190" fillId="6" borderId="47" xfId="1" quotePrefix="1" applyFont="1" applyFill="1" applyBorder="1" applyAlignment="1">
      <alignment horizontal="center" vertical="center" wrapText="1"/>
    </xf>
    <xf numFmtId="0" fontId="189" fillId="5" borderId="47" xfId="1" quotePrefix="1" applyFont="1" applyFill="1" applyBorder="1" applyAlignment="1">
      <alignment horizontal="center" vertical="center" wrapText="1" readingOrder="1"/>
    </xf>
    <xf numFmtId="0" fontId="189" fillId="7" borderId="47" xfId="1" quotePrefix="1" applyFont="1" applyFill="1" applyBorder="1" applyAlignment="1">
      <alignment horizontal="center" vertical="center" wrapText="1" readingOrder="1"/>
    </xf>
    <xf numFmtId="0" fontId="189" fillId="8" borderId="47" xfId="1" quotePrefix="1" applyFont="1" applyFill="1" applyBorder="1" applyAlignment="1">
      <alignment horizontal="center" vertical="center" wrapText="1" readingOrder="1"/>
    </xf>
    <xf numFmtId="0" fontId="174" fillId="4" borderId="47" xfId="1" applyFont="1" applyFill="1" applyBorder="1"/>
    <xf numFmtId="0" fontId="185" fillId="4" borderId="48" xfId="1" applyFont="1" applyFill="1" applyBorder="1"/>
    <xf numFmtId="0" fontId="185" fillId="4" borderId="47" xfId="1" applyFont="1" applyFill="1" applyBorder="1" applyAlignment="1">
      <alignment horizontal="center"/>
    </xf>
    <xf numFmtId="0" fontId="185" fillId="4" borderId="47" xfId="1" applyFont="1" applyFill="1" applyBorder="1"/>
    <xf numFmtId="0" fontId="174" fillId="4" borderId="47" xfId="1" applyFont="1" applyFill="1" applyBorder="1" applyAlignment="1">
      <alignment horizontal="center" vertical="center"/>
    </xf>
    <xf numFmtId="0" fontId="2" fillId="0" borderId="0" xfId="1" applyFont="1" applyAlignment="1">
      <alignment horizontal="center"/>
    </xf>
    <xf numFmtId="0" fontId="184" fillId="4" borderId="49" xfId="1" applyFont="1" applyFill="1" applyBorder="1" applyAlignment="1">
      <alignment horizontal="center" vertical="center" wrapText="1" readingOrder="1"/>
    </xf>
    <xf numFmtId="0" fontId="189" fillId="0" borderId="49" xfId="1" applyFont="1" applyBorder="1" applyAlignment="1">
      <alignment horizontal="center" vertical="center" wrapText="1" readingOrder="1"/>
    </xf>
    <xf numFmtId="1" fontId="190" fillId="0" borderId="47" xfId="1" applyNumberFormat="1" applyFont="1" applyBorder="1" applyAlignment="1">
      <alignment horizontal="center" vertical="center" wrapText="1"/>
    </xf>
    <xf numFmtId="0" fontId="186" fillId="6" borderId="47" xfId="1" applyFont="1" applyFill="1" applyBorder="1" applyAlignment="1">
      <alignment horizontal="center" vertical="center" wrapText="1"/>
    </xf>
    <xf numFmtId="0" fontId="189" fillId="5" borderId="47" xfId="1" applyFont="1" applyFill="1" applyBorder="1" applyAlignment="1">
      <alignment horizontal="center" vertical="center" wrapText="1" readingOrder="1"/>
    </xf>
    <xf numFmtId="0" fontId="189" fillId="7" borderId="49" xfId="1" applyFont="1" applyFill="1" applyBorder="1" applyAlignment="1">
      <alignment horizontal="center" vertical="center" wrapText="1" readingOrder="1"/>
    </xf>
    <xf numFmtId="0" fontId="189" fillId="8" borderId="49" xfId="1" applyFont="1" applyFill="1" applyBorder="1" applyAlignment="1">
      <alignment horizontal="center" vertical="center" wrapText="1" readingOrder="1"/>
    </xf>
    <xf numFmtId="0" fontId="4" fillId="4" borderId="47" xfId="1" applyFill="1" applyBorder="1"/>
    <xf numFmtId="0" fontId="185" fillId="4" borderId="49" xfId="1" applyFont="1" applyFill="1" applyBorder="1"/>
    <xf numFmtId="0" fontId="185" fillId="4" borderId="50" xfId="1" applyFont="1" applyFill="1" applyBorder="1"/>
    <xf numFmtId="0" fontId="2" fillId="0" borderId="0" xfId="1" applyFont="1"/>
    <xf numFmtId="1" fontId="190" fillId="0" borderId="51" xfId="1" applyNumberFormat="1" applyFont="1" applyBorder="1" applyAlignment="1">
      <alignment horizontal="center" vertical="center" wrapText="1"/>
    </xf>
    <xf numFmtId="0" fontId="184" fillId="4" borderId="52" xfId="1" applyFont="1" applyFill="1" applyBorder="1" applyAlignment="1">
      <alignment horizontal="center" vertical="center" wrapText="1" readingOrder="1"/>
    </xf>
    <xf numFmtId="0" fontId="174" fillId="4" borderId="0" xfId="1" applyFont="1" applyFill="1"/>
    <xf numFmtId="0" fontId="184" fillId="4" borderId="53" xfId="1" applyFont="1" applyFill="1" applyBorder="1" applyAlignment="1">
      <alignment horizontal="center" vertical="center" wrapText="1" readingOrder="1"/>
    </xf>
    <xf numFmtId="0" fontId="184" fillId="4" borderId="54" xfId="1" applyFont="1" applyFill="1" applyBorder="1" applyAlignment="1">
      <alignment horizontal="center" vertical="center" wrapText="1" readingOrder="1"/>
    </xf>
    <xf numFmtId="0" fontId="189" fillId="0" borderId="54" xfId="1" applyFont="1" applyBorder="1" applyAlignment="1">
      <alignment horizontal="center" vertical="center" wrapText="1" readingOrder="1"/>
    </xf>
    <xf numFmtId="0" fontId="189" fillId="0" borderId="53" xfId="1" applyFont="1" applyBorder="1" applyAlignment="1">
      <alignment horizontal="center" vertical="center" wrapText="1" readingOrder="1"/>
    </xf>
    <xf numFmtId="0" fontId="189" fillId="73" borderId="54" xfId="1" applyFont="1" applyFill="1" applyBorder="1" applyAlignment="1">
      <alignment horizontal="center" vertical="center" wrapText="1" readingOrder="1"/>
    </xf>
    <xf numFmtId="0" fontId="190" fillId="0" borderId="53" xfId="1" applyFont="1" applyBorder="1" applyAlignment="1">
      <alignment vertical="center" wrapText="1"/>
    </xf>
    <xf numFmtId="0" fontId="174" fillId="0" borderId="53" xfId="1" applyFont="1" applyBorder="1" applyAlignment="1">
      <alignment horizontal="center" vertical="center"/>
    </xf>
    <xf numFmtId="0" fontId="174" fillId="73" borderId="53" xfId="1" applyFont="1" applyFill="1" applyBorder="1" applyAlignment="1">
      <alignment horizontal="center" vertical="center"/>
    </xf>
    <xf numFmtId="0" fontId="190" fillId="0" borderId="53" xfId="1" applyFont="1" applyBorder="1" applyAlignment="1">
      <alignment horizontal="center" vertical="center" wrapText="1"/>
    </xf>
    <xf numFmtId="0" fontId="190" fillId="72" borderId="53" xfId="1" applyFont="1" applyFill="1" applyBorder="1" applyAlignment="1">
      <alignment horizontal="center" vertical="center" wrapText="1"/>
    </xf>
    <xf numFmtId="0" fontId="190" fillId="6" borderId="53" xfId="1" applyFont="1" applyFill="1" applyBorder="1" applyAlignment="1">
      <alignment horizontal="center" vertical="center" wrapText="1"/>
    </xf>
    <xf numFmtId="0" fontId="189" fillId="5" borderId="53" xfId="1" applyFont="1" applyFill="1" applyBorder="1" applyAlignment="1">
      <alignment horizontal="center" vertical="center" wrapText="1" readingOrder="1"/>
    </xf>
    <xf numFmtId="0" fontId="189" fillId="7" borderId="53" xfId="1" applyFont="1" applyFill="1" applyBorder="1" applyAlignment="1">
      <alignment horizontal="center" vertical="center" wrapText="1" readingOrder="1"/>
    </xf>
    <xf numFmtId="0" fontId="189" fillId="8" borderId="53" xfId="1" applyFont="1" applyFill="1" applyBorder="1" applyAlignment="1">
      <alignment horizontal="center" vertical="center" wrapText="1" readingOrder="1"/>
    </xf>
    <xf numFmtId="0" fontId="186" fillId="0" borderId="53" xfId="1" applyFont="1" applyBorder="1" applyAlignment="1">
      <alignment horizontal="left" vertical="center" wrapText="1"/>
    </xf>
    <xf numFmtId="0" fontId="190" fillId="6" borderId="53" xfId="1" quotePrefix="1" applyFont="1" applyFill="1" applyBorder="1" applyAlignment="1">
      <alignment horizontal="center" vertical="center" wrapText="1"/>
    </xf>
    <xf numFmtId="0" fontId="189" fillId="5" borderId="53" xfId="1" quotePrefix="1" applyFont="1" applyFill="1" applyBorder="1" applyAlignment="1">
      <alignment horizontal="center" vertical="center" wrapText="1" readingOrder="1"/>
    </xf>
    <xf numFmtId="0" fontId="189" fillId="7" borderId="53" xfId="1" quotePrefix="1" applyFont="1" applyFill="1" applyBorder="1" applyAlignment="1">
      <alignment horizontal="center" vertical="center" wrapText="1" readingOrder="1"/>
    </xf>
    <xf numFmtId="0" fontId="189" fillId="8" borderId="53" xfId="1" quotePrefix="1" applyFont="1" applyFill="1" applyBorder="1" applyAlignment="1">
      <alignment horizontal="center" vertical="center" wrapText="1" readingOrder="1"/>
    </xf>
    <xf numFmtId="0" fontId="189" fillId="8" borderId="54" xfId="1" applyFont="1" applyFill="1" applyBorder="1" applyAlignment="1">
      <alignment horizontal="center" vertical="center" wrapText="1" readingOrder="1"/>
    </xf>
    <xf numFmtId="0" fontId="189" fillId="73" borderId="53" xfId="1" applyFont="1" applyFill="1" applyBorder="1" applyAlignment="1">
      <alignment horizontal="center" vertical="center" wrapText="1" readingOrder="1"/>
    </xf>
    <xf numFmtId="0" fontId="190" fillId="73" borderId="53" xfId="1" applyFont="1" applyFill="1" applyBorder="1" applyAlignment="1">
      <alignment horizontal="center" vertical="center" wrapText="1"/>
    </xf>
    <xf numFmtId="0" fontId="5" fillId="72" borderId="53" xfId="4" applyFont="1" applyFill="1" applyBorder="1" applyAlignment="1">
      <alignment horizontal="center" vertical="center" wrapText="1" readingOrder="1"/>
    </xf>
    <xf numFmtId="0" fontId="5" fillId="6" borderId="53" xfId="4" applyFont="1" applyFill="1" applyBorder="1" applyAlignment="1">
      <alignment horizontal="center" vertical="center" wrapText="1" readingOrder="1"/>
    </xf>
    <xf numFmtId="0" fontId="5" fillId="5" borderId="4" xfId="6" applyFont="1" applyFill="1" applyBorder="1" applyAlignment="1">
      <alignment horizontal="center" vertical="center" wrapText="1" readingOrder="1"/>
    </xf>
    <xf numFmtId="0" fontId="5" fillId="7" borderId="53" xfId="4" applyFont="1" applyFill="1" applyBorder="1" applyAlignment="1">
      <alignment horizontal="center" vertical="center" wrapText="1" readingOrder="1"/>
    </xf>
    <xf numFmtId="0" fontId="5" fillId="8" borderId="53" xfId="4" applyFont="1" applyFill="1" applyBorder="1" applyAlignment="1">
      <alignment horizontal="center" vertical="center" wrapText="1" readingOrder="1"/>
    </xf>
    <xf numFmtId="0" fontId="189" fillId="0" borderId="54" xfId="1" applyFont="1" applyBorder="1" applyAlignment="1">
      <alignment horizontal="center" vertical="center" wrapText="1"/>
    </xf>
    <xf numFmtId="9" fontId="190" fillId="72" borderId="53" xfId="1" applyNumberFormat="1" applyFont="1" applyFill="1" applyBorder="1" applyAlignment="1">
      <alignment horizontal="center" vertical="center" wrapText="1"/>
    </xf>
    <xf numFmtId="9" fontId="190" fillId="6" borderId="53" xfId="1" applyNumberFormat="1" applyFont="1" applyFill="1" applyBorder="1" applyAlignment="1">
      <alignment horizontal="center" vertical="center" wrapText="1"/>
    </xf>
    <xf numFmtId="9" fontId="189" fillId="5" borderId="53" xfId="1" applyNumberFormat="1" applyFont="1" applyFill="1" applyBorder="1" applyAlignment="1">
      <alignment horizontal="center" vertical="center" wrapText="1"/>
    </xf>
    <xf numFmtId="9" fontId="189" fillId="7" borderId="53" xfId="1" applyNumberFormat="1" applyFont="1" applyFill="1" applyBorder="1" applyAlignment="1">
      <alignment horizontal="center" vertical="center" wrapText="1"/>
    </xf>
    <xf numFmtId="9" fontId="189" fillId="8" borderId="53" xfId="1" applyNumberFormat="1" applyFont="1" applyFill="1" applyBorder="1" applyAlignment="1">
      <alignment horizontal="center" vertical="center" wrapText="1"/>
    </xf>
    <xf numFmtId="0" fontId="189" fillId="0" borderId="56" xfId="1" applyFont="1" applyBorder="1" applyAlignment="1">
      <alignment horizontal="center" vertical="center" wrapText="1"/>
    </xf>
    <xf numFmtId="0" fontId="190" fillId="0" borderId="53" xfId="6" applyFont="1" applyBorder="1" applyAlignment="1">
      <alignment vertical="center" wrapText="1"/>
    </xf>
    <xf numFmtId="0" fontId="190" fillId="72" borderId="53" xfId="49182" quotePrefix="1" applyNumberFormat="1" applyFont="1" applyFill="1" applyBorder="1" applyAlignment="1">
      <alignment horizontal="center" vertical="center" wrapText="1"/>
    </xf>
    <xf numFmtId="0" fontId="190" fillId="6" borderId="53" xfId="49182" applyNumberFormat="1" applyFont="1" applyFill="1" applyBorder="1" applyAlignment="1">
      <alignment horizontal="center" vertical="center" wrapText="1"/>
    </xf>
    <xf numFmtId="0" fontId="189" fillId="5" borderId="53" xfId="49182" applyNumberFormat="1" applyFont="1" applyFill="1" applyBorder="1" applyAlignment="1">
      <alignment horizontal="center" vertical="center" wrapText="1"/>
    </xf>
    <xf numFmtId="0" fontId="189" fillId="7" borderId="53" xfId="49182" applyNumberFormat="1" applyFont="1" applyFill="1" applyBorder="1" applyAlignment="1">
      <alignment horizontal="center" vertical="center" wrapText="1"/>
    </xf>
    <xf numFmtId="0" fontId="189" fillId="8" borderId="53" xfId="49182" applyNumberFormat="1" applyFont="1" applyFill="1" applyBorder="1" applyAlignment="1">
      <alignment horizontal="center" vertical="center" wrapText="1"/>
    </xf>
    <xf numFmtId="0" fontId="187" fillId="0" borderId="56" xfId="1" applyFont="1" applyBorder="1" applyAlignment="1">
      <alignment horizontal="center" vertical="center" wrapText="1"/>
    </xf>
    <xf numFmtId="0" fontId="192" fillId="73" borderId="53" xfId="1" applyFont="1" applyFill="1" applyBorder="1" applyAlignment="1">
      <alignment horizontal="center" vertical="center" wrapText="1" readingOrder="1"/>
    </xf>
    <xf numFmtId="0" fontId="192" fillId="0" borderId="54" xfId="1" applyFont="1" applyBorder="1" applyAlignment="1">
      <alignment horizontal="center" vertical="center" wrapText="1" readingOrder="1"/>
    </xf>
    <xf numFmtId="0" fontId="193" fillId="0" borderId="53" xfId="1" applyFont="1" applyBorder="1" applyAlignment="1">
      <alignment horizontal="center" vertical="center" wrapText="1"/>
    </xf>
    <xf numFmtId="0" fontId="193" fillId="73" borderId="53" xfId="1" applyFont="1" applyFill="1" applyBorder="1" applyAlignment="1">
      <alignment horizontal="center" vertical="center" wrapText="1"/>
    </xf>
    <xf numFmtId="0" fontId="186" fillId="0" borderId="53" xfId="1" applyFont="1" applyBorder="1" applyAlignment="1">
      <alignment horizontal="center" vertical="center"/>
    </xf>
    <xf numFmtId="0" fontId="192" fillId="0" borderId="53" xfId="1" applyFont="1" applyBorder="1" applyAlignment="1">
      <alignment horizontal="center" vertical="center" wrapText="1" readingOrder="1"/>
    </xf>
    <xf numFmtId="9" fontId="193" fillId="72" borderId="53" xfId="1" applyNumberFormat="1" applyFont="1" applyFill="1" applyBorder="1" applyAlignment="1">
      <alignment horizontal="center" vertical="center" wrapText="1"/>
    </xf>
    <xf numFmtId="9" fontId="193" fillId="6" borderId="53" xfId="1" applyNumberFormat="1" applyFont="1" applyFill="1" applyBorder="1" applyAlignment="1">
      <alignment horizontal="center" vertical="center" wrapText="1"/>
    </xf>
    <xf numFmtId="9" fontId="192" fillId="5" borderId="53" xfId="1" applyNumberFormat="1" applyFont="1" applyFill="1" applyBorder="1" applyAlignment="1">
      <alignment horizontal="center" vertical="center" wrapText="1"/>
    </xf>
    <xf numFmtId="9" fontId="192" fillId="7" borderId="53" xfId="1" applyNumberFormat="1" applyFont="1" applyFill="1" applyBorder="1" applyAlignment="1">
      <alignment horizontal="center" vertical="center" wrapText="1"/>
    </xf>
    <xf numFmtId="9" fontId="192" fillId="8" borderId="53" xfId="1" applyNumberFormat="1" applyFont="1" applyFill="1" applyBorder="1" applyAlignment="1">
      <alignment horizontal="center" vertical="center" wrapText="1"/>
    </xf>
    <xf numFmtId="0" fontId="185" fillId="4" borderId="54" xfId="1" applyFont="1" applyFill="1" applyBorder="1"/>
    <xf numFmtId="0" fontId="185" fillId="4" borderId="57" xfId="1" applyFont="1" applyFill="1" applyBorder="1"/>
    <xf numFmtId="0" fontId="185" fillId="4" borderId="57" xfId="1" applyFont="1" applyFill="1" applyBorder="1" applyAlignment="1">
      <alignment horizontal="center"/>
    </xf>
    <xf numFmtId="0" fontId="185" fillId="4" borderId="58" xfId="1" applyFont="1" applyFill="1" applyBorder="1"/>
    <xf numFmtId="0" fontId="185" fillId="4" borderId="53" xfId="1" applyFont="1" applyFill="1" applyBorder="1" applyAlignment="1">
      <alignment horizontal="center"/>
    </xf>
    <xf numFmtId="0" fontId="174" fillId="4" borderId="53" xfId="1" applyFont="1" applyFill="1" applyBorder="1"/>
    <xf numFmtId="0" fontId="184" fillId="4" borderId="59" xfId="1" applyFont="1" applyFill="1" applyBorder="1" applyAlignment="1">
      <alignment horizontal="center" vertical="center" wrapText="1" readingOrder="1"/>
    </xf>
    <xf numFmtId="0" fontId="185" fillId="4" borderId="59" xfId="1" applyFont="1" applyFill="1" applyBorder="1" applyAlignment="1">
      <alignment horizontal="center" vertical="center" wrapText="1"/>
    </xf>
    <xf numFmtId="0" fontId="192" fillId="0" borderId="59" xfId="1" applyFont="1" applyBorder="1" applyAlignment="1">
      <alignment horizontal="center" vertical="center" wrapText="1" readingOrder="1"/>
    </xf>
    <xf numFmtId="0" fontId="193" fillId="74" borderId="59" xfId="1" applyFont="1" applyFill="1" applyBorder="1" applyAlignment="1">
      <alignment vertical="center" wrapText="1"/>
    </xf>
    <xf numFmtId="0" fontId="186" fillId="0" borderId="59" xfId="1" applyFont="1" applyBorder="1" applyAlignment="1">
      <alignment horizontal="center" vertical="center"/>
    </xf>
    <xf numFmtId="0" fontId="193" fillId="0" borderId="59" xfId="1" applyFont="1" applyBorder="1" applyAlignment="1">
      <alignment horizontal="center" vertical="center" wrapText="1"/>
    </xf>
    <xf numFmtId="9" fontId="193" fillId="0" borderId="59" xfId="1" applyNumberFormat="1" applyFont="1" applyBorder="1" applyAlignment="1">
      <alignment horizontal="center" vertical="center" wrapText="1"/>
    </xf>
    <xf numFmtId="9" fontId="192" fillId="0" borderId="59" xfId="1" applyNumberFormat="1" applyFont="1" applyBorder="1" applyAlignment="1">
      <alignment horizontal="center" vertical="center" wrapText="1" readingOrder="1"/>
    </xf>
    <xf numFmtId="10" fontId="192" fillId="0" borderId="59" xfId="1" applyNumberFormat="1" applyFont="1" applyBorder="1" applyAlignment="1">
      <alignment horizontal="center" vertical="center" wrapText="1" readingOrder="1"/>
    </xf>
    <xf numFmtId="0" fontId="186" fillId="74" borderId="59" xfId="1" applyFont="1" applyFill="1" applyBorder="1" applyAlignment="1">
      <alignment horizontal="left" vertical="center" wrapText="1"/>
    </xf>
    <xf numFmtId="0" fontId="186" fillId="0" borderId="62" xfId="1" applyFont="1" applyBorder="1" applyAlignment="1">
      <alignment horizontal="center" vertical="center"/>
    </xf>
    <xf numFmtId="0" fontId="193" fillId="0" borderId="59" xfId="1" quotePrefix="1" applyFont="1" applyBorder="1" applyAlignment="1">
      <alignment horizontal="center" vertical="center" wrapText="1"/>
    </xf>
    <xf numFmtId="0" fontId="192" fillId="0" borderId="59" xfId="1" quotePrefix="1" applyFont="1" applyBorder="1" applyAlignment="1">
      <alignment horizontal="center" vertical="center" wrapText="1" readingOrder="1"/>
    </xf>
    <xf numFmtId="0" fontId="192" fillId="0" borderId="63" xfId="1" applyFont="1" applyBorder="1" applyAlignment="1">
      <alignment horizontal="center" vertical="center" wrapText="1" readingOrder="1"/>
    </xf>
    <xf numFmtId="0" fontId="196" fillId="75" borderId="59" xfId="0" applyFont="1" applyFill="1" applyBorder="1" applyAlignment="1">
      <alignment horizontal="center" vertical="center"/>
    </xf>
    <xf numFmtId="0" fontId="197" fillId="75" borderId="59" xfId="0" applyFont="1" applyFill="1" applyBorder="1" applyAlignment="1">
      <alignment horizontal="left" vertical="center" wrapText="1"/>
    </xf>
    <xf numFmtId="0" fontId="5" fillId="0" borderId="59" xfId="1" applyFont="1" applyBorder="1" applyAlignment="1">
      <alignment horizontal="center" vertical="center" wrapText="1"/>
    </xf>
    <xf numFmtId="0" fontId="5" fillId="0" borderId="59" xfId="4" applyFont="1" applyBorder="1" applyAlignment="1">
      <alignment horizontal="center" vertical="center" wrapText="1" readingOrder="1"/>
    </xf>
    <xf numFmtId="0" fontId="5" fillId="0" borderId="60" xfId="6" applyFont="1" applyBorder="1" applyAlignment="1">
      <alignment horizontal="center" vertical="center" wrapText="1" readingOrder="1"/>
    </xf>
    <xf numFmtId="0" fontId="192" fillId="0" borderId="59" xfId="1" applyFont="1" applyBorder="1" applyAlignment="1">
      <alignment horizontal="center" vertical="center" wrapText="1"/>
    </xf>
    <xf numFmtId="0" fontId="193" fillId="6" borderId="59" xfId="1" applyFont="1" applyFill="1" applyBorder="1" applyAlignment="1">
      <alignment vertical="center" wrapText="1"/>
    </xf>
    <xf numFmtId="0" fontId="186" fillId="0" borderId="63" xfId="1" applyFont="1" applyBorder="1" applyAlignment="1">
      <alignment horizontal="center" vertical="center"/>
    </xf>
    <xf numFmtId="9" fontId="192" fillId="0" borderId="59" xfId="1" applyNumberFormat="1" applyFont="1" applyBorder="1" applyAlignment="1">
      <alignment horizontal="center" vertical="center" wrapText="1"/>
    </xf>
    <xf numFmtId="0" fontId="186" fillId="0" borderId="59" xfId="1" applyFont="1" applyBorder="1" applyAlignment="1">
      <alignment horizontal="center" vertical="center" wrapText="1"/>
    </xf>
    <xf numFmtId="49" fontId="193" fillId="0" borderId="59" xfId="1" applyNumberFormat="1" applyFont="1" applyBorder="1" applyAlignment="1">
      <alignment horizontal="center" vertical="center" wrapText="1"/>
    </xf>
    <xf numFmtId="49" fontId="192" fillId="0" borderId="59" xfId="1" applyNumberFormat="1" applyFont="1" applyBorder="1" applyAlignment="1">
      <alignment horizontal="center" vertical="center" wrapText="1"/>
    </xf>
    <xf numFmtId="0" fontId="193" fillId="6" borderId="59" xfId="1" applyFont="1" applyFill="1" applyBorder="1" applyAlignment="1">
      <alignment horizontal="left" vertical="center" wrapText="1"/>
    </xf>
    <xf numFmtId="0" fontId="192" fillId="0" borderId="18" xfId="1" applyFont="1" applyBorder="1" applyAlignment="1">
      <alignment horizontal="center" vertical="center" wrapText="1" readingOrder="1"/>
    </xf>
    <xf numFmtId="0" fontId="186" fillId="0" borderId="63" xfId="1" applyFont="1" applyBorder="1" applyAlignment="1">
      <alignment horizontal="center" vertical="center" wrapText="1"/>
    </xf>
    <xf numFmtId="0" fontId="193" fillId="0" borderId="62" xfId="1" applyFont="1" applyBorder="1" applyAlignment="1">
      <alignment horizontal="center" vertical="center" wrapText="1"/>
    </xf>
    <xf numFmtId="0" fontId="192" fillId="0" borderId="5" xfId="1" applyFont="1" applyBorder="1" applyAlignment="1">
      <alignment horizontal="center" vertical="center" wrapText="1" readingOrder="1"/>
    </xf>
    <xf numFmtId="0" fontId="192" fillId="0" borderId="60" xfId="1" applyFont="1" applyBorder="1" applyAlignment="1">
      <alignment horizontal="center" vertical="center" wrapText="1" readingOrder="1"/>
    </xf>
    <xf numFmtId="0" fontId="192" fillId="0" borderId="61" xfId="1" applyFont="1" applyBorder="1" applyAlignment="1">
      <alignment horizontal="center" vertical="center" wrapText="1" readingOrder="1"/>
    </xf>
    <xf numFmtId="0" fontId="193" fillId="6" borderId="60" xfId="1" applyFont="1" applyFill="1" applyBorder="1" applyAlignment="1">
      <alignment vertical="center" wrapText="1"/>
    </xf>
    <xf numFmtId="0" fontId="186" fillId="0" borderId="61" xfId="1" applyFont="1" applyBorder="1" applyAlignment="1">
      <alignment horizontal="center" vertical="center" wrapText="1"/>
    </xf>
    <xf numFmtId="0" fontId="193" fillId="0" borderId="59" xfId="1" applyFont="1" applyBorder="1" applyAlignment="1">
      <alignment horizontal="left" vertical="center" wrapText="1" readingOrder="1"/>
    </xf>
    <xf numFmtId="9" fontId="198" fillId="0" borderId="59" xfId="1" applyNumberFormat="1" applyFont="1" applyBorder="1" applyAlignment="1">
      <alignment horizontal="center" vertical="center" wrapText="1"/>
    </xf>
    <xf numFmtId="9" fontId="198" fillId="0" borderId="59" xfId="1" applyNumberFormat="1" applyFont="1" applyBorder="1" applyAlignment="1">
      <alignment horizontal="center" vertical="center" wrapText="1" readingOrder="1"/>
    </xf>
    <xf numFmtId="0" fontId="199" fillId="0" borderId="59" xfId="1" applyFont="1" applyBorder="1"/>
    <xf numFmtId="0" fontId="193" fillId="0" borderId="59" xfId="6" applyFont="1" applyBorder="1" applyAlignment="1">
      <alignment vertical="center" wrapText="1" readingOrder="1"/>
    </xf>
    <xf numFmtId="0" fontId="186" fillId="0" borderId="59" xfId="1" applyFont="1" applyBorder="1"/>
    <xf numFmtId="0" fontId="200" fillId="0" borderId="59" xfId="11" applyFont="1" applyBorder="1" applyAlignment="1">
      <alignment horizontal="left" vertical="center"/>
    </xf>
    <xf numFmtId="0" fontId="187" fillId="0" borderId="62" xfId="1" applyFont="1" applyBorder="1"/>
    <xf numFmtId="0" fontId="187" fillId="0" borderId="59" xfId="1" applyFont="1" applyBorder="1" applyAlignment="1">
      <alignment horizontal="center"/>
    </xf>
    <xf numFmtId="0" fontId="199" fillId="0" borderId="0" xfId="1" applyFont="1"/>
    <xf numFmtId="0" fontId="5" fillId="72" borderId="65" xfId="4" applyFont="1" applyFill="1" applyBorder="1" applyAlignment="1">
      <alignment horizontal="center" vertical="center" wrapText="1" readingOrder="1"/>
    </xf>
    <xf numFmtId="0" fontId="5" fillId="6" borderId="65" xfId="4" applyFont="1" applyFill="1" applyBorder="1" applyAlignment="1">
      <alignment horizontal="center" vertical="center" wrapText="1" readingOrder="1"/>
    </xf>
    <xf numFmtId="0" fontId="5" fillId="5" borderId="66" xfId="6" applyFont="1" applyFill="1" applyBorder="1" applyAlignment="1">
      <alignment horizontal="center" vertical="center" wrapText="1" readingOrder="1"/>
    </xf>
    <xf numFmtId="0" fontId="5" fillId="7" borderId="65" xfId="4" applyFont="1" applyFill="1" applyBorder="1" applyAlignment="1">
      <alignment horizontal="center" vertical="center" wrapText="1" readingOrder="1"/>
    </xf>
    <xf numFmtId="0" fontId="5" fillId="8" borderId="65" xfId="4" applyFont="1" applyFill="1" applyBorder="1" applyAlignment="1">
      <alignment horizontal="center" vertical="center" wrapText="1" readingOrder="1"/>
    </xf>
    <xf numFmtId="1" fontId="190" fillId="0" borderId="65" xfId="1" applyNumberFormat="1" applyFont="1" applyBorder="1" applyAlignment="1">
      <alignment horizontal="center" vertical="center" wrapText="1"/>
    </xf>
    <xf numFmtId="1" fontId="190" fillId="0" borderId="6" xfId="1" applyNumberFormat="1" applyFont="1" applyBorder="1" applyAlignment="1">
      <alignment horizontal="center" vertical="center" wrapText="1"/>
    </xf>
    <xf numFmtId="0" fontId="174" fillId="0" borderId="67" xfId="1" applyFont="1" applyBorder="1" applyAlignment="1">
      <alignment horizontal="center" vertical="center"/>
    </xf>
    <xf numFmtId="1" fontId="190" fillId="0" borderId="67" xfId="1" applyNumberFormat="1" applyFont="1" applyBorder="1" applyAlignment="1">
      <alignment horizontal="center" vertical="center" wrapText="1"/>
    </xf>
    <xf numFmtId="0" fontId="190" fillId="72" borderId="67" xfId="1" applyFont="1" applyFill="1" applyBorder="1" applyAlignment="1">
      <alignment horizontal="center" vertical="center" wrapText="1"/>
    </xf>
    <xf numFmtId="0" fontId="186" fillId="0" borderId="67" xfId="1" applyFont="1" applyBorder="1" applyAlignment="1">
      <alignment horizontal="left" vertical="center" wrapText="1"/>
    </xf>
    <xf numFmtId="0" fontId="190" fillId="6" borderId="67" xfId="1" quotePrefix="1" applyFont="1" applyFill="1" applyBorder="1" applyAlignment="1">
      <alignment horizontal="center" vertical="center" wrapText="1"/>
    </xf>
    <xf numFmtId="0" fontId="189" fillId="5" borderId="67" xfId="1" quotePrefix="1" applyFont="1" applyFill="1" applyBorder="1" applyAlignment="1">
      <alignment horizontal="center" vertical="center" wrapText="1" readingOrder="1"/>
    </xf>
    <xf numFmtId="0" fontId="189" fillId="7" borderId="67" xfId="1" quotePrefix="1" applyFont="1" applyFill="1" applyBorder="1" applyAlignment="1">
      <alignment horizontal="center" vertical="center" wrapText="1" readingOrder="1"/>
    </xf>
    <xf numFmtId="0" fontId="189" fillId="8" borderId="67" xfId="1" quotePrefix="1" applyFont="1" applyFill="1" applyBorder="1" applyAlignment="1">
      <alignment horizontal="center" vertical="center" wrapText="1" readingOrder="1"/>
    </xf>
    <xf numFmtId="0" fontId="186" fillId="76" borderId="67" xfId="1" applyFont="1" applyFill="1" applyBorder="1" applyAlignment="1">
      <alignment horizontal="left" vertical="center" wrapText="1"/>
    </xf>
    <xf numFmtId="0" fontId="190" fillId="76" borderId="47" xfId="1" applyFont="1" applyFill="1" applyBorder="1" applyAlignment="1">
      <alignment vertical="center" wrapText="1"/>
    </xf>
    <xf numFmtId="0" fontId="199" fillId="0" borderId="0" xfId="1" applyFont="1" applyAlignment="1">
      <alignment vertical="center"/>
    </xf>
    <xf numFmtId="0" fontId="190" fillId="0" borderId="71" xfId="1" applyFont="1" applyBorder="1" applyAlignment="1">
      <alignment vertical="center" wrapText="1"/>
    </xf>
    <xf numFmtId="0" fontId="174" fillId="0" borderId="69" xfId="1" applyFont="1" applyBorder="1" applyAlignment="1">
      <alignment horizontal="center" vertical="center"/>
    </xf>
    <xf numFmtId="0" fontId="190" fillId="0" borderId="69" xfId="1" applyFont="1" applyBorder="1" applyAlignment="1">
      <alignment horizontal="center" vertical="center" wrapText="1"/>
    </xf>
    <xf numFmtId="1" fontId="190" fillId="0" borderId="69" xfId="1" applyNumberFormat="1" applyFont="1" applyBorder="1" applyAlignment="1">
      <alignment horizontal="center" vertical="center" wrapText="1"/>
    </xf>
    <xf numFmtId="1" fontId="190" fillId="77" borderId="47" xfId="1" applyNumberFormat="1" applyFont="1" applyFill="1" applyBorder="1" applyAlignment="1">
      <alignment horizontal="center" vertical="center" wrapText="1"/>
    </xf>
    <xf numFmtId="0" fontId="5" fillId="78" borderId="73" xfId="49414" applyFont="1" applyFill="1" applyBorder="1" applyAlignment="1">
      <alignment horizontal="center" vertical="center" wrapText="1" readingOrder="1"/>
    </xf>
    <xf numFmtId="0" fontId="184" fillId="4" borderId="73" xfId="1" applyFont="1" applyFill="1" applyBorder="1" applyAlignment="1">
      <alignment horizontal="center" vertical="center" wrapText="1" readingOrder="1"/>
    </xf>
    <xf numFmtId="0" fontId="174" fillId="4" borderId="73" xfId="1" applyFont="1" applyFill="1" applyBorder="1"/>
    <xf numFmtId="0" fontId="185" fillId="4" borderId="73" xfId="1" applyFont="1" applyFill="1" applyBorder="1"/>
    <xf numFmtId="0" fontId="185" fillId="4" borderId="75" xfId="1" applyFont="1" applyFill="1" applyBorder="1"/>
    <xf numFmtId="0" fontId="191" fillId="4" borderId="77" xfId="1" applyFont="1" applyFill="1" applyBorder="1"/>
    <xf numFmtId="0" fontId="185" fillId="4" borderId="76" xfId="1" applyFont="1" applyFill="1" applyBorder="1"/>
    <xf numFmtId="0" fontId="174" fillId="0" borderId="73" xfId="1" applyFont="1" applyBorder="1" applyAlignment="1">
      <alignment horizontal="center" vertical="center"/>
    </xf>
    <xf numFmtId="9" fontId="190" fillId="72" borderId="73" xfId="1" applyNumberFormat="1" applyFont="1" applyFill="1" applyBorder="1" applyAlignment="1">
      <alignment horizontal="center" vertical="center" wrapText="1"/>
    </xf>
    <xf numFmtId="0" fontId="190" fillId="0" borderId="73" xfId="1" applyFont="1" applyBorder="1" applyAlignment="1">
      <alignment horizontal="center" vertical="center" wrapText="1"/>
    </xf>
    <xf numFmtId="0" fontId="7" fillId="77" borderId="73" xfId="1" applyFont="1" applyFill="1" applyBorder="1" applyAlignment="1">
      <alignment horizontal="center" vertical="center" wrapText="1"/>
    </xf>
    <xf numFmtId="9" fontId="189" fillId="8" borderId="73" xfId="1" applyNumberFormat="1" applyFont="1" applyFill="1" applyBorder="1" applyAlignment="1">
      <alignment horizontal="center" vertical="center" wrapText="1"/>
    </xf>
    <xf numFmtId="9" fontId="189" fillId="7" borderId="73" xfId="1" applyNumberFormat="1" applyFont="1" applyFill="1" applyBorder="1" applyAlignment="1">
      <alignment horizontal="center" vertical="center" wrapText="1"/>
    </xf>
    <xf numFmtId="9" fontId="189" fillId="5" borderId="73" xfId="1" applyNumberFormat="1" applyFont="1" applyFill="1" applyBorder="1" applyAlignment="1">
      <alignment horizontal="center" vertical="center" wrapText="1"/>
    </xf>
    <xf numFmtId="9" fontId="190" fillId="6" borderId="73" xfId="1" applyNumberFormat="1" applyFont="1" applyFill="1" applyBorder="1" applyAlignment="1">
      <alignment horizontal="center" vertical="center" wrapText="1"/>
    </xf>
    <xf numFmtId="0" fontId="189" fillId="8" borderId="73" xfId="1" quotePrefix="1" applyFont="1" applyFill="1" applyBorder="1" applyAlignment="1">
      <alignment horizontal="center" vertical="center" wrapText="1" readingOrder="1"/>
    </xf>
    <xf numFmtId="0" fontId="189" fillId="7" borderId="73" xfId="1" quotePrefix="1" applyFont="1" applyFill="1" applyBorder="1" applyAlignment="1">
      <alignment horizontal="center" vertical="center" wrapText="1" readingOrder="1"/>
    </xf>
    <xf numFmtId="0" fontId="189" fillId="5" borderId="73" xfId="1" quotePrefix="1" applyFont="1" applyFill="1" applyBorder="1" applyAlignment="1">
      <alignment horizontal="center" vertical="center" wrapText="1" readingOrder="1"/>
    </xf>
    <xf numFmtId="0" fontId="190" fillId="6" borderId="73" xfId="1" quotePrefix="1" applyFont="1" applyFill="1" applyBorder="1" applyAlignment="1">
      <alignment horizontal="center" vertical="center" wrapText="1"/>
    </xf>
    <xf numFmtId="0" fontId="190" fillId="72" borderId="73" xfId="1" applyFont="1" applyFill="1" applyBorder="1" applyAlignment="1">
      <alignment horizontal="center" vertical="center" wrapText="1"/>
    </xf>
    <xf numFmtId="0" fontId="189" fillId="8" borderId="73" xfId="1" applyFont="1" applyFill="1" applyBorder="1" applyAlignment="1">
      <alignment horizontal="center" vertical="center" wrapText="1"/>
    </xf>
    <xf numFmtId="0" fontId="189" fillId="7" borderId="73" xfId="1" applyFont="1" applyFill="1" applyBorder="1" applyAlignment="1">
      <alignment horizontal="center" vertical="center" wrapText="1"/>
    </xf>
    <xf numFmtId="0" fontId="189" fillId="5" borderId="73" xfId="1" applyFont="1" applyFill="1" applyBorder="1" applyAlignment="1">
      <alignment horizontal="center" vertical="center" wrapText="1"/>
    </xf>
    <xf numFmtId="0" fontId="189" fillId="6" borderId="73" xfId="1" applyFont="1" applyFill="1" applyBorder="1" applyAlignment="1">
      <alignment horizontal="center" vertical="center" wrapText="1"/>
    </xf>
    <xf numFmtId="0" fontId="189" fillId="72" borderId="73" xfId="1" applyFont="1" applyFill="1" applyBorder="1" applyAlignment="1">
      <alignment horizontal="center" vertical="center" wrapText="1"/>
    </xf>
    <xf numFmtId="0" fontId="190" fillId="6" borderId="73" xfId="1" applyFont="1" applyFill="1" applyBorder="1" applyAlignment="1">
      <alignment horizontal="center" vertical="center" wrapText="1"/>
    </xf>
    <xf numFmtId="0" fontId="174" fillId="0" borderId="74" xfId="1" applyFont="1" applyBorder="1" applyAlignment="1">
      <alignment horizontal="center" vertical="center"/>
    </xf>
    <xf numFmtId="0" fontId="5" fillId="8" borderId="73" xfId="4" applyFont="1" applyFill="1" applyBorder="1" applyAlignment="1">
      <alignment horizontal="center" vertical="center" wrapText="1" readingOrder="1"/>
    </xf>
    <xf numFmtId="0" fontId="5" fillId="7" borderId="73" xfId="4" applyFont="1" applyFill="1" applyBorder="1" applyAlignment="1">
      <alignment horizontal="center" vertical="center" wrapText="1" readingOrder="1"/>
    </xf>
    <xf numFmtId="0" fontId="5" fillId="5" borderId="74" xfId="6" applyFont="1" applyFill="1" applyBorder="1" applyAlignment="1">
      <alignment horizontal="center" vertical="center" wrapText="1" readingOrder="1"/>
    </xf>
    <xf numFmtId="0" fontId="5" fillId="6" borderId="73" xfId="4" applyFont="1" applyFill="1" applyBorder="1" applyAlignment="1">
      <alignment horizontal="center" vertical="center" wrapText="1" readingOrder="1"/>
    </xf>
    <xf numFmtId="0" fontId="5" fillId="72" borderId="73" xfId="4" applyFont="1" applyFill="1" applyBorder="1" applyAlignment="1">
      <alignment horizontal="center" vertical="center" wrapText="1" readingOrder="1"/>
    </xf>
    <xf numFmtId="0" fontId="189" fillId="0" borderId="73" xfId="1" applyFont="1" applyBorder="1" applyAlignment="1">
      <alignment horizontal="center" vertical="center" wrapText="1" readingOrder="1"/>
    </xf>
    <xf numFmtId="0" fontId="5" fillId="8" borderId="73" xfId="49413" applyNumberFormat="1" applyFont="1" applyFill="1" applyBorder="1" applyAlignment="1">
      <alignment horizontal="center" vertical="center" wrapText="1" readingOrder="1"/>
    </xf>
    <xf numFmtId="0" fontId="5" fillId="7" borderId="73" xfId="49413" applyNumberFormat="1" applyFont="1" applyFill="1" applyBorder="1" applyAlignment="1">
      <alignment horizontal="center" vertical="center" wrapText="1" readingOrder="1"/>
    </xf>
    <xf numFmtId="0" fontId="5" fillId="5" borderId="73" xfId="49413" applyNumberFormat="1" applyFont="1" applyFill="1" applyBorder="1" applyAlignment="1">
      <alignment horizontal="center" vertical="center" wrapText="1" readingOrder="1"/>
    </xf>
    <xf numFmtId="0" fontId="5" fillId="6" borderId="73" xfId="49413" applyNumberFormat="1" applyFont="1" applyFill="1" applyBorder="1" applyAlignment="1">
      <alignment horizontal="center" vertical="center" wrapText="1" readingOrder="1"/>
    </xf>
    <xf numFmtId="0" fontId="5" fillId="72" borderId="73" xfId="49413" applyNumberFormat="1" applyFont="1" applyFill="1" applyBorder="1" applyAlignment="1">
      <alignment horizontal="center" vertical="center" wrapText="1" readingOrder="1"/>
    </xf>
    <xf numFmtId="0" fontId="185" fillId="4" borderId="73" xfId="1" applyFont="1" applyFill="1" applyBorder="1" applyAlignment="1">
      <alignment horizontal="center" vertical="center" wrapText="1" readingOrder="1"/>
    </xf>
    <xf numFmtId="0" fontId="190" fillId="77" borderId="73" xfId="1" applyFont="1" applyFill="1" applyBorder="1" applyAlignment="1">
      <alignment horizontal="center" vertical="center" wrapText="1"/>
    </xf>
    <xf numFmtId="0" fontId="174" fillId="77" borderId="73" xfId="1" applyFont="1" applyFill="1" applyBorder="1" applyAlignment="1">
      <alignment horizontal="center" vertical="center"/>
    </xf>
    <xf numFmtId="0" fontId="189" fillId="0" borderId="70" xfId="1" applyFont="1" applyBorder="1" applyAlignment="1">
      <alignment horizontal="center" vertical="center" wrapText="1"/>
    </xf>
    <xf numFmtId="0" fontId="5" fillId="0" borderId="65" xfId="1" applyFont="1" applyBorder="1" applyAlignment="1">
      <alignment vertical="center" wrapText="1"/>
    </xf>
    <xf numFmtId="0" fontId="189" fillId="0" borderId="76" xfId="1" applyFont="1" applyBorder="1" applyAlignment="1">
      <alignment horizontal="center" vertical="center" wrapText="1"/>
    </xf>
    <xf numFmtId="0" fontId="189" fillId="0" borderId="73" xfId="1" applyFont="1" applyBorder="1" applyAlignment="1">
      <alignment horizontal="center" vertical="center" wrapText="1"/>
    </xf>
    <xf numFmtId="0" fontId="190" fillId="0" borderId="75" xfId="1" applyFont="1" applyBorder="1" applyAlignment="1">
      <alignment vertical="center" wrapText="1"/>
    </xf>
    <xf numFmtId="0" fontId="189" fillId="0" borderId="6" xfId="1" applyFont="1" applyBorder="1" applyAlignment="1">
      <alignment horizontal="center" vertical="center" wrapText="1"/>
    </xf>
    <xf numFmtId="0" fontId="202" fillId="4" borderId="47" xfId="1" applyFont="1" applyFill="1" applyBorder="1" applyAlignment="1">
      <alignment horizontal="center" vertical="center" wrapText="1" readingOrder="1"/>
    </xf>
    <xf numFmtId="0" fontId="201" fillId="4" borderId="47" xfId="1" applyFont="1" applyFill="1" applyBorder="1" applyAlignment="1">
      <alignment horizontal="center" vertical="center" wrapText="1"/>
    </xf>
    <xf numFmtId="0" fontId="1" fillId="0" borderId="0" xfId="1" applyFont="1" applyAlignment="1">
      <alignment vertical="center"/>
    </xf>
    <xf numFmtId="0" fontId="203" fillId="0" borderId="69" xfId="1" applyFont="1" applyBorder="1" applyAlignment="1">
      <alignment horizontal="center" vertical="center" wrapText="1" readingOrder="1"/>
    </xf>
    <xf numFmtId="0" fontId="204" fillId="0" borderId="69" xfId="1" applyFont="1" applyBorder="1" applyAlignment="1">
      <alignment horizontal="left" vertical="center" wrapText="1" readingOrder="1"/>
    </xf>
    <xf numFmtId="0" fontId="205" fillId="0" borderId="69" xfId="1" applyFont="1" applyBorder="1" applyAlignment="1">
      <alignment horizontal="center" vertical="center" wrapText="1"/>
    </xf>
    <xf numFmtId="0" fontId="6" fillId="78" borderId="73" xfId="49414" applyFont="1" applyFill="1" applyBorder="1" applyAlignment="1">
      <alignment horizontal="center" vertical="center" wrapText="1" readingOrder="1"/>
    </xf>
    <xf numFmtId="0" fontId="102" fillId="75" borderId="73" xfId="49414" applyFont="1" applyFill="1" applyBorder="1" applyAlignment="1">
      <alignment vertical="center" wrapText="1"/>
    </xf>
    <xf numFmtId="0" fontId="204" fillId="0" borderId="73" xfId="5" quotePrefix="1" applyFont="1" applyBorder="1" applyAlignment="1">
      <alignment vertical="center" wrapText="1"/>
    </xf>
    <xf numFmtId="0" fontId="6" fillId="0" borderId="47" xfId="1" applyFont="1" applyBorder="1" applyAlignment="1">
      <alignment horizontal="center" vertical="center" wrapText="1"/>
    </xf>
    <xf numFmtId="0" fontId="6" fillId="72" borderId="47" xfId="49413" applyNumberFormat="1" applyFont="1" applyFill="1" applyBorder="1" applyAlignment="1">
      <alignment horizontal="center" vertical="center" wrapText="1" readingOrder="1"/>
    </xf>
    <xf numFmtId="0" fontId="6" fillId="6" borderId="47" xfId="49413" applyNumberFormat="1" applyFont="1" applyFill="1" applyBorder="1" applyAlignment="1">
      <alignment horizontal="center" vertical="center" wrapText="1" readingOrder="1"/>
    </xf>
    <xf numFmtId="0" fontId="6" fillId="5" borderId="47" xfId="49413" applyNumberFormat="1" applyFont="1" applyFill="1" applyBorder="1" applyAlignment="1">
      <alignment horizontal="center" vertical="center" wrapText="1" readingOrder="1"/>
    </xf>
    <xf numFmtId="0" fontId="6" fillId="7" borderId="47" xfId="49413" applyNumberFormat="1" applyFont="1" applyFill="1" applyBorder="1" applyAlignment="1">
      <alignment horizontal="center" vertical="center" wrapText="1" readingOrder="1"/>
    </xf>
    <xf numFmtId="0" fontId="6" fillId="8" borderId="47" xfId="49413" applyNumberFormat="1" applyFont="1" applyFill="1" applyBorder="1" applyAlignment="1">
      <alignment horizontal="center" vertical="center" wrapText="1" readingOrder="1"/>
    </xf>
    <xf numFmtId="0" fontId="1" fillId="0" borderId="0" xfId="1" applyFont="1"/>
    <xf numFmtId="0" fontId="6" fillId="0" borderId="65" xfId="1" applyFont="1" applyBorder="1" applyAlignment="1">
      <alignment vertical="center" wrapText="1"/>
    </xf>
    <xf numFmtId="0" fontId="6" fillId="0" borderId="65" xfId="1" applyFont="1" applyBorder="1" applyAlignment="1">
      <alignment horizontal="center" vertical="center" wrapText="1"/>
    </xf>
    <xf numFmtId="0" fontId="6" fillId="72" borderId="65" xfId="4" applyFont="1" applyFill="1" applyBorder="1" applyAlignment="1">
      <alignment horizontal="center" vertical="center" wrapText="1" readingOrder="1"/>
    </xf>
    <xf numFmtId="0" fontId="6" fillId="6" borderId="65" xfId="4" applyFont="1" applyFill="1" applyBorder="1" applyAlignment="1">
      <alignment horizontal="center" vertical="center" wrapText="1" readingOrder="1"/>
    </xf>
    <xf numFmtId="0" fontId="6" fillId="5" borderId="66" xfId="6" applyFont="1" applyFill="1" applyBorder="1" applyAlignment="1">
      <alignment horizontal="center" vertical="center" wrapText="1" readingOrder="1"/>
    </xf>
    <xf numFmtId="0" fontId="6" fillId="7" borderId="65" xfId="4" applyFont="1" applyFill="1" applyBorder="1" applyAlignment="1">
      <alignment horizontal="center" vertical="center" wrapText="1" readingOrder="1"/>
    </xf>
    <xf numFmtId="0" fontId="6" fillId="8" borderId="65" xfId="4" applyFont="1" applyFill="1" applyBorder="1" applyAlignment="1">
      <alignment horizontal="center" vertical="center" wrapText="1" readingOrder="1"/>
    </xf>
    <xf numFmtId="0" fontId="1" fillId="0" borderId="65" xfId="1" applyFont="1" applyBorder="1" applyAlignment="1">
      <alignment horizontal="center" vertical="center"/>
    </xf>
    <xf numFmtId="0" fontId="206" fillId="0" borderId="49" xfId="1" applyFont="1" applyBorder="1" applyAlignment="1">
      <alignment horizontal="center" vertical="center" wrapText="1"/>
    </xf>
    <xf numFmtId="0" fontId="6" fillId="0" borderId="47" xfId="1" applyFont="1" applyBorder="1" applyAlignment="1">
      <alignment vertical="center" wrapText="1"/>
    </xf>
    <xf numFmtId="0" fontId="1" fillId="0" borderId="47" xfId="1" applyFont="1" applyBorder="1" applyAlignment="1">
      <alignment horizontal="center" vertical="center"/>
    </xf>
    <xf numFmtId="0" fontId="206" fillId="0" borderId="47" xfId="1" applyFont="1" applyBorder="1" applyAlignment="1">
      <alignment horizontal="center" vertical="center" wrapText="1"/>
    </xf>
    <xf numFmtId="0" fontId="6" fillId="72" borderId="47" xfId="1" applyFont="1" applyFill="1" applyBorder="1" applyAlignment="1">
      <alignment horizontal="center" vertical="center" wrapText="1"/>
    </xf>
    <xf numFmtId="0" fontId="6" fillId="6" borderId="47" xfId="1" applyFont="1" applyFill="1" applyBorder="1" applyAlignment="1">
      <alignment horizontal="center" vertical="center" wrapText="1"/>
    </xf>
    <xf numFmtId="0" fontId="206" fillId="5" borderId="47" xfId="1" applyFont="1" applyFill="1" applyBorder="1" applyAlignment="1">
      <alignment horizontal="center" vertical="center" wrapText="1"/>
    </xf>
    <xf numFmtId="0" fontId="206" fillId="7" borderId="47" xfId="1" applyFont="1" applyFill="1" applyBorder="1" applyAlignment="1">
      <alignment horizontal="center" vertical="center" wrapText="1"/>
    </xf>
    <xf numFmtId="0" fontId="206" fillId="8" borderId="47" xfId="1" applyFont="1" applyFill="1" applyBorder="1" applyAlignment="1">
      <alignment horizontal="center" vertical="center" wrapText="1"/>
    </xf>
    <xf numFmtId="0" fontId="1" fillId="0" borderId="69" xfId="1" applyFont="1" applyBorder="1" applyAlignment="1">
      <alignment horizontal="center" vertical="center"/>
    </xf>
    <xf numFmtId="0" fontId="6" fillId="0" borderId="69" xfId="1" applyFont="1" applyBorder="1" applyAlignment="1">
      <alignment horizontal="center" vertical="center" wrapText="1"/>
    </xf>
    <xf numFmtId="0" fontId="6" fillId="72" borderId="69" xfId="1" applyFont="1" applyFill="1" applyBorder="1" applyAlignment="1">
      <alignment horizontal="center" vertical="center" wrapText="1"/>
    </xf>
    <xf numFmtId="0" fontId="6" fillId="6" borderId="69" xfId="1" applyFont="1" applyFill="1" applyBorder="1" applyAlignment="1">
      <alignment horizontal="center" vertical="center" wrapText="1"/>
    </xf>
    <xf numFmtId="0" fontId="206" fillId="5" borderId="69" xfId="1" applyFont="1" applyFill="1" applyBorder="1" applyAlignment="1">
      <alignment horizontal="center" vertical="center" wrapText="1"/>
    </xf>
    <xf numFmtId="0" fontId="206" fillId="7" borderId="69" xfId="1" applyFont="1" applyFill="1" applyBorder="1" applyAlignment="1">
      <alignment horizontal="center" vertical="center" wrapText="1"/>
    </xf>
    <xf numFmtId="0" fontId="206" fillId="8" borderId="69" xfId="1" applyFont="1" applyFill="1" applyBorder="1" applyAlignment="1">
      <alignment horizontal="center" vertical="center" wrapText="1"/>
    </xf>
    <xf numFmtId="0" fontId="206" fillId="0" borderId="47" xfId="1" applyFont="1" applyBorder="1" applyAlignment="1">
      <alignment horizontal="center" vertical="center" wrapText="1" readingOrder="1"/>
    </xf>
    <xf numFmtId="0" fontId="199" fillId="0" borderId="47" xfId="1" applyFont="1" applyBorder="1" applyAlignment="1">
      <alignment horizontal="left" vertical="center" wrapText="1"/>
    </xf>
    <xf numFmtId="0" fontId="6" fillId="6" borderId="47" xfId="1" quotePrefix="1" applyFont="1" applyFill="1" applyBorder="1" applyAlignment="1">
      <alignment horizontal="center" vertical="center" wrapText="1"/>
    </xf>
    <xf numFmtId="0" fontId="206" fillId="5" borderId="47" xfId="1" quotePrefix="1" applyFont="1" applyFill="1" applyBorder="1" applyAlignment="1">
      <alignment horizontal="center" vertical="center" wrapText="1" readingOrder="1"/>
    </xf>
    <xf numFmtId="0" fontId="206" fillId="7" borderId="47" xfId="1" quotePrefix="1" applyFont="1" applyFill="1" applyBorder="1" applyAlignment="1">
      <alignment horizontal="center" vertical="center" wrapText="1" readingOrder="1"/>
    </xf>
    <xf numFmtId="0" fontId="206" fillId="8" borderId="47" xfId="1" quotePrefix="1" applyFont="1" applyFill="1" applyBorder="1" applyAlignment="1">
      <alignment horizontal="center" vertical="center" wrapText="1" readingOrder="1"/>
    </xf>
    <xf numFmtId="0" fontId="206" fillId="77" borderId="69" xfId="1" applyFont="1" applyFill="1" applyBorder="1" applyAlignment="1">
      <alignment horizontal="center" vertical="center" wrapText="1" readingOrder="1"/>
    </xf>
    <xf numFmtId="0" fontId="206" fillId="0" borderId="72" xfId="1" applyFont="1" applyBorder="1" applyAlignment="1">
      <alignment horizontal="center" vertical="center" wrapText="1"/>
    </xf>
    <xf numFmtId="0" fontId="199" fillId="0" borderId="69" xfId="1" applyFont="1" applyBorder="1" applyAlignment="1">
      <alignment horizontal="left" vertical="center" wrapText="1"/>
    </xf>
    <xf numFmtId="0" fontId="1" fillId="0" borderId="6" xfId="1" applyFont="1" applyBorder="1" applyAlignment="1">
      <alignment horizontal="center" vertical="center"/>
    </xf>
    <xf numFmtId="0" fontId="1" fillId="77" borderId="69" xfId="1" applyFont="1" applyFill="1" applyBorder="1" applyAlignment="1">
      <alignment horizontal="center" vertical="center"/>
    </xf>
    <xf numFmtId="0" fontId="6" fillId="6" borderId="69" xfId="1" quotePrefix="1" applyFont="1" applyFill="1" applyBorder="1" applyAlignment="1">
      <alignment horizontal="center" vertical="center" wrapText="1"/>
    </xf>
    <xf numFmtId="0" fontId="206" fillId="5" borderId="69" xfId="1" quotePrefix="1" applyFont="1" applyFill="1" applyBorder="1" applyAlignment="1">
      <alignment horizontal="center" vertical="center" wrapText="1" readingOrder="1"/>
    </xf>
    <xf numFmtId="0" fontId="206" fillId="7" borderId="69" xfId="1" quotePrefix="1" applyFont="1" applyFill="1" applyBorder="1" applyAlignment="1">
      <alignment horizontal="center" vertical="center" wrapText="1" readingOrder="1"/>
    </xf>
    <xf numFmtId="0" fontId="206" fillId="8" borderId="69" xfId="1" quotePrefix="1" applyFont="1" applyFill="1" applyBorder="1" applyAlignment="1">
      <alignment horizontal="center" vertical="center" wrapText="1" readingOrder="1"/>
    </xf>
    <xf numFmtId="0" fontId="206" fillId="77" borderId="47" xfId="1" applyFont="1" applyFill="1" applyBorder="1" applyAlignment="1">
      <alignment horizontal="center" vertical="center" wrapText="1" readingOrder="1"/>
    </xf>
    <xf numFmtId="0" fontId="1" fillId="77" borderId="47" xfId="1" applyFont="1" applyFill="1" applyBorder="1" applyAlignment="1">
      <alignment horizontal="center" vertical="center"/>
    </xf>
    <xf numFmtId="0" fontId="199" fillId="0" borderId="47" xfId="1" applyFont="1" applyBorder="1" applyAlignment="1">
      <alignment horizontal="center" vertical="center" wrapText="1"/>
    </xf>
    <xf numFmtId="0" fontId="206" fillId="0" borderId="70" xfId="1" applyFont="1" applyBorder="1" applyAlignment="1">
      <alignment horizontal="center" vertical="center" wrapText="1"/>
    </xf>
    <xf numFmtId="0" fontId="6" fillId="0" borderId="71" xfId="1" applyFont="1" applyBorder="1" applyAlignment="1">
      <alignment vertical="center" wrapText="1"/>
    </xf>
    <xf numFmtId="0" fontId="1" fillId="0" borderId="73" xfId="1" applyFont="1" applyBorder="1" applyAlignment="1">
      <alignment horizontal="center" vertical="center"/>
    </xf>
    <xf numFmtId="0" fontId="1" fillId="4" borderId="47" xfId="1" applyFont="1" applyFill="1" applyBorder="1"/>
    <xf numFmtId="0" fontId="201" fillId="4" borderId="47" xfId="11" applyFont="1" applyFill="1" applyBorder="1" applyAlignment="1">
      <alignment horizontal="left" vertical="center"/>
    </xf>
    <xf numFmtId="0" fontId="201" fillId="4" borderId="48" xfId="1" applyFont="1" applyFill="1" applyBorder="1"/>
    <xf numFmtId="0" fontId="201" fillId="4" borderId="47" xfId="1" applyFont="1" applyFill="1" applyBorder="1" applyAlignment="1">
      <alignment horizontal="center"/>
    </xf>
    <xf numFmtId="0" fontId="201" fillId="4" borderId="47" xfId="1" applyFont="1" applyFill="1" applyBorder="1"/>
    <xf numFmtId="0" fontId="1" fillId="0" borderId="0" xfId="1" applyFont="1" applyAlignment="1">
      <alignment horizontal="center"/>
    </xf>
    <xf numFmtId="0" fontId="174" fillId="0" borderId="79" xfId="1" applyFont="1" applyBorder="1" applyAlignment="1">
      <alignment horizontal="center" vertical="center"/>
    </xf>
    <xf numFmtId="1" fontId="190" fillId="77" borderId="79" xfId="1" applyNumberFormat="1" applyFont="1" applyFill="1" applyBorder="1" applyAlignment="1">
      <alignment horizontal="center" vertical="center" wrapText="1"/>
    </xf>
    <xf numFmtId="1" fontId="190" fillId="0" borderId="79" xfId="1" applyNumberFormat="1" applyFont="1" applyBorder="1" applyAlignment="1">
      <alignment horizontal="center" vertical="center" wrapText="1"/>
    </xf>
    <xf numFmtId="0" fontId="190" fillId="0" borderId="79" xfId="1" applyFont="1" applyBorder="1" applyAlignment="1">
      <alignment horizontal="center" vertical="center" wrapText="1"/>
    </xf>
    <xf numFmtId="0" fontId="190" fillId="72" borderId="79" xfId="1" applyFont="1" applyFill="1" applyBorder="1" applyAlignment="1">
      <alignment horizontal="center" vertical="center" wrapText="1"/>
    </xf>
    <xf numFmtId="0" fontId="190" fillId="6" borderId="79" xfId="1" applyFont="1" applyFill="1" applyBorder="1" applyAlignment="1">
      <alignment horizontal="center" vertical="center" wrapText="1"/>
    </xf>
    <xf numFmtId="0" fontId="189" fillId="5" borderId="79" xfId="1" applyFont="1" applyFill="1" applyBorder="1" applyAlignment="1">
      <alignment horizontal="center" vertical="center" wrapText="1"/>
    </xf>
    <xf numFmtId="0" fontId="189" fillId="7" borderId="79" xfId="1" applyFont="1" applyFill="1" applyBorder="1" applyAlignment="1">
      <alignment horizontal="center" vertical="center" wrapText="1"/>
    </xf>
    <xf numFmtId="0" fontId="189" fillId="8" borderId="79" xfId="1" applyFont="1" applyFill="1" applyBorder="1" applyAlignment="1">
      <alignment horizontal="center" vertical="center" wrapText="1"/>
    </xf>
    <xf numFmtId="0" fontId="6" fillId="0" borderId="47" xfId="1" applyFont="1" applyFill="1" applyBorder="1" applyAlignment="1">
      <alignment vertical="center" wrapText="1"/>
    </xf>
    <xf numFmtId="0" fontId="6" fillId="77" borderId="5" xfId="1" applyFont="1" applyFill="1" applyBorder="1" applyAlignment="1">
      <alignment horizontal="center" vertical="center" wrapText="1"/>
    </xf>
    <xf numFmtId="0" fontId="6" fillId="77" borderId="6" xfId="1" applyFont="1" applyFill="1" applyBorder="1" applyAlignment="1">
      <alignment horizontal="center" vertical="center" wrapText="1"/>
    </xf>
    <xf numFmtId="0" fontId="0" fillId="0" borderId="0" xfId="1" applyFont="1" applyAlignment="1">
      <alignment wrapText="1"/>
    </xf>
    <xf numFmtId="1" fontId="6" fillId="0" borderId="51" xfId="1" applyNumberFormat="1" applyFont="1" applyBorder="1" applyAlignment="1">
      <alignment horizontal="center" vertical="center" wrapText="1"/>
    </xf>
    <xf numFmtId="1" fontId="6" fillId="0" borderId="47" xfId="1" applyNumberFormat="1" applyFont="1" applyBorder="1" applyAlignment="1">
      <alignment horizontal="center" vertical="center" wrapText="1"/>
    </xf>
    <xf numFmtId="0" fontId="0" fillId="0" borderId="0" xfId="1" applyFont="1" applyAlignment="1">
      <alignment vertical="center"/>
    </xf>
    <xf numFmtId="0" fontId="0" fillId="0" borderId="0" xfId="1" applyFont="1" applyAlignment="1">
      <alignment horizontal="center" vertical="center" wrapText="1"/>
    </xf>
    <xf numFmtId="0" fontId="190" fillId="0" borderId="81" xfId="1" applyFont="1" applyBorder="1" applyAlignment="1">
      <alignment horizontal="center" vertical="center" wrapText="1"/>
    </xf>
    <xf numFmtId="0" fontId="190" fillId="77" borderId="81" xfId="1" applyFont="1" applyFill="1" applyBorder="1" applyAlignment="1">
      <alignment horizontal="center" vertical="center" wrapText="1"/>
    </xf>
    <xf numFmtId="0" fontId="5" fillId="72" borderId="80" xfId="4" applyFont="1" applyFill="1" applyBorder="1" applyAlignment="1">
      <alignment horizontal="center" vertical="center" wrapText="1" readingOrder="1"/>
    </xf>
    <xf numFmtId="0" fontId="5" fillId="6" borderId="80" xfId="4" applyFont="1" applyFill="1" applyBorder="1" applyAlignment="1">
      <alignment horizontal="center" vertical="center" wrapText="1" readingOrder="1"/>
    </xf>
    <xf numFmtId="0" fontId="5" fillId="5" borderId="81" xfId="6" applyFont="1" applyFill="1" applyBorder="1" applyAlignment="1">
      <alignment horizontal="center" vertical="center" wrapText="1" readingOrder="1"/>
    </xf>
    <xf numFmtId="0" fontId="5" fillId="7" borderId="80" xfId="4" applyFont="1" applyFill="1" applyBorder="1" applyAlignment="1">
      <alignment horizontal="center" vertical="center" wrapText="1" readingOrder="1"/>
    </xf>
    <xf numFmtId="0" fontId="5" fillId="8" borderId="80" xfId="4" applyFont="1" applyFill="1" applyBorder="1" applyAlignment="1">
      <alignment horizontal="center" vertical="center" wrapText="1" readingOrder="1"/>
    </xf>
    <xf numFmtId="0" fontId="174" fillId="0" borderId="80" xfId="1" applyFont="1" applyBorder="1" applyAlignment="1">
      <alignment horizontal="center" vertical="center"/>
    </xf>
    <xf numFmtId="0" fontId="6" fillId="0" borderId="80" xfId="1" applyFont="1" applyBorder="1" applyAlignment="1">
      <alignment vertical="center" wrapText="1"/>
    </xf>
    <xf numFmtId="1" fontId="190" fillId="77" borderId="80" xfId="1" applyNumberFormat="1" applyFont="1" applyFill="1" applyBorder="1" applyAlignment="1">
      <alignment horizontal="center" vertical="center" wrapText="1"/>
    </xf>
    <xf numFmtId="0" fontId="190" fillId="0" borderId="82" xfId="1" applyFont="1" applyBorder="1" applyAlignment="1">
      <alignment horizontal="center" vertical="center" wrapText="1" readingOrder="1"/>
    </xf>
    <xf numFmtId="0" fontId="4" fillId="0" borderId="0" xfId="1" applyAlignment="1">
      <alignment horizontal="center" vertical="center" wrapText="1"/>
    </xf>
    <xf numFmtId="0" fontId="202" fillId="4" borderId="83" xfId="1" applyFont="1" applyFill="1" applyBorder="1" applyAlignment="1">
      <alignment horizontal="center" vertical="center" wrapText="1" readingOrder="1"/>
    </xf>
    <xf numFmtId="0" fontId="203" fillId="0" borderId="83" xfId="1" applyFont="1" applyBorder="1" applyAlignment="1">
      <alignment horizontal="center" vertical="center" wrapText="1" readingOrder="1"/>
    </xf>
    <xf numFmtId="0" fontId="6" fillId="77" borderId="84" xfId="1" applyFont="1" applyFill="1" applyBorder="1" applyAlignment="1">
      <alignment horizontal="center" vertical="center" wrapText="1"/>
    </xf>
    <xf numFmtId="0" fontId="1" fillId="0" borderId="83" xfId="1" applyFont="1" applyBorder="1" applyAlignment="1">
      <alignment horizontal="center" vertical="center"/>
    </xf>
    <xf numFmtId="0" fontId="1" fillId="77" borderId="83" xfId="1" applyFont="1" applyFill="1" applyBorder="1" applyAlignment="1">
      <alignment horizontal="center" vertical="center"/>
    </xf>
    <xf numFmtId="0" fontId="201" fillId="4" borderId="83" xfId="1" applyFont="1" applyFill="1" applyBorder="1"/>
    <xf numFmtId="0" fontId="0" fillId="0" borderId="69" xfId="1" applyFont="1" applyBorder="1" applyAlignment="1">
      <alignment horizontal="center" vertical="center"/>
    </xf>
    <xf numFmtId="9" fontId="1" fillId="0" borderId="47" xfId="1" applyNumberFormat="1" applyFont="1" applyBorder="1" applyAlignment="1">
      <alignment horizontal="center" vertical="center"/>
    </xf>
    <xf numFmtId="0" fontId="6" fillId="0" borderId="84" xfId="1" applyFont="1" applyBorder="1" applyAlignment="1">
      <alignment horizontal="center" vertical="center" wrapText="1"/>
    </xf>
    <xf numFmtId="0" fontId="201" fillId="4" borderId="83" xfId="1" applyFont="1" applyFill="1" applyBorder="1" applyAlignment="1">
      <alignment horizontal="center"/>
    </xf>
    <xf numFmtId="171" fontId="6" fillId="0" borderId="5" xfId="49416" applyNumberFormat="1" applyFont="1" applyBorder="1" applyAlignment="1">
      <alignment horizontal="center" vertical="center" wrapText="1"/>
    </xf>
    <xf numFmtId="171" fontId="1" fillId="0" borderId="84" xfId="1" applyNumberFormat="1" applyFont="1" applyBorder="1" applyAlignment="1">
      <alignment horizontal="center" vertical="center"/>
    </xf>
    <xf numFmtId="0" fontId="0" fillId="0" borderId="0" xfId="1" applyFont="1" applyAlignment="1">
      <alignment vertical="center" wrapText="1"/>
    </xf>
    <xf numFmtId="0" fontId="6" fillId="77" borderId="5" xfId="1" applyFont="1" applyFill="1" applyBorder="1" applyAlignment="1">
      <alignment horizontal="center" vertical="center" wrapText="1"/>
    </xf>
    <xf numFmtId="0" fontId="206" fillId="0" borderId="47" xfId="1" applyFont="1" applyBorder="1" applyAlignment="1">
      <alignment horizontal="center" vertical="center" wrapText="1" readingOrder="1"/>
    </xf>
    <xf numFmtId="1" fontId="6" fillId="0" borderId="85" xfId="1" applyNumberFormat="1" applyFont="1" applyBorder="1" applyAlignment="1">
      <alignment horizontal="center" vertical="center" wrapText="1"/>
    </xf>
    <xf numFmtId="1" fontId="190" fillId="77" borderId="85" xfId="1" applyNumberFormat="1" applyFont="1" applyFill="1" applyBorder="1" applyAlignment="1">
      <alignment horizontal="center" vertical="center" wrapText="1"/>
    </xf>
    <xf numFmtId="0" fontId="190" fillId="77" borderId="86" xfId="1" applyFont="1" applyFill="1" applyBorder="1" applyAlignment="1">
      <alignment horizontal="center" vertical="center" wrapText="1"/>
    </xf>
    <xf numFmtId="0" fontId="190" fillId="0" borderId="82" xfId="1" applyFont="1" applyBorder="1" applyAlignment="1">
      <alignment horizontal="left" vertical="center" wrapText="1" readingOrder="1"/>
    </xf>
    <xf numFmtId="0" fontId="189" fillId="76" borderId="49" xfId="1" applyFont="1" applyFill="1" applyBorder="1" applyAlignment="1">
      <alignment horizontal="center" vertical="center" wrapText="1"/>
    </xf>
    <xf numFmtId="0" fontId="189" fillId="76" borderId="47" xfId="1" applyFont="1" applyFill="1" applyBorder="1" applyAlignment="1">
      <alignment horizontal="center" vertical="center" wrapText="1"/>
    </xf>
    <xf numFmtId="0" fontId="189" fillId="0" borderId="82" xfId="1" applyFont="1" applyFill="1" applyBorder="1" applyAlignment="1">
      <alignment horizontal="center" vertical="center" wrapText="1" readingOrder="1"/>
    </xf>
    <xf numFmtId="0" fontId="189" fillId="76" borderId="78" xfId="1" applyFont="1" applyFill="1" applyBorder="1" applyAlignment="1">
      <alignment horizontal="center" vertical="center" wrapText="1"/>
    </xf>
    <xf numFmtId="0" fontId="189" fillId="76" borderId="70" xfId="1" applyFont="1" applyFill="1" applyBorder="1" applyAlignment="1">
      <alignment horizontal="center" vertical="center" wrapText="1"/>
    </xf>
    <xf numFmtId="0" fontId="206" fillId="76" borderId="70" xfId="1" applyFont="1" applyFill="1" applyBorder="1" applyAlignment="1">
      <alignment vertical="center" wrapText="1"/>
    </xf>
    <xf numFmtId="0" fontId="208" fillId="0" borderId="80" xfId="49414" applyFont="1" applyFill="1" applyBorder="1" applyAlignment="1">
      <alignment horizontal="center" vertical="center" wrapText="1"/>
    </xf>
    <xf numFmtId="0" fontId="206" fillId="0" borderId="65" xfId="1" applyFont="1" applyFill="1" applyBorder="1" applyAlignment="1">
      <alignment horizontal="center" vertical="center" wrapText="1" readingOrder="1"/>
    </xf>
    <xf numFmtId="0" fontId="206" fillId="76" borderId="49" xfId="1" applyFont="1" applyFill="1" applyBorder="1" applyAlignment="1">
      <alignment horizontal="center" vertical="center" wrapText="1"/>
    </xf>
    <xf numFmtId="0" fontId="205" fillId="76" borderId="46" xfId="1" applyFont="1" applyFill="1" applyBorder="1" applyAlignment="1">
      <alignment horizontal="center" vertical="center" wrapText="1"/>
    </xf>
    <xf numFmtId="0" fontId="189" fillId="76" borderId="76" xfId="1" applyFont="1" applyFill="1" applyBorder="1" applyAlignment="1">
      <alignment horizontal="center" vertical="center" wrapText="1"/>
    </xf>
    <xf numFmtId="0" fontId="189" fillId="76" borderId="6" xfId="1" applyFont="1" applyFill="1" applyBorder="1" applyAlignment="1">
      <alignment horizontal="center" vertical="center" wrapText="1"/>
    </xf>
    <xf numFmtId="0" fontId="209" fillId="75" borderId="73" xfId="49414" applyFont="1" applyFill="1" applyBorder="1" applyAlignment="1">
      <alignment vertical="center" wrapText="1"/>
    </xf>
    <xf numFmtId="0" fontId="184" fillId="4" borderId="87" xfId="1" applyFont="1" applyFill="1" applyBorder="1" applyAlignment="1">
      <alignment horizontal="center" vertical="center" wrapText="1" readingOrder="1"/>
    </xf>
    <xf numFmtId="0" fontId="184" fillId="4" borderId="88" xfId="1" applyFont="1" applyFill="1" applyBorder="1" applyAlignment="1">
      <alignment horizontal="center" vertical="center" wrapText="1" readingOrder="1"/>
    </xf>
    <xf numFmtId="0" fontId="4" fillId="0" borderId="0" xfId="1" applyAlignment="1">
      <alignment vertical="center"/>
    </xf>
    <xf numFmtId="0" fontId="189" fillId="0" borderId="88" xfId="1" applyFont="1" applyBorder="1" applyAlignment="1">
      <alignment horizontal="center" vertical="center" wrapText="1" readingOrder="1"/>
    </xf>
    <xf numFmtId="0" fontId="189" fillId="73" borderId="88" xfId="1" applyFont="1" applyFill="1" applyBorder="1" applyAlignment="1">
      <alignment horizontal="center" vertical="center" wrapText="1" readingOrder="1"/>
    </xf>
    <xf numFmtId="0" fontId="186" fillId="0" borderId="87" xfId="1" applyFont="1" applyBorder="1" applyAlignment="1">
      <alignment horizontal="left" vertical="center" wrapText="1"/>
    </xf>
    <xf numFmtId="0" fontId="174" fillId="0" borderId="87" xfId="1" applyFont="1" applyBorder="1" applyAlignment="1">
      <alignment horizontal="center" vertical="center"/>
    </xf>
    <xf numFmtId="0" fontId="174" fillId="73" borderId="87" xfId="1" applyFont="1" applyFill="1" applyBorder="1" applyAlignment="1">
      <alignment horizontal="center" vertical="center"/>
    </xf>
    <xf numFmtId="0" fontId="190" fillId="0" borderId="87" xfId="1" applyFont="1" applyBorder="1" applyAlignment="1">
      <alignment horizontal="center" vertical="center" wrapText="1"/>
    </xf>
    <xf numFmtId="0" fontId="190" fillId="72" borderId="87" xfId="1" applyFont="1" applyFill="1" applyBorder="1" applyAlignment="1">
      <alignment horizontal="center" vertical="center" wrapText="1"/>
    </xf>
    <xf numFmtId="0" fontId="190" fillId="6" borderId="87" xfId="1" applyFont="1" applyFill="1" applyBorder="1" applyAlignment="1">
      <alignment horizontal="center" vertical="center" wrapText="1"/>
    </xf>
    <xf numFmtId="0" fontId="189" fillId="5" borderId="87" xfId="1" applyFont="1" applyFill="1" applyBorder="1" applyAlignment="1">
      <alignment horizontal="center" vertical="center" wrapText="1" readingOrder="1"/>
    </xf>
    <xf numFmtId="0" fontId="189" fillId="7" borderId="87" xfId="1" applyFont="1" applyFill="1" applyBorder="1" applyAlignment="1">
      <alignment horizontal="center" vertical="center" wrapText="1" readingOrder="1"/>
    </xf>
    <xf numFmtId="0" fontId="189" fillId="8" borderId="87" xfId="1" applyFont="1" applyFill="1" applyBorder="1" applyAlignment="1">
      <alignment horizontal="center" vertical="center" wrapText="1" readingOrder="1"/>
    </xf>
    <xf numFmtId="0" fontId="189" fillId="0" borderId="89" xfId="1" applyFont="1" applyBorder="1" applyAlignment="1">
      <alignment horizontal="center" vertical="center" wrapText="1" readingOrder="1"/>
    </xf>
    <xf numFmtId="0" fontId="189" fillId="73" borderId="89" xfId="1" applyFont="1" applyFill="1" applyBorder="1" applyAlignment="1">
      <alignment horizontal="center" vertical="center" wrapText="1" readingOrder="1"/>
    </xf>
    <xf numFmtId="0" fontId="174" fillId="0" borderId="90" xfId="1" applyFont="1" applyBorder="1" applyAlignment="1">
      <alignment horizontal="center" vertical="center"/>
    </xf>
    <xf numFmtId="0" fontId="6" fillId="0" borderId="87" xfId="1" applyFont="1" applyBorder="1" applyAlignment="1">
      <alignment horizontal="center" vertical="center" wrapText="1"/>
    </xf>
    <xf numFmtId="1" fontId="6" fillId="0" borderId="87" xfId="1" applyNumberFormat="1" applyFont="1" applyBorder="1" applyAlignment="1">
      <alignment horizontal="center" vertical="center" wrapText="1"/>
    </xf>
    <xf numFmtId="0" fontId="6" fillId="72" borderId="87" xfId="4" applyFont="1" applyFill="1" applyBorder="1" applyAlignment="1">
      <alignment horizontal="center" vertical="center" wrapText="1" readingOrder="1"/>
    </xf>
    <xf numFmtId="0" fontId="6" fillId="6" borderId="87" xfId="4" applyFont="1" applyFill="1" applyBorder="1" applyAlignment="1">
      <alignment horizontal="center" vertical="center" wrapText="1" readingOrder="1"/>
    </xf>
    <xf numFmtId="0" fontId="6" fillId="5" borderId="90" xfId="6" applyFont="1" applyFill="1" applyBorder="1" applyAlignment="1">
      <alignment horizontal="center" vertical="center" wrapText="1" readingOrder="1"/>
    </xf>
    <xf numFmtId="0" fontId="6" fillId="7" borderId="87" xfId="4" applyFont="1" applyFill="1" applyBorder="1" applyAlignment="1">
      <alignment horizontal="center" vertical="center" wrapText="1" readingOrder="1"/>
    </xf>
    <xf numFmtId="0" fontId="6" fillId="8" borderId="87" xfId="4" applyFont="1" applyFill="1" applyBorder="1" applyAlignment="1">
      <alignment horizontal="center" vertical="center" wrapText="1" readingOrder="1"/>
    </xf>
    <xf numFmtId="0" fontId="206" fillId="0" borderId="87" xfId="1" applyFont="1" applyBorder="1" applyAlignment="1">
      <alignment horizontal="center" vertical="center" wrapText="1" readingOrder="1"/>
    </xf>
    <xf numFmtId="0" fontId="190" fillId="6" borderId="87" xfId="1" quotePrefix="1" applyFont="1" applyFill="1" applyBorder="1" applyAlignment="1">
      <alignment horizontal="center" vertical="center" wrapText="1"/>
    </xf>
    <xf numFmtId="0" fontId="189" fillId="5" borderId="87" xfId="1" quotePrefix="1" applyFont="1" applyFill="1" applyBorder="1" applyAlignment="1">
      <alignment horizontal="center" vertical="center" wrapText="1" readingOrder="1"/>
    </xf>
    <xf numFmtId="0" fontId="189" fillId="7" borderId="87" xfId="1" quotePrefix="1" applyFont="1" applyFill="1" applyBorder="1" applyAlignment="1">
      <alignment horizontal="center" vertical="center" wrapText="1" readingOrder="1"/>
    </xf>
    <xf numFmtId="0" fontId="189" fillId="8" borderId="87" xfId="1" quotePrefix="1" applyFont="1" applyFill="1" applyBorder="1" applyAlignment="1">
      <alignment horizontal="center" vertical="center" wrapText="1" readingOrder="1"/>
    </xf>
    <xf numFmtId="0" fontId="189" fillId="73" borderId="87" xfId="1" applyFont="1" applyFill="1" applyBorder="1" applyAlignment="1">
      <alignment horizontal="center" vertical="center" wrapText="1" readingOrder="1"/>
    </xf>
    <xf numFmtId="0" fontId="189" fillId="0" borderId="87" xfId="1" applyFont="1" applyBorder="1" applyAlignment="1">
      <alignment horizontal="center" vertical="center" wrapText="1" readingOrder="1"/>
    </xf>
    <xf numFmtId="0" fontId="190" fillId="0" borderId="87" xfId="1" applyFont="1" applyBorder="1" applyAlignment="1">
      <alignment vertical="center" wrapText="1"/>
    </xf>
    <xf numFmtId="0" fontId="190" fillId="73" borderId="87" xfId="1" applyFont="1" applyFill="1" applyBorder="1" applyAlignment="1">
      <alignment horizontal="center" vertical="center" wrapText="1"/>
    </xf>
    <xf numFmtId="0" fontId="5" fillId="72" borderId="87" xfId="4" applyFont="1" applyFill="1" applyBorder="1" applyAlignment="1">
      <alignment horizontal="center" vertical="center" wrapText="1" readingOrder="1"/>
    </xf>
    <xf numFmtId="0" fontId="5" fillId="6" borderId="87" xfId="4" applyFont="1" applyFill="1" applyBorder="1" applyAlignment="1">
      <alignment horizontal="center" vertical="center" wrapText="1" readingOrder="1"/>
    </xf>
    <xf numFmtId="0" fontId="5" fillId="7" borderId="87" xfId="4" applyFont="1" applyFill="1" applyBorder="1" applyAlignment="1">
      <alignment horizontal="center" vertical="center" wrapText="1" readingOrder="1"/>
    </xf>
    <xf numFmtId="0" fontId="5" fillId="8" borderId="87" xfId="4" applyFont="1" applyFill="1" applyBorder="1" applyAlignment="1">
      <alignment horizontal="center" vertical="center" wrapText="1" readingOrder="1"/>
    </xf>
    <xf numFmtId="0" fontId="189" fillId="0" borderId="88" xfId="1" applyFont="1" applyBorder="1" applyAlignment="1">
      <alignment horizontal="center" vertical="center" wrapText="1"/>
    </xf>
    <xf numFmtId="9" fontId="190" fillId="72" borderId="87" xfId="1" applyNumberFormat="1" applyFont="1" applyFill="1" applyBorder="1" applyAlignment="1">
      <alignment horizontal="center" vertical="center" wrapText="1"/>
    </xf>
    <xf numFmtId="9" fontId="190" fillId="6" borderId="87" xfId="1" applyNumberFormat="1" applyFont="1" applyFill="1" applyBorder="1" applyAlignment="1">
      <alignment horizontal="center" vertical="center" wrapText="1"/>
    </xf>
    <xf numFmtId="9" fontId="189" fillId="5" borderId="87" xfId="1" applyNumberFormat="1" applyFont="1" applyFill="1" applyBorder="1" applyAlignment="1">
      <alignment horizontal="center" vertical="center" wrapText="1"/>
    </xf>
    <xf numFmtId="9" fontId="189" fillId="7" borderId="87" xfId="1" applyNumberFormat="1" applyFont="1" applyFill="1" applyBorder="1" applyAlignment="1">
      <alignment horizontal="center" vertical="center" wrapText="1"/>
    </xf>
    <xf numFmtId="9" fontId="189" fillId="8" borderId="87" xfId="1" applyNumberFormat="1" applyFont="1" applyFill="1" applyBorder="1" applyAlignment="1">
      <alignment horizontal="center" vertical="center" wrapText="1"/>
    </xf>
    <xf numFmtId="0" fontId="189" fillId="76" borderId="91" xfId="1" applyFont="1" applyFill="1" applyBorder="1" applyAlignment="1">
      <alignment horizontal="center" vertical="center" wrapText="1"/>
    </xf>
    <xf numFmtId="0" fontId="190" fillId="0" borderId="87" xfId="6" applyFont="1" applyBorder="1" applyAlignment="1">
      <alignment vertical="center" wrapText="1"/>
    </xf>
    <xf numFmtId="49" fontId="190" fillId="72" borderId="87" xfId="49182" applyNumberFormat="1" applyFont="1" applyFill="1" applyBorder="1" applyAlignment="1">
      <alignment horizontal="center" vertical="center" wrapText="1"/>
    </xf>
    <xf numFmtId="49" fontId="190" fillId="6" borderId="87" xfId="49182" applyNumberFormat="1" applyFont="1" applyFill="1" applyBorder="1" applyAlignment="1">
      <alignment horizontal="center" vertical="center" wrapText="1"/>
    </xf>
    <xf numFmtId="0" fontId="189" fillId="5" borderId="87" xfId="49182" applyNumberFormat="1" applyFont="1" applyFill="1" applyBorder="1" applyAlignment="1">
      <alignment horizontal="center" vertical="center" wrapText="1"/>
    </xf>
    <xf numFmtId="0" fontId="189" fillId="7" borderId="87" xfId="49182" applyNumberFormat="1" applyFont="1" applyFill="1" applyBorder="1" applyAlignment="1">
      <alignment horizontal="center" vertical="center" wrapText="1"/>
    </xf>
    <xf numFmtId="0" fontId="189" fillId="8" borderId="87" xfId="49182" applyNumberFormat="1" applyFont="1" applyFill="1" applyBorder="1" applyAlignment="1">
      <alignment horizontal="center" vertical="center" wrapText="1"/>
    </xf>
    <xf numFmtId="0" fontId="189" fillId="0" borderId="91" xfId="1" applyFont="1" applyBorder="1" applyAlignment="1">
      <alignment horizontal="center" vertical="center" wrapText="1"/>
    </xf>
    <xf numFmtId="0" fontId="192" fillId="73" borderId="87" xfId="1" applyFont="1" applyFill="1" applyBorder="1" applyAlignment="1">
      <alignment horizontal="center" vertical="center" wrapText="1" readingOrder="1"/>
    </xf>
    <xf numFmtId="0" fontId="192" fillId="0" borderId="88" xfId="1" applyFont="1" applyFill="1" applyBorder="1" applyAlignment="1">
      <alignment horizontal="center" vertical="center" wrapText="1" readingOrder="1"/>
    </xf>
    <xf numFmtId="0" fontId="186" fillId="0" borderId="87" xfId="1" applyFont="1" applyFill="1" applyBorder="1" applyAlignment="1">
      <alignment horizontal="left" vertical="center" wrapText="1"/>
    </xf>
    <xf numFmtId="0" fontId="193" fillId="0" borderId="4" xfId="1" applyFont="1" applyBorder="1" applyAlignment="1">
      <alignment horizontal="center" vertical="center" wrapText="1"/>
    </xf>
    <xf numFmtId="0" fontId="193" fillId="73" borderId="87" xfId="1" applyFont="1" applyFill="1" applyBorder="1" applyAlignment="1">
      <alignment horizontal="center" vertical="center" wrapText="1"/>
    </xf>
    <xf numFmtId="0" fontId="186" fillId="0" borderId="87" xfId="1" applyFont="1" applyBorder="1" applyAlignment="1">
      <alignment horizontal="center" vertical="center"/>
    </xf>
    <xf numFmtId="0" fontId="192" fillId="0" borderId="87" xfId="1" applyFont="1" applyBorder="1" applyAlignment="1">
      <alignment horizontal="center" vertical="center" wrapText="1" readingOrder="1"/>
    </xf>
    <xf numFmtId="0" fontId="185" fillId="4" borderId="88" xfId="1" applyFont="1" applyFill="1" applyBorder="1"/>
    <xf numFmtId="0" fontId="185" fillId="4" borderId="92" xfId="1" applyFont="1" applyFill="1" applyBorder="1"/>
    <xf numFmtId="0" fontId="185" fillId="4" borderId="92" xfId="1" applyFont="1" applyFill="1" applyBorder="1" applyAlignment="1">
      <alignment horizontal="center"/>
    </xf>
    <xf numFmtId="0" fontId="185" fillId="4" borderId="93" xfId="1" applyFont="1" applyFill="1" applyBorder="1"/>
    <xf numFmtId="0" fontId="185" fillId="4" borderId="87" xfId="1" applyFont="1" applyFill="1" applyBorder="1" applyAlignment="1">
      <alignment horizontal="center"/>
    </xf>
    <xf numFmtId="0" fontId="174" fillId="4" borderId="87" xfId="1" applyFont="1" applyFill="1" applyBorder="1"/>
    <xf numFmtId="0" fontId="174" fillId="0" borderId="0" xfId="1" applyFont="1"/>
    <xf numFmtId="0" fontId="191" fillId="0" borderId="0" xfId="1" applyFont="1" applyAlignment="1">
      <alignment horizontal="center"/>
    </xf>
    <xf numFmtId="0" fontId="190" fillId="0" borderId="0" xfId="1" applyFont="1" applyAlignment="1">
      <alignment vertical="center" wrapText="1"/>
    </xf>
    <xf numFmtId="0" fontId="189" fillId="0" borderId="91" xfId="1" applyFont="1" applyBorder="1" applyAlignment="1">
      <alignment horizontal="center" vertical="center" wrapText="1" readingOrder="1"/>
    </xf>
    <xf numFmtId="0" fontId="189" fillId="73" borderId="91" xfId="1" applyFont="1" applyFill="1" applyBorder="1" applyAlignment="1">
      <alignment horizontal="center" vertical="center" wrapText="1" readingOrder="1"/>
    </xf>
    <xf numFmtId="0" fontId="174" fillId="0" borderId="4" xfId="1" applyFont="1" applyBorder="1" applyAlignment="1">
      <alignment horizontal="center" vertical="center"/>
    </xf>
    <xf numFmtId="0" fontId="6" fillId="5" borderId="4" xfId="6" applyFont="1" applyFill="1" applyBorder="1" applyAlignment="1">
      <alignment horizontal="center" vertical="center" wrapText="1" readingOrder="1"/>
    </xf>
    <xf numFmtId="0" fontId="190" fillId="72" borderId="73" xfId="1" applyNumberFormat="1" applyFont="1" applyFill="1" applyBorder="1" applyAlignment="1">
      <alignment horizontal="center" vertical="center" wrapText="1"/>
    </xf>
    <xf numFmtId="0" fontId="190" fillId="6" borderId="73" xfId="1" applyNumberFormat="1" applyFont="1" applyFill="1" applyBorder="1" applyAlignment="1">
      <alignment horizontal="center" vertical="center" wrapText="1"/>
    </xf>
    <xf numFmtId="0" fontId="189" fillId="5" borderId="73" xfId="1" applyNumberFormat="1" applyFont="1" applyFill="1" applyBorder="1" applyAlignment="1">
      <alignment horizontal="center" vertical="center" wrapText="1"/>
    </xf>
    <xf numFmtId="0" fontId="189" fillId="7" borderId="73" xfId="1" applyNumberFormat="1" applyFont="1" applyFill="1" applyBorder="1" applyAlignment="1">
      <alignment horizontal="center" vertical="center" wrapText="1"/>
    </xf>
    <xf numFmtId="0" fontId="189" fillId="8" borderId="73" xfId="1" applyNumberFormat="1" applyFont="1" applyFill="1" applyBorder="1" applyAlignment="1">
      <alignment horizontal="center" vertical="center" wrapText="1"/>
    </xf>
    <xf numFmtId="0" fontId="190" fillId="6" borderId="73" xfId="1" quotePrefix="1" applyNumberFormat="1" applyFont="1" applyFill="1" applyBorder="1" applyAlignment="1">
      <alignment horizontal="center" vertical="center" wrapText="1"/>
    </xf>
    <xf numFmtId="0" fontId="189" fillId="5" borderId="73" xfId="1" quotePrefix="1" applyNumberFormat="1" applyFont="1" applyFill="1" applyBorder="1" applyAlignment="1">
      <alignment horizontal="center" vertical="center" wrapText="1" readingOrder="1"/>
    </xf>
    <xf numFmtId="0" fontId="189" fillId="7" borderId="73" xfId="1" quotePrefix="1" applyNumberFormat="1" applyFont="1" applyFill="1" applyBorder="1" applyAlignment="1">
      <alignment horizontal="center" vertical="center" wrapText="1" readingOrder="1"/>
    </xf>
    <xf numFmtId="0" fontId="189" fillId="8" borderId="73" xfId="1" quotePrefix="1" applyNumberFormat="1" applyFont="1" applyFill="1" applyBorder="1" applyAlignment="1">
      <alignment horizontal="center" vertical="center" wrapText="1" readingOrder="1"/>
    </xf>
    <xf numFmtId="0" fontId="190" fillId="72" borderId="47" xfId="1" applyNumberFormat="1" applyFont="1" applyFill="1" applyBorder="1" applyAlignment="1">
      <alignment horizontal="center" vertical="center" wrapText="1"/>
    </xf>
    <xf numFmtId="0" fontId="190" fillId="6" borderId="47" xfId="1" applyNumberFormat="1" applyFont="1" applyFill="1" applyBorder="1" applyAlignment="1">
      <alignment horizontal="center" vertical="center" wrapText="1"/>
    </xf>
    <xf numFmtId="0" fontId="189" fillId="5" borderId="47" xfId="1" applyNumberFormat="1" applyFont="1" applyFill="1" applyBorder="1" applyAlignment="1">
      <alignment horizontal="center" vertical="center" wrapText="1"/>
    </xf>
    <xf numFmtId="0" fontId="189" fillId="7" borderId="47" xfId="1" applyNumberFormat="1" applyFont="1" applyFill="1" applyBorder="1" applyAlignment="1">
      <alignment horizontal="center" vertical="center" wrapText="1"/>
    </xf>
    <xf numFmtId="0" fontId="189" fillId="8" borderId="47" xfId="1" applyNumberFormat="1" applyFont="1" applyFill="1" applyBorder="1" applyAlignment="1">
      <alignment horizontal="center" vertical="center" wrapText="1"/>
    </xf>
    <xf numFmtId="0" fontId="190" fillId="72" borderId="69" xfId="1" applyNumberFormat="1" applyFont="1" applyFill="1" applyBorder="1" applyAlignment="1">
      <alignment horizontal="center" vertical="center" wrapText="1"/>
    </xf>
    <xf numFmtId="0" fontId="190" fillId="6" borderId="69" xfId="1" applyNumberFormat="1" applyFont="1" applyFill="1" applyBorder="1" applyAlignment="1">
      <alignment horizontal="center" vertical="center" wrapText="1"/>
    </xf>
    <xf numFmtId="0" fontId="189" fillId="5" borderId="69" xfId="1" applyNumberFormat="1" applyFont="1" applyFill="1" applyBorder="1" applyAlignment="1">
      <alignment horizontal="center" vertical="center" wrapText="1"/>
    </xf>
    <xf numFmtId="0" fontId="189" fillId="7" borderId="69" xfId="1" applyNumberFormat="1" applyFont="1" applyFill="1" applyBorder="1" applyAlignment="1">
      <alignment horizontal="center" vertical="center" wrapText="1"/>
    </xf>
    <xf numFmtId="0" fontId="189" fillId="8" borderId="69" xfId="1" applyNumberFormat="1" applyFont="1" applyFill="1" applyBorder="1" applyAlignment="1">
      <alignment horizontal="center" vertical="center" wrapText="1"/>
    </xf>
    <xf numFmtId="0" fontId="2" fillId="0" borderId="0" xfId="0" applyFont="1" applyAlignment="1">
      <alignment horizontal="center" vertical="center" wrapText="1"/>
    </xf>
    <xf numFmtId="0" fontId="206" fillId="0" borderId="47" xfId="1" applyFont="1" applyFill="1" applyBorder="1" applyAlignment="1">
      <alignment horizontal="center" vertical="center" wrapText="1"/>
    </xf>
    <xf numFmtId="0" fontId="199" fillId="0" borderId="47" xfId="1" applyFont="1" applyFill="1" applyBorder="1" applyAlignment="1">
      <alignment horizontal="left" vertical="center" wrapText="1"/>
    </xf>
    <xf numFmtId="0" fontId="206" fillId="0" borderId="49" xfId="1" applyFont="1" applyFill="1" applyBorder="1" applyAlignment="1">
      <alignment horizontal="center" vertical="center" wrapText="1"/>
    </xf>
    <xf numFmtId="0" fontId="189" fillId="0" borderId="73" xfId="1" applyFont="1" applyFill="1" applyBorder="1" applyAlignment="1">
      <alignment horizontal="center" vertical="center" wrapText="1"/>
    </xf>
    <xf numFmtId="0" fontId="189" fillId="0" borderId="76" xfId="1" applyFont="1" applyFill="1" applyBorder="1" applyAlignment="1">
      <alignment horizontal="center" vertical="center" wrapText="1"/>
    </xf>
    <xf numFmtId="0" fontId="0" fillId="0" borderId="0" xfId="0" applyAlignment="1">
      <alignment horizontal="center" vertical="center" wrapText="1"/>
    </xf>
    <xf numFmtId="0" fontId="2" fillId="0" borderId="0" xfId="0" applyFont="1" applyAlignment="1">
      <alignment horizontal="center" vertical="center"/>
    </xf>
    <xf numFmtId="0" fontId="186" fillId="0" borderId="95" xfId="1" applyFont="1" applyBorder="1" applyAlignment="1">
      <alignment horizontal="left" vertical="center" wrapText="1"/>
    </xf>
    <xf numFmtId="0" fontId="190" fillId="0" borderId="95" xfId="1" applyFont="1" applyBorder="1" applyAlignment="1">
      <alignment vertical="center" wrapText="1"/>
    </xf>
    <xf numFmtId="0" fontId="2" fillId="0" borderId="0" xfId="0" applyFont="1"/>
    <xf numFmtId="0" fontId="210" fillId="8" borderId="87" xfId="1" applyFont="1" applyFill="1" applyBorder="1" applyAlignment="1">
      <alignment horizontal="center" vertical="center" wrapText="1" readingOrder="1"/>
    </xf>
    <xf numFmtId="0" fontId="210" fillId="8" borderId="88" xfId="1" applyFont="1" applyFill="1" applyBorder="1" applyAlignment="1">
      <alignment horizontal="center" vertical="center" wrapText="1" readingOrder="1"/>
    </xf>
    <xf numFmtId="0" fontId="189" fillId="73" borderId="96" xfId="1" applyFont="1" applyFill="1" applyBorder="1" applyAlignment="1">
      <alignment horizontal="center" vertical="center" wrapText="1" readingOrder="1"/>
    </xf>
    <xf numFmtId="0" fontId="1" fillId="0" borderId="6" xfId="1" applyFont="1" applyBorder="1" applyAlignment="1">
      <alignment horizontal="center" vertical="center"/>
    </xf>
    <xf numFmtId="0" fontId="208" fillId="76" borderId="85" xfId="49414" applyFont="1" applyFill="1" applyBorder="1" applyAlignment="1">
      <alignment horizontal="center" vertical="center" wrapText="1"/>
    </xf>
    <xf numFmtId="0" fontId="206" fillId="76" borderId="70" xfId="1" applyFont="1" applyFill="1" applyBorder="1" applyAlignment="1">
      <alignment horizontal="center" vertical="center" wrapText="1"/>
    </xf>
    <xf numFmtId="0" fontId="201" fillId="79" borderId="46" xfId="1" applyFont="1" applyFill="1" applyBorder="1" applyAlignment="1">
      <alignment horizontal="center" vertical="center" wrapText="1"/>
    </xf>
    <xf numFmtId="0" fontId="211" fillId="79" borderId="49" xfId="1" applyFont="1" applyFill="1" applyBorder="1" applyAlignment="1">
      <alignment horizontal="center" vertical="center" wrapText="1"/>
    </xf>
    <xf numFmtId="0" fontId="210" fillId="79" borderId="47" xfId="1" applyFont="1" applyFill="1" applyBorder="1" applyAlignment="1">
      <alignment horizontal="center" vertical="center" wrapText="1"/>
    </xf>
    <xf numFmtId="0" fontId="210" fillId="79" borderId="49" xfId="1" applyFont="1" applyFill="1" applyBorder="1" applyAlignment="1">
      <alignment horizontal="center" vertical="center" wrapText="1"/>
    </xf>
    <xf numFmtId="0" fontId="0" fillId="0" borderId="0" xfId="0" applyAlignment="1">
      <alignment horizontal="center"/>
    </xf>
    <xf numFmtId="0" fontId="189" fillId="0" borderId="98" xfId="1" applyFont="1" applyBorder="1" applyAlignment="1">
      <alignment horizontal="center" vertical="center" wrapText="1"/>
    </xf>
    <xf numFmtId="0" fontId="190" fillId="0" borderId="97" xfId="1" applyFont="1" applyBorder="1" applyAlignment="1">
      <alignment vertical="center" wrapText="1"/>
    </xf>
    <xf numFmtId="0" fontId="174" fillId="0" borderId="0" xfId="0" applyFont="1" applyAlignment="1">
      <alignment wrapText="1"/>
    </xf>
    <xf numFmtId="0" fontId="192" fillId="79" borderId="88" xfId="1" applyFont="1" applyFill="1" applyBorder="1" applyAlignment="1">
      <alignment horizontal="center" vertical="center" wrapText="1" readingOrder="1"/>
    </xf>
    <xf numFmtId="0" fontId="210" fillId="79" borderId="88" xfId="1" applyFont="1" applyFill="1" applyBorder="1" applyAlignment="1">
      <alignment horizontal="center" vertical="center" wrapText="1" readingOrder="1"/>
    </xf>
    <xf numFmtId="0" fontId="211" fillId="79" borderId="85" xfId="49414" applyFont="1" applyFill="1" applyBorder="1" applyAlignment="1">
      <alignment horizontal="center" vertical="center" wrapText="1"/>
    </xf>
    <xf numFmtId="0" fontId="187" fillId="79" borderId="91" xfId="1" applyFont="1" applyFill="1" applyBorder="1" applyAlignment="1">
      <alignment horizontal="center" vertical="center" wrapText="1"/>
    </xf>
    <xf numFmtId="0" fontId="189" fillId="79" borderId="88" xfId="1" applyFont="1" applyFill="1" applyBorder="1" applyAlignment="1">
      <alignment horizontal="center" vertical="center" wrapText="1"/>
    </xf>
    <xf numFmtId="0" fontId="191" fillId="0" borderId="0" xfId="0" applyFont="1" applyFill="1" applyAlignment="1">
      <alignment horizontal="center" vertical="center"/>
    </xf>
    <xf numFmtId="0" fontId="191" fillId="0" borderId="0" xfId="0" applyFont="1" applyAlignment="1">
      <alignment horizontal="center" vertical="center"/>
    </xf>
    <xf numFmtId="0" fontId="190" fillId="0" borderId="95" xfId="1" applyFont="1" applyFill="1" applyBorder="1" applyAlignment="1">
      <alignment vertical="center" wrapText="1"/>
    </xf>
    <xf numFmtId="0" fontId="190" fillId="0" borderId="47" xfId="1" applyFont="1" applyFill="1" applyBorder="1" applyAlignment="1">
      <alignment vertical="center" wrapText="1"/>
    </xf>
    <xf numFmtId="0" fontId="190" fillId="0" borderId="94" xfId="1" applyFont="1" applyFill="1" applyBorder="1" applyAlignment="1">
      <alignment vertical="center" wrapText="1"/>
    </xf>
    <xf numFmtId="0" fontId="190" fillId="0" borderId="65" xfId="1" applyFont="1" applyBorder="1" applyAlignment="1">
      <alignment vertical="center" wrapText="1"/>
    </xf>
    <xf numFmtId="0" fontId="174" fillId="0" borderId="0" xfId="0" applyFont="1"/>
    <xf numFmtId="0" fontId="174" fillId="0" borderId="0" xfId="0" applyFont="1" applyFill="1"/>
    <xf numFmtId="0" fontId="190" fillId="0" borderId="100" xfId="1" applyFont="1" applyBorder="1" applyAlignment="1">
      <alignment horizontal="center" vertical="center" wrapText="1" readingOrder="1"/>
    </xf>
    <xf numFmtId="0" fontId="190" fillId="0" borderId="100" xfId="1" applyFont="1" applyBorder="1" applyAlignment="1">
      <alignment horizontal="center" vertical="center" wrapText="1"/>
    </xf>
    <xf numFmtId="0" fontId="174" fillId="0" borderId="100" xfId="1" applyFont="1" applyBorder="1" applyAlignment="1">
      <alignment horizontal="center" vertical="center"/>
    </xf>
    <xf numFmtId="0" fontId="192" fillId="76" borderId="99" xfId="1" applyFont="1" applyFill="1" applyBorder="1" applyAlignment="1">
      <alignment horizontal="center" vertical="center" wrapText="1" readingOrder="1"/>
    </xf>
    <xf numFmtId="0" fontId="4" fillId="76" borderId="99" xfId="1" applyFill="1" applyBorder="1" applyAlignment="1">
      <alignment horizontal="center" vertical="center"/>
    </xf>
    <xf numFmtId="0" fontId="203" fillId="76" borderId="99" xfId="1" applyFont="1" applyFill="1" applyBorder="1" applyAlignment="1">
      <alignment horizontal="center" vertical="center" wrapText="1" readingOrder="1"/>
    </xf>
    <xf numFmtId="0" fontId="1" fillId="76" borderId="99" xfId="1" applyFont="1" applyFill="1" applyBorder="1" applyAlignment="1">
      <alignment horizontal="center" vertical="center"/>
    </xf>
    <xf numFmtId="0" fontId="6" fillId="80" borderId="65" xfId="1" applyFont="1" applyFill="1" applyBorder="1" applyAlignment="1">
      <alignment vertical="center" wrapText="1"/>
    </xf>
    <xf numFmtId="0" fontId="198" fillId="80" borderId="73" xfId="5" quotePrefix="1" applyFont="1" applyFill="1" applyBorder="1" applyAlignment="1">
      <alignment vertical="center" wrapText="1"/>
    </xf>
    <xf numFmtId="0" fontId="5" fillId="80" borderId="73" xfId="1" applyFont="1" applyFill="1" applyBorder="1" applyAlignment="1">
      <alignment vertical="center" wrapText="1"/>
    </xf>
    <xf numFmtId="0" fontId="198" fillId="80" borderId="73" xfId="1" applyFont="1" applyFill="1" applyBorder="1" applyAlignment="1">
      <alignment vertical="center" wrapText="1"/>
    </xf>
    <xf numFmtId="0" fontId="186" fillId="80" borderId="73" xfId="1" applyFont="1" applyFill="1" applyBorder="1" applyAlignment="1">
      <alignment horizontal="left" vertical="center" wrapText="1"/>
    </xf>
    <xf numFmtId="0" fontId="190" fillId="80" borderId="73" xfId="1" applyFont="1" applyFill="1" applyBorder="1" applyAlignment="1">
      <alignment vertical="center" wrapText="1"/>
    </xf>
    <xf numFmtId="0" fontId="4" fillId="76" borderId="99" xfId="1" applyFill="1" applyBorder="1" applyAlignment="1">
      <alignment horizontal="center" vertical="center"/>
    </xf>
    <xf numFmtId="0" fontId="174" fillId="0" borderId="74" xfId="1" applyFont="1" applyBorder="1" applyAlignment="1">
      <alignment horizontal="center" vertical="center"/>
    </xf>
    <xf numFmtId="0" fontId="0" fillId="0" borderId="0" xfId="0" applyAlignment="1">
      <alignment wrapText="1"/>
    </xf>
    <xf numFmtId="0" fontId="212" fillId="76" borderId="102" xfId="1" applyFont="1" applyFill="1" applyBorder="1" applyAlignment="1">
      <alignment horizontal="center" vertical="center" wrapText="1" readingOrder="1"/>
    </xf>
    <xf numFmtId="0" fontId="0" fillId="0" borderId="64" xfId="0" applyBorder="1"/>
    <xf numFmtId="0" fontId="0" fillId="0" borderId="6" xfId="0" applyBorder="1"/>
    <xf numFmtId="0" fontId="102" fillId="75" borderId="102" xfId="49414" applyFont="1" applyFill="1" applyBorder="1" applyAlignment="1">
      <alignment vertical="center" wrapText="1"/>
    </xf>
    <xf numFmtId="0" fontId="204" fillId="0" borderId="102" xfId="5" quotePrefix="1" applyFont="1" applyBorder="1" applyAlignment="1">
      <alignment vertical="center" wrapText="1"/>
    </xf>
    <xf numFmtId="0" fontId="208" fillId="0" borderId="102" xfId="49414" applyFont="1" applyFill="1" applyBorder="1" applyAlignment="1">
      <alignment horizontal="center" vertical="center" wrapText="1"/>
    </xf>
    <xf numFmtId="0" fontId="6" fillId="0" borderId="102" xfId="1" applyFont="1" applyBorder="1" applyAlignment="1">
      <alignment vertical="center" wrapText="1"/>
    </xf>
    <xf numFmtId="0" fontId="208" fillId="76" borderId="102" xfId="49414" applyFont="1" applyFill="1" applyBorder="1" applyAlignment="1">
      <alignment horizontal="center" vertical="center" wrapText="1"/>
    </xf>
    <xf numFmtId="0" fontId="206" fillId="0" borderId="102" xfId="1" applyFont="1" applyFill="1" applyBorder="1" applyAlignment="1">
      <alignment horizontal="center" vertical="center" wrapText="1" readingOrder="1"/>
    </xf>
    <xf numFmtId="0" fontId="206" fillId="76" borderId="102" xfId="1" applyFont="1" applyFill="1" applyBorder="1" applyAlignment="1">
      <alignment horizontal="center" vertical="center" wrapText="1"/>
    </xf>
    <xf numFmtId="0" fontId="6" fillId="0" borderId="102" xfId="1" applyFont="1" applyFill="1" applyBorder="1" applyAlignment="1">
      <alignment vertical="center" wrapText="1"/>
    </xf>
    <xf numFmtId="0" fontId="206" fillId="0" borderId="102" xfId="1" applyFont="1" applyBorder="1" applyAlignment="1">
      <alignment horizontal="center" vertical="center" wrapText="1"/>
    </xf>
    <xf numFmtId="0" fontId="199" fillId="0" borderId="102" xfId="1" applyFont="1" applyBorder="1" applyAlignment="1">
      <alignment horizontal="left" vertical="center" wrapText="1"/>
    </xf>
    <xf numFmtId="0" fontId="206" fillId="0" borderId="102" xfId="1" applyFont="1" applyFill="1" applyBorder="1" applyAlignment="1">
      <alignment horizontal="center" vertical="center" wrapText="1"/>
    </xf>
    <xf numFmtId="0" fontId="199" fillId="0" borderId="102" xfId="1" applyFont="1" applyFill="1" applyBorder="1" applyAlignment="1">
      <alignment horizontal="left" vertical="center" wrapText="1"/>
    </xf>
    <xf numFmtId="0" fontId="205" fillId="76" borderId="102" xfId="1" applyFont="1" applyFill="1" applyBorder="1" applyAlignment="1">
      <alignment horizontal="center" vertical="center" wrapText="1"/>
    </xf>
    <xf numFmtId="0" fontId="206" fillId="76" borderId="102" xfId="1" applyFont="1" applyFill="1" applyBorder="1" applyAlignment="1">
      <alignment vertical="center" wrapText="1"/>
    </xf>
    <xf numFmtId="0" fontId="189" fillId="0" borderId="102" xfId="1" applyFont="1" applyBorder="1" applyAlignment="1">
      <alignment horizontal="center" vertical="center" wrapText="1" readingOrder="1"/>
    </xf>
    <xf numFmtId="0" fontId="189" fillId="0" borderId="102" xfId="1" applyFont="1" applyBorder="1" applyAlignment="1">
      <alignment horizontal="center" vertical="center" wrapText="1"/>
    </xf>
    <xf numFmtId="0" fontId="174" fillId="0" borderId="102" xfId="0" applyFont="1" applyBorder="1" applyAlignment="1">
      <alignment wrapText="1"/>
    </xf>
    <xf numFmtId="0" fontId="189" fillId="76" borderId="102" xfId="1" applyFont="1" applyFill="1" applyBorder="1" applyAlignment="1">
      <alignment horizontal="center" vertical="center" wrapText="1"/>
    </xf>
    <xf numFmtId="0" fontId="190" fillId="0" borderId="102" xfId="1" applyFont="1" applyBorder="1" applyAlignment="1">
      <alignment vertical="center" wrapText="1"/>
    </xf>
    <xf numFmtId="0" fontId="6" fillId="80" borderId="102" xfId="1" applyFont="1" applyFill="1" applyBorder="1" applyAlignment="1">
      <alignment vertical="center" wrapText="1"/>
    </xf>
    <xf numFmtId="0" fontId="190" fillId="80" borderId="102" xfId="1" applyFont="1" applyFill="1" applyBorder="1" applyAlignment="1">
      <alignment vertical="center" wrapText="1"/>
    </xf>
    <xf numFmtId="0" fontId="189" fillId="79" borderId="102" xfId="1" applyFont="1" applyFill="1" applyBorder="1" applyAlignment="1">
      <alignment horizontal="center" vertical="center" wrapText="1"/>
    </xf>
    <xf numFmtId="0" fontId="190" fillId="0" borderId="102" xfId="6" applyFont="1" applyBorder="1" applyAlignment="1">
      <alignment vertical="center" wrapText="1"/>
    </xf>
    <xf numFmtId="0" fontId="187" fillId="79" borderId="102" xfId="1" applyFont="1" applyFill="1" applyBorder="1" applyAlignment="1">
      <alignment horizontal="center" vertical="center" wrapText="1"/>
    </xf>
    <xf numFmtId="0" fontId="186" fillId="0" borderId="102" xfId="1" applyFont="1" applyBorder="1" applyAlignment="1">
      <alignment horizontal="left" vertical="center" wrapText="1"/>
    </xf>
    <xf numFmtId="0" fontId="192" fillId="0" borderId="102" xfId="1" applyFont="1" applyFill="1" applyBorder="1" applyAlignment="1">
      <alignment horizontal="center" vertical="center" wrapText="1" readingOrder="1"/>
    </xf>
    <xf numFmtId="0" fontId="186" fillId="0" borderId="102" xfId="1" applyFont="1" applyFill="1" applyBorder="1" applyAlignment="1">
      <alignment horizontal="left" vertical="center" wrapText="1"/>
    </xf>
    <xf numFmtId="0" fontId="192" fillId="79" borderId="102" xfId="1" applyFont="1" applyFill="1" applyBorder="1" applyAlignment="1">
      <alignment horizontal="center" vertical="center" wrapText="1" readingOrder="1"/>
    </xf>
    <xf numFmtId="0" fontId="2" fillId="0" borderId="102" xfId="0" applyFont="1" applyBorder="1" applyAlignment="1">
      <alignment horizontal="center" vertical="center" wrapText="1"/>
    </xf>
    <xf numFmtId="0" fontId="0" fillId="76" borderId="102" xfId="0" applyFill="1" applyBorder="1" applyAlignment="1">
      <alignment horizontal="center" vertical="center" wrapText="1"/>
    </xf>
    <xf numFmtId="0" fontId="0" fillId="76" borderId="102" xfId="0" applyFill="1" applyBorder="1" applyAlignment="1">
      <alignment horizontal="left" vertical="center" wrapText="1"/>
    </xf>
    <xf numFmtId="0" fontId="0" fillId="76" borderId="0" xfId="0" applyFill="1" applyAlignment="1">
      <alignment horizontal="center" vertical="center" wrapText="1"/>
    </xf>
    <xf numFmtId="0" fontId="0" fillId="76" borderId="0" xfId="0" applyFill="1" applyAlignment="1">
      <alignment horizontal="left" vertical="center" wrapText="1"/>
    </xf>
    <xf numFmtId="0" fontId="201" fillId="4" borderId="47" xfId="11" applyFont="1" applyFill="1" applyBorder="1" applyAlignment="1">
      <alignment horizontal="center" vertical="center"/>
    </xf>
    <xf numFmtId="0" fontId="206" fillId="0" borderId="47" xfId="1" applyFont="1" applyBorder="1" applyAlignment="1">
      <alignment horizontal="center" vertical="center" wrapText="1" readingOrder="1"/>
    </xf>
    <xf numFmtId="0" fontId="1" fillId="0" borderId="45" xfId="1" applyFont="1" applyBorder="1" applyAlignment="1">
      <alignment horizontal="center" vertical="center"/>
    </xf>
    <xf numFmtId="0" fontId="1" fillId="0" borderId="5" xfId="1" applyFont="1" applyBorder="1" applyAlignment="1">
      <alignment horizontal="center" vertical="center"/>
    </xf>
    <xf numFmtId="0" fontId="1" fillId="0" borderId="6" xfId="1" applyFont="1" applyBorder="1" applyAlignment="1">
      <alignment horizontal="center" vertical="center"/>
    </xf>
    <xf numFmtId="0" fontId="206" fillId="77" borderId="70" xfId="1" applyFont="1" applyFill="1" applyBorder="1" applyAlignment="1">
      <alignment horizontal="center" vertical="center" wrapText="1" readingOrder="1"/>
    </xf>
    <xf numFmtId="0" fontId="206" fillId="77" borderId="5" xfId="1" applyFont="1" applyFill="1" applyBorder="1" applyAlignment="1">
      <alignment horizontal="center" vertical="center" wrapText="1" readingOrder="1"/>
    </xf>
    <xf numFmtId="0" fontId="206" fillId="77" borderId="6" xfId="1" applyFont="1" applyFill="1" applyBorder="1" applyAlignment="1">
      <alignment horizontal="center" vertical="center" wrapText="1" readingOrder="1"/>
    </xf>
    <xf numFmtId="0" fontId="206" fillId="0" borderId="4" xfId="1" applyFont="1" applyBorder="1" applyAlignment="1">
      <alignment horizontal="center" vertical="center" wrapText="1" readingOrder="1"/>
    </xf>
    <xf numFmtId="0" fontId="206" fillId="0" borderId="5" xfId="1" applyFont="1" applyBorder="1" applyAlignment="1">
      <alignment horizontal="center" vertical="center" wrapText="1" readingOrder="1"/>
    </xf>
    <xf numFmtId="0" fontId="206" fillId="0" borderId="6" xfId="1" applyFont="1" applyBorder="1" applyAlignment="1">
      <alignment horizontal="center" vertical="center" wrapText="1" readingOrder="1"/>
    </xf>
    <xf numFmtId="0" fontId="1" fillId="0" borderId="18" xfId="1" applyFont="1" applyBorder="1" applyAlignment="1">
      <alignment horizontal="center"/>
    </xf>
    <xf numFmtId="0" fontId="1" fillId="76" borderId="99" xfId="1" applyFont="1" applyFill="1" applyBorder="1" applyAlignment="1">
      <alignment horizontal="center" vertical="center"/>
    </xf>
    <xf numFmtId="0" fontId="6" fillId="77" borderId="70" xfId="1" applyFont="1" applyFill="1" applyBorder="1" applyAlignment="1">
      <alignment horizontal="center" vertical="center" wrapText="1"/>
    </xf>
    <xf numFmtId="0" fontId="6" fillId="77" borderId="5" xfId="1" applyFont="1" applyFill="1" applyBorder="1" applyAlignment="1">
      <alignment horizontal="center" vertical="center" wrapText="1"/>
    </xf>
    <xf numFmtId="0" fontId="6" fillId="77" borderId="6" xfId="1" applyFont="1" applyFill="1" applyBorder="1" applyAlignment="1">
      <alignment horizontal="center" vertical="center" wrapText="1"/>
    </xf>
    <xf numFmtId="0" fontId="4" fillId="76" borderId="99" xfId="1" applyFill="1" applyBorder="1" applyAlignment="1">
      <alignment horizontal="center" vertical="center"/>
    </xf>
    <xf numFmtId="1" fontId="190" fillId="0" borderId="45" xfId="1" applyNumberFormat="1" applyFont="1" applyBorder="1" applyAlignment="1">
      <alignment horizontal="center" vertical="center" wrapText="1"/>
    </xf>
    <xf numFmtId="1" fontId="190" fillId="0" borderId="5" xfId="1" applyNumberFormat="1" applyFont="1" applyBorder="1" applyAlignment="1">
      <alignment horizontal="center" vertical="center" wrapText="1"/>
    </xf>
    <xf numFmtId="1" fontId="190" fillId="0" borderId="6" xfId="1" applyNumberFormat="1" applyFont="1" applyBorder="1" applyAlignment="1">
      <alignment horizontal="center" vertical="center" wrapText="1"/>
    </xf>
    <xf numFmtId="0" fontId="189" fillId="0" borderId="4" xfId="1" applyFont="1" applyBorder="1" applyAlignment="1">
      <alignment horizontal="center" vertical="center" wrapText="1" readingOrder="1"/>
    </xf>
    <xf numFmtId="0" fontId="189" fillId="0" borderId="5" xfId="1" applyFont="1" applyBorder="1" applyAlignment="1">
      <alignment horizontal="center" vertical="center" wrapText="1" readingOrder="1"/>
    </xf>
    <xf numFmtId="0" fontId="183" fillId="0" borderId="66" xfId="1" applyFont="1" applyBorder="1" applyAlignment="1">
      <alignment horizontal="center" vertical="center" wrapText="1" readingOrder="1"/>
    </xf>
    <xf numFmtId="0" fontId="183" fillId="0" borderId="5" xfId="1" applyFont="1" applyBorder="1" applyAlignment="1">
      <alignment horizontal="center" vertical="center" wrapText="1" readingOrder="1"/>
    </xf>
    <xf numFmtId="0" fontId="174" fillId="0" borderId="101" xfId="1" applyFont="1" applyBorder="1" applyAlignment="1">
      <alignment horizontal="center" vertical="center"/>
    </xf>
    <xf numFmtId="0" fontId="174" fillId="0" borderId="18" xfId="1" applyFont="1" applyBorder="1" applyAlignment="1">
      <alignment horizontal="center" vertical="center"/>
    </xf>
    <xf numFmtId="0" fontId="174" fillId="0" borderId="64" xfId="1" applyFont="1" applyBorder="1" applyAlignment="1">
      <alignment horizontal="center" vertical="center"/>
    </xf>
    <xf numFmtId="0" fontId="4" fillId="0" borderId="0" xfId="1" applyAlignment="1">
      <alignment horizontal="center"/>
    </xf>
    <xf numFmtId="0" fontId="189" fillId="0" borderId="74" xfId="1" applyFont="1" applyBorder="1" applyAlignment="1">
      <alignment horizontal="center" vertical="center" wrapText="1" readingOrder="1"/>
    </xf>
    <xf numFmtId="0" fontId="174" fillId="0" borderId="74" xfId="1" applyFont="1" applyBorder="1" applyAlignment="1">
      <alignment horizontal="center" vertical="center"/>
    </xf>
    <xf numFmtId="0" fontId="174" fillId="0" borderId="5" xfId="1" applyFont="1" applyBorder="1" applyAlignment="1">
      <alignment horizontal="center" vertical="center"/>
    </xf>
    <xf numFmtId="0" fontId="174" fillId="0" borderId="6" xfId="1" applyFont="1" applyBorder="1" applyAlignment="1">
      <alignment horizontal="center" vertical="center"/>
    </xf>
    <xf numFmtId="0" fontId="189" fillId="0" borderId="6" xfId="1" applyFont="1" applyBorder="1" applyAlignment="1">
      <alignment horizontal="center" vertical="center" wrapText="1" readingOrder="1"/>
    </xf>
    <xf numFmtId="0" fontId="4" fillId="0" borderId="18" xfId="1" applyBorder="1" applyAlignment="1">
      <alignment horizontal="center"/>
    </xf>
    <xf numFmtId="0" fontId="189" fillId="0" borderId="90" xfId="1" applyFont="1" applyBorder="1" applyAlignment="1">
      <alignment horizontal="center" vertical="center" wrapText="1" readingOrder="1"/>
    </xf>
    <xf numFmtId="0" fontId="210" fillId="8" borderId="90" xfId="1" applyFont="1" applyFill="1" applyBorder="1" applyAlignment="1">
      <alignment horizontal="center" vertical="center" wrapText="1" readingOrder="1"/>
    </xf>
    <xf numFmtId="0" fontId="210" fillId="8" borderId="5" xfId="1" applyFont="1" applyFill="1" applyBorder="1" applyAlignment="1">
      <alignment horizontal="center" vertical="center" wrapText="1" readingOrder="1"/>
    </xf>
    <xf numFmtId="0" fontId="174" fillId="0" borderId="90" xfId="1" applyFont="1" applyBorder="1" applyAlignment="1">
      <alignment horizontal="center" vertical="center" wrapText="1"/>
    </xf>
    <xf numFmtId="0" fontId="174" fillId="0" borderId="5" xfId="1" applyFont="1" applyBorder="1" applyAlignment="1">
      <alignment horizontal="center" vertical="center" wrapText="1"/>
    </xf>
    <xf numFmtId="0" fontId="174" fillId="0" borderId="6" xfId="1" applyFont="1" applyBorder="1" applyAlignment="1">
      <alignment horizontal="center" vertical="center" wrapText="1"/>
    </xf>
    <xf numFmtId="0" fontId="210" fillId="8" borderId="4" xfId="1" applyFont="1" applyFill="1" applyBorder="1" applyAlignment="1">
      <alignment horizontal="center" vertical="center" wrapText="1" readingOrder="1"/>
    </xf>
    <xf numFmtId="0" fontId="210" fillId="8" borderId="6" xfId="1" applyFont="1" applyFill="1" applyBorder="1" applyAlignment="1">
      <alignment horizontal="center" vertical="center" wrapText="1" readingOrder="1"/>
    </xf>
    <xf numFmtId="0" fontId="174" fillId="0" borderId="4" xfId="1" applyFont="1" applyBorder="1" applyAlignment="1">
      <alignment horizontal="center" vertical="center" wrapText="1"/>
    </xf>
    <xf numFmtId="0" fontId="174" fillId="0" borderId="45" xfId="1" applyFont="1" applyBorder="1" applyAlignment="1">
      <alignment horizontal="center" vertical="center"/>
    </xf>
    <xf numFmtId="0" fontId="189" fillId="0" borderId="4" xfId="1" applyFont="1" applyBorder="1" applyAlignment="1">
      <alignment horizontal="center" vertical="center" wrapText="1"/>
    </xf>
    <xf numFmtId="0" fontId="189" fillId="0" borderId="5" xfId="1" applyFont="1" applyBorder="1" applyAlignment="1">
      <alignment horizontal="center" vertical="center" wrapText="1"/>
    </xf>
    <xf numFmtId="0" fontId="174" fillId="0" borderId="66" xfId="1" applyFont="1" applyBorder="1" applyAlignment="1">
      <alignment horizontal="center" vertical="center"/>
    </xf>
    <xf numFmtId="0" fontId="189" fillId="0" borderId="68" xfId="1" applyFont="1" applyBorder="1" applyAlignment="1">
      <alignment horizontal="center" vertical="center" wrapText="1"/>
    </xf>
    <xf numFmtId="0" fontId="174" fillId="0" borderId="68" xfId="1" applyFont="1" applyBorder="1" applyAlignment="1">
      <alignment horizontal="center" vertical="center"/>
    </xf>
    <xf numFmtId="0" fontId="2" fillId="0" borderId="0" xfId="0" applyFont="1" applyAlignment="1">
      <alignment horizontal="center" vertical="center" wrapText="1"/>
    </xf>
    <xf numFmtId="0" fontId="189" fillId="0" borderId="66" xfId="1" applyFont="1" applyBorder="1" applyAlignment="1">
      <alignment horizontal="center" vertical="center" wrapText="1" readingOrder="1"/>
    </xf>
    <xf numFmtId="1" fontId="190" fillId="0" borderId="4" xfId="1" applyNumberFormat="1" applyFont="1" applyBorder="1" applyAlignment="1">
      <alignment horizontal="center" vertical="center" wrapText="1"/>
    </xf>
    <xf numFmtId="0" fontId="189" fillId="0" borderId="55" xfId="1" applyFont="1" applyBorder="1" applyAlignment="1">
      <alignment horizontal="center" vertical="center" wrapText="1" readingOrder="1"/>
    </xf>
    <xf numFmtId="0" fontId="189" fillId="8" borderId="55" xfId="1" applyFont="1" applyFill="1" applyBorder="1" applyAlignment="1">
      <alignment horizontal="center" vertical="center" wrapText="1" readingOrder="1"/>
    </xf>
    <xf numFmtId="0" fontId="189" fillId="8" borderId="5" xfId="1" applyFont="1" applyFill="1" applyBorder="1" applyAlignment="1">
      <alignment horizontal="center" vertical="center" wrapText="1" readingOrder="1"/>
    </xf>
    <xf numFmtId="0" fontId="174" fillId="0" borderId="55" xfId="1" applyFont="1" applyBorder="1" applyAlignment="1">
      <alignment horizontal="center" vertical="center"/>
    </xf>
    <xf numFmtId="0" fontId="200" fillId="0" borderId="59" xfId="11" applyFont="1" applyBorder="1" applyAlignment="1">
      <alignment horizontal="center" vertical="center"/>
    </xf>
    <xf numFmtId="0" fontId="192" fillId="0" borderId="60" xfId="1" applyFont="1" applyBorder="1" applyAlignment="1">
      <alignment horizontal="center" vertical="center" wrapText="1" readingOrder="1"/>
    </xf>
    <xf numFmtId="0" fontId="192" fillId="0" borderId="5" xfId="1" applyFont="1" applyBorder="1" applyAlignment="1">
      <alignment horizontal="center" vertical="center" wrapText="1" readingOrder="1"/>
    </xf>
    <xf numFmtId="0" fontId="192" fillId="0" borderId="59" xfId="1" applyFont="1" applyBorder="1" applyAlignment="1">
      <alignment horizontal="center" vertical="center" wrapText="1" readingOrder="1"/>
    </xf>
    <xf numFmtId="0" fontId="192" fillId="0" borderId="6" xfId="1" applyFont="1" applyBorder="1" applyAlignment="1">
      <alignment horizontal="center" vertical="center" wrapText="1" readingOrder="1"/>
    </xf>
    <xf numFmtId="0" fontId="186" fillId="0" borderId="61" xfId="1" applyFont="1" applyBorder="1" applyAlignment="1">
      <alignment horizontal="center" vertical="center"/>
    </xf>
    <xf numFmtId="0" fontId="186" fillId="0" borderId="18" xfId="1" applyFont="1" applyBorder="1" applyAlignment="1">
      <alignment horizontal="center" vertical="center"/>
    </xf>
    <xf numFmtId="0" fontId="186" fillId="0" borderId="64" xfId="1" applyFont="1" applyBorder="1" applyAlignment="1">
      <alignment horizontal="center" vertical="center"/>
    </xf>
    <xf numFmtId="0" fontId="192" fillId="0" borderId="60" xfId="1" applyFont="1" applyBorder="1" applyAlignment="1">
      <alignment horizontal="center" vertical="center" wrapText="1"/>
    </xf>
    <xf numFmtId="0" fontId="192" fillId="0" borderId="6" xfId="1" applyFont="1" applyBorder="1" applyAlignment="1">
      <alignment horizontal="center" vertical="center" wrapText="1"/>
    </xf>
    <xf numFmtId="0" fontId="186" fillId="0" borderId="60" xfId="1" applyFont="1" applyBorder="1" applyAlignment="1">
      <alignment horizontal="center" vertical="center" wrapText="1"/>
    </xf>
    <xf numFmtId="0" fontId="186" fillId="0" borderId="6" xfId="1" applyFont="1" applyBorder="1" applyAlignment="1">
      <alignment horizontal="center" vertical="center" wrapText="1"/>
    </xf>
    <xf numFmtId="0" fontId="186" fillId="0" borderId="60" xfId="1" applyFont="1" applyBorder="1" applyAlignment="1">
      <alignment horizontal="center" vertical="center"/>
    </xf>
    <xf numFmtId="0" fontId="186" fillId="0" borderId="6" xfId="1" applyFont="1" applyBorder="1" applyAlignment="1">
      <alignment horizontal="center" vertical="center"/>
    </xf>
    <xf numFmtId="0" fontId="186" fillId="80" borderId="73" xfId="1" applyFont="1" applyFill="1" applyBorder="1" applyAlignment="1">
      <alignment horizontal="left" vertical="center"/>
    </xf>
    <xf numFmtId="0" fontId="190" fillId="0" borderId="73" xfId="1" applyFont="1" applyBorder="1" applyAlignment="1">
      <alignment horizontal="center" vertical="center"/>
    </xf>
    <xf numFmtId="0" fontId="190" fillId="72" borderId="73" xfId="1" applyFont="1" applyFill="1" applyBorder="1" applyAlignment="1">
      <alignment horizontal="center" vertical="center"/>
    </xf>
    <xf numFmtId="0" fontId="190" fillId="6" borderId="73" xfId="1" quotePrefix="1" applyFont="1" applyFill="1" applyBorder="1" applyAlignment="1">
      <alignment horizontal="center" vertical="center"/>
    </xf>
    <xf numFmtId="0" fontId="189" fillId="5" borderId="73" xfId="1" quotePrefix="1" applyFont="1" applyFill="1" applyBorder="1" applyAlignment="1">
      <alignment horizontal="center" vertical="center"/>
    </xf>
    <xf numFmtId="0" fontId="189" fillId="7" borderId="73" xfId="1" quotePrefix="1" applyFont="1" applyFill="1" applyBorder="1" applyAlignment="1">
      <alignment horizontal="center" vertical="center"/>
    </xf>
    <xf numFmtId="0" fontId="189" fillId="8" borderId="73" xfId="1" quotePrefix="1" applyFont="1" applyFill="1" applyBorder="1" applyAlignment="1">
      <alignment horizontal="center" vertical="center"/>
    </xf>
    <xf numFmtId="0" fontId="190" fillId="0" borderId="75" xfId="1" applyFont="1" applyBorder="1" applyAlignment="1">
      <alignment vertical="center"/>
    </xf>
    <xf numFmtId="0" fontId="7" fillId="77" borderId="73" xfId="1" applyFont="1" applyFill="1" applyBorder="1" applyAlignment="1">
      <alignment horizontal="center" vertical="center"/>
    </xf>
    <xf numFmtId="0" fontId="6" fillId="0" borderId="47" xfId="1" applyFont="1" applyBorder="1" applyAlignment="1">
      <alignment horizontal="center" vertical="center"/>
    </xf>
    <xf numFmtId="0" fontId="190" fillId="72" borderId="73" xfId="1" applyNumberFormat="1" applyFont="1" applyFill="1" applyBorder="1" applyAlignment="1">
      <alignment horizontal="center" vertical="center"/>
    </xf>
    <xf numFmtId="0" fontId="190" fillId="6" borderId="73" xfId="1" quotePrefix="1" applyNumberFormat="1" applyFont="1" applyFill="1" applyBorder="1" applyAlignment="1">
      <alignment horizontal="center" vertical="center"/>
    </xf>
    <xf numFmtId="0" fontId="189" fillId="5" borderId="73" xfId="1" quotePrefix="1" applyNumberFormat="1" applyFont="1" applyFill="1" applyBorder="1" applyAlignment="1">
      <alignment horizontal="center" vertical="center"/>
    </xf>
    <xf numFmtId="0" fontId="189" fillId="7" borderId="73" xfId="1" quotePrefix="1" applyNumberFormat="1" applyFont="1" applyFill="1" applyBorder="1" applyAlignment="1">
      <alignment horizontal="center" vertical="center"/>
    </xf>
    <xf numFmtId="0" fontId="189" fillId="8" borderId="73" xfId="1" quotePrefix="1" applyNumberFormat="1" applyFont="1" applyFill="1" applyBorder="1" applyAlignment="1">
      <alignment horizontal="center" vertical="center"/>
    </xf>
    <xf numFmtId="0" fontId="190" fillId="80" borderId="73" xfId="1" applyFont="1" applyFill="1" applyBorder="1" applyAlignment="1">
      <alignment vertical="center"/>
    </xf>
    <xf numFmtId="0" fontId="190" fillId="6" borderId="73" xfId="1" applyNumberFormat="1" applyFont="1" applyFill="1" applyBorder="1" applyAlignment="1">
      <alignment horizontal="center" vertical="center"/>
    </xf>
    <xf numFmtId="0" fontId="189" fillId="5" borderId="73" xfId="1" applyNumberFormat="1" applyFont="1" applyFill="1" applyBorder="1" applyAlignment="1">
      <alignment horizontal="center" vertical="center"/>
    </xf>
    <xf numFmtId="0" fontId="189" fillId="7" borderId="73" xfId="1" applyNumberFormat="1" applyFont="1" applyFill="1" applyBorder="1" applyAlignment="1">
      <alignment horizontal="center" vertical="center"/>
    </xf>
    <xf numFmtId="0" fontId="189" fillId="8" borderId="73" xfId="1" applyNumberFormat="1" applyFont="1" applyFill="1" applyBorder="1" applyAlignment="1">
      <alignment horizontal="center" vertical="center"/>
    </xf>
    <xf numFmtId="0" fontId="6" fillId="0" borderId="69" xfId="1" applyFont="1" applyBorder="1" applyAlignment="1">
      <alignment horizontal="center" vertical="center"/>
    </xf>
    <xf numFmtId="9" fontId="0" fillId="0" borderId="0" xfId="49416" applyFont="1" applyAlignment="1">
      <alignment horizontal="center" vertical="center"/>
    </xf>
  </cellXfs>
  <cellStyles count="49417">
    <cellStyle name="_x0004_" xfId="12"/>
    <cellStyle name="-" xfId="13"/>
    <cellStyle name="_x000a_386grabber=M" xfId="14"/>
    <cellStyle name="_x000a_386grabber=M 2" xfId="15"/>
    <cellStyle name="_x000d__x000a_JournalTemplate=C:\COMFO\CTALK\JOURSTD.TPL_x000d__x000a_LbStateAddress=3 3 0 251 1 89 2 311_x000d__x000a_LbStateJou" xfId="16"/>
    <cellStyle name="#" xfId="17"/>
    <cellStyle name="#-" xfId="18"/>
    <cellStyle name="$" xfId="19"/>
    <cellStyle name="$-" xfId="20"/>
    <cellStyle name="$_Jingxun_Pow_Hershey_DCF" xfId="21"/>
    <cellStyle name="$_Neptune Model (v26 - Final 3% Tax - Post Sep)" xfId="22"/>
    <cellStyle name="$_Neptune Model (v26 - Final 3% Tax - Post Sep) 2" xfId="23"/>
    <cellStyle name="$0" xfId="24"/>
    <cellStyle name="$m" xfId="25"/>
    <cellStyle name="$q" xfId="26"/>
    <cellStyle name="$q*" xfId="27"/>
    <cellStyle name="$q_AVP" xfId="28"/>
    <cellStyle name="$qA" xfId="29"/>
    <cellStyle name="$qRange" xfId="30"/>
    <cellStyle name="%" xfId="31"/>
    <cellStyle name="%-" xfId="32"/>
    <cellStyle name="******************************************" xfId="33"/>
    <cellStyle name=";;;" xfId="34"/>
    <cellStyle name="??&amp;O?&amp;H?_x0008__x000f__x0007_?_x0007__x0001__x0001_" xfId="35"/>
    <cellStyle name="??&amp;O?&amp;H?_x0008_??_x0007__x0001__x0001_" xfId="36"/>
    <cellStyle name="??&amp;O?&amp;H?_x0008_x_x000b_P_x000c__x0007__x0001__x0001_" xfId="37"/>
    <cellStyle name="??&amp;쏗?뷐9_x0008__x0011__x0007_?_x0007__x0001__x0001_" xfId="38"/>
    <cellStyle name="??&amp;쏗?뷐9_x0008__x0011__x0007_?_x0007__x0001__x0001_ 2" xfId="39"/>
    <cellStyle name="?曹%U?&amp;H?_x0008_?s_x000a__x0007__x0001__x0001_" xfId="40"/>
    <cellStyle name="?曹%U?&amp;H?_x0008_?s_x000a__x0007__x0001__x0001_ 2" xfId="41"/>
    <cellStyle name="_01 Master Blending January sd Des 2007" xfId="42"/>
    <cellStyle name="_01 Master Blending January sd Des 2007 2" xfId="43"/>
    <cellStyle name="_01 Master Blending January sd Des 2007_01  Usulan Blend Plan BMO_220408 (2)" xfId="44"/>
    <cellStyle name="_01 Master Blending January sd Des 2007_01  Usulan Blend Plan BMO_220408 (2) 2" xfId="45"/>
    <cellStyle name="_01 Master Blending January sd Des 2007_01  Usulan Blend Plan BMO_220408 (2)_Wadi-Qinfa" xfId="46"/>
    <cellStyle name="_01 Master Blending January sd Des 2007_Stock Status Jul 29, 2008" xfId="47"/>
    <cellStyle name="_01 Master Blending January sd Des 2007_Stock Status Jul 29, 2008 2" xfId="48"/>
    <cellStyle name="_01 Master Blending January sd Des 2007_Stock Status Jul 29, 2008_Wadi-Qinfa" xfId="49"/>
    <cellStyle name="_01 Master Blending January sd Des 2007_Usulan Blend Plan BMO 11-03-08" xfId="50"/>
    <cellStyle name="_01 Master Blending January sd Des 2007_Usulan Blend Plan BMO 11-03-08 2" xfId="51"/>
    <cellStyle name="_01 Master Blending January sd Des 2007_Usulan Blend Plan BMO 11-03-08_Wadi-Qinfa" xfId="52"/>
    <cellStyle name="_01 Master Blending January sd Des 2007_Usulan Blend Plan BMO 25-03-08" xfId="53"/>
    <cellStyle name="_01 Master Blending January sd Des 2007_Usulan Blend Plan BMO 25-03-08 2" xfId="54"/>
    <cellStyle name="_01 Master Blending January sd Des 2007_Usulan Blend Plan BMO 25-03-08_Wadi-Qinfa" xfId="55"/>
    <cellStyle name="_01 Master Blending January sd Des 2007_Usulan Blending 27 Mei 2008" xfId="56"/>
    <cellStyle name="_01 Master Blending January sd Des 2007_Usulan Blending 27 Mei 2008 2" xfId="57"/>
    <cellStyle name="_01 Master Blending January sd Des 2007_Usulan Blending 27 Mei 2008_Wadi-Qinfa" xfId="58"/>
    <cellStyle name="_01 Master Blending January sd Des 2007_Usulan Blending Plan 10 jun (2)" xfId="59"/>
    <cellStyle name="_01 Master Blending January sd Des 2007_Usulan Blending Plan 10 jun (2) 2" xfId="60"/>
    <cellStyle name="_01 Master Blending January sd Des 2007_Usulan Blending Plan 10 jun (2)_Wadi-Qinfa" xfId="61"/>
    <cellStyle name="_01 Master Blending January sd Des 2007_Usulan Blending Plan 17 jun (2)" xfId="62"/>
    <cellStyle name="_01 Master Blending January sd Des 2007_Usulan Blending Plan 17 jun (2) 2" xfId="63"/>
    <cellStyle name="_01 Master Blending January sd Des 2007_Usulan Blending Plan 17 jun (2)_Wadi-Qinfa" xfId="64"/>
    <cellStyle name="_01 Master Blending January sd Des 2007_Usulan blending plan 21_05_08" xfId="65"/>
    <cellStyle name="_01 Master Blending January sd Des 2007_Usulan blending plan 21_05_08 2" xfId="66"/>
    <cellStyle name="_01 Master Blending January sd Des 2007_Usulan blending plan 21_05_08_Wadi-Qinfa" xfId="67"/>
    <cellStyle name="_01 Master Blending January sd Des 2007_Usulan blending PlaN 27-05-08" xfId="68"/>
    <cellStyle name="_01 Master Blending January sd Des 2007_Usulan blending PlaN 27-05-08 2" xfId="69"/>
    <cellStyle name="_01 Master Blending January sd Des 2007_Usulan blending PlaN 27-05-08_Wadi-Qinfa" xfId="70"/>
    <cellStyle name="_01 Master Blending January sd Des 2007_Usulan Blending Plan_13 Feb 2008_awl" xfId="71"/>
    <cellStyle name="_01 Master Blending January sd Des 2007_Usulan Blending Plan_13 Feb 2008_awl 2" xfId="72"/>
    <cellStyle name="_01 Master Blending January sd Des 2007_Usulan Blending Plan_13 Feb 2008_awl_Wadi-Qinfa" xfId="73"/>
    <cellStyle name="_01 Master Blending January sd Des 2007_Wadi-Qinfa" xfId="74"/>
    <cellStyle name="_01.Blend Plan_2007_New1" xfId="75"/>
    <cellStyle name="_01.Blend Plan_2007_New1 2" xfId="76"/>
    <cellStyle name="_01.Blend Plan_2007_New1_01  Usulan Blend Plan BMO_220408 (2)" xfId="77"/>
    <cellStyle name="_01.Blend Plan_2007_New1_01  Usulan Blend Plan BMO_220408 (2) 2" xfId="78"/>
    <cellStyle name="_01.Blend Plan_2007_New1_01  Usulan Blend Plan BMO_220408 (2)_Wadi-Qinfa" xfId="79"/>
    <cellStyle name="_01.Blend Plan_2007_New1_Stock Status Jul 29, 2008" xfId="80"/>
    <cellStyle name="_01.Blend Plan_2007_New1_Stock Status Jul 29, 2008 2" xfId="81"/>
    <cellStyle name="_01.Blend Plan_2007_New1_Stock Status Jul 29, 2008_Wadi-Qinfa" xfId="82"/>
    <cellStyle name="_01.Blend Plan_2007_New1_Usulan Blend Plan BMO 11-03-08" xfId="83"/>
    <cellStyle name="_01.Blend Plan_2007_New1_Usulan Blend Plan BMO 11-03-08 2" xfId="84"/>
    <cellStyle name="_01.Blend Plan_2007_New1_Usulan Blend Plan BMO 11-03-08_Wadi-Qinfa" xfId="85"/>
    <cellStyle name="_01.Blend Plan_2007_New1_Usulan Blend Plan BMO 25-03-08" xfId="86"/>
    <cellStyle name="_01.Blend Plan_2007_New1_Usulan Blend Plan BMO 25-03-08 2" xfId="87"/>
    <cellStyle name="_01.Blend Plan_2007_New1_Usulan Blend Plan BMO 25-03-08_Wadi-Qinfa" xfId="88"/>
    <cellStyle name="_01.Blend Plan_2007_New1_Usulan Blending 27 Mei 2008" xfId="89"/>
    <cellStyle name="_01.Blend Plan_2007_New1_Usulan Blending 27 Mei 2008 2" xfId="90"/>
    <cellStyle name="_01.Blend Plan_2007_New1_Usulan Blending 27 Mei 2008_Wadi-Qinfa" xfId="91"/>
    <cellStyle name="_01.Blend Plan_2007_New1_Usulan Blending Plan 10 jun (2)" xfId="92"/>
    <cellStyle name="_01.Blend Plan_2007_New1_Usulan Blending Plan 10 jun (2) 2" xfId="93"/>
    <cellStyle name="_01.Blend Plan_2007_New1_Usulan Blending Plan 10 jun (2)_Wadi-Qinfa" xfId="94"/>
    <cellStyle name="_01.Blend Plan_2007_New1_Usulan Blending Plan 17 jun (2)" xfId="95"/>
    <cellStyle name="_01.Blend Plan_2007_New1_Usulan Blending Plan 17 jun (2) 2" xfId="96"/>
    <cellStyle name="_01.Blend Plan_2007_New1_Usulan Blending Plan 17 jun (2)_Wadi-Qinfa" xfId="97"/>
    <cellStyle name="_01.Blend Plan_2007_New1_Usulan blending plan 21_05_08" xfId="98"/>
    <cellStyle name="_01.Blend Plan_2007_New1_Usulan blending plan 21_05_08 2" xfId="99"/>
    <cellStyle name="_01.Blend Plan_2007_New1_Usulan blending plan 21_05_08_Wadi-Qinfa" xfId="100"/>
    <cellStyle name="_01.Blend Plan_2007_New1_Usulan blending PlaN 27-05-08" xfId="101"/>
    <cellStyle name="_01.Blend Plan_2007_New1_Usulan blending PlaN 27-05-08 2" xfId="102"/>
    <cellStyle name="_01.Blend Plan_2007_New1_Usulan blending PlaN 27-05-08_Wadi-Qinfa" xfId="103"/>
    <cellStyle name="_01.Blend Plan_2007_New1_Usulan Blending Plan_13 Feb 2008_awl" xfId="104"/>
    <cellStyle name="_01.Blend Plan_2007_New1_Usulan Blending Plan_13 Feb 2008_awl 2" xfId="105"/>
    <cellStyle name="_01.Blend Plan_2007_New1_Usulan Blending Plan_13 Feb 2008_awl_Wadi-Qinfa" xfId="106"/>
    <cellStyle name="_01.Blend Plan_2007_New1_Wadi-Qinfa" xfId="107"/>
    <cellStyle name="_01.Blend Plan_Des'07" xfId="108"/>
    <cellStyle name="_01.Blend Plan_Des'07 2" xfId="109"/>
    <cellStyle name="_01.Blend Plan_Des'07_01  Usulan Blend Plan BMO_220408 (2)" xfId="110"/>
    <cellStyle name="_01.Blend Plan_Des'07_01  Usulan Blend Plan BMO_220408 (2) 2" xfId="111"/>
    <cellStyle name="_01.Blend Plan_Des'07_01  Usulan Blend Plan BMO_220408 (2)_Wadi-Qinfa" xfId="112"/>
    <cellStyle name="_01.Blend Plan_Des'07_Stock Status Jul 29, 2008" xfId="113"/>
    <cellStyle name="_01.Blend Plan_Des'07_Stock Status Jul 29, 2008 2" xfId="114"/>
    <cellStyle name="_01.Blend Plan_Des'07_Stock Status Jul 29, 2008_Wadi-Qinfa" xfId="115"/>
    <cellStyle name="_01.Blend Plan_Des'07_Usulan Blend Plan BMO 11-03-08" xfId="116"/>
    <cellStyle name="_01.Blend Plan_Des'07_Usulan Blend Plan BMO 11-03-08 2" xfId="117"/>
    <cellStyle name="_01.Blend Plan_Des'07_Usulan Blend Plan BMO 11-03-08_Wadi-Qinfa" xfId="118"/>
    <cellStyle name="_01.Blend Plan_Des'07_Usulan Blend Plan BMO 25-03-08" xfId="119"/>
    <cellStyle name="_01.Blend Plan_Des'07_Usulan Blend Plan BMO 25-03-08 2" xfId="120"/>
    <cellStyle name="_01.Blend Plan_Des'07_Usulan Blend Plan BMO 25-03-08_Wadi-Qinfa" xfId="121"/>
    <cellStyle name="_01.Blend Plan_Des'07_Usulan Blending 27 Mei 2008" xfId="122"/>
    <cellStyle name="_01.Blend Plan_Des'07_Usulan Blending 27 Mei 2008 2" xfId="123"/>
    <cellStyle name="_01.Blend Plan_Des'07_Usulan Blending 27 Mei 2008_Wadi-Qinfa" xfId="124"/>
    <cellStyle name="_01.Blend Plan_Des'07_Usulan Blending Plan 10 jun (2)" xfId="125"/>
    <cellStyle name="_01.Blend Plan_Des'07_Usulan Blending Plan 10 jun (2) 2" xfId="126"/>
    <cellStyle name="_01.Blend Plan_Des'07_Usulan Blending Plan 10 jun (2)_Wadi-Qinfa" xfId="127"/>
    <cellStyle name="_01.Blend Plan_Des'07_Usulan Blending Plan 17 jun (2)" xfId="128"/>
    <cellStyle name="_01.Blend Plan_Des'07_Usulan Blending Plan 17 jun (2) 2" xfId="129"/>
    <cellStyle name="_01.Blend Plan_Des'07_Usulan Blending Plan 17 jun (2)_Wadi-Qinfa" xfId="130"/>
    <cellStyle name="_01.Blend Plan_Des'07_Usulan blending plan 21_05_08" xfId="131"/>
    <cellStyle name="_01.Blend Plan_Des'07_Usulan blending plan 21_05_08 2" xfId="132"/>
    <cellStyle name="_01.Blend Plan_Des'07_Usulan blending plan 21_05_08_Wadi-Qinfa" xfId="133"/>
    <cellStyle name="_01.Blend Plan_Des'07_Usulan blending PlaN 27-05-08" xfId="134"/>
    <cellStyle name="_01.Blend Plan_Des'07_Usulan blending PlaN 27-05-08 2" xfId="135"/>
    <cellStyle name="_01.Blend Plan_Des'07_Usulan blending PlaN 27-05-08_Wadi-Qinfa" xfId="136"/>
    <cellStyle name="_01.Blend Plan_Des'07_Usulan Blending Plan_13 Feb 2008_awl" xfId="137"/>
    <cellStyle name="_01.Blend Plan_Des'07_Usulan Blending Plan_13 Feb 2008_awl 2" xfId="138"/>
    <cellStyle name="_01.Blend Plan_Des'07_Usulan Blending Plan_13 Feb 2008_awl_Wadi-Qinfa" xfId="139"/>
    <cellStyle name="_01.Blend Plan_Des'07_Wadi-Qinfa" xfId="140"/>
    <cellStyle name="_01.Blend Plan_Jan'08" xfId="141"/>
    <cellStyle name="_01.Blend Plan_Jan'08 2" xfId="142"/>
    <cellStyle name="_01.Blend Plan_Jan'08_Stock Status Jul 29, 2008" xfId="143"/>
    <cellStyle name="_01.Blend Plan_Jan'08_Stock Status Jul 29, 2008 2" xfId="144"/>
    <cellStyle name="_01.Blend Plan_Jan'08_Stock Status Jul 29, 2008_Wadi-Qinfa" xfId="145"/>
    <cellStyle name="_01.Blend Plan_Jan'08_Usulan Blending 27 Mei 2008" xfId="146"/>
    <cellStyle name="_01.Blend Plan_Jan'08_Usulan Blending 27 Mei 2008 2" xfId="147"/>
    <cellStyle name="_01.Blend Plan_Jan'08_Usulan Blending 27 Mei 2008_Wadi-Qinfa" xfId="148"/>
    <cellStyle name="_01.Blend Plan_Jan'08_Usulan Blending Plan 10 jun (2)" xfId="149"/>
    <cellStyle name="_01.Blend Plan_Jan'08_Usulan Blending Plan 10 jun (2) 2" xfId="150"/>
    <cellStyle name="_01.Blend Plan_Jan'08_Usulan Blending Plan 10 jun (2)_Wadi-Qinfa" xfId="151"/>
    <cellStyle name="_01.Blend Plan_Jan'08_Usulan Blending Plan 17 jun (2)" xfId="152"/>
    <cellStyle name="_01.Blend Plan_Jan'08_Usulan Blending Plan 17 jun (2) 2" xfId="153"/>
    <cellStyle name="_01.Blend Plan_Jan'08_Usulan Blending Plan 17 jun (2)_Wadi-Qinfa" xfId="154"/>
    <cellStyle name="_01.Blend Plan_Jan'08_Wadi-Qinfa" xfId="155"/>
    <cellStyle name="_01.Blend Plan_Nov'07_" xfId="156"/>
    <cellStyle name="_01.Blend Plan_Nov'07_ 2" xfId="157"/>
    <cellStyle name="_01.Blend Plan_Nov'07__01  Usulan Blend Plan BMO_220408 (2)" xfId="158"/>
    <cellStyle name="_01.Blend Plan_Nov'07__01  Usulan Blend Plan BMO_220408 (2) 2" xfId="159"/>
    <cellStyle name="_01.Blend Plan_Nov'07__01  Usulan Blend Plan BMO_220408 (2)_Wadi-Qinfa" xfId="160"/>
    <cellStyle name="_01.Blend Plan_Nov'07__Stock Status Jul 29, 2008" xfId="161"/>
    <cellStyle name="_01.Blend Plan_Nov'07__Stock Status Jul 29, 2008 2" xfId="162"/>
    <cellStyle name="_01.Blend Plan_Nov'07__Stock Status Jul 29, 2008_Wadi-Qinfa" xfId="163"/>
    <cellStyle name="_01.Blend Plan_Nov'07__Usulan Blend Plan BMO 11-03-08" xfId="164"/>
    <cellStyle name="_01.Blend Plan_Nov'07__Usulan Blend Plan BMO 11-03-08 2" xfId="165"/>
    <cellStyle name="_01.Blend Plan_Nov'07__Usulan Blend Plan BMO 11-03-08_Wadi-Qinfa" xfId="166"/>
    <cellStyle name="_01.Blend Plan_Nov'07__Usulan Blend Plan BMO 25-03-08" xfId="167"/>
    <cellStyle name="_01.Blend Plan_Nov'07__Usulan Blend Plan BMO 25-03-08 2" xfId="168"/>
    <cellStyle name="_01.Blend Plan_Nov'07__Usulan Blend Plan BMO 25-03-08_Wadi-Qinfa" xfId="169"/>
    <cellStyle name="_01.Blend Plan_Nov'07__Usulan Blending 27 Mei 2008" xfId="170"/>
    <cellStyle name="_01.Blend Plan_Nov'07__Usulan Blending 27 Mei 2008 2" xfId="171"/>
    <cellStyle name="_01.Blend Plan_Nov'07__Usulan Blending 27 Mei 2008_Wadi-Qinfa" xfId="172"/>
    <cellStyle name="_01.Blend Plan_Nov'07__Usulan Blending Plan 10 jun (2)" xfId="173"/>
    <cellStyle name="_01.Blend Plan_Nov'07__Usulan Blending Plan 10 jun (2) 2" xfId="174"/>
    <cellStyle name="_01.Blend Plan_Nov'07__Usulan Blending Plan 10 jun (2)_Wadi-Qinfa" xfId="175"/>
    <cellStyle name="_01.Blend Plan_Nov'07__Usulan Blending Plan 17 jun (2)" xfId="176"/>
    <cellStyle name="_01.Blend Plan_Nov'07__Usulan Blending Plan 17 jun (2) 2" xfId="177"/>
    <cellStyle name="_01.Blend Plan_Nov'07__Usulan Blending Plan 17 jun (2)_Wadi-Qinfa" xfId="178"/>
    <cellStyle name="_01.Blend Plan_Nov'07__Usulan blending plan 21_05_08" xfId="179"/>
    <cellStyle name="_01.Blend Plan_Nov'07__Usulan blending plan 21_05_08 2" xfId="180"/>
    <cellStyle name="_01.Blend Plan_Nov'07__Usulan blending plan 21_05_08_Wadi-Qinfa" xfId="181"/>
    <cellStyle name="_01.Blend Plan_Nov'07__Usulan blending PlaN 27-05-08" xfId="182"/>
    <cellStyle name="_01.Blend Plan_Nov'07__Usulan blending PlaN 27-05-08 2" xfId="183"/>
    <cellStyle name="_01.Blend Plan_Nov'07__Usulan blending PlaN 27-05-08_Wadi-Qinfa" xfId="184"/>
    <cellStyle name="_01.Blend Plan_Nov'07__Usulan Blending Plan_13 Feb 2008_awl" xfId="185"/>
    <cellStyle name="_01.Blend Plan_Nov'07__Usulan Blending Plan_13 Feb 2008_awl 2" xfId="186"/>
    <cellStyle name="_01.Blend Plan_Nov'07__Usulan Blending Plan_13 Feb 2008_awl_Wadi-Qinfa" xfId="187"/>
    <cellStyle name="_01.Blend Plan_Nov'07__Wadi-Qinfa" xfId="188"/>
    <cellStyle name="_031406 Data Inputs" xfId="189"/>
    <cellStyle name="_031406 Data Inputs 2" xfId="190"/>
    <cellStyle name="_070830 BM CIP" xfId="191"/>
    <cellStyle name="_Accounting Report 2008 FY By Product" xfId="192"/>
    <cellStyle name="_Activity Plan" xfId="193"/>
    <cellStyle name="_Activity Plan 2" xfId="194"/>
    <cellStyle name="_Activity Plan_01  Usulan Blend Plan BMO_220408 (2)" xfId="195"/>
    <cellStyle name="_Activity Plan_01  Usulan Blend Plan BMO_220408 (2) 2" xfId="196"/>
    <cellStyle name="_Activity Plan_01  Usulan Blend Plan BMO_220408 (2)_Wadi-Qinfa" xfId="197"/>
    <cellStyle name="_Activity Plan_Stock Status Jul 29, 2008" xfId="198"/>
    <cellStyle name="_Activity Plan_Stock Status Jul 29, 2008 2" xfId="199"/>
    <cellStyle name="_Activity Plan_Stock Status Jul 29, 2008_Wadi-Qinfa" xfId="200"/>
    <cellStyle name="_Activity Plan_Usulan Blend Plan BMO 11-03-08" xfId="201"/>
    <cellStyle name="_Activity Plan_Usulan Blend Plan BMO 11-03-08 2" xfId="202"/>
    <cellStyle name="_Activity Plan_Usulan Blend Plan BMO 11-03-08_Wadi-Qinfa" xfId="203"/>
    <cellStyle name="_Activity Plan_Usulan Blend Plan BMO 25-03-08" xfId="204"/>
    <cellStyle name="_Activity Plan_Usulan Blend Plan BMO 25-03-08 2" xfId="205"/>
    <cellStyle name="_Activity Plan_Usulan Blend Plan BMO 25-03-08_Wadi-Qinfa" xfId="206"/>
    <cellStyle name="_Activity Plan_Usulan Blending 27 Mei 2008" xfId="207"/>
    <cellStyle name="_Activity Plan_Usulan Blending 27 Mei 2008 2" xfId="208"/>
    <cellStyle name="_Activity Plan_Usulan Blending 27 Mei 2008_Wadi-Qinfa" xfId="209"/>
    <cellStyle name="_Activity Plan_Usulan Blending Plan 10 jun (2)" xfId="210"/>
    <cellStyle name="_Activity Plan_Usulan Blending Plan 10 jun (2) 2" xfId="211"/>
    <cellStyle name="_Activity Plan_Usulan Blending Plan 10 jun (2)_Wadi-Qinfa" xfId="212"/>
    <cellStyle name="_Activity Plan_Usulan Blending Plan 17 jun (2)" xfId="213"/>
    <cellStyle name="_Activity Plan_Usulan Blending Plan 17 jun (2) 2" xfId="214"/>
    <cellStyle name="_Activity Plan_Usulan Blending Plan 17 jun (2)_Wadi-Qinfa" xfId="215"/>
    <cellStyle name="_Activity Plan_Usulan blending plan 21_05_08" xfId="216"/>
    <cellStyle name="_Activity Plan_Usulan blending plan 21_05_08 2" xfId="217"/>
    <cellStyle name="_Activity Plan_Usulan blending plan 21_05_08_Wadi-Qinfa" xfId="218"/>
    <cellStyle name="_Activity Plan_Usulan blending PlaN 27-05-08" xfId="219"/>
    <cellStyle name="_Activity Plan_Usulan blending PlaN 27-05-08 2" xfId="220"/>
    <cellStyle name="_Activity Plan_Usulan blending PlaN 27-05-08_Wadi-Qinfa" xfId="221"/>
    <cellStyle name="_Activity Plan_Usulan Blending Plan_13 Feb 2008_awl" xfId="222"/>
    <cellStyle name="_Activity Plan_Usulan Blending Plan_13 Feb 2008_awl 2" xfId="223"/>
    <cellStyle name="_Activity Plan_Usulan Blending Plan_13 Feb 2008_awl_Wadi-Qinfa" xfId="224"/>
    <cellStyle name="_Activity Plan_Wadi-Qinfa" xfId="225"/>
    <cellStyle name="_Aging AR 20100930 (2)" xfId="226"/>
    <cellStyle name="_Analisa Laporan keuangan 2008_12" xfId="227"/>
    <cellStyle name="_AUC 072007(Progress report)" xfId="228"/>
    <cellStyle name="_Blend plan as of 01-August-06" xfId="229"/>
    <cellStyle name="_Blend plan as of 01-August-06 2" xfId="230"/>
    <cellStyle name="_Blend plan as of 01-August-06_01  Usulan Blend Plan BMO_220408 (2)" xfId="231"/>
    <cellStyle name="_Blend plan as of 01-August-06_01  Usulan Blend Plan BMO_220408 (2) 2" xfId="232"/>
    <cellStyle name="_Blend plan as of 01-August-06_01  Usulan Blend Plan BMO_220408 (2)_Wadi-Qinfa" xfId="233"/>
    <cellStyle name="_Blend plan as of 01-August-06_Stock Status Jul 29, 2008" xfId="234"/>
    <cellStyle name="_Blend plan as of 01-August-06_Stock Status Jul 29, 2008 2" xfId="235"/>
    <cellStyle name="_Blend plan as of 01-August-06_Stock Status Jul 29, 2008_Wadi-Qinfa" xfId="236"/>
    <cellStyle name="_Blend plan as of 01-August-06_Usulan Blend Plan BMO 11-03-08" xfId="237"/>
    <cellStyle name="_Blend plan as of 01-August-06_Usulan Blend Plan BMO 11-03-08 2" xfId="238"/>
    <cellStyle name="_Blend plan as of 01-August-06_Usulan Blend Plan BMO 11-03-08_Wadi-Qinfa" xfId="239"/>
    <cellStyle name="_Blend plan as of 01-August-06_Usulan Blend Plan BMO 25-03-08" xfId="240"/>
    <cellStyle name="_Blend plan as of 01-August-06_Usulan Blend Plan BMO 25-03-08 2" xfId="241"/>
    <cellStyle name="_Blend plan as of 01-August-06_Usulan Blend Plan BMO 25-03-08_Wadi-Qinfa" xfId="242"/>
    <cellStyle name="_Blend plan as of 01-August-06_Usulan Blending 27 Mei 2008" xfId="243"/>
    <cellStyle name="_Blend plan as of 01-August-06_Usulan Blending 27 Mei 2008 2" xfId="244"/>
    <cellStyle name="_Blend plan as of 01-August-06_Usulan Blending 27 Mei 2008_Wadi-Qinfa" xfId="245"/>
    <cellStyle name="_Blend plan as of 01-August-06_Usulan Blending Plan 10 jun (2)" xfId="246"/>
    <cellStyle name="_Blend plan as of 01-August-06_Usulan Blending Plan 10 jun (2) 2" xfId="247"/>
    <cellStyle name="_Blend plan as of 01-August-06_Usulan Blending Plan 10 jun (2)_Wadi-Qinfa" xfId="248"/>
    <cellStyle name="_Blend plan as of 01-August-06_Usulan Blending Plan 17 jun (2)" xfId="249"/>
    <cellStyle name="_Blend plan as of 01-August-06_Usulan Blending Plan 17 jun (2) 2" xfId="250"/>
    <cellStyle name="_Blend plan as of 01-August-06_Usulan Blending Plan 17 jun (2)_Wadi-Qinfa" xfId="251"/>
    <cellStyle name="_Blend plan as of 01-August-06_Usulan blending plan 21_05_08" xfId="252"/>
    <cellStyle name="_Blend plan as of 01-August-06_Usulan blending plan 21_05_08 2" xfId="253"/>
    <cellStyle name="_Blend plan as of 01-August-06_Usulan blending plan 21_05_08_Wadi-Qinfa" xfId="254"/>
    <cellStyle name="_Blend plan as of 01-August-06_Usulan blending PlaN 27-05-08" xfId="255"/>
    <cellStyle name="_Blend plan as of 01-August-06_Usulan blending PlaN 27-05-08 2" xfId="256"/>
    <cellStyle name="_Blend plan as of 01-August-06_Usulan blending PlaN 27-05-08_Wadi-Qinfa" xfId="257"/>
    <cellStyle name="_Blend plan as of 01-August-06_Usulan Blending Plan_13 Feb 2008_awl" xfId="258"/>
    <cellStyle name="_Blend plan as of 01-August-06_Usulan Blending Plan_13 Feb 2008_awl 2" xfId="259"/>
    <cellStyle name="_Blend plan as of 01-August-06_Usulan Blending Plan_13 Feb 2008_awl_Wadi-Qinfa" xfId="260"/>
    <cellStyle name="_Blend plan as of 01-August-06_Wadi-Qinfa" xfId="261"/>
    <cellStyle name="_Blend plan as of 01-Feb-05" xfId="262"/>
    <cellStyle name="_Blend plan as of 01-Feb-05 2" xfId="263"/>
    <cellStyle name="_Blend plan as of 01-Feb-05_01  Usulan Blend Plan BMO_220408 (2)" xfId="264"/>
    <cellStyle name="_Blend plan as of 01-Feb-05_01  Usulan Blend Plan BMO_220408 (2) 2" xfId="265"/>
    <cellStyle name="_Blend plan as of 01-Feb-05_01  Usulan Blend Plan BMO_220408 (2)_Wadi-Qinfa" xfId="266"/>
    <cellStyle name="_Blend plan as of 01-Feb-05_Stock Status Jul 29, 2008" xfId="267"/>
    <cellStyle name="_Blend plan as of 01-Feb-05_Stock Status Jul 29, 2008 2" xfId="268"/>
    <cellStyle name="_Blend plan as of 01-Feb-05_Stock Status Jul 29, 2008_Wadi-Qinfa" xfId="269"/>
    <cellStyle name="_Blend plan as of 01-Feb-05_Usulan Blend Plan BMO 11-03-08" xfId="270"/>
    <cellStyle name="_Blend plan as of 01-Feb-05_Usulan Blend Plan BMO 11-03-08 2" xfId="271"/>
    <cellStyle name="_Blend plan as of 01-Feb-05_Usulan Blend Plan BMO 11-03-08_Wadi-Qinfa" xfId="272"/>
    <cellStyle name="_Blend plan as of 01-Feb-05_Usulan Blend Plan BMO 25-03-08" xfId="273"/>
    <cellStyle name="_Blend plan as of 01-Feb-05_Usulan Blend Plan BMO 25-03-08 2" xfId="274"/>
    <cellStyle name="_Blend plan as of 01-Feb-05_Usulan Blend Plan BMO 25-03-08_Wadi-Qinfa" xfId="275"/>
    <cellStyle name="_Blend plan as of 01-Feb-05_Usulan Blending 27 Mei 2008" xfId="276"/>
    <cellStyle name="_Blend plan as of 01-Feb-05_Usulan Blending 27 Mei 2008 2" xfId="277"/>
    <cellStyle name="_Blend plan as of 01-Feb-05_Usulan Blending 27 Mei 2008_Wadi-Qinfa" xfId="278"/>
    <cellStyle name="_Blend plan as of 01-Feb-05_Usulan Blending Plan 10 jun (2)" xfId="279"/>
    <cellStyle name="_Blend plan as of 01-Feb-05_Usulan Blending Plan 10 jun (2) 2" xfId="280"/>
    <cellStyle name="_Blend plan as of 01-Feb-05_Usulan Blending Plan 10 jun (2)_Wadi-Qinfa" xfId="281"/>
    <cellStyle name="_Blend plan as of 01-Feb-05_Usulan Blending Plan 17 jun (2)" xfId="282"/>
    <cellStyle name="_Blend plan as of 01-Feb-05_Usulan Blending Plan 17 jun (2) 2" xfId="283"/>
    <cellStyle name="_Blend plan as of 01-Feb-05_Usulan Blending Plan 17 jun (2)_Wadi-Qinfa" xfId="284"/>
    <cellStyle name="_Blend plan as of 01-Feb-05_Usulan blending plan 21_05_08" xfId="285"/>
    <cellStyle name="_Blend plan as of 01-Feb-05_Usulan blending plan 21_05_08 2" xfId="286"/>
    <cellStyle name="_Blend plan as of 01-Feb-05_Usulan blending plan 21_05_08_Wadi-Qinfa" xfId="287"/>
    <cellStyle name="_Blend plan as of 01-Feb-05_Usulan blending PlaN 27-05-08" xfId="288"/>
    <cellStyle name="_Blend plan as of 01-Feb-05_Usulan blending PlaN 27-05-08 2" xfId="289"/>
    <cellStyle name="_Blend plan as of 01-Feb-05_Usulan blending PlaN 27-05-08_Wadi-Qinfa" xfId="290"/>
    <cellStyle name="_Blend plan as of 01-Feb-05_Usulan Blending Plan_13 Feb 2008_awl" xfId="291"/>
    <cellStyle name="_Blend plan as of 01-Feb-05_Usulan Blending Plan_13 Feb 2008_awl 2" xfId="292"/>
    <cellStyle name="_Blend plan as of 01-Feb-05_Usulan Blending Plan_13 Feb 2008_awl_Wadi-Qinfa" xfId="293"/>
    <cellStyle name="_Blend plan as of 01-Feb-05_Wadi-Qinfa" xfId="294"/>
    <cellStyle name="_Blend plan as of 01-February-06" xfId="295"/>
    <cellStyle name="_Blend plan as of 01-February-06 2" xfId="296"/>
    <cellStyle name="_Blend plan as of 01-February-06_01  Usulan Blend Plan BMO_220408 (2)" xfId="297"/>
    <cellStyle name="_Blend plan as of 01-February-06_01  Usulan Blend Plan BMO_220408 (2) 2" xfId="298"/>
    <cellStyle name="_Blend plan as of 01-February-06_01  Usulan Blend Plan BMO_220408 (2)_Wadi-Qinfa" xfId="299"/>
    <cellStyle name="_Blend plan as of 01-February-06_Stock Status Jul 29, 2008" xfId="300"/>
    <cellStyle name="_Blend plan as of 01-February-06_Stock Status Jul 29, 2008 2" xfId="301"/>
    <cellStyle name="_Blend plan as of 01-February-06_Stock Status Jul 29, 2008_Wadi-Qinfa" xfId="302"/>
    <cellStyle name="_Blend plan as of 01-February-06_Usulan Blend Plan BMO 11-03-08" xfId="303"/>
    <cellStyle name="_Blend plan as of 01-February-06_Usulan Blend Plan BMO 11-03-08 2" xfId="304"/>
    <cellStyle name="_Blend plan as of 01-February-06_Usulan Blend Plan BMO 11-03-08_Wadi-Qinfa" xfId="305"/>
    <cellStyle name="_Blend plan as of 01-February-06_Usulan Blend Plan BMO 25-03-08" xfId="306"/>
    <cellStyle name="_Blend plan as of 01-February-06_Usulan Blend Plan BMO 25-03-08 2" xfId="307"/>
    <cellStyle name="_Blend plan as of 01-February-06_Usulan Blend Plan BMO 25-03-08_Wadi-Qinfa" xfId="308"/>
    <cellStyle name="_Blend plan as of 01-February-06_Usulan Blending 27 Mei 2008" xfId="309"/>
    <cellStyle name="_Blend plan as of 01-February-06_Usulan Blending 27 Mei 2008 2" xfId="310"/>
    <cellStyle name="_Blend plan as of 01-February-06_Usulan Blending 27 Mei 2008_Wadi-Qinfa" xfId="311"/>
    <cellStyle name="_Blend plan as of 01-February-06_Usulan Blending Plan 10 jun (2)" xfId="312"/>
    <cellStyle name="_Blend plan as of 01-February-06_Usulan Blending Plan 10 jun (2) 2" xfId="313"/>
    <cellStyle name="_Blend plan as of 01-February-06_Usulan Blending Plan 10 jun (2)_Wadi-Qinfa" xfId="314"/>
    <cellStyle name="_Blend plan as of 01-February-06_Usulan Blending Plan 17 jun (2)" xfId="315"/>
    <cellStyle name="_Blend plan as of 01-February-06_Usulan Blending Plan 17 jun (2) 2" xfId="316"/>
    <cellStyle name="_Blend plan as of 01-February-06_Usulan Blending Plan 17 jun (2)_Wadi-Qinfa" xfId="317"/>
    <cellStyle name="_Blend plan as of 01-February-06_Usulan blending plan 21_05_08" xfId="318"/>
    <cellStyle name="_Blend plan as of 01-February-06_Usulan blending plan 21_05_08 2" xfId="319"/>
    <cellStyle name="_Blend plan as of 01-February-06_Usulan blending plan 21_05_08_Wadi-Qinfa" xfId="320"/>
    <cellStyle name="_Blend plan as of 01-February-06_Usulan blending PlaN 27-05-08" xfId="321"/>
    <cellStyle name="_Blend plan as of 01-February-06_Usulan blending PlaN 27-05-08 2" xfId="322"/>
    <cellStyle name="_Blend plan as of 01-February-06_Usulan blending PlaN 27-05-08_Wadi-Qinfa" xfId="323"/>
    <cellStyle name="_Blend plan as of 01-February-06_Usulan Blending Plan_13 Feb 2008_awl" xfId="324"/>
    <cellStyle name="_Blend plan as of 01-February-06_Usulan Blending Plan_13 Feb 2008_awl 2" xfId="325"/>
    <cellStyle name="_Blend plan as of 01-February-06_Usulan Blending Plan_13 Feb 2008_awl_Wadi-Qinfa" xfId="326"/>
    <cellStyle name="_Blend plan as of 01-February-06_Wadi-Qinfa" xfId="327"/>
    <cellStyle name="_Blend plan as of 01-Mar-05" xfId="328"/>
    <cellStyle name="_Blend plan as of 01-Mar-05 2" xfId="329"/>
    <cellStyle name="_Blend plan as of 01-Mar-05_01  Usulan Blend Plan BMO_220408 (2)" xfId="330"/>
    <cellStyle name="_Blend plan as of 01-Mar-05_01  Usulan Blend Plan BMO_220408 (2) 2" xfId="331"/>
    <cellStyle name="_Blend plan as of 01-Mar-05_01  Usulan Blend Plan BMO_220408 (2)_Wadi-Qinfa" xfId="332"/>
    <cellStyle name="_Blend plan as of 01-Mar-05_Stock Status Jul 29, 2008" xfId="333"/>
    <cellStyle name="_Blend plan as of 01-Mar-05_Stock Status Jul 29, 2008 2" xfId="334"/>
    <cellStyle name="_Blend plan as of 01-Mar-05_Stock Status Jul 29, 2008_Wadi-Qinfa" xfId="335"/>
    <cellStyle name="_Blend plan as of 01-Mar-05_Usulan Blend Plan BMO 11-03-08" xfId="336"/>
    <cellStyle name="_Blend plan as of 01-Mar-05_Usulan Blend Plan BMO 11-03-08 2" xfId="337"/>
    <cellStyle name="_Blend plan as of 01-Mar-05_Usulan Blend Plan BMO 11-03-08_Wadi-Qinfa" xfId="338"/>
    <cellStyle name="_Blend plan as of 01-Mar-05_Usulan Blend Plan BMO 25-03-08" xfId="339"/>
    <cellStyle name="_Blend plan as of 01-Mar-05_Usulan Blend Plan BMO 25-03-08 2" xfId="340"/>
    <cellStyle name="_Blend plan as of 01-Mar-05_Usulan Blend Plan BMO 25-03-08_Wadi-Qinfa" xfId="341"/>
    <cellStyle name="_Blend plan as of 01-Mar-05_Usulan Blending 27 Mei 2008" xfId="342"/>
    <cellStyle name="_Blend plan as of 01-Mar-05_Usulan Blending 27 Mei 2008 2" xfId="343"/>
    <cellStyle name="_Blend plan as of 01-Mar-05_Usulan Blending 27 Mei 2008_Wadi-Qinfa" xfId="344"/>
    <cellStyle name="_Blend plan as of 01-Mar-05_Usulan Blending Plan 10 jun (2)" xfId="345"/>
    <cellStyle name="_Blend plan as of 01-Mar-05_Usulan Blending Plan 10 jun (2) 2" xfId="346"/>
    <cellStyle name="_Blend plan as of 01-Mar-05_Usulan Blending Plan 10 jun (2)_Wadi-Qinfa" xfId="347"/>
    <cellStyle name="_Blend plan as of 01-Mar-05_Usulan Blending Plan 17 jun (2)" xfId="348"/>
    <cellStyle name="_Blend plan as of 01-Mar-05_Usulan Blending Plan 17 jun (2) 2" xfId="349"/>
    <cellStyle name="_Blend plan as of 01-Mar-05_Usulan Blending Plan 17 jun (2)_Wadi-Qinfa" xfId="350"/>
    <cellStyle name="_Blend plan as of 01-Mar-05_Usulan blending plan 21_05_08" xfId="351"/>
    <cellStyle name="_Blend plan as of 01-Mar-05_Usulan blending plan 21_05_08 2" xfId="352"/>
    <cellStyle name="_Blend plan as of 01-Mar-05_Usulan blending plan 21_05_08_Wadi-Qinfa" xfId="353"/>
    <cellStyle name="_Blend plan as of 01-Mar-05_Usulan blending PlaN 27-05-08" xfId="354"/>
    <cellStyle name="_Blend plan as of 01-Mar-05_Usulan blending PlaN 27-05-08 2" xfId="355"/>
    <cellStyle name="_Blend plan as of 01-Mar-05_Usulan blending PlaN 27-05-08_Wadi-Qinfa" xfId="356"/>
    <cellStyle name="_Blend plan as of 01-Mar-05_Usulan Blending Plan_13 Feb 2008_awl" xfId="357"/>
    <cellStyle name="_Blend plan as of 01-Mar-05_Usulan Blending Plan_13 Feb 2008_awl 2" xfId="358"/>
    <cellStyle name="_Blend plan as of 01-Mar-05_Usulan Blending Plan_13 Feb 2008_awl_Wadi-Qinfa" xfId="359"/>
    <cellStyle name="_Blend plan as of 01-Mar-05_Wadi-Qinfa" xfId="360"/>
    <cellStyle name="_Blend plan as of 01-Nopember-05" xfId="361"/>
    <cellStyle name="_Blend plan as of 01-Nopember-05 2" xfId="362"/>
    <cellStyle name="_Blend plan as of 01-Nopember-05_01  Usulan Blend Plan BMO_220408 (2)" xfId="363"/>
    <cellStyle name="_Blend plan as of 01-Nopember-05_01  Usulan Blend Plan BMO_220408 (2) 2" xfId="364"/>
    <cellStyle name="_Blend plan as of 01-Nopember-05_01  Usulan Blend Plan BMO_220408 (2)_Wadi-Qinfa" xfId="365"/>
    <cellStyle name="_Blend plan as of 01-Nopember-05_Stock Status Jul 29, 2008" xfId="366"/>
    <cellStyle name="_Blend plan as of 01-Nopember-05_Stock Status Jul 29, 2008 2" xfId="367"/>
    <cellStyle name="_Blend plan as of 01-Nopember-05_Stock Status Jul 29, 2008_Wadi-Qinfa" xfId="368"/>
    <cellStyle name="_Blend plan as of 01-Nopember-05_Usulan Blend Plan BMO 11-03-08" xfId="369"/>
    <cellStyle name="_Blend plan as of 01-Nopember-05_Usulan Blend Plan BMO 11-03-08 2" xfId="370"/>
    <cellStyle name="_Blend plan as of 01-Nopember-05_Usulan Blend Plan BMO 11-03-08_Wadi-Qinfa" xfId="371"/>
    <cellStyle name="_Blend plan as of 01-Nopember-05_Usulan Blend Plan BMO 25-03-08" xfId="372"/>
    <cellStyle name="_Blend plan as of 01-Nopember-05_Usulan Blend Plan BMO 25-03-08 2" xfId="373"/>
    <cellStyle name="_Blend plan as of 01-Nopember-05_Usulan Blend Plan BMO 25-03-08_Wadi-Qinfa" xfId="374"/>
    <cellStyle name="_Blend plan as of 01-Nopember-05_Usulan Blending 27 Mei 2008" xfId="375"/>
    <cellStyle name="_Blend plan as of 01-Nopember-05_Usulan Blending 27 Mei 2008 2" xfId="376"/>
    <cellStyle name="_Blend plan as of 01-Nopember-05_Usulan Blending 27 Mei 2008_Wadi-Qinfa" xfId="377"/>
    <cellStyle name="_Blend plan as of 01-Nopember-05_Usulan Blending Plan 10 jun (2)" xfId="378"/>
    <cellStyle name="_Blend plan as of 01-Nopember-05_Usulan Blending Plan 10 jun (2) 2" xfId="379"/>
    <cellStyle name="_Blend plan as of 01-Nopember-05_Usulan Blending Plan 10 jun (2)_Wadi-Qinfa" xfId="380"/>
    <cellStyle name="_Blend plan as of 01-Nopember-05_Usulan Blending Plan 17 jun (2)" xfId="381"/>
    <cellStyle name="_Blend plan as of 01-Nopember-05_Usulan Blending Plan 17 jun (2) 2" xfId="382"/>
    <cellStyle name="_Blend plan as of 01-Nopember-05_Usulan Blending Plan 17 jun (2)_Wadi-Qinfa" xfId="383"/>
    <cellStyle name="_Blend plan as of 01-Nopember-05_Usulan blending plan 21_05_08" xfId="384"/>
    <cellStyle name="_Blend plan as of 01-Nopember-05_Usulan blending plan 21_05_08 2" xfId="385"/>
    <cellStyle name="_Blend plan as of 01-Nopember-05_Usulan blending plan 21_05_08_Wadi-Qinfa" xfId="386"/>
    <cellStyle name="_Blend plan as of 01-Nopember-05_Usulan blending PlaN 27-05-08" xfId="387"/>
    <cellStyle name="_Blend plan as of 01-Nopember-05_Usulan blending PlaN 27-05-08 2" xfId="388"/>
    <cellStyle name="_Blend plan as of 01-Nopember-05_Usulan blending PlaN 27-05-08_Wadi-Qinfa" xfId="389"/>
    <cellStyle name="_Blend plan as of 01-Nopember-05_Usulan Blending Plan_13 Feb 2008_awl" xfId="390"/>
    <cellStyle name="_Blend plan as of 01-Nopember-05_Usulan Blending Plan_13 Feb 2008_awl 2" xfId="391"/>
    <cellStyle name="_Blend plan as of 01-Nopember-05_Usulan Blending Plan_13 Feb 2008_awl_Wadi-Qinfa" xfId="392"/>
    <cellStyle name="_Blend plan as of 01-Nopember-05_Wadi-Qinfa" xfId="393"/>
    <cellStyle name="_Blend plan as of 02-august-05" xfId="394"/>
    <cellStyle name="_Blend plan as of 02-august-05 2" xfId="395"/>
    <cellStyle name="_Blend plan as of 02-august-05_01  Usulan Blend Plan BMO_220408 (2)" xfId="396"/>
    <cellStyle name="_Blend plan as of 02-august-05_01  Usulan Blend Plan BMO_220408 (2) 2" xfId="397"/>
    <cellStyle name="_Blend plan as of 02-august-05_01  Usulan Blend Plan BMO_220408 (2)_Wadi-Qinfa" xfId="398"/>
    <cellStyle name="_Blend plan as of 02-august-05_Stock Status Jul 29, 2008" xfId="399"/>
    <cellStyle name="_Blend plan as of 02-august-05_Stock Status Jul 29, 2008 2" xfId="400"/>
    <cellStyle name="_Blend plan as of 02-august-05_Stock Status Jul 29, 2008_Wadi-Qinfa" xfId="401"/>
    <cellStyle name="_Blend plan as of 02-august-05_Usulan Blend Plan BMO 11-03-08" xfId="402"/>
    <cellStyle name="_Blend plan as of 02-august-05_Usulan Blend Plan BMO 11-03-08 2" xfId="403"/>
    <cellStyle name="_Blend plan as of 02-august-05_Usulan Blend Plan BMO 11-03-08_Wadi-Qinfa" xfId="404"/>
    <cellStyle name="_Blend plan as of 02-august-05_Usulan Blend Plan BMO 25-03-08" xfId="405"/>
    <cellStyle name="_Blend plan as of 02-august-05_Usulan Blend Plan BMO 25-03-08 2" xfId="406"/>
    <cellStyle name="_Blend plan as of 02-august-05_Usulan Blend Plan BMO 25-03-08_Wadi-Qinfa" xfId="407"/>
    <cellStyle name="_Blend plan as of 02-august-05_Usulan Blending 27 Mei 2008" xfId="408"/>
    <cellStyle name="_Blend plan as of 02-august-05_Usulan Blending 27 Mei 2008 2" xfId="409"/>
    <cellStyle name="_Blend plan as of 02-august-05_Usulan Blending 27 Mei 2008_Wadi-Qinfa" xfId="410"/>
    <cellStyle name="_Blend plan as of 02-august-05_Usulan Blending Plan 10 jun (2)" xfId="411"/>
    <cellStyle name="_Blend plan as of 02-august-05_Usulan Blending Plan 10 jun (2) 2" xfId="412"/>
    <cellStyle name="_Blend plan as of 02-august-05_Usulan Blending Plan 10 jun (2)_Wadi-Qinfa" xfId="413"/>
    <cellStyle name="_Blend plan as of 02-august-05_Usulan Blending Plan 17 jun (2)" xfId="414"/>
    <cellStyle name="_Blend plan as of 02-august-05_Usulan Blending Plan 17 jun (2) 2" xfId="415"/>
    <cellStyle name="_Blend plan as of 02-august-05_Usulan Blending Plan 17 jun (2)_Wadi-Qinfa" xfId="416"/>
    <cellStyle name="_Blend plan as of 02-august-05_Usulan blending plan 21_05_08" xfId="417"/>
    <cellStyle name="_Blend plan as of 02-august-05_Usulan blending plan 21_05_08 2" xfId="418"/>
    <cellStyle name="_Blend plan as of 02-august-05_Usulan blending plan 21_05_08_Wadi-Qinfa" xfId="419"/>
    <cellStyle name="_Blend plan as of 02-august-05_Usulan blending PlaN 27-05-08" xfId="420"/>
    <cellStyle name="_Blend plan as of 02-august-05_Usulan blending PlaN 27-05-08 2" xfId="421"/>
    <cellStyle name="_Blend plan as of 02-august-05_Usulan blending PlaN 27-05-08_Wadi-Qinfa" xfId="422"/>
    <cellStyle name="_Blend plan as of 02-august-05_Usulan Blending Plan_13 Feb 2008_awl" xfId="423"/>
    <cellStyle name="_Blend plan as of 02-august-05_Usulan Blending Plan_13 Feb 2008_awl 2" xfId="424"/>
    <cellStyle name="_Blend plan as of 02-august-05_Usulan Blending Plan_13 Feb 2008_awl_Wadi-Qinfa" xfId="425"/>
    <cellStyle name="_Blend plan as of 02-august-05_Wadi-Qinfa" xfId="426"/>
    <cellStyle name="_Blend plan as of 02-January-2007" xfId="427"/>
    <cellStyle name="_Blend plan as of 02-January-2007 2" xfId="428"/>
    <cellStyle name="_Blend plan as of 02-January-2007_01  Usulan Blend Plan BMO_220408 (2)" xfId="429"/>
    <cellStyle name="_Blend plan as of 02-January-2007_01  Usulan Blend Plan BMO_220408 (2) 2" xfId="430"/>
    <cellStyle name="_Blend plan as of 02-January-2007_01  Usulan Blend Plan BMO_220408 (2)_Wadi-Qinfa" xfId="431"/>
    <cellStyle name="_Blend plan as of 02-January-2007_Stock Status Jul 29, 2008" xfId="432"/>
    <cellStyle name="_Blend plan as of 02-January-2007_Stock Status Jul 29, 2008 2" xfId="433"/>
    <cellStyle name="_Blend plan as of 02-January-2007_Stock Status Jul 29, 2008_Wadi-Qinfa" xfId="434"/>
    <cellStyle name="_Blend plan as of 02-January-2007_Usulan Blend Plan BMO 11-03-08" xfId="435"/>
    <cellStyle name="_Blend plan as of 02-January-2007_Usulan Blend Plan BMO 11-03-08 2" xfId="436"/>
    <cellStyle name="_Blend plan as of 02-January-2007_Usulan Blend Plan BMO 11-03-08_Wadi-Qinfa" xfId="437"/>
    <cellStyle name="_Blend plan as of 02-January-2007_Usulan Blend Plan BMO 25-03-08" xfId="438"/>
    <cellStyle name="_Blend plan as of 02-January-2007_Usulan Blend Plan BMO 25-03-08 2" xfId="439"/>
    <cellStyle name="_Blend plan as of 02-January-2007_Usulan Blend Plan BMO 25-03-08_Wadi-Qinfa" xfId="440"/>
    <cellStyle name="_Blend plan as of 02-January-2007_Usulan Blending 27 Mei 2008" xfId="441"/>
    <cellStyle name="_Blend plan as of 02-January-2007_Usulan Blending 27 Mei 2008 2" xfId="442"/>
    <cellStyle name="_Blend plan as of 02-January-2007_Usulan Blending 27 Mei 2008_Wadi-Qinfa" xfId="443"/>
    <cellStyle name="_Blend plan as of 02-January-2007_Usulan Blending Plan 10 jun (2)" xfId="444"/>
    <cellStyle name="_Blend plan as of 02-January-2007_Usulan Blending Plan 10 jun (2) 2" xfId="445"/>
    <cellStyle name="_Blend plan as of 02-January-2007_Usulan Blending Plan 10 jun (2)_Wadi-Qinfa" xfId="446"/>
    <cellStyle name="_Blend plan as of 02-January-2007_Usulan Blending Plan 17 jun (2)" xfId="447"/>
    <cellStyle name="_Blend plan as of 02-January-2007_Usulan Blending Plan 17 jun (2) 2" xfId="448"/>
    <cellStyle name="_Blend plan as of 02-January-2007_Usulan Blending Plan 17 jun (2)_Wadi-Qinfa" xfId="449"/>
    <cellStyle name="_Blend plan as of 02-January-2007_Usulan blending plan 21_05_08" xfId="450"/>
    <cellStyle name="_Blend plan as of 02-January-2007_Usulan blending plan 21_05_08 2" xfId="451"/>
    <cellStyle name="_Blend plan as of 02-January-2007_Usulan blending plan 21_05_08_Wadi-Qinfa" xfId="452"/>
    <cellStyle name="_Blend plan as of 02-January-2007_Usulan blending PlaN 27-05-08" xfId="453"/>
    <cellStyle name="_Blend plan as of 02-January-2007_Usulan blending PlaN 27-05-08 2" xfId="454"/>
    <cellStyle name="_Blend plan as of 02-January-2007_Usulan blending PlaN 27-05-08_Wadi-Qinfa" xfId="455"/>
    <cellStyle name="_Blend plan as of 02-January-2007_Usulan Blending Plan_13 Feb 2008_awl" xfId="456"/>
    <cellStyle name="_Blend plan as of 02-January-2007_Usulan Blending Plan_13 Feb 2008_awl 2" xfId="457"/>
    <cellStyle name="_Blend plan as of 02-January-2007_Usulan Blending Plan_13 Feb 2008_awl_Wadi-Qinfa" xfId="458"/>
    <cellStyle name="_Blend plan as of 02-January-2007_Wadi-Qinfa" xfId="459"/>
    <cellStyle name="_Blend plan as of 02-May-06" xfId="460"/>
    <cellStyle name="_Blend plan as of 02-May-06 (2)" xfId="461"/>
    <cellStyle name="_Blend plan as of 02-May-06 (2) 2" xfId="462"/>
    <cellStyle name="_Blend plan as of 02-May-06 (2)_01  Usulan Blend Plan BMO_220408 (2)" xfId="463"/>
    <cellStyle name="_Blend plan as of 02-May-06 (2)_01  Usulan Blend Plan BMO_220408 (2) 2" xfId="464"/>
    <cellStyle name="_Blend plan as of 02-May-06 (2)_01  Usulan Blend Plan BMO_220408 (2)_Wadi-Qinfa" xfId="465"/>
    <cellStyle name="_Blend plan as of 02-May-06 (2)_Stock Status Jul 29, 2008" xfId="466"/>
    <cellStyle name="_Blend plan as of 02-May-06 (2)_Stock Status Jul 29, 2008 2" xfId="467"/>
    <cellStyle name="_Blend plan as of 02-May-06 (2)_Stock Status Jul 29, 2008_Wadi-Qinfa" xfId="468"/>
    <cellStyle name="_Blend plan as of 02-May-06 (2)_Usulan Blend Plan BMO 11-03-08" xfId="469"/>
    <cellStyle name="_Blend plan as of 02-May-06 (2)_Usulan Blend Plan BMO 11-03-08 2" xfId="470"/>
    <cellStyle name="_Blend plan as of 02-May-06 (2)_Usulan Blend Plan BMO 11-03-08_Wadi-Qinfa" xfId="471"/>
    <cellStyle name="_Blend plan as of 02-May-06 (2)_Usulan Blend Plan BMO 25-03-08" xfId="472"/>
    <cellStyle name="_Blend plan as of 02-May-06 (2)_Usulan Blend Plan BMO 25-03-08 2" xfId="473"/>
    <cellStyle name="_Blend plan as of 02-May-06 (2)_Usulan Blend Plan BMO 25-03-08_Wadi-Qinfa" xfId="474"/>
    <cellStyle name="_Blend plan as of 02-May-06 (2)_Usulan Blending 27 Mei 2008" xfId="475"/>
    <cellStyle name="_Blend plan as of 02-May-06 (2)_Usulan Blending 27 Mei 2008 2" xfId="476"/>
    <cellStyle name="_Blend plan as of 02-May-06 (2)_Usulan Blending 27 Mei 2008_Wadi-Qinfa" xfId="477"/>
    <cellStyle name="_Blend plan as of 02-May-06 (2)_Usulan Blending Plan 10 jun (2)" xfId="478"/>
    <cellStyle name="_Blend plan as of 02-May-06 (2)_Usulan Blending Plan 10 jun (2) 2" xfId="479"/>
    <cellStyle name="_Blend plan as of 02-May-06 (2)_Usulan Blending Plan 10 jun (2)_Wadi-Qinfa" xfId="480"/>
    <cellStyle name="_Blend plan as of 02-May-06 (2)_Usulan Blending Plan 17 jun (2)" xfId="481"/>
    <cellStyle name="_Blend plan as of 02-May-06 (2)_Usulan Blending Plan 17 jun (2) 2" xfId="482"/>
    <cellStyle name="_Blend plan as of 02-May-06 (2)_Usulan Blending Plan 17 jun (2)_Wadi-Qinfa" xfId="483"/>
    <cellStyle name="_Blend plan as of 02-May-06 (2)_Usulan blending plan 21_05_08" xfId="484"/>
    <cellStyle name="_Blend plan as of 02-May-06 (2)_Usulan blending plan 21_05_08 2" xfId="485"/>
    <cellStyle name="_Blend plan as of 02-May-06 (2)_Usulan blending plan 21_05_08_Wadi-Qinfa" xfId="486"/>
    <cellStyle name="_Blend plan as of 02-May-06 (2)_Usulan blending PlaN 27-05-08" xfId="487"/>
    <cellStyle name="_Blend plan as of 02-May-06 (2)_Usulan blending PlaN 27-05-08 2" xfId="488"/>
    <cellStyle name="_Blend plan as of 02-May-06 (2)_Usulan blending PlaN 27-05-08_Wadi-Qinfa" xfId="489"/>
    <cellStyle name="_Blend plan as of 02-May-06 (2)_Usulan Blending Plan_13 Feb 2008_awl" xfId="490"/>
    <cellStyle name="_Blend plan as of 02-May-06 (2)_Usulan Blending Plan_13 Feb 2008_awl 2" xfId="491"/>
    <cellStyle name="_Blend plan as of 02-May-06 (2)_Usulan Blending Plan_13 Feb 2008_awl_Wadi-Qinfa" xfId="492"/>
    <cellStyle name="_Blend plan as of 02-May-06 (2)_Wadi-Qinfa" xfId="493"/>
    <cellStyle name="_Blend plan as of 02-May-06 2" xfId="494"/>
    <cellStyle name="_Blend plan as of 02-May-06_01  Usulan Blend Plan BMO_220408 (2)" xfId="495"/>
    <cellStyle name="_Blend plan as of 02-May-06_01  Usulan Blend Plan BMO_220408 (2) 2" xfId="496"/>
    <cellStyle name="_Blend plan as of 02-May-06_01  Usulan Blend Plan BMO_220408 (2)_Wadi-Qinfa" xfId="497"/>
    <cellStyle name="_Blend plan as of 02-May-06_Stock Status Jul 29, 2008" xfId="498"/>
    <cellStyle name="_Blend plan as of 02-May-06_Stock Status Jul 29, 2008 2" xfId="499"/>
    <cellStyle name="_Blend plan as of 02-May-06_Stock Status Jul 29, 2008_Wadi-Qinfa" xfId="500"/>
    <cellStyle name="_Blend plan as of 02-May-06_Usulan Blend Plan BMO 11-03-08" xfId="501"/>
    <cellStyle name="_Blend plan as of 02-May-06_Usulan Blend Plan BMO 11-03-08 2" xfId="502"/>
    <cellStyle name="_Blend plan as of 02-May-06_Usulan Blend Plan BMO 11-03-08_Wadi-Qinfa" xfId="503"/>
    <cellStyle name="_Blend plan as of 02-May-06_Usulan Blend Plan BMO 25-03-08" xfId="504"/>
    <cellStyle name="_Blend plan as of 02-May-06_Usulan Blend Plan BMO 25-03-08 2" xfId="505"/>
    <cellStyle name="_Blend plan as of 02-May-06_Usulan Blend Plan BMO 25-03-08_Wadi-Qinfa" xfId="506"/>
    <cellStyle name="_Blend plan as of 02-May-06_Usulan Blending 27 Mei 2008" xfId="507"/>
    <cellStyle name="_Blend plan as of 02-May-06_Usulan Blending 27 Mei 2008 2" xfId="508"/>
    <cellStyle name="_Blend plan as of 02-May-06_Usulan Blending 27 Mei 2008_Wadi-Qinfa" xfId="509"/>
    <cellStyle name="_Blend plan as of 02-May-06_Usulan Blending Plan 10 jun (2)" xfId="510"/>
    <cellStyle name="_Blend plan as of 02-May-06_Usulan Blending Plan 10 jun (2) 2" xfId="511"/>
    <cellStyle name="_Blend plan as of 02-May-06_Usulan Blending Plan 10 jun (2)_Wadi-Qinfa" xfId="512"/>
    <cellStyle name="_Blend plan as of 02-May-06_Usulan Blending Plan 17 jun (2)" xfId="513"/>
    <cellStyle name="_Blend plan as of 02-May-06_Usulan Blending Plan 17 jun (2) 2" xfId="514"/>
    <cellStyle name="_Blend plan as of 02-May-06_Usulan Blending Plan 17 jun (2)_Wadi-Qinfa" xfId="515"/>
    <cellStyle name="_Blend plan as of 02-May-06_Usulan blending plan 21_05_08" xfId="516"/>
    <cellStyle name="_Blend plan as of 02-May-06_Usulan blending plan 21_05_08 2" xfId="517"/>
    <cellStyle name="_Blend plan as of 02-May-06_Usulan blending plan 21_05_08_Wadi-Qinfa" xfId="518"/>
    <cellStyle name="_Blend plan as of 02-May-06_Usulan blending PlaN 27-05-08" xfId="519"/>
    <cellStyle name="_Blend plan as of 02-May-06_Usulan blending PlaN 27-05-08 2" xfId="520"/>
    <cellStyle name="_Blend plan as of 02-May-06_Usulan blending PlaN 27-05-08_Wadi-Qinfa" xfId="521"/>
    <cellStyle name="_Blend plan as of 02-May-06_Usulan Blending Plan_13 Feb 2008_awl" xfId="522"/>
    <cellStyle name="_Blend plan as of 02-May-06_Usulan Blending Plan_13 Feb 2008_awl 2" xfId="523"/>
    <cellStyle name="_Blend plan as of 02-May-06_Usulan Blending Plan_13 Feb 2008_awl_Wadi-Qinfa" xfId="524"/>
    <cellStyle name="_Blend plan as of 02-May-06_Wadi-Qinfa" xfId="525"/>
    <cellStyle name="_Blend plan as of 02-October-2007" xfId="526"/>
    <cellStyle name="_Blend plan as of 02-October-2007 2" xfId="527"/>
    <cellStyle name="_Blend plan as of 02-October-2007_01  Usulan Blend Plan BMO_220408 (2)" xfId="528"/>
    <cellStyle name="_Blend plan as of 02-October-2007_01  Usulan Blend Plan BMO_220408 (2) 2" xfId="529"/>
    <cellStyle name="_Blend plan as of 02-October-2007_01  Usulan Blend Plan BMO_220408 (2)_Wadi-Qinfa" xfId="530"/>
    <cellStyle name="_Blend plan as of 02-October-2007_Stock Status Jul 29, 2008" xfId="531"/>
    <cellStyle name="_Blend plan as of 02-October-2007_Stock Status Jul 29, 2008 2" xfId="532"/>
    <cellStyle name="_Blend plan as of 02-October-2007_Stock Status Jul 29, 2008_Wadi-Qinfa" xfId="533"/>
    <cellStyle name="_Blend plan as of 02-October-2007_Usulan Blend Plan BMO 11-03-08" xfId="534"/>
    <cellStyle name="_Blend plan as of 02-October-2007_Usulan Blend Plan BMO 11-03-08 2" xfId="535"/>
    <cellStyle name="_Blend plan as of 02-October-2007_Usulan Blend Plan BMO 11-03-08_Wadi-Qinfa" xfId="536"/>
    <cellStyle name="_Blend plan as of 02-October-2007_Usulan Blend Plan BMO 25-03-08" xfId="537"/>
    <cellStyle name="_Blend plan as of 02-October-2007_Usulan Blend Plan BMO 25-03-08 2" xfId="538"/>
    <cellStyle name="_Blend plan as of 02-October-2007_Usulan Blend Plan BMO 25-03-08_Wadi-Qinfa" xfId="539"/>
    <cellStyle name="_Blend plan as of 02-October-2007_Usulan Blending 27 Mei 2008" xfId="540"/>
    <cellStyle name="_Blend plan as of 02-October-2007_Usulan Blending 27 Mei 2008 2" xfId="541"/>
    <cellStyle name="_Blend plan as of 02-October-2007_Usulan Blending 27 Mei 2008_Wadi-Qinfa" xfId="542"/>
    <cellStyle name="_Blend plan as of 02-October-2007_Usulan Blending Plan 10 jun (2)" xfId="543"/>
    <cellStyle name="_Blend plan as of 02-October-2007_Usulan Blending Plan 10 jun (2) 2" xfId="544"/>
    <cellStyle name="_Blend plan as of 02-October-2007_Usulan Blending Plan 10 jun (2)_Wadi-Qinfa" xfId="545"/>
    <cellStyle name="_Blend plan as of 02-October-2007_Usulan Blending Plan 17 jun (2)" xfId="546"/>
    <cellStyle name="_Blend plan as of 02-October-2007_Usulan Blending Plan 17 jun (2) 2" xfId="547"/>
    <cellStyle name="_Blend plan as of 02-October-2007_Usulan Blending Plan 17 jun (2)_Wadi-Qinfa" xfId="548"/>
    <cellStyle name="_Blend plan as of 02-October-2007_Usulan blending plan 21_05_08" xfId="549"/>
    <cellStyle name="_Blend plan as of 02-October-2007_Usulan blending plan 21_05_08 2" xfId="550"/>
    <cellStyle name="_Blend plan as of 02-October-2007_Usulan blending plan 21_05_08_Wadi-Qinfa" xfId="551"/>
    <cellStyle name="_Blend plan as of 02-October-2007_Usulan blending PlaN 27-05-08" xfId="552"/>
    <cellStyle name="_Blend plan as of 02-October-2007_Usulan blending PlaN 27-05-08 2" xfId="553"/>
    <cellStyle name="_Blend plan as of 02-October-2007_Usulan blending PlaN 27-05-08_Wadi-Qinfa" xfId="554"/>
    <cellStyle name="_Blend plan as of 02-October-2007_Usulan Blending Plan_13 Feb 2008_awl" xfId="555"/>
    <cellStyle name="_Blend plan as of 02-October-2007_Usulan Blending Plan_13 Feb 2008_awl 2" xfId="556"/>
    <cellStyle name="_Blend plan as of 02-October-2007_Usulan Blending Plan_13 Feb 2008_awl_Wadi-Qinfa" xfId="557"/>
    <cellStyle name="_Blend plan as of 02-October-2007_Wadi-Qinfa" xfId="558"/>
    <cellStyle name="_Blend plan as of 03-April-2007" xfId="559"/>
    <cellStyle name="_Blend plan as of 03-April-2007 2" xfId="560"/>
    <cellStyle name="_Blend plan as of 03-April-2007_01  Usulan Blend Plan BMO_220408 (2)" xfId="561"/>
    <cellStyle name="_Blend plan as of 03-April-2007_01  Usulan Blend Plan BMO_220408 (2) 2" xfId="562"/>
    <cellStyle name="_Blend plan as of 03-April-2007_01  Usulan Blend Plan BMO_220408 (2)_Wadi-Qinfa" xfId="563"/>
    <cellStyle name="_Blend plan as of 03-April-2007_Stock Status Jul 29, 2008" xfId="564"/>
    <cellStyle name="_Blend plan as of 03-April-2007_Stock Status Jul 29, 2008 2" xfId="565"/>
    <cellStyle name="_Blend plan as of 03-April-2007_Stock Status Jul 29, 2008_Wadi-Qinfa" xfId="566"/>
    <cellStyle name="_Blend plan as of 03-April-2007_Usulan Blend Plan BMO 11-03-08" xfId="567"/>
    <cellStyle name="_Blend plan as of 03-April-2007_Usulan Blend Plan BMO 11-03-08 2" xfId="568"/>
    <cellStyle name="_Blend plan as of 03-April-2007_Usulan Blend Plan BMO 11-03-08_Wadi-Qinfa" xfId="569"/>
    <cellStyle name="_Blend plan as of 03-April-2007_Usulan Blend Plan BMO 25-03-08" xfId="570"/>
    <cellStyle name="_Blend plan as of 03-April-2007_Usulan Blend Plan BMO 25-03-08 2" xfId="571"/>
    <cellStyle name="_Blend plan as of 03-April-2007_Usulan Blend Plan BMO 25-03-08_Wadi-Qinfa" xfId="572"/>
    <cellStyle name="_Blend plan as of 03-April-2007_Usulan Blending 27 Mei 2008" xfId="573"/>
    <cellStyle name="_Blend plan as of 03-April-2007_Usulan Blending 27 Mei 2008 2" xfId="574"/>
    <cellStyle name="_Blend plan as of 03-April-2007_Usulan Blending 27 Mei 2008_Wadi-Qinfa" xfId="575"/>
    <cellStyle name="_Blend plan as of 03-April-2007_Usulan Blending Plan 10 jun (2)" xfId="576"/>
    <cellStyle name="_Blend plan as of 03-April-2007_Usulan Blending Plan 10 jun (2) 2" xfId="577"/>
    <cellStyle name="_Blend plan as of 03-April-2007_Usulan Blending Plan 10 jun (2)_Wadi-Qinfa" xfId="578"/>
    <cellStyle name="_Blend plan as of 03-April-2007_Usulan Blending Plan 17 jun (2)" xfId="579"/>
    <cellStyle name="_Blend plan as of 03-April-2007_Usulan Blending Plan 17 jun (2) 2" xfId="580"/>
    <cellStyle name="_Blend plan as of 03-April-2007_Usulan Blending Plan 17 jun (2)_Wadi-Qinfa" xfId="581"/>
    <cellStyle name="_Blend plan as of 03-April-2007_Usulan blending plan 21_05_08" xfId="582"/>
    <cellStyle name="_Blend plan as of 03-April-2007_Usulan blending plan 21_05_08 2" xfId="583"/>
    <cellStyle name="_Blend plan as of 03-April-2007_Usulan blending plan 21_05_08_Wadi-Qinfa" xfId="584"/>
    <cellStyle name="_Blend plan as of 03-April-2007_Usulan blending PlaN 27-05-08" xfId="585"/>
    <cellStyle name="_Blend plan as of 03-April-2007_Usulan blending PlaN 27-05-08 2" xfId="586"/>
    <cellStyle name="_Blend plan as of 03-April-2007_Usulan blending PlaN 27-05-08_Wadi-Qinfa" xfId="587"/>
    <cellStyle name="_Blend plan as of 03-April-2007_Usulan Blending Plan_13 Feb 2008_awl" xfId="588"/>
    <cellStyle name="_Blend plan as of 03-April-2007_Usulan Blending Plan_13 Feb 2008_awl 2" xfId="589"/>
    <cellStyle name="_Blend plan as of 03-April-2007_Usulan Blending Plan_13 Feb 2008_awl_Wadi-Qinfa" xfId="590"/>
    <cellStyle name="_Blend plan as of 03-April-2007_Wadi-Qinfa" xfId="591"/>
    <cellStyle name="_Blend plan as of 03-January-06" xfId="592"/>
    <cellStyle name="_Blend plan as of 03-January-06 2" xfId="593"/>
    <cellStyle name="_Blend plan as of 03-January-06_01  Usulan Blend Plan BMO_220408 (2)" xfId="594"/>
    <cellStyle name="_Blend plan as of 03-January-06_01  Usulan Blend Plan BMO_220408 (2) 2" xfId="595"/>
    <cellStyle name="_Blend plan as of 03-January-06_01  Usulan Blend Plan BMO_220408 (2)_Wadi-Qinfa" xfId="596"/>
    <cellStyle name="_Blend plan as of 03-January-06_Stock Status Jul 29, 2008" xfId="597"/>
    <cellStyle name="_Blend plan as of 03-January-06_Stock Status Jul 29, 2008 2" xfId="598"/>
    <cellStyle name="_Blend plan as of 03-January-06_Stock Status Jul 29, 2008_Wadi-Qinfa" xfId="599"/>
    <cellStyle name="_Blend plan as of 03-January-06_Usulan Blend Plan BMO 11-03-08" xfId="600"/>
    <cellStyle name="_Blend plan as of 03-January-06_Usulan Blend Plan BMO 11-03-08 2" xfId="601"/>
    <cellStyle name="_Blend plan as of 03-January-06_Usulan Blend Plan BMO 11-03-08_Wadi-Qinfa" xfId="602"/>
    <cellStyle name="_Blend plan as of 03-January-06_Usulan Blend Plan BMO 25-03-08" xfId="603"/>
    <cellStyle name="_Blend plan as of 03-January-06_Usulan Blend Plan BMO 25-03-08 2" xfId="604"/>
    <cellStyle name="_Blend plan as of 03-January-06_Usulan Blend Plan BMO 25-03-08_Wadi-Qinfa" xfId="605"/>
    <cellStyle name="_Blend plan as of 03-January-06_Usulan Blending 27 Mei 2008" xfId="606"/>
    <cellStyle name="_Blend plan as of 03-January-06_Usulan Blending 27 Mei 2008 2" xfId="607"/>
    <cellStyle name="_Blend plan as of 03-January-06_Usulan Blending 27 Mei 2008_Wadi-Qinfa" xfId="608"/>
    <cellStyle name="_Blend plan as of 03-January-06_Usulan Blending Plan 10 jun (2)" xfId="609"/>
    <cellStyle name="_Blend plan as of 03-January-06_Usulan Blending Plan 10 jun (2) 2" xfId="610"/>
    <cellStyle name="_Blend plan as of 03-January-06_Usulan Blending Plan 10 jun (2)_Wadi-Qinfa" xfId="611"/>
    <cellStyle name="_Blend plan as of 03-January-06_Usulan Blending Plan 17 jun (2)" xfId="612"/>
    <cellStyle name="_Blend plan as of 03-January-06_Usulan Blending Plan 17 jun (2) 2" xfId="613"/>
    <cellStyle name="_Blend plan as of 03-January-06_Usulan Blending Plan 17 jun (2)_Wadi-Qinfa" xfId="614"/>
    <cellStyle name="_Blend plan as of 03-January-06_Usulan blending plan 21_05_08" xfId="615"/>
    <cellStyle name="_Blend plan as of 03-January-06_Usulan blending plan 21_05_08 2" xfId="616"/>
    <cellStyle name="_Blend plan as of 03-January-06_Usulan blending plan 21_05_08_Wadi-Qinfa" xfId="617"/>
    <cellStyle name="_Blend plan as of 03-January-06_Usulan blending PlaN 27-05-08" xfId="618"/>
    <cellStyle name="_Blend plan as of 03-January-06_Usulan blending PlaN 27-05-08 2" xfId="619"/>
    <cellStyle name="_Blend plan as of 03-January-06_Usulan blending PlaN 27-05-08_Wadi-Qinfa" xfId="620"/>
    <cellStyle name="_Blend plan as of 03-January-06_Usulan Blending Plan_13 Feb 2008_awl" xfId="621"/>
    <cellStyle name="_Blend plan as of 03-January-06_Usulan Blending Plan_13 Feb 2008_awl 2" xfId="622"/>
    <cellStyle name="_Blend plan as of 03-January-06_Usulan Blending Plan_13 Feb 2008_awl_Wadi-Qinfa" xfId="623"/>
    <cellStyle name="_Blend plan as of 03-January-06_Wadi-Qinfa" xfId="624"/>
    <cellStyle name="_Blend plan as of 03-Juli-2007" xfId="625"/>
    <cellStyle name="_Blend plan as of 03-Juli-2007 2" xfId="626"/>
    <cellStyle name="_Blend plan as of 03-Juli-2007_01  Usulan Blend Plan BMO_220408 (2)" xfId="627"/>
    <cellStyle name="_Blend plan as of 03-Juli-2007_01  Usulan Blend Plan BMO_220408 (2) 2" xfId="628"/>
    <cellStyle name="_Blend plan as of 03-Juli-2007_01  Usulan Blend Plan BMO_220408 (2)_Wadi-Qinfa" xfId="629"/>
    <cellStyle name="_Blend plan as of 03-Juli-2007_Stock Status Jul 29, 2008" xfId="630"/>
    <cellStyle name="_Blend plan as of 03-Juli-2007_Stock Status Jul 29, 2008 2" xfId="631"/>
    <cellStyle name="_Blend plan as of 03-Juli-2007_Stock Status Jul 29, 2008_Wadi-Qinfa" xfId="632"/>
    <cellStyle name="_Blend plan as of 03-Juli-2007_Usulan Blend Plan BMO 11-03-08" xfId="633"/>
    <cellStyle name="_Blend plan as of 03-Juli-2007_Usulan Blend Plan BMO 11-03-08 2" xfId="634"/>
    <cellStyle name="_Blend plan as of 03-Juli-2007_Usulan Blend Plan BMO 11-03-08_Wadi-Qinfa" xfId="635"/>
    <cellStyle name="_Blend plan as of 03-Juli-2007_Usulan Blend Plan BMO 25-03-08" xfId="636"/>
    <cellStyle name="_Blend plan as of 03-Juli-2007_Usulan Blend Plan BMO 25-03-08 2" xfId="637"/>
    <cellStyle name="_Blend plan as of 03-Juli-2007_Usulan Blend Plan BMO 25-03-08_Wadi-Qinfa" xfId="638"/>
    <cellStyle name="_Blend plan as of 03-Juli-2007_Usulan Blending 27 Mei 2008" xfId="639"/>
    <cellStyle name="_Blend plan as of 03-Juli-2007_Usulan Blending 27 Mei 2008 2" xfId="640"/>
    <cellStyle name="_Blend plan as of 03-Juli-2007_Usulan Blending 27 Mei 2008_Wadi-Qinfa" xfId="641"/>
    <cellStyle name="_Blend plan as of 03-Juli-2007_Usulan Blending Plan 10 jun (2)" xfId="642"/>
    <cellStyle name="_Blend plan as of 03-Juli-2007_Usulan Blending Plan 10 jun (2) 2" xfId="643"/>
    <cellStyle name="_Blend plan as of 03-Juli-2007_Usulan Blending Plan 10 jun (2)_Wadi-Qinfa" xfId="644"/>
    <cellStyle name="_Blend plan as of 03-Juli-2007_Usulan Blending Plan 17 jun (2)" xfId="645"/>
    <cellStyle name="_Blend plan as of 03-Juli-2007_Usulan Blending Plan 17 jun (2) 2" xfId="646"/>
    <cellStyle name="_Blend plan as of 03-Juli-2007_Usulan Blending Plan 17 jun (2)_Wadi-Qinfa" xfId="647"/>
    <cellStyle name="_Blend plan as of 03-Juli-2007_Usulan blending plan 21_05_08" xfId="648"/>
    <cellStyle name="_Blend plan as of 03-Juli-2007_Usulan blending plan 21_05_08 2" xfId="649"/>
    <cellStyle name="_Blend plan as of 03-Juli-2007_Usulan blending plan 21_05_08_Wadi-Qinfa" xfId="650"/>
    <cellStyle name="_Blend plan as of 03-Juli-2007_Usulan blending PlaN 27-05-08" xfId="651"/>
    <cellStyle name="_Blend plan as of 03-Juli-2007_Usulan blending PlaN 27-05-08 2" xfId="652"/>
    <cellStyle name="_Blend plan as of 03-Juli-2007_Usulan blending PlaN 27-05-08_Wadi-Qinfa" xfId="653"/>
    <cellStyle name="_Blend plan as of 03-Juli-2007_Usulan Blending Plan_13 Feb 2008_awl" xfId="654"/>
    <cellStyle name="_Blend plan as of 03-Juli-2007_Usulan Blending Plan_13 Feb 2008_awl 2" xfId="655"/>
    <cellStyle name="_Blend plan as of 03-Juli-2007_Usulan Blending Plan_13 Feb 2008_awl_Wadi-Qinfa" xfId="656"/>
    <cellStyle name="_Blend plan as of 03-Juli-2007_Wadi-Qinfa" xfId="657"/>
    <cellStyle name="_Blend plan as of 03-May-05" xfId="658"/>
    <cellStyle name="_Blend plan as of 03-May-05 2" xfId="659"/>
    <cellStyle name="_Blend plan as of 03-May-05_01  Usulan Blend Plan BMO_220408 (2)" xfId="660"/>
    <cellStyle name="_Blend plan as of 03-May-05_01  Usulan Blend Plan BMO_220408 (2) 2" xfId="661"/>
    <cellStyle name="_Blend plan as of 03-May-05_01  Usulan Blend Plan BMO_220408 (2)_Wadi-Qinfa" xfId="662"/>
    <cellStyle name="_Blend plan as of 03-May-05_Stock Status Jul 29, 2008" xfId="663"/>
    <cellStyle name="_Blend plan as of 03-May-05_Stock Status Jul 29, 2008 2" xfId="664"/>
    <cellStyle name="_Blend plan as of 03-May-05_Stock Status Jul 29, 2008_Wadi-Qinfa" xfId="665"/>
    <cellStyle name="_Blend plan as of 03-May-05_Usulan Blend Plan BMO 11-03-08" xfId="666"/>
    <cellStyle name="_Blend plan as of 03-May-05_Usulan Blend Plan BMO 11-03-08 2" xfId="667"/>
    <cellStyle name="_Blend plan as of 03-May-05_Usulan Blend Plan BMO 11-03-08_Wadi-Qinfa" xfId="668"/>
    <cellStyle name="_Blend plan as of 03-May-05_Usulan Blend Plan BMO 25-03-08" xfId="669"/>
    <cellStyle name="_Blend plan as of 03-May-05_Usulan Blend Plan BMO 25-03-08 2" xfId="670"/>
    <cellStyle name="_Blend plan as of 03-May-05_Usulan Blend Plan BMO 25-03-08_Wadi-Qinfa" xfId="671"/>
    <cellStyle name="_Blend plan as of 03-May-05_Usulan Blending 27 Mei 2008" xfId="672"/>
    <cellStyle name="_Blend plan as of 03-May-05_Usulan Blending 27 Mei 2008 2" xfId="673"/>
    <cellStyle name="_Blend plan as of 03-May-05_Usulan Blending 27 Mei 2008_Wadi-Qinfa" xfId="674"/>
    <cellStyle name="_Blend plan as of 03-May-05_Usulan Blending Plan 10 jun (2)" xfId="675"/>
    <cellStyle name="_Blend plan as of 03-May-05_Usulan Blending Plan 10 jun (2) 2" xfId="676"/>
    <cellStyle name="_Blend plan as of 03-May-05_Usulan Blending Plan 10 jun (2)_Wadi-Qinfa" xfId="677"/>
    <cellStyle name="_Blend plan as of 03-May-05_Usulan Blending Plan 17 jun (2)" xfId="678"/>
    <cellStyle name="_Blend plan as of 03-May-05_Usulan Blending Plan 17 jun (2) 2" xfId="679"/>
    <cellStyle name="_Blend plan as of 03-May-05_Usulan Blending Plan 17 jun (2)_Wadi-Qinfa" xfId="680"/>
    <cellStyle name="_Blend plan as of 03-May-05_Usulan blending plan 21_05_08" xfId="681"/>
    <cellStyle name="_Blend plan as of 03-May-05_Usulan blending plan 21_05_08 2" xfId="682"/>
    <cellStyle name="_Blend plan as of 03-May-05_Usulan blending plan 21_05_08_Wadi-Qinfa" xfId="683"/>
    <cellStyle name="_Blend plan as of 03-May-05_Usulan blending PlaN 27-05-08" xfId="684"/>
    <cellStyle name="_Blend plan as of 03-May-05_Usulan blending PlaN 27-05-08 2" xfId="685"/>
    <cellStyle name="_Blend plan as of 03-May-05_Usulan blending PlaN 27-05-08_Wadi-Qinfa" xfId="686"/>
    <cellStyle name="_Blend plan as of 03-May-05_Usulan Blending Plan_13 Feb 2008_awl" xfId="687"/>
    <cellStyle name="_Blend plan as of 03-May-05_Usulan Blending Plan_13 Feb 2008_awl 2" xfId="688"/>
    <cellStyle name="_Blend plan as of 03-May-05_Usulan Blending Plan_13 Feb 2008_awl_Wadi-Qinfa" xfId="689"/>
    <cellStyle name="_Blend plan as of 03-May-05_Wadi-Qinfa" xfId="690"/>
    <cellStyle name="_Blend plan as of 03-October-06" xfId="691"/>
    <cellStyle name="_Blend plan as of 03-October-06 2" xfId="692"/>
    <cellStyle name="_Blend plan as of 03-October-06_01  Usulan Blend Plan BMO_220408 (2)" xfId="693"/>
    <cellStyle name="_Blend plan as of 03-October-06_01  Usulan Blend Plan BMO_220408 (2) 2" xfId="694"/>
    <cellStyle name="_Blend plan as of 03-October-06_01  Usulan Blend Plan BMO_220408 (2)_Wadi-Qinfa" xfId="695"/>
    <cellStyle name="_Blend plan as of 03-October-06_Stock Status Jul 29, 2008" xfId="696"/>
    <cellStyle name="_Blend plan as of 03-October-06_Stock Status Jul 29, 2008 2" xfId="697"/>
    <cellStyle name="_Blend plan as of 03-October-06_Stock Status Jul 29, 2008_Wadi-Qinfa" xfId="698"/>
    <cellStyle name="_Blend plan as of 03-October-06_Usulan Blend Plan BMO 11-03-08" xfId="699"/>
    <cellStyle name="_Blend plan as of 03-October-06_Usulan Blend Plan BMO 11-03-08 2" xfId="700"/>
    <cellStyle name="_Blend plan as of 03-October-06_Usulan Blend Plan BMO 11-03-08_Wadi-Qinfa" xfId="701"/>
    <cellStyle name="_Blend plan as of 03-October-06_Usulan Blend Plan BMO 25-03-08" xfId="702"/>
    <cellStyle name="_Blend plan as of 03-October-06_Usulan Blend Plan BMO 25-03-08 2" xfId="703"/>
    <cellStyle name="_Blend plan as of 03-October-06_Usulan Blend Plan BMO 25-03-08_Wadi-Qinfa" xfId="704"/>
    <cellStyle name="_Blend plan as of 03-October-06_Usulan Blending 27 Mei 2008" xfId="705"/>
    <cellStyle name="_Blend plan as of 03-October-06_Usulan Blending 27 Mei 2008 2" xfId="706"/>
    <cellStyle name="_Blend plan as of 03-October-06_Usulan Blending 27 Mei 2008_Wadi-Qinfa" xfId="707"/>
    <cellStyle name="_Blend plan as of 03-October-06_Usulan Blending Plan 10 jun (2)" xfId="708"/>
    <cellStyle name="_Blend plan as of 03-October-06_Usulan Blending Plan 10 jun (2) 2" xfId="709"/>
    <cellStyle name="_Blend plan as of 03-October-06_Usulan Blending Plan 10 jun (2)_Wadi-Qinfa" xfId="710"/>
    <cellStyle name="_Blend plan as of 03-October-06_Usulan Blending Plan 17 jun (2)" xfId="711"/>
    <cellStyle name="_Blend plan as of 03-October-06_Usulan Blending Plan 17 jun (2) 2" xfId="712"/>
    <cellStyle name="_Blend plan as of 03-October-06_Usulan Blending Plan 17 jun (2)_Wadi-Qinfa" xfId="713"/>
    <cellStyle name="_Blend plan as of 03-October-06_Usulan blending plan 21_05_08" xfId="714"/>
    <cellStyle name="_Blend plan as of 03-October-06_Usulan blending plan 21_05_08 2" xfId="715"/>
    <cellStyle name="_Blend plan as of 03-October-06_Usulan blending plan 21_05_08_Wadi-Qinfa" xfId="716"/>
    <cellStyle name="_Blend plan as of 03-October-06_Usulan blending PlaN 27-05-08" xfId="717"/>
    <cellStyle name="_Blend plan as of 03-October-06_Usulan blending PlaN 27-05-08 2" xfId="718"/>
    <cellStyle name="_Blend plan as of 03-October-06_Usulan blending PlaN 27-05-08_Wadi-Qinfa" xfId="719"/>
    <cellStyle name="_Blend plan as of 03-October-06_Usulan Blending Plan_13 Feb 2008_awl" xfId="720"/>
    <cellStyle name="_Blend plan as of 03-October-06_Usulan Blending Plan_13 Feb 2008_awl 2" xfId="721"/>
    <cellStyle name="_Blend plan as of 03-October-06_Usulan Blending Plan_13 Feb 2008_awl_Wadi-Qinfa" xfId="722"/>
    <cellStyle name="_Blend plan as of 03-October-06_Wadi-Qinfa" xfId="723"/>
    <cellStyle name="_Blend plan as of 04-April-06" xfId="724"/>
    <cellStyle name="_Blend plan as of 04-April-06 2" xfId="725"/>
    <cellStyle name="_Blend plan as of 04-April-06_01  Usulan Blend Plan BMO_220408 (2)" xfId="726"/>
    <cellStyle name="_Blend plan as of 04-April-06_01  Usulan Blend Plan BMO_220408 (2) 2" xfId="727"/>
    <cellStyle name="_Blend plan as of 04-April-06_01  Usulan Blend Plan BMO_220408 (2)_Wadi-Qinfa" xfId="728"/>
    <cellStyle name="_Blend plan as of 04-April-06_Stock Status Jul 29, 2008" xfId="729"/>
    <cellStyle name="_Blend plan as of 04-April-06_Stock Status Jul 29, 2008 2" xfId="730"/>
    <cellStyle name="_Blend plan as of 04-April-06_Stock Status Jul 29, 2008_Wadi-Qinfa" xfId="731"/>
    <cellStyle name="_Blend plan as of 04-April-06_Usulan Blend Plan BMO 11-03-08" xfId="732"/>
    <cellStyle name="_Blend plan as of 04-April-06_Usulan Blend Plan BMO 11-03-08 2" xfId="733"/>
    <cellStyle name="_Blend plan as of 04-April-06_Usulan Blend Plan BMO 11-03-08_Wadi-Qinfa" xfId="734"/>
    <cellStyle name="_Blend plan as of 04-April-06_Usulan Blend Plan BMO 25-03-08" xfId="735"/>
    <cellStyle name="_Blend plan as of 04-April-06_Usulan Blend Plan BMO 25-03-08 2" xfId="736"/>
    <cellStyle name="_Blend plan as of 04-April-06_Usulan Blend Plan BMO 25-03-08_Wadi-Qinfa" xfId="737"/>
    <cellStyle name="_Blend plan as of 04-April-06_Usulan Blending 27 Mei 2008" xfId="738"/>
    <cellStyle name="_Blend plan as of 04-April-06_Usulan Blending 27 Mei 2008 2" xfId="739"/>
    <cellStyle name="_Blend plan as of 04-April-06_Usulan Blending 27 Mei 2008_Wadi-Qinfa" xfId="740"/>
    <cellStyle name="_Blend plan as of 04-April-06_Usulan Blending Plan 10 jun (2)" xfId="741"/>
    <cellStyle name="_Blend plan as of 04-April-06_Usulan Blending Plan 10 jun (2) 2" xfId="742"/>
    <cellStyle name="_Blend plan as of 04-April-06_Usulan Blending Plan 10 jun (2)_Wadi-Qinfa" xfId="743"/>
    <cellStyle name="_Blend plan as of 04-April-06_Usulan Blending Plan 17 jun (2)" xfId="744"/>
    <cellStyle name="_Blend plan as of 04-April-06_Usulan Blending Plan 17 jun (2) 2" xfId="745"/>
    <cellStyle name="_Blend plan as of 04-April-06_Usulan Blending Plan 17 jun (2)_Wadi-Qinfa" xfId="746"/>
    <cellStyle name="_Blend plan as of 04-April-06_Usulan blending plan 21_05_08" xfId="747"/>
    <cellStyle name="_Blend plan as of 04-April-06_Usulan blending plan 21_05_08 2" xfId="748"/>
    <cellStyle name="_Blend plan as of 04-April-06_Usulan blending plan 21_05_08_Wadi-Qinfa" xfId="749"/>
    <cellStyle name="_Blend plan as of 04-April-06_Usulan blending PlaN 27-05-08" xfId="750"/>
    <cellStyle name="_Blend plan as of 04-April-06_Usulan blending PlaN 27-05-08 2" xfId="751"/>
    <cellStyle name="_Blend plan as of 04-April-06_Usulan blending PlaN 27-05-08_Wadi-Qinfa" xfId="752"/>
    <cellStyle name="_Blend plan as of 04-April-06_Usulan Blending Plan_13 Feb 2008_awl" xfId="753"/>
    <cellStyle name="_Blend plan as of 04-April-06_Usulan Blending Plan_13 Feb 2008_awl 2" xfId="754"/>
    <cellStyle name="_Blend plan as of 04-April-06_Usulan Blending Plan_13 Feb 2008_awl_Wadi-Qinfa" xfId="755"/>
    <cellStyle name="_Blend plan as of 04-April-06_Wadi-Qinfa" xfId="756"/>
    <cellStyle name="_Blend plan as of 04-Desember-2007" xfId="757"/>
    <cellStyle name="_Blend plan as of 04-Desember-2007 2" xfId="758"/>
    <cellStyle name="_Blend plan as of 04-Desember-2007_01  Usulan Blend Plan BMO_220408 (2)" xfId="759"/>
    <cellStyle name="_Blend plan as of 04-Desember-2007_01  Usulan Blend Plan BMO_220408 (2) 2" xfId="760"/>
    <cellStyle name="_Blend plan as of 04-Desember-2007_01  Usulan Blend Plan BMO_220408 (2)_Wadi-Qinfa" xfId="761"/>
    <cellStyle name="_Blend plan as of 04-Desember-2007_Stock Status Jul 29, 2008" xfId="762"/>
    <cellStyle name="_Blend plan as of 04-Desember-2007_Stock Status Jul 29, 2008 2" xfId="763"/>
    <cellStyle name="_Blend plan as of 04-Desember-2007_Stock Status Jul 29, 2008_Wadi-Qinfa" xfId="764"/>
    <cellStyle name="_Blend plan as of 04-Desember-2007_Usulan Blend Plan BMO 11-03-08" xfId="765"/>
    <cellStyle name="_Blend plan as of 04-Desember-2007_Usulan Blend Plan BMO 11-03-08 2" xfId="766"/>
    <cellStyle name="_Blend plan as of 04-Desember-2007_Usulan Blend Plan BMO 11-03-08_Wadi-Qinfa" xfId="767"/>
    <cellStyle name="_Blend plan as of 04-Desember-2007_Usulan Blend Plan BMO 25-03-08" xfId="768"/>
    <cellStyle name="_Blend plan as of 04-Desember-2007_Usulan Blend Plan BMO 25-03-08 2" xfId="769"/>
    <cellStyle name="_Blend plan as of 04-Desember-2007_Usulan Blend Plan BMO 25-03-08_Wadi-Qinfa" xfId="770"/>
    <cellStyle name="_Blend plan as of 04-Desember-2007_Usulan Blending 27 Mei 2008" xfId="771"/>
    <cellStyle name="_Blend plan as of 04-Desember-2007_Usulan Blending 27 Mei 2008 2" xfId="772"/>
    <cellStyle name="_Blend plan as of 04-Desember-2007_Usulan Blending 27 Mei 2008_Wadi-Qinfa" xfId="773"/>
    <cellStyle name="_Blend plan as of 04-Desember-2007_Usulan Blending Plan 10 jun (2)" xfId="774"/>
    <cellStyle name="_Blend plan as of 04-Desember-2007_Usulan Blending Plan 10 jun (2) 2" xfId="775"/>
    <cellStyle name="_Blend plan as of 04-Desember-2007_Usulan Blending Plan 10 jun (2)_Wadi-Qinfa" xfId="776"/>
    <cellStyle name="_Blend plan as of 04-Desember-2007_Usulan Blending Plan 17 jun (2)" xfId="777"/>
    <cellStyle name="_Blend plan as of 04-Desember-2007_Usulan Blending Plan 17 jun (2) 2" xfId="778"/>
    <cellStyle name="_Blend plan as of 04-Desember-2007_Usulan Blending Plan 17 jun (2)_Wadi-Qinfa" xfId="779"/>
    <cellStyle name="_Blend plan as of 04-Desember-2007_Usulan blending plan 21_05_08" xfId="780"/>
    <cellStyle name="_Blend plan as of 04-Desember-2007_Usulan blending plan 21_05_08 2" xfId="781"/>
    <cellStyle name="_Blend plan as of 04-Desember-2007_Usulan blending plan 21_05_08_Wadi-Qinfa" xfId="782"/>
    <cellStyle name="_Blend plan as of 04-Desember-2007_Usulan blending PlaN 27-05-08" xfId="783"/>
    <cellStyle name="_Blend plan as of 04-Desember-2007_Usulan blending PlaN 27-05-08 2" xfId="784"/>
    <cellStyle name="_Blend plan as of 04-Desember-2007_Usulan blending PlaN 27-05-08_Wadi-Qinfa" xfId="785"/>
    <cellStyle name="_Blend plan as of 04-Desember-2007_Usulan Blending Plan_13 Feb 2008_awl" xfId="786"/>
    <cellStyle name="_Blend plan as of 04-Desember-2007_Usulan Blending Plan_13 Feb 2008_awl 2" xfId="787"/>
    <cellStyle name="_Blend plan as of 04-Desember-2007_Usulan Blending Plan_13 Feb 2008_awl_Wadi-Qinfa" xfId="788"/>
    <cellStyle name="_Blend plan as of 04-Desember-2007_Wadi-Qinfa" xfId="789"/>
    <cellStyle name="_Blend plan as of 04-Jan-05" xfId="790"/>
    <cellStyle name="_Blend plan as of 04-Jan-05 2" xfId="791"/>
    <cellStyle name="_Blend plan as of 04-Jan-05_01  Usulan Blend Plan BMO_220408 (2)" xfId="792"/>
    <cellStyle name="_Blend plan as of 04-Jan-05_01  Usulan Blend Plan BMO_220408 (2) 2" xfId="793"/>
    <cellStyle name="_Blend plan as of 04-Jan-05_01  Usulan Blend Plan BMO_220408 (2)_Wadi-Qinfa" xfId="794"/>
    <cellStyle name="_Blend plan as of 04-Jan-05_Stock Status Jul 29, 2008" xfId="795"/>
    <cellStyle name="_Blend plan as of 04-Jan-05_Stock Status Jul 29, 2008 2" xfId="796"/>
    <cellStyle name="_Blend plan as of 04-Jan-05_Stock Status Jul 29, 2008_Wadi-Qinfa" xfId="797"/>
    <cellStyle name="_Blend plan as of 04-Jan-05_Usulan Blend Plan BMO 11-03-08" xfId="798"/>
    <cellStyle name="_Blend plan as of 04-Jan-05_Usulan Blend Plan BMO 11-03-08 2" xfId="799"/>
    <cellStyle name="_Blend plan as of 04-Jan-05_Usulan Blend Plan BMO 11-03-08_Wadi-Qinfa" xfId="800"/>
    <cellStyle name="_Blend plan as of 04-Jan-05_Usulan Blend Plan BMO 25-03-08" xfId="801"/>
    <cellStyle name="_Blend plan as of 04-Jan-05_Usulan Blend Plan BMO 25-03-08 2" xfId="802"/>
    <cellStyle name="_Blend plan as of 04-Jan-05_Usulan Blend Plan BMO 25-03-08_Wadi-Qinfa" xfId="803"/>
    <cellStyle name="_Blend plan as of 04-Jan-05_Usulan Blending 27 Mei 2008" xfId="804"/>
    <cellStyle name="_Blend plan as of 04-Jan-05_Usulan Blending 27 Mei 2008 2" xfId="805"/>
    <cellStyle name="_Blend plan as of 04-Jan-05_Usulan Blending 27 Mei 2008_Wadi-Qinfa" xfId="806"/>
    <cellStyle name="_Blend plan as of 04-Jan-05_Usulan Blending Plan 10 jun (2)" xfId="807"/>
    <cellStyle name="_Blend plan as of 04-Jan-05_Usulan Blending Plan 10 jun (2) 2" xfId="808"/>
    <cellStyle name="_Blend plan as of 04-Jan-05_Usulan Blending Plan 10 jun (2)_Wadi-Qinfa" xfId="809"/>
    <cellStyle name="_Blend plan as of 04-Jan-05_Usulan Blending Plan 17 jun (2)" xfId="810"/>
    <cellStyle name="_Blend plan as of 04-Jan-05_Usulan Blending Plan 17 jun (2) 2" xfId="811"/>
    <cellStyle name="_Blend plan as of 04-Jan-05_Usulan Blending Plan 17 jun (2)_Wadi-Qinfa" xfId="812"/>
    <cellStyle name="_Blend plan as of 04-Jan-05_Usulan blending plan 21_05_08" xfId="813"/>
    <cellStyle name="_Blend plan as of 04-Jan-05_Usulan blending plan 21_05_08 2" xfId="814"/>
    <cellStyle name="_Blend plan as of 04-Jan-05_Usulan blending plan 21_05_08_Wadi-Qinfa" xfId="815"/>
    <cellStyle name="_Blend plan as of 04-Jan-05_Usulan blending PlaN 27-05-08" xfId="816"/>
    <cellStyle name="_Blend plan as of 04-Jan-05_Usulan blending PlaN 27-05-08 2" xfId="817"/>
    <cellStyle name="_Blend plan as of 04-Jan-05_Usulan blending PlaN 27-05-08_Wadi-Qinfa" xfId="818"/>
    <cellStyle name="_Blend plan as of 04-Jan-05_Usulan Blending Plan_13 Feb 2008_awl" xfId="819"/>
    <cellStyle name="_Blend plan as of 04-Jan-05_Usulan Blending Plan_13 Feb 2008_awl 2" xfId="820"/>
    <cellStyle name="_Blend plan as of 04-Jan-05_Usulan Blending Plan_13 Feb 2008_awl_Wadi-Qinfa" xfId="821"/>
    <cellStyle name="_Blend plan as of 04-Jan-05_Wadi-Qinfa" xfId="822"/>
    <cellStyle name="_Blend plan as of 04-July-06" xfId="823"/>
    <cellStyle name="_Blend plan as of 04-July-06 2" xfId="824"/>
    <cellStyle name="_Blend plan as of 04-July-06_01  Usulan Blend Plan BMO_220408 (2)" xfId="825"/>
    <cellStyle name="_Blend plan as of 04-July-06_01  Usulan Blend Plan BMO_220408 (2) 2" xfId="826"/>
    <cellStyle name="_Blend plan as of 04-July-06_01  Usulan Blend Plan BMO_220408 (2)_Wadi-Qinfa" xfId="827"/>
    <cellStyle name="_Blend plan as of 04-July-06_Stock Status Jul 29, 2008" xfId="828"/>
    <cellStyle name="_Blend plan as of 04-July-06_Stock Status Jul 29, 2008 2" xfId="829"/>
    <cellStyle name="_Blend plan as of 04-July-06_Stock Status Jul 29, 2008_Wadi-Qinfa" xfId="830"/>
    <cellStyle name="_Blend plan as of 04-July-06_Usulan Blend Plan BMO 11-03-08" xfId="831"/>
    <cellStyle name="_Blend plan as of 04-July-06_Usulan Blend Plan BMO 11-03-08 2" xfId="832"/>
    <cellStyle name="_Blend plan as of 04-July-06_Usulan Blend Plan BMO 11-03-08_Wadi-Qinfa" xfId="833"/>
    <cellStyle name="_Blend plan as of 04-July-06_Usulan Blend Plan BMO 25-03-08" xfId="834"/>
    <cellStyle name="_Blend plan as of 04-July-06_Usulan Blend Plan BMO 25-03-08 2" xfId="835"/>
    <cellStyle name="_Blend plan as of 04-July-06_Usulan Blend Plan BMO 25-03-08_Wadi-Qinfa" xfId="836"/>
    <cellStyle name="_Blend plan as of 04-July-06_Usulan Blending 27 Mei 2008" xfId="837"/>
    <cellStyle name="_Blend plan as of 04-July-06_Usulan Blending 27 Mei 2008 2" xfId="838"/>
    <cellStyle name="_Blend plan as of 04-July-06_Usulan Blending 27 Mei 2008_Wadi-Qinfa" xfId="839"/>
    <cellStyle name="_Blend plan as of 04-July-06_Usulan Blending Plan 10 jun (2)" xfId="840"/>
    <cellStyle name="_Blend plan as of 04-July-06_Usulan Blending Plan 10 jun (2) 2" xfId="841"/>
    <cellStyle name="_Blend plan as of 04-July-06_Usulan Blending Plan 10 jun (2)_Wadi-Qinfa" xfId="842"/>
    <cellStyle name="_Blend plan as of 04-July-06_Usulan Blending Plan 17 jun (2)" xfId="843"/>
    <cellStyle name="_Blend plan as of 04-July-06_Usulan Blending Plan 17 jun (2) 2" xfId="844"/>
    <cellStyle name="_Blend plan as of 04-July-06_Usulan Blending Plan 17 jun (2)_Wadi-Qinfa" xfId="845"/>
    <cellStyle name="_Blend plan as of 04-July-06_Usulan blending plan 21_05_08" xfId="846"/>
    <cellStyle name="_Blend plan as of 04-July-06_Usulan blending plan 21_05_08 2" xfId="847"/>
    <cellStyle name="_Blend plan as of 04-July-06_Usulan blending plan 21_05_08_Wadi-Qinfa" xfId="848"/>
    <cellStyle name="_Blend plan as of 04-July-06_Usulan blending PlaN 27-05-08" xfId="849"/>
    <cellStyle name="_Blend plan as of 04-July-06_Usulan blending PlaN 27-05-08 2" xfId="850"/>
    <cellStyle name="_Blend plan as of 04-July-06_Usulan blending PlaN 27-05-08_Wadi-Qinfa" xfId="851"/>
    <cellStyle name="_Blend plan as of 04-July-06_Usulan Blending Plan_13 Feb 2008_awl" xfId="852"/>
    <cellStyle name="_Blend plan as of 04-July-06_Usulan Blending Plan_13 Feb 2008_awl 2" xfId="853"/>
    <cellStyle name="_Blend plan as of 04-July-06_Usulan Blending Plan_13 Feb 2008_awl_Wadi-Qinfa" xfId="854"/>
    <cellStyle name="_Blend plan as of 04-July-06_Wadi-Qinfa" xfId="855"/>
    <cellStyle name="_Blend plan as of 04-October-05" xfId="856"/>
    <cellStyle name="_Blend plan as of 04-October-05 2" xfId="857"/>
    <cellStyle name="_Blend plan as of 04-October-05_01  Usulan Blend Plan BMO_220408 (2)" xfId="858"/>
    <cellStyle name="_Blend plan as of 04-October-05_01  Usulan Blend Plan BMO_220408 (2) 2" xfId="859"/>
    <cellStyle name="_Blend plan as of 04-October-05_01  Usulan Blend Plan BMO_220408 (2)_Wadi-Qinfa" xfId="860"/>
    <cellStyle name="_Blend plan as of 04-October-05_Stock Status Jul 29, 2008" xfId="861"/>
    <cellStyle name="_Blend plan as of 04-October-05_Stock Status Jul 29, 2008 2" xfId="862"/>
    <cellStyle name="_Blend plan as of 04-October-05_Stock Status Jul 29, 2008_Wadi-Qinfa" xfId="863"/>
    <cellStyle name="_Blend plan as of 04-October-05_Usulan Blend Plan BMO 11-03-08" xfId="864"/>
    <cellStyle name="_Blend plan as of 04-October-05_Usulan Blend Plan BMO 11-03-08 2" xfId="865"/>
    <cellStyle name="_Blend plan as of 04-October-05_Usulan Blend Plan BMO 11-03-08_Wadi-Qinfa" xfId="866"/>
    <cellStyle name="_Blend plan as of 04-October-05_Usulan Blend Plan BMO 25-03-08" xfId="867"/>
    <cellStyle name="_Blend plan as of 04-October-05_Usulan Blend Plan BMO 25-03-08 2" xfId="868"/>
    <cellStyle name="_Blend plan as of 04-October-05_Usulan Blend Plan BMO 25-03-08_Wadi-Qinfa" xfId="869"/>
    <cellStyle name="_Blend plan as of 04-October-05_Usulan Blending 27 Mei 2008" xfId="870"/>
    <cellStyle name="_Blend plan as of 04-October-05_Usulan Blending 27 Mei 2008 2" xfId="871"/>
    <cellStyle name="_Blend plan as of 04-October-05_Usulan Blending 27 Mei 2008_Wadi-Qinfa" xfId="872"/>
    <cellStyle name="_Blend plan as of 04-October-05_Usulan Blending Plan 10 jun (2)" xfId="873"/>
    <cellStyle name="_Blend plan as of 04-October-05_Usulan Blending Plan 10 jun (2) 2" xfId="874"/>
    <cellStyle name="_Blend plan as of 04-October-05_Usulan Blending Plan 10 jun (2)_Wadi-Qinfa" xfId="875"/>
    <cellStyle name="_Blend plan as of 04-October-05_Usulan Blending Plan 17 jun (2)" xfId="876"/>
    <cellStyle name="_Blend plan as of 04-October-05_Usulan Blending Plan 17 jun (2) 2" xfId="877"/>
    <cellStyle name="_Blend plan as of 04-October-05_Usulan Blending Plan 17 jun (2)_Wadi-Qinfa" xfId="878"/>
    <cellStyle name="_Blend plan as of 04-October-05_Usulan blending plan 21_05_08" xfId="879"/>
    <cellStyle name="_Blend plan as of 04-October-05_Usulan blending plan 21_05_08 2" xfId="880"/>
    <cellStyle name="_Blend plan as of 04-October-05_Usulan blending plan 21_05_08_Wadi-Qinfa" xfId="881"/>
    <cellStyle name="_Blend plan as of 04-October-05_Usulan blending PlaN 27-05-08" xfId="882"/>
    <cellStyle name="_Blend plan as of 04-October-05_Usulan blending PlaN 27-05-08 2" xfId="883"/>
    <cellStyle name="_Blend plan as of 04-October-05_Usulan blending PlaN 27-05-08_Wadi-Qinfa" xfId="884"/>
    <cellStyle name="_Blend plan as of 04-October-05_Usulan Blending Plan_13 Feb 2008_awl" xfId="885"/>
    <cellStyle name="_Blend plan as of 04-October-05_Usulan Blending Plan_13 Feb 2008_awl 2" xfId="886"/>
    <cellStyle name="_Blend plan as of 04-October-05_Usulan Blending Plan_13 Feb 2008_awl_Wadi-Qinfa" xfId="887"/>
    <cellStyle name="_Blend plan as of 04-October-05_Wadi-Qinfa" xfId="888"/>
    <cellStyle name="_Blend plan as of 05-Desember-06" xfId="889"/>
    <cellStyle name="_Blend plan as of 05-Desember-06 2" xfId="890"/>
    <cellStyle name="_Blend plan as of 05-Desember-06_01  Usulan Blend Plan BMO_220408 (2)" xfId="891"/>
    <cellStyle name="_Blend plan as of 05-Desember-06_01  Usulan Blend Plan BMO_220408 (2) 2" xfId="892"/>
    <cellStyle name="_Blend plan as of 05-Desember-06_01  Usulan Blend Plan BMO_220408 (2)_Wadi-Qinfa" xfId="893"/>
    <cellStyle name="_Blend plan as of 05-Desember-06_Stock Status Jul 29, 2008" xfId="894"/>
    <cellStyle name="_Blend plan as of 05-Desember-06_Stock Status Jul 29, 2008 2" xfId="895"/>
    <cellStyle name="_Blend plan as of 05-Desember-06_Stock Status Jul 29, 2008_Wadi-Qinfa" xfId="896"/>
    <cellStyle name="_Blend plan as of 05-Desember-06_Usulan Blend Plan BMO 11-03-08" xfId="897"/>
    <cellStyle name="_Blend plan as of 05-Desember-06_Usulan Blend Plan BMO 11-03-08 2" xfId="898"/>
    <cellStyle name="_Blend plan as of 05-Desember-06_Usulan Blend Plan BMO 11-03-08_Wadi-Qinfa" xfId="899"/>
    <cellStyle name="_Blend plan as of 05-Desember-06_Usulan Blend Plan BMO 25-03-08" xfId="900"/>
    <cellStyle name="_Blend plan as of 05-Desember-06_Usulan Blend Plan BMO 25-03-08 2" xfId="901"/>
    <cellStyle name="_Blend plan as of 05-Desember-06_Usulan Blend Plan BMO 25-03-08_Wadi-Qinfa" xfId="902"/>
    <cellStyle name="_Blend plan as of 05-Desember-06_Usulan Blending 27 Mei 2008" xfId="903"/>
    <cellStyle name="_Blend plan as of 05-Desember-06_Usulan Blending 27 Mei 2008 2" xfId="904"/>
    <cellStyle name="_Blend plan as of 05-Desember-06_Usulan Blending 27 Mei 2008_Wadi-Qinfa" xfId="905"/>
    <cellStyle name="_Blend plan as of 05-Desember-06_Usulan Blending Plan 10 jun (2)" xfId="906"/>
    <cellStyle name="_Blend plan as of 05-Desember-06_Usulan Blending Plan 10 jun (2) 2" xfId="907"/>
    <cellStyle name="_Blend plan as of 05-Desember-06_Usulan Blending Plan 10 jun (2)_Wadi-Qinfa" xfId="908"/>
    <cellStyle name="_Blend plan as of 05-Desember-06_Usulan Blending Plan 17 jun (2)" xfId="909"/>
    <cellStyle name="_Blend plan as of 05-Desember-06_Usulan Blending Plan 17 jun (2) 2" xfId="910"/>
    <cellStyle name="_Blend plan as of 05-Desember-06_Usulan Blending Plan 17 jun (2)_Wadi-Qinfa" xfId="911"/>
    <cellStyle name="_Blend plan as of 05-Desember-06_Usulan blending plan 21_05_08" xfId="912"/>
    <cellStyle name="_Blend plan as of 05-Desember-06_Usulan blending plan 21_05_08 2" xfId="913"/>
    <cellStyle name="_Blend plan as of 05-Desember-06_Usulan blending plan 21_05_08_Wadi-Qinfa" xfId="914"/>
    <cellStyle name="_Blend plan as of 05-Desember-06_Usulan blending PlaN 27-05-08" xfId="915"/>
    <cellStyle name="_Blend plan as of 05-Desember-06_Usulan blending PlaN 27-05-08 2" xfId="916"/>
    <cellStyle name="_Blend plan as of 05-Desember-06_Usulan blending PlaN 27-05-08_Wadi-Qinfa" xfId="917"/>
    <cellStyle name="_Blend plan as of 05-Desember-06_Usulan Blending Plan_13 Feb 2008_awl" xfId="918"/>
    <cellStyle name="_Blend plan as of 05-Desember-06_Usulan Blending Plan_13 Feb 2008_awl 2" xfId="919"/>
    <cellStyle name="_Blend plan as of 05-Desember-06_Usulan Blending Plan_13 Feb 2008_awl_Wadi-Qinfa" xfId="920"/>
    <cellStyle name="_Blend plan as of 05-Desember-06_Wadi-Qinfa" xfId="921"/>
    <cellStyle name="_Blend plan as of 05-Juli-05fix" xfId="922"/>
    <cellStyle name="_Blend plan as of 05-Juli-05fix 2" xfId="923"/>
    <cellStyle name="_Blend plan as of 05-Juli-05fix_01  Usulan Blend Plan BMO_220408 (2)" xfId="924"/>
    <cellStyle name="_Blend plan as of 05-Juli-05fix_01  Usulan Blend Plan BMO_220408 (2) 2" xfId="925"/>
    <cellStyle name="_Blend plan as of 05-Juli-05fix_01  Usulan Blend Plan BMO_220408 (2)_Wadi-Qinfa" xfId="926"/>
    <cellStyle name="_Blend plan as of 05-Juli-05fix_Stock Status Jul 29, 2008" xfId="927"/>
    <cellStyle name="_Blend plan as of 05-Juli-05fix_Stock Status Jul 29, 2008 2" xfId="928"/>
    <cellStyle name="_Blend plan as of 05-Juli-05fix_Stock Status Jul 29, 2008_Wadi-Qinfa" xfId="929"/>
    <cellStyle name="_Blend plan as of 05-Juli-05fix_Usulan Blend Plan BMO 11-03-08" xfId="930"/>
    <cellStyle name="_Blend plan as of 05-Juli-05fix_Usulan Blend Plan BMO 11-03-08 2" xfId="931"/>
    <cellStyle name="_Blend plan as of 05-Juli-05fix_Usulan Blend Plan BMO 11-03-08_Wadi-Qinfa" xfId="932"/>
    <cellStyle name="_Blend plan as of 05-Juli-05fix_Usulan Blend Plan BMO 25-03-08" xfId="933"/>
    <cellStyle name="_Blend plan as of 05-Juli-05fix_Usulan Blend Plan BMO 25-03-08 2" xfId="934"/>
    <cellStyle name="_Blend plan as of 05-Juli-05fix_Usulan Blend Plan BMO 25-03-08_Wadi-Qinfa" xfId="935"/>
    <cellStyle name="_Blend plan as of 05-Juli-05fix_Usulan Blending 27 Mei 2008" xfId="936"/>
    <cellStyle name="_Blend plan as of 05-Juli-05fix_Usulan Blending 27 Mei 2008 2" xfId="937"/>
    <cellStyle name="_Blend plan as of 05-Juli-05fix_Usulan Blending 27 Mei 2008_Wadi-Qinfa" xfId="938"/>
    <cellStyle name="_Blend plan as of 05-Juli-05fix_Usulan Blending Plan 10 jun (2)" xfId="939"/>
    <cellStyle name="_Blend plan as of 05-Juli-05fix_Usulan Blending Plan 10 jun (2) 2" xfId="940"/>
    <cellStyle name="_Blend plan as of 05-Juli-05fix_Usulan Blending Plan 10 jun (2)_Wadi-Qinfa" xfId="941"/>
    <cellStyle name="_Blend plan as of 05-Juli-05fix_Usulan Blending Plan 17 jun (2)" xfId="942"/>
    <cellStyle name="_Blend plan as of 05-Juli-05fix_Usulan Blending Plan 17 jun (2) 2" xfId="943"/>
    <cellStyle name="_Blend plan as of 05-Juli-05fix_Usulan Blending Plan 17 jun (2)_Wadi-Qinfa" xfId="944"/>
    <cellStyle name="_Blend plan as of 05-Juli-05fix_Usulan blending plan 21_05_08" xfId="945"/>
    <cellStyle name="_Blend plan as of 05-Juli-05fix_Usulan blending plan 21_05_08 2" xfId="946"/>
    <cellStyle name="_Blend plan as of 05-Juli-05fix_Usulan blending plan 21_05_08_Wadi-Qinfa" xfId="947"/>
    <cellStyle name="_Blend plan as of 05-Juli-05fix_Usulan blending PlaN 27-05-08" xfId="948"/>
    <cellStyle name="_Blend plan as of 05-Juli-05fix_Usulan blending PlaN 27-05-08 2" xfId="949"/>
    <cellStyle name="_Blend plan as of 05-Juli-05fix_Usulan blending PlaN 27-05-08_Wadi-Qinfa" xfId="950"/>
    <cellStyle name="_Blend plan as of 05-Juli-05fix_Usulan Blending Plan_13 Feb 2008_awl" xfId="951"/>
    <cellStyle name="_Blend plan as of 05-Juli-05fix_Usulan Blending Plan_13 Feb 2008_awl 2" xfId="952"/>
    <cellStyle name="_Blend plan as of 05-Juli-05fix_Usulan Blending Plan_13 Feb 2008_awl_Wadi-Qinfa" xfId="953"/>
    <cellStyle name="_Blend plan as of 05-Juli-05fix_Wadi-Qinfa" xfId="954"/>
    <cellStyle name="_Blend plan as of 05-Juni-20071" xfId="955"/>
    <cellStyle name="_Blend plan as of 05-Juni-20071 2" xfId="956"/>
    <cellStyle name="_Blend plan as of 05-Juni-20071_01  Usulan Blend Plan BMO_220408 (2)" xfId="957"/>
    <cellStyle name="_Blend plan as of 05-Juni-20071_01  Usulan Blend Plan BMO_220408 (2) 2" xfId="958"/>
    <cellStyle name="_Blend plan as of 05-Juni-20071_01  Usulan Blend Plan BMO_220408 (2)_Wadi-Qinfa" xfId="959"/>
    <cellStyle name="_Blend plan as of 05-Juni-20071_Stock Status Jul 29, 2008" xfId="960"/>
    <cellStyle name="_Blend plan as of 05-Juni-20071_Stock Status Jul 29, 2008 2" xfId="961"/>
    <cellStyle name="_Blend plan as of 05-Juni-20071_Stock Status Jul 29, 2008_Wadi-Qinfa" xfId="962"/>
    <cellStyle name="_Blend plan as of 05-Juni-20071_Usulan Blend Plan BMO 11-03-08" xfId="963"/>
    <cellStyle name="_Blend plan as of 05-Juni-20071_Usulan Blend Plan BMO 11-03-08 2" xfId="964"/>
    <cellStyle name="_Blend plan as of 05-Juni-20071_Usulan Blend Plan BMO 11-03-08_Wadi-Qinfa" xfId="965"/>
    <cellStyle name="_Blend plan as of 05-Juni-20071_Usulan Blend Plan BMO 25-03-08" xfId="966"/>
    <cellStyle name="_Blend plan as of 05-Juni-20071_Usulan Blend Plan BMO 25-03-08 2" xfId="967"/>
    <cellStyle name="_Blend plan as of 05-Juni-20071_Usulan Blend Plan BMO 25-03-08_Wadi-Qinfa" xfId="968"/>
    <cellStyle name="_Blend plan as of 05-Juni-20071_Usulan Blending 27 Mei 2008" xfId="969"/>
    <cellStyle name="_Blend plan as of 05-Juni-20071_Usulan Blending 27 Mei 2008 2" xfId="970"/>
    <cellStyle name="_Blend plan as of 05-Juni-20071_Usulan Blending 27 Mei 2008_Wadi-Qinfa" xfId="971"/>
    <cellStyle name="_Blend plan as of 05-Juni-20071_Usulan Blending Plan 10 jun (2)" xfId="972"/>
    <cellStyle name="_Blend plan as of 05-Juni-20071_Usulan Blending Plan 10 jun (2) 2" xfId="973"/>
    <cellStyle name="_Blend plan as of 05-Juni-20071_Usulan Blending Plan 10 jun (2)_Wadi-Qinfa" xfId="974"/>
    <cellStyle name="_Blend plan as of 05-Juni-20071_Usulan Blending Plan 17 jun (2)" xfId="975"/>
    <cellStyle name="_Blend plan as of 05-Juni-20071_Usulan Blending Plan 17 jun (2) 2" xfId="976"/>
    <cellStyle name="_Blend plan as of 05-Juni-20071_Usulan Blending Plan 17 jun (2)_Wadi-Qinfa" xfId="977"/>
    <cellStyle name="_Blend plan as of 05-Juni-20071_Usulan blending plan 21_05_08" xfId="978"/>
    <cellStyle name="_Blend plan as of 05-Juni-20071_Usulan blending plan 21_05_08 2" xfId="979"/>
    <cellStyle name="_Blend plan as of 05-Juni-20071_Usulan blending plan 21_05_08_Wadi-Qinfa" xfId="980"/>
    <cellStyle name="_Blend plan as of 05-Juni-20071_Usulan blending PlaN 27-05-08" xfId="981"/>
    <cellStyle name="_Blend plan as of 05-Juni-20071_Usulan blending PlaN 27-05-08 2" xfId="982"/>
    <cellStyle name="_Blend plan as of 05-Juni-20071_Usulan blending PlaN 27-05-08_Wadi-Qinfa" xfId="983"/>
    <cellStyle name="_Blend plan as of 05-Juni-20071_Usulan Blending Plan_13 Feb 2008_awl" xfId="984"/>
    <cellStyle name="_Blend plan as of 05-Juni-20071_Usulan Blending Plan_13 Feb 2008_awl 2" xfId="985"/>
    <cellStyle name="_Blend plan as of 05-Juni-20071_Usulan Blending Plan_13 Feb 2008_awl_Wadi-Qinfa" xfId="986"/>
    <cellStyle name="_Blend plan as of 05-Juni-20071_Wadi-Qinfa" xfId="987"/>
    <cellStyle name="_Blend plan as of 05-September-06" xfId="988"/>
    <cellStyle name="_Blend plan as of 05-September-06 2" xfId="989"/>
    <cellStyle name="_Blend plan as of 05-September-06_01  Usulan Blend Plan BMO_220408 (2)" xfId="990"/>
    <cellStyle name="_Blend plan as of 05-September-06_01  Usulan Blend Plan BMO_220408 (2) 2" xfId="991"/>
    <cellStyle name="_Blend plan as of 05-September-06_01  Usulan Blend Plan BMO_220408 (2)_Wadi-Qinfa" xfId="992"/>
    <cellStyle name="_Blend plan as of 05-September-06_Stock Status Jul 29, 2008" xfId="993"/>
    <cellStyle name="_Blend plan as of 05-September-06_Stock Status Jul 29, 2008 2" xfId="994"/>
    <cellStyle name="_Blend plan as of 05-September-06_Stock Status Jul 29, 2008_Wadi-Qinfa" xfId="995"/>
    <cellStyle name="_Blend plan as of 05-September-06_Usulan Blend Plan BMO 11-03-08" xfId="996"/>
    <cellStyle name="_Blend plan as of 05-September-06_Usulan Blend Plan BMO 11-03-08 2" xfId="997"/>
    <cellStyle name="_Blend plan as of 05-September-06_Usulan Blend Plan BMO 11-03-08_Wadi-Qinfa" xfId="998"/>
    <cellStyle name="_Blend plan as of 05-September-06_Usulan Blend Plan BMO 25-03-08" xfId="999"/>
    <cellStyle name="_Blend plan as of 05-September-06_Usulan Blend Plan BMO 25-03-08 2" xfId="1000"/>
    <cellStyle name="_Blend plan as of 05-September-06_Usulan Blend Plan BMO 25-03-08_Wadi-Qinfa" xfId="1001"/>
    <cellStyle name="_Blend plan as of 05-September-06_Usulan Blending 27 Mei 2008" xfId="1002"/>
    <cellStyle name="_Blend plan as of 05-September-06_Usulan Blending 27 Mei 2008 2" xfId="1003"/>
    <cellStyle name="_Blend plan as of 05-September-06_Usulan Blending 27 Mei 2008_Wadi-Qinfa" xfId="1004"/>
    <cellStyle name="_Blend plan as of 05-September-06_Usulan Blending Plan 10 jun (2)" xfId="1005"/>
    <cellStyle name="_Blend plan as of 05-September-06_Usulan Blending Plan 10 jun (2) 2" xfId="1006"/>
    <cellStyle name="_Blend plan as of 05-September-06_Usulan Blending Plan 10 jun (2)_Wadi-Qinfa" xfId="1007"/>
    <cellStyle name="_Blend plan as of 05-September-06_Usulan Blending Plan 17 jun (2)" xfId="1008"/>
    <cellStyle name="_Blend plan as of 05-September-06_Usulan Blending Plan 17 jun (2) 2" xfId="1009"/>
    <cellStyle name="_Blend plan as of 05-September-06_Usulan Blending Plan 17 jun (2)_Wadi-Qinfa" xfId="1010"/>
    <cellStyle name="_Blend plan as of 05-September-06_Usulan blending plan 21_05_08" xfId="1011"/>
    <cellStyle name="_Blend plan as of 05-September-06_Usulan blending plan 21_05_08 2" xfId="1012"/>
    <cellStyle name="_Blend plan as of 05-September-06_Usulan blending plan 21_05_08_Wadi-Qinfa" xfId="1013"/>
    <cellStyle name="_Blend plan as of 05-September-06_Usulan blending PlaN 27-05-08" xfId="1014"/>
    <cellStyle name="_Blend plan as of 05-September-06_Usulan blending PlaN 27-05-08 2" xfId="1015"/>
    <cellStyle name="_Blend plan as of 05-September-06_Usulan blending PlaN 27-05-08_Wadi-Qinfa" xfId="1016"/>
    <cellStyle name="_Blend plan as of 05-September-06_Usulan Blending Plan_13 Feb 2008_awl" xfId="1017"/>
    <cellStyle name="_Blend plan as of 05-September-06_Usulan Blending Plan_13 Feb 2008_awl 2" xfId="1018"/>
    <cellStyle name="_Blend plan as of 05-September-06_Usulan Blending Plan_13 Feb 2008_awl_Wadi-Qinfa" xfId="1019"/>
    <cellStyle name="_Blend plan as of 05-September-06_Wadi-Qinfa" xfId="1020"/>
    <cellStyle name="_Blend plan as of 06-December-05fix" xfId="1021"/>
    <cellStyle name="_Blend plan as of 06-December-05fix 2" xfId="1022"/>
    <cellStyle name="_Blend plan as of 06-December-05fix_01  Usulan Blend Plan BMO_220408 (2)" xfId="1023"/>
    <cellStyle name="_Blend plan as of 06-December-05fix_01  Usulan Blend Plan BMO_220408 (2) 2" xfId="1024"/>
    <cellStyle name="_Blend plan as of 06-December-05fix_01  Usulan Blend Plan BMO_220408 (2)_Wadi-Qinfa" xfId="1025"/>
    <cellStyle name="_Blend plan as of 06-December-05fix_Stock Status Jul 29, 2008" xfId="1026"/>
    <cellStyle name="_Blend plan as of 06-December-05fix_Stock Status Jul 29, 2008 2" xfId="1027"/>
    <cellStyle name="_Blend plan as of 06-December-05fix_Stock Status Jul 29, 2008_Wadi-Qinfa" xfId="1028"/>
    <cellStyle name="_Blend plan as of 06-December-05fix_Usulan Blend Plan BMO 11-03-08" xfId="1029"/>
    <cellStyle name="_Blend plan as of 06-December-05fix_Usulan Blend Plan BMO 11-03-08 2" xfId="1030"/>
    <cellStyle name="_Blend plan as of 06-December-05fix_Usulan Blend Plan BMO 11-03-08_Wadi-Qinfa" xfId="1031"/>
    <cellStyle name="_Blend plan as of 06-December-05fix_Usulan Blend Plan BMO 25-03-08" xfId="1032"/>
    <cellStyle name="_Blend plan as of 06-December-05fix_Usulan Blend Plan BMO 25-03-08 2" xfId="1033"/>
    <cellStyle name="_Blend plan as of 06-December-05fix_Usulan Blend Plan BMO 25-03-08_Wadi-Qinfa" xfId="1034"/>
    <cellStyle name="_Blend plan as of 06-December-05fix_Usulan Blending 27 Mei 2008" xfId="1035"/>
    <cellStyle name="_Blend plan as of 06-December-05fix_Usulan Blending 27 Mei 2008 2" xfId="1036"/>
    <cellStyle name="_Blend plan as of 06-December-05fix_Usulan Blending 27 Mei 2008_Wadi-Qinfa" xfId="1037"/>
    <cellStyle name="_Blend plan as of 06-December-05fix_Usulan Blending Plan 10 jun (2)" xfId="1038"/>
    <cellStyle name="_Blend plan as of 06-December-05fix_Usulan Blending Plan 10 jun (2) 2" xfId="1039"/>
    <cellStyle name="_Blend plan as of 06-December-05fix_Usulan Blending Plan 10 jun (2)_Wadi-Qinfa" xfId="1040"/>
    <cellStyle name="_Blend plan as of 06-December-05fix_Usulan Blending Plan 17 jun (2)" xfId="1041"/>
    <cellStyle name="_Blend plan as of 06-December-05fix_Usulan Blending Plan 17 jun (2) 2" xfId="1042"/>
    <cellStyle name="_Blend plan as of 06-December-05fix_Usulan Blending Plan 17 jun (2)_Wadi-Qinfa" xfId="1043"/>
    <cellStyle name="_Blend plan as of 06-December-05fix_Usulan blending plan 21_05_08" xfId="1044"/>
    <cellStyle name="_Blend plan as of 06-December-05fix_Usulan blending plan 21_05_08 2" xfId="1045"/>
    <cellStyle name="_Blend plan as of 06-December-05fix_Usulan blending plan 21_05_08_Wadi-Qinfa" xfId="1046"/>
    <cellStyle name="_Blend plan as of 06-December-05fix_Usulan blending PlaN 27-05-08" xfId="1047"/>
    <cellStyle name="_Blend plan as of 06-December-05fix_Usulan blending PlaN 27-05-08 2" xfId="1048"/>
    <cellStyle name="_Blend plan as of 06-December-05fix_Usulan blending PlaN 27-05-08_Wadi-Qinfa" xfId="1049"/>
    <cellStyle name="_Blend plan as of 06-December-05fix_Usulan Blending Plan_13 Feb 2008_awl" xfId="1050"/>
    <cellStyle name="_Blend plan as of 06-December-05fix_Usulan Blending Plan_13 Feb 2008_awl 2" xfId="1051"/>
    <cellStyle name="_Blend plan as of 06-December-05fix_Usulan Blending Plan_13 Feb 2008_awl_Wadi-Qinfa" xfId="1052"/>
    <cellStyle name="_Blend plan as of 06-December-05fix_Wadi-Qinfa" xfId="1053"/>
    <cellStyle name="_Blend plan as of 06-February-2007" xfId="1054"/>
    <cellStyle name="_Blend plan as of 06-February-2007 2" xfId="1055"/>
    <cellStyle name="_Blend plan as of 06-February-2007_01  Usulan Blend Plan BMO_220408 (2)" xfId="1056"/>
    <cellStyle name="_Blend plan as of 06-February-2007_01  Usulan Blend Plan BMO_220408 (2) 2" xfId="1057"/>
    <cellStyle name="_Blend plan as of 06-February-2007_01  Usulan Blend Plan BMO_220408 (2)_Wadi-Qinfa" xfId="1058"/>
    <cellStyle name="_Blend plan as of 06-February-2007_Stock Status Jul 29, 2008" xfId="1059"/>
    <cellStyle name="_Blend plan as of 06-February-2007_Stock Status Jul 29, 2008 2" xfId="1060"/>
    <cellStyle name="_Blend plan as of 06-February-2007_Stock Status Jul 29, 2008_Wadi-Qinfa" xfId="1061"/>
    <cellStyle name="_Blend plan as of 06-February-2007_Usulan Blend Plan BMO 11-03-08" xfId="1062"/>
    <cellStyle name="_Blend plan as of 06-February-2007_Usulan Blend Plan BMO 11-03-08 2" xfId="1063"/>
    <cellStyle name="_Blend plan as of 06-February-2007_Usulan Blend Plan BMO 11-03-08_Wadi-Qinfa" xfId="1064"/>
    <cellStyle name="_Blend plan as of 06-February-2007_Usulan Blend Plan BMO 25-03-08" xfId="1065"/>
    <cellStyle name="_Blend plan as of 06-February-2007_Usulan Blend Plan BMO 25-03-08 2" xfId="1066"/>
    <cellStyle name="_Blend plan as of 06-February-2007_Usulan Blend Plan BMO 25-03-08_Wadi-Qinfa" xfId="1067"/>
    <cellStyle name="_Blend plan as of 06-February-2007_Usulan Blending 27 Mei 2008" xfId="1068"/>
    <cellStyle name="_Blend plan as of 06-February-2007_Usulan Blending 27 Mei 2008 2" xfId="1069"/>
    <cellStyle name="_Blend plan as of 06-February-2007_Usulan Blending 27 Mei 2008_Wadi-Qinfa" xfId="1070"/>
    <cellStyle name="_Blend plan as of 06-February-2007_Usulan Blending Plan 10 jun (2)" xfId="1071"/>
    <cellStyle name="_Blend plan as of 06-February-2007_Usulan Blending Plan 10 jun (2) 2" xfId="1072"/>
    <cellStyle name="_Blend plan as of 06-February-2007_Usulan Blending Plan 10 jun (2)_Wadi-Qinfa" xfId="1073"/>
    <cellStyle name="_Blend plan as of 06-February-2007_Usulan Blending Plan 17 jun (2)" xfId="1074"/>
    <cellStyle name="_Blend plan as of 06-February-2007_Usulan Blending Plan 17 jun (2) 2" xfId="1075"/>
    <cellStyle name="_Blend plan as of 06-February-2007_Usulan Blending Plan 17 jun (2)_Wadi-Qinfa" xfId="1076"/>
    <cellStyle name="_Blend plan as of 06-February-2007_Usulan blending plan 21_05_08" xfId="1077"/>
    <cellStyle name="_Blend plan as of 06-February-2007_Usulan blending plan 21_05_08 2" xfId="1078"/>
    <cellStyle name="_Blend plan as of 06-February-2007_Usulan blending plan 21_05_08_Wadi-Qinfa" xfId="1079"/>
    <cellStyle name="_Blend plan as of 06-February-2007_Usulan blending PlaN 27-05-08" xfId="1080"/>
    <cellStyle name="_Blend plan as of 06-February-2007_Usulan blending PlaN 27-05-08 2" xfId="1081"/>
    <cellStyle name="_Blend plan as of 06-February-2007_Usulan blending PlaN 27-05-08_Wadi-Qinfa" xfId="1082"/>
    <cellStyle name="_Blend plan as of 06-February-2007_Usulan Blending Plan_13 Feb 2008_awl" xfId="1083"/>
    <cellStyle name="_Blend plan as of 06-February-2007_Usulan Blending Plan_13 Feb 2008_awl 2" xfId="1084"/>
    <cellStyle name="_Blend plan as of 06-February-2007_Usulan Blending Plan_13 Feb 2008_awl_Wadi-Qinfa" xfId="1085"/>
    <cellStyle name="_Blend plan as of 06-February-2007_Wadi-Qinfa" xfId="1086"/>
    <cellStyle name="_Blend plan as of 06-June-06" xfId="1087"/>
    <cellStyle name="_Blend plan as of 06-June-06 2" xfId="1088"/>
    <cellStyle name="_Blend plan as of 06-June-06_01  Usulan Blend Plan BMO_220408 (2)" xfId="1089"/>
    <cellStyle name="_Blend plan as of 06-June-06_01  Usulan Blend Plan BMO_220408 (2) 2" xfId="1090"/>
    <cellStyle name="_Blend plan as of 06-June-06_01  Usulan Blend Plan BMO_220408 (2)_Wadi-Qinfa" xfId="1091"/>
    <cellStyle name="_Blend plan as of 06-June-06_Stock Status Jul 29, 2008" xfId="1092"/>
    <cellStyle name="_Blend plan as of 06-June-06_Stock Status Jul 29, 2008 2" xfId="1093"/>
    <cellStyle name="_Blend plan as of 06-June-06_Stock Status Jul 29, 2008_Wadi-Qinfa" xfId="1094"/>
    <cellStyle name="_Blend plan as of 06-June-06_Usulan Blend Plan BMO 11-03-08" xfId="1095"/>
    <cellStyle name="_Blend plan as of 06-June-06_Usulan Blend Plan BMO 11-03-08 2" xfId="1096"/>
    <cellStyle name="_Blend plan as of 06-June-06_Usulan Blend Plan BMO 11-03-08_Wadi-Qinfa" xfId="1097"/>
    <cellStyle name="_Blend plan as of 06-June-06_Usulan Blend Plan BMO 25-03-08" xfId="1098"/>
    <cellStyle name="_Blend plan as of 06-June-06_Usulan Blend Plan BMO 25-03-08 2" xfId="1099"/>
    <cellStyle name="_Blend plan as of 06-June-06_Usulan Blend Plan BMO 25-03-08_Wadi-Qinfa" xfId="1100"/>
    <cellStyle name="_Blend plan as of 06-June-06_Usulan Blending 27 Mei 2008" xfId="1101"/>
    <cellStyle name="_Blend plan as of 06-June-06_Usulan Blending 27 Mei 2008 2" xfId="1102"/>
    <cellStyle name="_Blend plan as of 06-June-06_Usulan Blending 27 Mei 2008_Wadi-Qinfa" xfId="1103"/>
    <cellStyle name="_Blend plan as of 06-June-06_Usulan Blending Plan 10 jun (2)" xfId="1104"/>
    <cellStyle name="_Blend plan as of 06-June-06_Usulan Blending Plan 10 jun (2) 2" xfId="1105"/>
    <cellStyle name="_Blend plan as of 06-June-06_Usulan Blending Plan 10 jun (2)_Wadi-Qinfa" xfId="1106"/>
    <cellStyle name="_Blend plan as of 06-June-06_Usulan Blending Plan 17 jun (2)" xfId="1107"/>
    <cellStyle name="_Blend plan as of 06-June-06_Usulan Blending Plan 17 jun (2) 2" xfId="1108"/>
    <cellStyle name="_Blend plan as of 06-June-06_Usulan Blending Plan 17 jun (2)_Wadi-Qinfa" xfId="1109"/>
    <cellStyle name="_Blend plan as of 06-June-06_Usulan blending plan 21_05_08" xfId="1110"/>
    <cellStyle name="_Blend plan as of 06-June-06_Usulan blending plan 21_05_08 2" xfId="1111"/>
    <cellStyle name="_Blend plan as of 06-June-06_Usulan blending plan 21_05_08_Wadi-Qinfa" xfId="1112"/>
    <cellStyle name="_Blend plan as of 06-June-06_Usulan blending PlaN 27-05-08" xfId="1113"/>
    <cellStyle name="_Blend plan as of 06-June-06_Usulan blending PlaN 27-05-08 2" xfId="1114"/>
    <cellStyle name="_Blend plan as of 06-June-06_Usulan blending PlaN 27-05-08_Wadi-Qinfa" xfId="1115"/>
    <cellStyle name="_Blend plan as of 06-June-06_Usulan Blending Plan_13 Feb 2008_awl" xfId="1116"/>
    <cellStyle name="_Blend plan as of 06-June-06_Usulan Blending Plan_13 Feb 2008_awl 2" xfId="1117"/>
    <cellStyle name="_Blend plan as of 06-June-06_Usulan Blending Plan_13 Feb 2008_awl_Wadi-Qinfa" xfId="1118"/>
    <cellStyle name="_Blend plan as of 06-June-06_Wadi-Qinfa" xfId="1119"/>
    <cellStyle name="_Blend plan as of 06-Maret-2007" xfId="1120"/>
    <cellStyle name="_Blend plan as of 06-Maret-2007 2" xfId="1121"/>
    <cellStyle name="_Blend plan as of 06-Maret-2007_01  Usulan Blend Plan BMO_220408 (2)" xfId="1122"/>
    <cellStyle name="_Blend plan as of 06-Maret-2007_01  Usulan Blend Plan BMO_220408 (2) 2" xfId="1123"/>
    <cellStyle name="_Blend plan as of 06-Maret-2007_01  Usulan Blend Plan BMO_220408 (2)_Wadi-Qinfa" xfId="1124"/>
    <cellStyle name="_Blend plan as of 06-Maret-2007_Stock Status Jul 29, 2008" xfId="1125"/>
    <cellStyle name="_Blend plan as of 06-Maret-2007_Stock Status Jul 29, 2008 2" xfId="1126"/>
    <cellStyle name="_Blend plan as of 06-Maret-2007_Stock Status Jul 29, 2008_Wadi-Qinfa" xfId="1127"/>
    <cellStyle name="_Blend plan as of 06-Maret-2007_Usulan Blend Plan BMO 11-03-08" xfId="1128"/>
    <cellStyle name="_Blend plan as of 06-Maret-2007_Usulan Blend Plan BMO 11-03-08 2" xfId="1129"/>
    <cellStyle name="_Blend plan as of 06-Maret-2007_Usulan Blend Plan BMO 11-03-08_Wadi-Qinfa" xfId="1130"/>
    <cellStyle name="_Blend plan as of 06-Maret-2007_Usulan Blend Plan BMO 25-03-08" xfId="1131"/>
    <cellStyle name="_Blend plan as of 06-Maret-2007_Usulan Blend Plan BMO 25-03-08 2" xfId="1132"/>
    <cellStyle name="_Blend plan as of 06-Maret-2007_Usulan Blend Plan BMO 25-03-08_Wadi-Qinfa" xfId="1133"/>
    <cellStyle name="_Blend plan as of 06-Maret-2007_Usulan Blending 27 Mei 2008" xfId="1134"/>
    <cellStyle name="_Blend plan as of 06-Maret-2007_Usulan Blending 27 Mei 2008 2" xfId="1135"/>
    <cellStyle name="_Blend plan as of 06-Maret-2007_Usulan Blending 27 Mei 2008_Wadi-Qinfa" xfId="1136"/>
    <cellStyle name="_Blend plan as of 06-Maret-2007_Usulan Blending Plan 10 jun (2)" xfId="1137"/>
    <cellStyle name="_Blend plan as of 06-Maret-2007_Usulan Blending Plan 10 jun (2) 2" xfId="1138"/>
    <cellStyle name="_Blend plan as of 06-Maret-2007_Usulan Blending Plan 10 jun (2)_Wadi-Qinfa" xfId="1139"/>
    <cellStyle name="_Blend plan as of 06-Maret-2007_Usulan Blending Plan 17 jun (2)" xfId="1140"/>
    <cellStyle name="_Blend plan as of 06-Maret-2007_Usulan Blending Plan 17 jun (2) 2" xfId="1141"/>
    <cellStyle name="_Blend plan as of 06-Maret-2007_Usulan Blending Plan 17 jun (2)_Wadi-Qinfa" xfId="1142"/>
    <cellStyle name="_Blend plan as of 06-Maret-2007_Usulan blending plan 21_05_08" xfId="1143"/>
    <cellStyle name="_Blend plan as of 06-Maret-2007_Usulan blending plan 21_05_08 2" xfId="1144"/>
    <cellStyle name="_Blend plan as of 06-Maret-2007_Usulan blending plan 21_05_08_Wadi-Qinfa" xfId="1145"/>
    <cellStyle name="_Blend plan as of 06-Maret-2007_Usulan blending PlaN 27-05-08" xfId="1146"/>
    <cellStyle name="_Blend plan as of 06-Maret-2007_Usulan blending PlaN 27-05-08 2" xfId="1147"/>
    <cellStyle name="_Blend plan as of 06-Maret-2007_Usulan blending PlaN 27-05-08_Wadi-Qinfa" xfId="1148"/>
    <cellStyle name="_Blend plan as of 06-Maret-2007_Usulan Blending Plan_13 Feb 2008_awl" xfId="1149"/>
    <cellStyle name="_Blend plan as of 06-Maret-2007_Usulan Blending Plan_13 Feb 2008_awl 2" xfId="1150"/>
    <cellStyle name="_Blend plan as of 06-Maret-2007_Usulan Blending Plan_13 Feb 2008_awl_Wadi-Qinfa" xfId="1151"/>
    <cellStyle name="_Blend plan as of 06-Maret-2007_Wadi-Qinfa" xfId="1152"/>
    <cellStyle name="_Blend plan as of 06-September-05" xfId="1153"/>
    <cellStyle name="_Blend plan as of 06-September-05 2" xfId="1154"/>
    <cellStyle name="_Blend plan as of 06-September-05_01  Usulan Blend Plan BMO_220408 (2)" xfId="1155"/>
    <cellStyle name="_Blend plan as of 06-September-05_01  Usulan Blend Plan BMO_220408 (2) 2" xfId="1156"/>
    <cellStyle name="_Blend plan as of 06-September-05_01  Usulan Blend Plan BMO_220408 (2)_Wadi-Qinfa" xfId="1157"/>
    <cellStyle name="_Blend plan as of 06-September-05_Stock Status Jul 29, 2008" xfId="1158"/>
    <cellStyle name="_Blend plan as of 06-September-05_Stock Status Jul 29, 2008 2" xfId="1159"/>
    <cellStyle name="_Blend plan as of 06-September-05_Stock Status Jul 29, 2008_Wadi-Qinfa" xfId="1160"/>
    <cellStyle name="_Blend plan as of 06-September-05_Usulan Blend Plan BMO 11-03-08" xfId="1161"/>
    <cellStyle name="_Blend plan as of 06-September-05_Usulan Blend Plan BMO 11-03-08 2" xfId="1162"/>
    <cellStyle name="_Blend plan as of 06-September-05_Usulan Blend Plan BMO 11-03-08_Wadi-Qinfa" xfId="1163"/>
    <cellStyle name="_Blend plan as of 06-September-05_Usulan Blend Plan BMO 25-03-08" xfId="1164"/>
    <cellStyle name="_Blend plan as of 06-September-05_Usulan Blend Plan BMO 25-03-08 2" xfId="1165"/>
    <cellStyle name="_Blend plan as of 06-September-05_Usulan Blend Plan BMO 25-03-08_Wadi-Qinfa" xfId="1166"/>
    <cellStyle name="_Blend plan as of 06-September-05_Usulan Blending 27 Mei 2008" xfId="1167"/>
    <cellStyle name="_Blend plan as of 06-September-05_Usulan Blending 27 Mei 2008 2" xfId="1168"/>
    <cellStyle name="_Blend plan as of 06-September-05_Usulan Blending 27 Mei 2008_Wadi-Qinfa" xfId="1169"/>
    <cellStyle name="_Blend plan as of 06-September-05_Usulan Blending Plan 10 jun (2)" xfId="1170"/>
    <cellStyle name="_Blend plan as of 06-September-05_Usulan Blending Plan 10 jun (2) 2" xfId="1171"/>
    <cellStyle name="_Blend plan as of 06-September-05_Usulan Blending Plan 10 jun (2)_Wadi-Qinfa" xfId="1172"/>
    <cellStyle name="_Blend plan as of 06-September-05_Usulan Blending Plan 17 jun (2)" xfId="1173"/>
    <cellStyle name="_Blend plan as of 06-September-05_Usulan Blending Plan 17 jun (2) 2" xfId="1174"/>
    <cellStyle name="_Blend plan as of 06-September-05_Usulan Blending Plan 17 jun (2)_Wadi-Qinfa" xfId="1175"/>
    <cellStyle name="_Blend plan as of 06-September-05_Usulan blending plan 21_05_08" xfId="1176"/>
    <cellStyle name="_Blend plan as of 06-September-05_Usulan blending plan 21_05_08 2" xfId="1177"/>
    <cellStyle name="_Blend plan as of 06-September-05_Usulan blending plan 21_05_08_Wadi-Qinfa" xfId="1178"/>
    <cellStyle name="_Blend plan as of 06-September-05_Usulan blending PlaN 27-05-08" xfId="1179"/>
    <cellStyle name="_Blend plan as of 06-September-05_Usulan blending PlaN 27-05-08 2" xfId="1180"/>
    <cellStyle name="_Blend plan as of 06-September-05_Usulan blending PlaN 27-05-08_Wadi-Qinfa" xfId="1181"/>
    <cellStyle name="_Blend plan as of 06-September-05_Usulan Blending Plan_13 Feb 2008_awl" xfId="1182"/>
    <cellStyle name="_Blend plan as of 06-September-05_Usulan Blending Plan_13 Feb 2008_awl 2" xfId="1183"/>
    <cellStyle name="_Blend plan as of 06-September-05_Usulan Blending Plan_13 Feb 2008_awl_Wadi-Qinfa" xfId="1184"/>
    <cellStyle name="_Blend plan as of 06-September-05_Wadi-Qinfa" xfId="1185"/>
    <cellStyle name="_Blend plan as of 07-Agustus-2007" xfId="1186"/>
    <cellStyle name="_Blend plan as of 07-Agustus-2007 2" xfId="1187"/>
    <cellStyle name="_Blend plan as of 07-Agustus-2007_01  Usulan Blend Plan BMO_220408 (2)" xfId="1188"/>
    <cellStyle name="_Blend plan as of 07-Agustus-2007_01  Usulan Blend Plan BMO_220408 (2) 2" xfId="1189"/>
    <cellStyle name="_Blend plan as of 07-Agustus-2007_01  Usulan Blend Plan BMO_220408 (2)_Wadi-Qinfa" xfId="1190"/>
    <cellStyle name="_Blend plan as of 07-Agustus-2007_Stock Status Jul 29, 2008" xfId="1191"/>
    <cellStyle name="_Blend plan as of 07-Agustus-2007_Stock Status Jul 29, 2008 2" xfId="1192"/>
    <cellStyle name="_Blend plan as of 07-Agustus-2007_Stock Status Jul 29, 2008_Wadi-Qinfa" xfId="1193"/>
    <cellStyle name="_Blend plan as of 07-Agustus-2007_Usulan Blend Plan BMO 11-03-08" xfId="1194"/>
    <cellStyle name="_Blend plan as of 07-Agustus-2007_Usulan Blend Plan BMO 11-03-08 2" xfId="1195"/>
    <cellStyle name="_Blend plan as of 07-Agustus-2007_Usulan Blend Plan BMO 11-03-08_Wadi-Qinfa" xfId="1196"/>
    <cellStyle name="_Blend plan as of 07-Agustus-2007_Usulan Blend Plan BMO 25-03-08" xfId="1197"/>
    <cellStyle name="_Blend plan as of 07-Agustus-2007_Usulan Blend Plan BMO 25-03-08 2" xfId="1198"/>
    <cellStyle name="_Blend plan as of 07-Agustus-2007_Usulan Blend Plan BMO 25-03-08_Wadi-Qinfa" xfId="1199"/>
    <cellStyle name="_Blend plan as of 07-Agustus-2007_Usulan Blending 27 Mei 2008" xfId="1200"/>
    <cellStyle name="_Blend plan as of 07-Agustus-2007_Usulan Blending 27 Mei 2008 2" xfId="1201"/>
    <cellStyle name="_Blend plan as of 07-Agustus-2007_Usulan Blending 27 Mei 2008_Wadi-Qinfa" xfId="1202"/>
    <cellStyle name="_Blend plan as of 07-Agustus-2007_Usulan Blending Plan 10 jun (2)" xfId="1203"/>
    <cellStyle name="_Blend plan as of 07-Agustus-2007_Usulan Blending Plan 10 jun (2) 2" xfId="1204"/>
    <cellStyle name="_Blend plan as of 07-Agustus-2007_Usulan Blending Plan 10 jun (2)_Wadi-Qinfa" xfId="1205"/>
    <cellStyle name="_Blend plan as of 07-Agustus-2007_Usulan Blending Plan 17 jun (2)" xfId="1206"/>
    <cellStyle name="_Blend plan as of 07-Agustus-2007_Usulan Blending Plan 17 jun (2) 2" xfId="1207"/>
    <cellStyle name="_Blend plan as of 07-Agustus-2007_Usulan Blending Plan 17 jun (2)_Wadi-Qinfa" xfId="1208"/>
    <cellStyle name="_Blend plan as of 07-Agustus-2007_Usulan blending plan 21_05_08" xfId="1209"/>
    <cellStyle name="_Blend plan as of 07-Agustus-2007_Usulan blending plan 21_05_08 2" xfId="1210"/>
    <cellStyle name="_Blend plan as of 07-Agustus-2007_Usulan blending plan 21_05_08_Wadi-Qinfa" xfId="1211"/>
    <cellStyle name="_Blend plan as of 07-Agustus-2007_Usulan blending PlaN 27-05-08" xfId="1212"/>
    <cellStyle name="_Blend plan as of 07-Agustus-2007_Usulan blending PlaN 27-05-08 2" xfId="1213"/>
    <cellStyle name="_Blend plan as of 07-Agustus-2007_Usulan blending PlaN 27-05-08_Wadi-Qinfa" xfId="1214"/>
    <cellStyle name="_Blend plan as of 07-Agustus-2007_Usulan Blending Plan_13 Feb 2008_awl" xfId="1215"/>
    <cellStyle name="_Blend plan as of 07-Agustus-2007_Usulan Blending Plan_13 Feb 2008_awl 2" xfId="1216"/>
    <cellStyle name="_Blend plan as of 07-Agustus-2007_Usulan Blending Plan_13 Feb 2008_awl_Wadi-Qinfa" xfId="1217"/>
    <cellStyle name="_Blend plan as of 07-Agustus-2007_Wadi-Qinfa" xfId="1218"/>
    <cellStyle name="_Blend plan as of 07-Dec-041" xfId="1219"/>
    <cellStyle name="_Blend plan as of 07-Dec-041 2" xfId="1220"/>
    <cellStyle name="_Blend plan as of 07-Dec-041_01  Usulan Blend Plan BMO_220408 (2)" xfId="1221"/>
    <cellStyle name="_Blend plan as of 07-Dec-041_01  Usulan Blend Plan BMO_220408 (2) 2" xfId="1222"/>
    <cellStyle name="_Blend plan as of 07-Dec-041_01  Usulan Blend Plan BMO_220408 (2)_Wadi-Qinfa" xfId="1223"/>
    <cellStyle name="_Blend plan as of 07-Dec-041_Stock Status Jul 29, 2008" xfId="1224"/>
    <cellStyle name="_Blend plan as of 07-Dec-041_Stock Status Jul 29, 2008 2" xfId="1225"/>
    <cellStyle name="_Blend plan as of 07-Dec-041_Stock Status Jul 29, 2008_Wadi-Qinfa" xfId="1226"/>
    <cellStyle name="_Blend plan as of 07-Dec-041_Usulan Blend Plan BMO 11-03-08" xfId="1227"/>
    <cellStyle name="_Blend plan as of 07-Dec-041_Usulan Blend Plan BMO 11-03-08 2" xfId="1228"/>
    <cellStyle name="_Blend plan as of 07-Dec-041_Usulan Blend Plan BMO 11-03-08_Wadi-Qinfa" xfId="1229"/>
    <cellStyle name="_Blend plan as of 07-Dec-041_Usulan Blend Plan BMO 25-03-08" xfId="1230"/>
    <cellStyle name="_Blend plan as of 07-Dec-041_Usulan Blend Plan BMO 25-03-08 2" xfId="1231"/>
    <cellStyle name="_Blend plan as of 07-Dec-041_Usulan Blend Plan BMO 25-03-08_Wadi-Qinfa" xfId="1232"/>
    <cellStyle name="_Blend plan as of 07-Dec-041_Usulan Blending 27 Mei 2008" xfId="1233"/>
    <cellStyle name="_Blend plan as of 07-Dec-041_Usulan Blending 27 Mei 2008 2" xfId="1234"/>
    <cellStyle name="_Blend plan as of 07-Dec-041_Usulan Blending 27 Mei 2008_Wadi-Qinfa" xfId="1235"/>
    <cellStyle name="_Blend plan as of 07-Dec-041_Usulan Blending Plan 10 jun (2)" xfId="1236"/>
    <cellStyle name="_Blend plan as of 07-Dec-041_Usulan Blending Plan 10 jun (2) 2" xfId="1237"/>
    <cellStyle name="_Blend plan as of 07-Dec-041_Usulan Blending Plan 10 jun (2)_Wadi-Qinfa" xfId="1238"/>
    <cellStyle name="_Blend plan as of 07-Dec-041_Usulan Blending Plan 17 jun (2)" xfId="1239"/>
    <cellStyle name="_Blend plan as of 07-Dec-041_Usulan Blending Plan 17 jun (2) 2" xfId="1240"/>
    <cellStyle name="_Blend plan as of 07-Dec-041_Usulan Blending Plan 17 jun (2)_Wadi-Qinfa" xfId="1241"/>
    <cellStyle name="_Blend plan as of 07-Dec-041_Usulan blending plan 21_05_08" xfId="1242"/>
    <cellStyle name="_Blend plan as of 07-Dec-041_Usulan blending plan 21_05_08 2" xfId="1243"/>
    <cellStyle name="_Blend plan as of 07-Dec-041_Usulan blending plan 21_05_08_Wadi-Qinfa" xfId="1244"/>
    <cellStyle name="_Blend plan as of 07-Dec-041_Usulan blending PlaN 27-05-08" xfId="1245"/>
    <cellStyle name="_Blend plan as of 07-Dec-041_Usulan blending PlaN 27-05-08 2" xfId="1246"/>
    <cellStyle name="_Blend plan as of 07-Dec-041_Usulan blending PlaN 27-05-08_Wadi-Qinfa" xfId="1247"/>
    <cellStyle name="_Blend plan as of 07-Dec-041_Usulan Blending Plan_13 Feb 2008_awl" xfId="1248"/>
    <cellStyle name="_Blend plan as of 07-Dec-041_Usulan Blending Plan_13 Feb 2008_awl 2" xfId="1249"/>
    <cellStyle name="_Blend plan as of 07-Dec-041_Usulan Blending Plan_13 Feb 2008_awl_Wadi-Qinfa" xfId="1250"/>
    <cellStyle name="_Blend plan as of 07-Dec-041_Wadi-Qinfa" xfId="1251"/>
    <cellStyle name="_Blend plan as of 07-February-06" xfId="1252"/>
    <cellStyle name="_Blend plan as of 07-February-06 2" xfId="1253"/>
    <cellStyle name="_Blend plan as of 07-February-06_01  Usulan Blend Plan BMO_220408 (2)" xfId="1254"/>
    <cellStyle name="_Blend plan as of 07-February-06_01  Usulan Blend Plan BMO_220408 (2) 2" xfId="1255"/>
    <cellStyle name="_Blend plan as of 07-February-06_01  Usulan Blend Plan BMO_220408 (2)_Wadi-Qinfa" xfId="1256"/>
    <cellStyle name="_Blend plan as of 07-February-06_Stock Status Jul 29, 2008" xfId="1257"/>
    <cellStyle name="_Blend plan as of 07-February-06_Stock Status Jul 29, 2008 2" xfId="1258"/>
    <cellStyle name="_Blend plan as of 07-February-06_Stock Status Jul 29, 2008_Wadi-Qinfa" xfId="1259"/>
    <cellStyle name="_Blend plan as of 07-February-06_Usulan Blend Plan BMO 11-03-08" xfId="1260"/>
    <cellStyle name="_Blend plan as of 07-February-06_Usulan Blend Plan BMO 11-03-08 2" xfId="1261"/>
    <cellStyle name="_Blend plan as of 07-February-06_Usulan Blend Plan BMO 11-03-08_Wadi-Qinfa" xfId="1262"/>
    <cellStyle name="_Blend plan as of 07-February-06_Usulan Blend Plan BMO 25-03-08" xfId="1263"/>
    <cellStyle name="_Blend plan as of 07-February-06_Usulan Blend Plan BMO 25-03-08 2" xfId="1264"/>
    <cellStyle name="_Blend plan as of 07-February-06_Usulan Blend Plan BMO 25-03-08_Wadi-Qinfa" xfId="1265"/>
    <cellStyle name="_Blend plan as of 07-February-06_Usulan Blending 27 Mei 2008" xfId="1266"/>
    <cellStyle name="_Blend plan as of 07-February-06_Usulan Blending 27 Mei 2008 2" xfId="1267"/>
    <cellStyle name="_Blend plan as of 07-February-06_Usulan Blending 27 Mei 2008_Wadi-Qinfa" xfId="1268"/>
    <cellStyle name="_Blend plan as of 07-February-06_Usulan Blending Plan 10 jun (2)" xfId="1269"/>
    <cellStyle name="_Blend plan as of 07-February-06_Usulan Blending Plan 10 jun (2) 2" xfId="1270"/>
    <cellStyle name="_Blend plan as of 07-February-06_Usulan Blending Plan 10 jun (2)_Wadi-Qinfa" xfId="1271"/>
    <cellStyle name="_Blend plan as of 07-February-06_Usulan Blending Plan 17 jun (2)" xfId="1272"/>
    <cellStyle name="_Blend plan as of 07-February-06_Usulan Blending Plan 17 jun (2) 2" xfId="1273"/>
    <cellStyle name="_Blend plan as of 07-February-06_Usulan Blending Plan 17 jun (2)_Wadi-Qinfa" xfId="1274"/>
    <cellStyle name="_Blend plan as of 07-February-06_Usulan blending plan 21_05_08" xfId="1275"/>
    <cellStyle name="_Blend plan as of 07-February-06_Usulan blending plan 21_05_08 2" xfId="1276"/>
    <cellStyle name="_Blend plan as of 07-February-06_Usulan blending plan 21_05_08_Wadi-Qinfa" xfId="1277"/>
    <cellStyle name="_Blend plan as of 07-February-06_Usulan blending PlaN 27-05-08" xfId="1278"/>
    <cellStyle name="_Blend plan as of 07-February-06_Usulan blending PlaN 27-05-08 2" xfId="1279"/>
    <cellStyle name="_Blend plan as of 07-February-06_Usulan blending PlaN 27-05-08_Wadi-Qinfa" xfId="1280"/>
    <cellStyle name="_Blend plan as of 07-February-06_Usulan Blending Plan_13 Feb 2008_awl" xfId="1281"/>
    <cellStyle name="_Blend plan as of 07-February-06_Usulan Blending Plan_13 Feb 2008_awl 2" xfId="1282"/>
    <cellStyle name="_Blend plan as of 07-February-06_Usulan Blending Plan_13 Feb 2008_awl_Wadi-Qinfa" xfId="1283"/>
    <cellStyle name="_Blend plan as of 07-February-06_Wadi-Qinfa" xfId="1284"/>
    <cellStyle name="_Blend plan as of 07-Jun-05" xfId="1285"/>
    <cellStyle name="_Blend plan as of 07-Jun-05 2" xfId="1286"/>
    <cellStyle name="_Blend plan as of 07-Jun-05_01  Usulan Blend Plan BMO_220408 (2)" xfId="1287"/>
    <cellStyle name="_Blend plan as of 07-Jun-05_01  Usulan Blend Plan BMO_220408 (2) 2" xfId="1288"/>
    <cellStyle name="_Blend plan as of 07-Jun-05_01  Usulan Blend Plan BMO_220408 (2)_Wadi-Qinfa" xfId="1289"/>
    <cellStyle name="_Blend plan as of 07-Jun-05_Stock Status Jul 29, 2008" xfId="1290"/>
    <cellStyle name="_Blend plan as of 07-Jun-05_Stock Status Jul 29, 2008 2" xfId="1291"/>
    <cellStyle name="_Blend plan as of 07-Jun-05_Stock Status Jul 29, 2008_Wadi-Qinfa" xfId="1292"/>
    <cellStyle name="_Blend plan as of 07-Jun-05_Usulan Blend Plan BMO 11-03-08" xfId="1293"/>
    <cellStyle name="_Blend plan as of 07-Jun-05_Usulan Blend Plan BMO 11-03-08 2" xfId="1294"/>
    <cellStyle name="_Blend plan as of 07-Jun-05_Usulan Blend Plan BMO 11-03-08_Wadi-Qinfa" xfId="1295"/>
    <cellStyle name="_Blend plan as of 07-Jun-05_Usulan Blend Plan BMO 25-03-08" xfId="1296"/>
    <cellStyle name="_Blend plan as of 07-Jun-05_Usulan Blend Plan BMO 25-03-08 2" xfId="1297"/>
    <cellStyle name="_Blend plan as of 07-Jun-05_Usulan Blend Plan BMO 25-03-08_Wadi-Qinfa" xfId="1298"/>
    <cellStyle name="_Blend plan as of 07-Jun-05_Usulan Blending 27 Mei 2008" xfId="1299"/>
    <cellStyle name="_Blend plan as of 07-Jun-05_Usulan Blending 27 Mei 2008 2" xfId="1300"/>
    <cellStyle name="_Blend plan as of 07-Jun-05_Usulan Blending 27 Mei 2008_Wadi-Qinfa" xfId="1301"/>
    <cellStyle name="_Blend plan as of 07-Jun-05_Usulan Blending Plan 10 jun (2)" xfId="1302"/>
    <cellStyle name="_Blend plan as of 07-Jun-05_Usulan Blending Plan 10 jun (2) 2" xfId="1303"/>
    <cellStyle name="_Blend plan as of 07-Jun-05_Usulan Blending Plan 10 jun (2)_Wadi-Qinfa" xfId="1304"/>
    <cellStyle name="_Blend plan as of 07-Jun-05_Usulan Blending Plan 17 jun (2)" xfId="1305"/>
    <cellStyle name="_Blend plan as of 07-Jun-05_Usulan Blending Plan 17 jun (2) 2" xfId="1306"/>
    <cellStyle name="_Blend plan as of 07-Jun-05_Usulan Blending Plan 17 jun (2)_Wadi-Qinfa" xfId="1307"/>
    <cellStyle name="_Blend plan as of 07-Jun-05_Usulan blending plan 21_05_08" xfId="1308"/>
    <cellStyle name="_Blend plan as of 07-Jun-05_Usulan blending plan 21_05_08 2" xfId="1309"/>
    <cellStyle name="_Blend plan as of 07-Jun-05_Usulan blending plan 21_05_08_Wadi-Qinfa" xfId="1310"/>
    <cellStyle name="_Blend plan as of 07-Jun-05_Usulan blending PlaN 27-05-08" xfId="1311"/>
    <cellStyle name="_Blend plan as of 07-Jun-05_Usulan blending PlaN 27-05-08 2" xfId="1312"/>
    <cellStyle name="_Blend plan as of 07-Jun-05_Usulan blending PlaN 27-05-08_Wadi-Qinfa" xfId="1313"/>
    <cellStyle name="_Blend plan as of 07-Jun-05_Usulan Blending Plan_13 Feb 2008_awl" xfId="1314"/>
    <cellStyle name="_Blend plan as of 07-Jun-05_Usulan Blending Plan_13 Feb 2008_awl 2" xfId="1315"/>
    <cellStyle name="_Blend plan as of 07-Jun-05_Usulan Blending Plan_13 Feb 2008_awl_Wadi-Qinfa" xfId="1316"/>
    <cellStyle name="_Blend plan as of 07-Jun-05_Wadi-Qinfa" xfId="1317"/>
    <cellStyle name="_Blend plan as of 07-March-06" xfId="1318"/>
    <cellStyle name="_Blend plan as of 07-March-06 2" xfId="1319"/>
    <cellStyle name="_Blend plan as of 07-March-06_01  Usulan Blend Plan BMO_220408 (2)" xfId="1320"/>
    <cellStyle name="_Blend plan as of 07-March-06_01  Usulan Blend Plan BMO_220408 (2) 2" xfId="1321"/>
    <cellStyle name="_Blend plan as of 07-March-06_01  Usulan Blend Plan BMO_220408 (2)_Wadi-Qinfa" xfId="1322"/>
    <cellStyle name="_Blend plan as of 07-March-06_Stock Status Jul 29, 2008" xfId="1323"/>
    <cellStyle name="_Blend plan as of 07-March-06_Stock Status Jul 29, 2008 2" xfId="1324"/>
    <cellStyle name="_Blend plan as of 07-March-06_Stock Status Jul 29, 2008_Wadi-Qinfa" xfId="1325"/>
    <cellStyle name="_Blend plan as of 07-March-06_Usulan Blend Plan BMO 11-03-08" xfId="1326"/>
    <cellStyle name="_Blend plan as of 07-March-06_Usulan Blend Plan BMO 11-03-08 2" xfId="1327"/>
    <cellStyle name="_Blend plan as of 07-March-06_Usulan Blend Plan BMO 11-03-08_Wadi-Qinfa" xfId="1328"/>
    <cellStyle name="_Blend plan as of 07-March-06_Usulan Blend Plan BMO 25-03-08" xfId="1329"/>
    <cellStyle name="_Blend plan as of 07-March-06_Usulan Blend Plan BMO 25-03-08 2" xfId="1330"/>
    <cellStyle name="_Blend plan as of 07-March-06_Usulan Blend Plan BMO 25-03-08_Wadi-Qinfa" xfId="1331"/>
    <cellStyle name="_Blend plan as of 07-March-06_Usulan Blending 27 Mei 2008" xfId="1332"/>
    <cellStyle name="_Blend plan as of 07-March-06_Usulan Blending 27 Mei 2008 2" xfId="1333"/>
    <cellStyle name="_Blend plan as of 07-March-06_Usulan Blending 27 Mei 2008_Wadi-Qinfa" xfId="1334"/>
    <cellStyle name="_Blend plan as of 07-March-06_Usulan Blending Plan 10 jun (2)" xfId="1335"/>
    <cellStyle name="_Blend plan as of 07-March-06_Usulan Blending Plan 10 jun (2) 2" xfId="1336"/>
    <cellStyle name="_Blend plan as of 07-March-06_Usulan Blending Plan 10 jun (2)_Wadi-Qinfa" xfId="1337"/>
    <cellStyle name="_Blend plan as of 07-March-06_Usulan Blending Plan 17 jun (2)" xfId="1338"/>
    <cellStyle name="_Blend plan as of 07-March-06_Usulan Blending Plan 17 jun (2) 2" xfId="1339"/>
    <cellStyle name="_Blend plan as of 07-March-06_Usulan Blending Plan 17 jun (2)_Wadi-Qinfa" xfId="1340"/>
    <cellStyle name="_Blend plan as of 07-March-06_Usulan blending plan 21_05_08" xfId="1341"/>
    <cellStyle name="_Blend plan as of 07-March-06_Usulan blending plan 21_05_08 2" xfId="1342"/>
    <cellStyle name="_Blend plan as of 07-March-06_Usulan blending plan 21_05_08_Wadi-Qinfa" xfId="1343"/>
    <cellStyle name="_Blend plan as of 07-March-06_Usulan blending PlaN 27-05-08" xfId="1344"/>
    <cellStyle name="_Blend plan as of 07-March-06_Usulan blending PlaN 27-05-08 2" xfId="1345"/>
    <cellStyle name="_Blend plan as of 07-March-06_Usulan blending PlaN 27-05-08_Wadi-Qinfa" xfId="1346"/>
    <cellStyle name="_Blend plan as of 07-March-06_Usulan Blending Plan_13 Feb 2008_awl" xfId="1347"/>
    <cellStyle name="_Blend plan as of 07-March-06_Usulan Blending Plan_13 Feb 2008_awl 2" xfId="1348"/>
    <cellStyle name="_Blend plan as of 07-March-06_Usulan Blending Plan_13 Feb 2008_awl_Wadi-Qinfa" xfId="1349"/>
    <cellStyle name="_Blend plan as of 07-March-06_Wadi-Qinfa" xfId="1350"/>
    <cellStyle name="_Blend plan as of 07-November-06" xfId="1351"/>
    <cellStyle name="_Blend plan as of 07-November-06 2" xfId="1352"/>
    <cellStyle name="_Blend plan as of 07-November-06_01  Usulan Blend Plan BMO_220408 (2)" xfId="1353"/>
    <cellStyle name="_Blend plan as of 07-November-06_01  Usulan Blend Plan BMO_220408 (2) 2" xfId="1354"/>
    <cellStyle name="_Blend plan as of 07-November-06_01  Usulan Blend Plan BMO_220408 (2)_Wadi-Qinfa" xfId="1355"/>
    <cellStyle name="_Blend plan as of 07-November-06_Stock Status Jul 29, 2008" xfId="1356"/>
    <cellStyle name="_Blend plan as of 07-November-06_Stock Status Jul 29, 2008 2" xfId="1357"/>
    <cellStyle name="_Blend plan as of 07-November-06_Stock Status Jul 29, 2008_Wadi-Qinfa" xfId="1358"/>
    <cellStyle name="_Blend plan as of 07-November-06_Usulan Blend Plan BMO 11-03-08" xfId="1359"/>
    <cellStyle name="_Blend plan as of 07-November-06_Usulan Blend Plan BMO 11-03-08 2" xfId="1360"/>
    <cellStyle name="_Blend plan as of 07-November-06_Usulan Blend Plan BMO 11-03-08_Wadi-Qinfa" xfId="1361"/>
    <cellStyle name="_Blend plan as of 07-November-06_Usulan Blend Plan BMO 25-03-08" xfId="1362"/>
    <cellStyle name="_Blend plan as of 07-November-06_Usulan Blend Plan BMO 25-03-08 2" xfId="1363"/>
    <cellStyle name="_Blend plan as of 07-November-06_Usulan Blend Plan BMO 25-03-08_Wadi-Qinfa" xfId="1364"/>
    <cellStyle name="_Blend plan as of 07-November-06_Usulan Blending 27 Mei 2008" xfId="1365"/>
    <cellStyle name="_Blend plan as of 07-November-06_Usulan Blending 27 Mei 2008 2" xfId="1366"/>
    <cellStyle name="_Blend plan as of 07-November-06_Usulan Blending 27 Mei 2008_Wadi-Qinfa" xfId="1367"/>
    <cellStyle name="_Blend plan as of 07-November-06_Usulan Blending Plan 10 jun (2)" xfId="1368"/>
    <cellStyle name="_Blend plan as of 07-November-06_Usulan Blending Plan 10 jun (2) 2" xfId="1369"/>
    <cellStyle name="_Blend plan as of 07-November-06_Usulan Blending Plan 10 jun (2)_Wadi-Qinfa" xfId="1370"/>
    <cellStyle name="_Blend plan as of 07-November-06_Usulan Blending Plan 17 jun (2)" xfId="1371"/>
    <cellStyle name="_Blend plan as of 07-November-06_Usulan Blending Plan 17 jun (2) 2" xfId="1372"/>
    <cellStyle name="_Blend plan as of 07-November-06_Usulan Blending Plan 17 jun (2)_Wadi-Qinfa" xfId="1373"/>
    <cellStyle name="_Blend plan as of 07-November-06_Usulan blending plan 21_05_08" xfId="1374"/>
    <cellStyle name="_Blend plan as of 07-November-06_Usulan blending plan 21_05_08 2" xfId="1375"/>
    <cellStyle name="_Blend plan as of 07-November-06_Usulan blending plan 21_05_08_Wadi-Qinfa" xfId="1376"/>
    <cellStyle name="_Blend plan as of 07-November-06_Usulan blending PlaN 27-05-08" xfId="1377"/>
    <cellStyle name="_Blend plan as of 07-November-06_Usulan blending PlaN 27-05-08 2" xfId="1378"/>
    <cellStyle name="_Blend plan as of 07-November-06_Usulan blending PlaN 27-05-08_Wadi-Qinfa" xfId="1379"/>
    <cellStyle name="_Blend plan as of 07-November-06_Usulan Blending Plan_13 Feb 2008_awl" xfId="1380"/>
    <cellStyle name="_Blend plan as of 07-November-06_Usulan Blending Plan_13 Feb 2008_awl 2" xfId="1381"/>
    <cellStyle name="_Blend plan as of 07-November-06_Usulan Blending Plan_13 Feb 2008_awl_Wadi-Qinfa" xfId="1382"/>
    <cellStyle name="_Blend plan as of 07-November-06_Wadi-Qinfa" xfId="1383"/>
    <cellStyle name="_Blend plan as of 08-August-06" xfId="1384"/>
    <cellStyle name="_Blend plan as of 08-August-06 2" xfId="1385"/>
    <cellStyle name="_Blend plan as of 08-August-06_01  Usulan Blend Plan BMO_220408 (2)" xfId="1386"/>
    <cellStyle name="_Blend plan as of 08-August-06_01  Usulan Blend Plan BMO_220408 (2) 2" xfId="1387"/>
    <cellStyle name="_Blend plan as of 08-August-06_01  Usulan Blend Plan BMO_220408 (2)_Wadi-Qinfa" xfId="1388"/>
    <cellStyle name="_Blend plan as of 08-August-06_Stock Status Jul 29, 2008" xfId="1389"/>
    <cellStyle name="_Blend plan as of 08-August-06_Stock Status Jul 29, 2008 2" xfId="1390"/>
    <cellStyle name="_Blend plan as of 08-August-06_Stock Status Jul 29, 2008_Wadi-Qinfa" xfId="1391"/>
    <cellStyle name="_Blend plan as of 08-August-06_Usulan Blend Plan BMO 11-03-08" xfId="1392"/>
    <cellStyle name="_Blend plan as of 08-August-06_Usulan Blend Plan BMO 11-03-08 2" xfId="1393"/>
    <cellStyle name="_Blend plan as of 08-August-06_Usulan Blend Plan BMO 11-03-08_Wadi-Qinfa" xfId="1394"/>
    <cellStyle name="_Blend plan as of 08-August-06_Usulan Blend Plan BMO 25-03-08" xfId="1395"/>
    <cellStyle name="_Blend plan as of 08-August-06_Usulan Blend Plan BMO 25-03-08 2" xfId="1396"/>
    <cellStyle name="_Blend plan as of 08-August-06_Usulan Blend Plan BMO 25-03-08_Wadi-Qinfa" xfId="1397"/>
    <cellStyle name="_Blend plan as of 08-August-06_Usulan Blending 27 Mei 2008" xfId="1398"/>
    <cellStyle name="_Blend plan as of 08-August-06_Usulan Blending 27 Mei 2008 2" xfId="1399"/>
    <cellStyle name="_Blend plan as of 08-August-06_Usulan Blending 27 Mei 2008_Wadi-Qinfa" xfId="1400"/>
    <cellStyle name="_Blend plan as of 08-August-06_Usulan Blending Plan 10 jun (2)" xfId="1401"/>
    <cellStyle name="_Blend plan as of 08-August-06_Usulan Blending Plan 10 jun (2) 2" xfId="1402"/>
    <cellStyle name="_Blend plan as of 08-August-06_Usulan Blending Plan 10 jun (2)_Wadi-Qinfa" xfId="1403"/>
    <cellStyle name="_Blend plan as of 08-August-06_Usulan Blending Plan 17 jun (2)" xfId="1404"/>
    <cellStyle name="_Blend plan as of 08-August-06_Usulan Blending Plan 17 jun (2) 2" xfId="1405"/>
    <cellStyle name="_Blend plan as of 08-August-06_Usulan Blending Plan 17 jun (2)_Wadi-Qinfa" xfId="1406"/>
    <cellStyle name="_Blend plan as of 08-August-06_Usulan blending plan 21_05_08" xfId="1407"/>
    <cellStyle name="_Blend plan as of 08-August-06_Usulan blending plan 21_05_08 2" xfId="1408"/>
    <cellStyle name="_Blend plan as of 08-August-06_Usulan blending plan 21_05_08_Wadi-Qinfa" xfId="1409"/>
    <cellStyle name="_Blend plan as of 08-August-06_Usulan blending PlaN 27-05-08" xfId="1410"/>
    <cellStyle name="_Blend plan as of 08-August-06_Usulan blending PlaN 27-05-08 2" xfId="1411"/>
    <cellStyle name="_Blend plan as of 08-August-06_Usulan blending PlaN 27-05-08_Wadi-Qinfa" xfId="1412"/>
    <cellStyle name="_Blend plan as of 08-August-06_Usulan Blending Plan_13 Feb 2008_awl" xfId="1413"/>
    <cellStyle name="_Blend plan as of 08-August-06_Usulan Blending Plan_13 Feb 2008_awl 2" xfId="1414"/>
    <cellStyle name="_Blend plan as of 08-August-06_Usulan Blending Plan_13 Feb 2008_awl_Wadi-Qinfa" xfId="1415"/>
    <cellStyle name="_Blend plan as of 08-August-06_Wadi-Qinfa" xfId="1416"/>
    <cellStyle name="_Blend plan as of 08-Feb-05" xfId="1417"/>
    <cellStyle name="_Blend plan as of 08-Feb-05 2" xfId="1418"/>
    <cellStyle name="_Blend plan as of 08-Feb-05_01  Usulan Blend Plan BMO_220408 (2)" xfId="1419"/>
    <cellStyle name="_Blend plan as of 08-Feb-05_01  Usulan Blend Plan BMO_220408 (2) 2" xfId="1420"/>
    <cellStyle name="_Blend plan as of 08-Feb-05_01  Usulan Blend Plan BMO_220408 (2)_Wadi-Qinfa" xfId="1421"/>
    <cellStyle name="_Blend plan as of 08-Feb-05_Stock Status Jul 29, 2008" xfId="1422"/>
    <cellStyle name="_Blend plan as of 08-Feb-05_Stock Status Jul 29, 2008 2" xfId="1423"/>
    <cellStyle name="_Blend plan as of 08-Feb-05_Stock Status Jul 29, 2008_Wadi-Qinfa" xfId="1424"/>
    <cellStyle name="_Blend plan as of 08-Feb-05_Usulan Blend Plan BMO 11-03-08" xfId="1425"/>
    <cellStyle name="_Blend plan as of 08-Feb-05_Usulan Blend Plan BMO 11-03-08 2" xfId="1426"/>
    <cellStyle name="_Blend plan as of 08-Feb-05_Usulan Blend Plan BMO 11-03-08_Wadi-Qinfa" xfId="1427"/>
    <cellStyle name="_Blend plan as of 08-Feb-05_Usulan Blend Plan BMO 25-03-08" xfId="1428"/>
    <cellStyle name="_Blend plan as of 08-Feb-05_Usulan Blend Plan BMO 25-03-08 2" xfId="1429"/>
    <cellStyle name="_Blend plan as of 08-Feb-05_Usulan Blend Plan BMO 25-03-08_Wadi-Qinfa" xfId="1430"/>
    <cellStyle name="_Blend plan as of 08-Feb-05_Usulan Blending 27 Mei 2008" xfId="1431"/>
    <cellStyle name="_Blend plan as of 08-Feb-05_Usulan Blending 27 Mei 2008 2" xfId="1432"/>
    <cellStyle name="_Blend plan as of 08-Feb-05_Usulan Blending 27 Mei 2008_Wadi-Qinfa" xfId="1433"/>
    <cellStyle name="_Blend plan as of 08-Feb-05_Usulan Blending Plan 10 jun (2)" xfId="1434"/>
    <cellStyle name="_Blend plan as of 08-Feb-05_Usulan Blending Plan 10 jun (2) 2" xfId="1435"/>
    <cellStyle name="_Blend plan as of 08-Feb-05_Usulan Blending Plan 10 jun (2)_Wadi-Qinfa" xfId="1436"/>
    <cellStyle name="_Blend plan as of 08-Feb-05_Usulan Blending Plan 17 jun (2)" xfId="1437"/>
    <cellStyle name="_Blend plan as of 08-Feb-05_Usulan Blending Plan 17 jun (2) 2" xfId="1438"/>
    <cellStyle name="_Blend plan as of 08-Feb-05_Usulan Blending Plan 17 jun (2)_Wadi-Qinfa" xfId="1439"/>
    <cellStyle name="_Blend plan as of 08-Feb-05_Usulan blending plan 21_05_08" xfId="1440"/>
    <cellStyle name="_Blend plan as of 08-Feb-05_Usulan blending plan 21_05_08 2" xfId="1441"/>
    <cellStyle name="_Blend plan as of 08-Feb-05_Usulan blending plan 21_05_08_Wadi-Qinfa" xfId="1442"/>
    <cellStyle name="_Blend plan as of 08-Feb-05_Usulan blending PlaN 27-05-08" xfId="1443"/>
    <cellStyle name="_Blend plan as of 08-Feb-05_Usulan blending PlaN 27-05-08 2" xfId="1444"/>
    <cellStyle name="_Blend plan as of 08-Feb-05_Usulan blending PlaN 27-05-08_Wadi-Qinfa" xfId="1445"/>
    <cellStyle name="_Blend plan as of 08-Feb-05_Usulan Blending Plan_13 Feb 2008_awl" xfId="1446"/>
    <cellStyle name="_Blend plan as of 08-Feb-05_Usulan Blending Plan_13 Feb 2008_awl 2" xfId="1447"/>
    <cellStyle name="_Blend plan as of 08-Feb-05_Usulan Blending Plan_13 Feb 2008_awl_Wadi-Qinfa" xfId="1448"/>
    <cellStyle name="_Blend plan as of 08-Feb-05_Wadi-Qinfa" xfId="1449"/>
    <cellStyle name="_Blend plan as of 08-Mar-05" xfId="1450"/>
    <cellStyle name="_Blend plan as of 08-Mar-05 2" xfId="1451"/>
    <cellStyle name="_Blend plan as of 08-Mar-05_01  Usulan Blend Plan BMO_220408 (2)" xfId="1452"/>
    <cellStyle name="_Blend plan as of 08-Mar-05_01  Usulan Blend Plan BMO_220408 (2) 2" xfId="1453"/>
    <cellStyle name="_Blend plan as of 08-Mar-05_01  Usulan Blend Plan BMO_220408 (2)_Wadi-Qinfa" xfId="1454"/>
    <cellStyle name="_Blend plan as of 08-Mar-05_Stock Status Jul 29, 2008" xfId="1455"/>
    <cellStyle name="_Blend plan as of 08-Mar-05_Stock Status Jul 29, 2008 2" xfId="1456"/>
    <cellStyle name="_Blend plan as of 08-Mar-05_Stock Status Jul 29, 2008_Wadi-Qinfa" xfId="1457"/>
    <cellStyle name="_Blend plan as of 08-Mar-05_Usulan Blend Plan BMO 11-03-08" xfId="1458"/>
    <cellStyle name="_Blend plan as of 08-Mar-05_Usulan Blend Plan BMO 11-03-08 2" xfId="1459"/>
    <cellStyle name="_Blend plan as of 08-Mar-05_Usulan Blend Plan BMO 11-03-08_Wadi-Qinfa" xfId="1460"/>
    <cellStyle name="_Blend plan as of 08-Mar-05_Usulan Blend Plan BMO 25-03-08" xfId="1461"/>
    <cellStyle name="_Blend plan as of 08-Mar-05_Usulan Blend Plan BMO 25-03-08 2" xfId="1462"/>
    <cellStyle name="_Blend plan as of 08-Mar-05_Usulan Blend Plan BMO 25-03-08_Wadi-Qinfa" xfId="1463"/>
    <cellStyle name="_Blend plan as of 08-Mar-05_Usulan Blending 27 Mei 2008" xfId="1464"/>
    <cellStyle name="_Blend plan as of 08-Mar-05_Usulan Blending 27 Mei 2008 2" xfId="1465"/>
    <cellStyle name="_Blend plan as of 08-Mar-05_Usulan Blending 27 Mei 2008_Wadi-Qinfa" xfId="1466"/>
    <cellStyle name="_Blend plan as of 08-Mar-05_Usulan Blending Plan 10 jun (2)" xfId="1467"/>
    <cellStyle name="_Blend plan as of 08-Mar-05_Usulan Blending Plan 10 jun (2) 2" xfId="1468"/>
    <cellStyle name="_Blend plan as of 08-Mar-05_Usulan Blending Plan 10 jun (2)_Wadi-Qinfa" xfId="1469"/>
    <cellStyle name="_Blend plan as of 08-Mar-05_Usulan Blending Plan 17 jun (2)" xfId="1470"/>
    <cellStyle name="_Blend plan as of 08-Mar-05_Usulan Blending Plan 17 jun (2) 2" xfId="1471"/>
    <cellStyle name="_Blend plan as of 08-Mar-05_Usulan Blending Plan 17 jun (2)_Wadi-Qinfa" xfId="1472"/>
    <cellStyle name="_Blend plan as of 08-Mar-05_Usulan blending plan 21_05_08" xfId="1473"/>
    <cellStyle name="_Blend plan as of 08-Mar-05_Usulan blending plan 21_05_08 2" xfId="1474"/>
    <cellStyle name="_Blend plan as of 08-Mar-05_Usulan blending plan 21_05_08_Wadi-Qinfa" xfId="1475"/>
    <cellStyle name="_Blend plan as of 08-Mar-05_Usulan blending PlaN 27-05-08" xfId="1476"/>
    <cellStyle name="_Blend plan as of 08-Mar-05_Usulan blending PlaN 27-05-08 2" xfId="1477"/>
    <cellStyle name="_Blend plan as of 08-Mar-05_Usulan blending PlaN 27-05-08_Wadi-Qinfa" xfId="1478"/>
    <cellStyle name="_Blend plan as of 08-Mar-05_Usulan Blending Plan_13 Feb 2008_awl" xfId="1479"/>
    <cellStyle name="_Blend plan as of 08-Mar-05_Usulan Blending Plan_13 Feb 2008_awl 2" xfId="1480"/>
    <cellStyle name="_Blend plan as of 08-Mar-05_Usulan Blending Plan_13 Feb 2008_awl_Wadi-Qinfa" xfId="1481"/>
    <cellStyle name="_Blend plan as of 08-Mar-05_Wadi-Qinfa" xfId="1482"/>
    <cellStyle name="_Blend plan as of 08-Nopember-05" xfId="1483"/>
    <cellStyle name="_Blend plan as of 08-Nopember-05 2" xfId="1484"/>
    <cellStyle name="_Blend plan as of 08-Nopember-05_01  Usulan Blend Plan BMO_220408 (2)" xfId="1485"/>
    <cellStyle name="_Blend plan as of 08-Nopember-05_01  Usulan Blend Plan BMO_220408 (2) 2" xfId="1486"/>
    <cellStyle name="_Blend plan as of 08-Nopember-05_01  Usulan Blend Plan BMO_220408 (2)_Wadi-Qinfa" xfId="1487"/>
    <cellStyle name="_Blend plan as of 08-Nopember-05_Stock Status Jul 29, 2008" xfId="1488"/>
    <cellStyle name="_Blend plan as of 08-Nopember-05_Stock Status Jul 29, 2008 2" xfId="1489"/>
    <cellStyle name="_Blend plan as of 08-Nopember-05_Stock Status Jul 29, 2008_Wadi-Qinfa" xfId="1490"/>
    <cellStyle name="_Blend plan as of 08-Nopember-05_Usulan Blend Plan BMO 11-03-08" xfId="1491"/>
    <cellStyle name="_Blend plan as of 08-Nopember-05_Usulan Blend Plan BMO 11-03-08 2" xfId="1492"/>
    <cellStyle name="_Blend plan as of 08-Nopember-05_Usulan Blend Plan BMO 11-03-08_Wadi-Qinfa" xfId="1493"/>
    <cellStyle name="_Blend plan as of 08-Nopember-05_Usulan Blend Plan BMO 25-03-08" xfId="1494"/>
    <cellStyle name="_Blend plan as of 08-Nopember-05_Usulan Blend Plan BMO 25-03-08 2" xfId="1495"/>
    <cellStyle name="_Blend plan as of 08-Nopember-05_Usulan Blend Plan BMO 25-03-08_Wadi-Qinfa" xfId="1496"/>
    <cellStyle name="_Blend plan as of 08-Nopember-05_Usulan Blending 27 Mei 2008" xfId="1497"/>
    <cellStyle name="_Blend plan as of 08-Nopember-05_Usulan Blending 27 Mei 2008 2" xfId="1498"/>
    <cellStyle name="_Blend plan as of 08-Nopember-05_Usulan Blending 27 Mei 2008_Wadi-Qinfa" xfId="1499"/>
    <cellStyle name="_Blend plan as of 08-Nopember-05_Usulan Blending Plan 10 jun (2)" xfId="1500"/>
    <cellStyle name="_Blend plan as of 08-Nopember-05_Usulan Blending Plan 10 jun (2) 2" xfId="1501"/>
    <cellStyle name="_Blend plan as of 08-Nopember-05_Usulan Blending Plan 10 jun (2)_Wadi-Qinfa" xfId="1502"/>
    <cellStyle name="_Blend plan as of 08-Nopember-05_Usulan Blending Plan 17 jun (2)" xfId="1503"/>
    <cellStyle name="_Blend plan as of 08-Nopember-05_Usulan Blending Plan 17 jun (2) 2" xfId="1504"/>
    <cellStyle name="_Blend plan as of 08-Nopember-05_Usulan Blending Plan 17 jun (2)_Wadi-Qinfa" xfId="1505"/>
    <cellStyle name="_Blend plan as of 08-Nopember-05_Usulan blending plan 21_05_08" xfId="1506"/>
    <cellStyle name="_Blend plan as of 08-Nopember-05_Usulan blending plan 21_05_08 2" xfId="1507"/>
    <cellStyle name="_Blend plan as of 08-Nopember-05_Usulan blending plan 21_05_08_Wadi-Qinfa" xfId="1508"/>
    <cellStyle name="_Blend plan as of 08-Nopember-05_Usulan blending PlaN 27-05-08" xfId="1509"/>
    <cellStyle name="_Blend plan as of 08-Nopember-05_Usulan blending PlaN 27-05-08 2" xfId="1510"/>
    <cellStyle name="_Blend plan as of 08-Nopember-05_Usulan blending PlaN 27-05-08_Wadi-Qinfa" xfId="1511"/>
    <cellStyle name="_Blend plan as of 08-Nopember-05_Usulan Blending Plan_13 Feb 2008_awl" xfId="1512"/>
    <cellStyle name="_Blend plan as of 08-Nopember-05_Usulan Blending Plan_13 Feb 2008_awl 2" xfId="1513"/>
    <cellStyle name="_Blend plan as of 08-Nopember-05_Usulan Blending Plan_13 Feb 2008_awl_Wadi-Qinfa" xfId="1514"/>
    <cellStyle name="_Blend plan as of 08-Nopember-05_Wadi-Qinfa" xfId="1515"/>
    <cellStyle name="_Blend plan as of 09-January-2007" xfId="1516"/>
    <cellStyle name="_Blend plan as of 09-January-2007 2" xfId="1517"/>
    <cellStyle name="_Blend plan as of 09-January-2007_01  Usulan Blend Plan BMO_220408 (2)" xfId="1518"/>
    <cellStyle name="_Blend plan as of 09-January-2007_01  Usulan Blend Plan BMO_220408 (2) 2" xfId="1519"/>
    <cellStyle name="_Blend plan as of 09-January-2007_01  Usulan Blend Plan BMO_220408 (2)_Wadi-Qinfa" xfId="1520"/>
    <cellStyle name="_Blend plan as of 09-January-2007_Stock Status Jul 29, 2008" xfId="1521"/>
    <cellStyle name="_Blend plan as of 09-January-2007_Stock Status Jul 29, 2008 2" xfId="1522"/>
    <cellStyle name="_Blend plan as of 09-January-2007_Stock Status Jul 29, 2008_Wadi-Qinfa" xfId="1523"/>
    <cellStyle name="_Blend plan as of 09-January-2007_Usulan Blend Plan BMO 11-03-08" xfId="1524"/>
    <cellStyle name="_Blend plan as of 09-January-2007_Usulan Blend Plan BMO 11-03-08 2" xfId="1525"/>
    <cellStyle name="_Blend plan as of 09-January-2007_Usulan Blend Plan BMO 11-03-08_Wadi-Qinfa" xfId="1526"/>
    <cellStyle name="_Blend plan as of 09-January-2007_Usulan Blend Plan BMO 25-03-08" xfId="1527"/>
    <cellStyle name="_Blend plan as of 09-January-2007_Usulan Blend Plan BMO 25-03-08 2" xfId="1528"/>
    <cellStyle name="_Blend plan as of 09-January-2007_Usulan Blend Plan BMO 25-03-08_Wadi-Qinfa" xfId="1529"/>
    <cellStyle name="_Blend plan as of 09-January-2007_Usulan Blending 27 Mei 2008" xfId="1530"/>
    <cellStyle name="_Blend plan as of 09-January-2007_Usulan Blending 27 Mei 2008 2" xfId="1531"/>
    <cellStyle name="_Blend plan as of 09-January-2007_Usulan Blending 27 Mei 2008_Wadi-Qinfa" xfId="1532"/>
    <cellStyle name="_Blend plan as of 09-January-2007_Usulan Blending Plan 10 jun (2)" xfId="1533"/>
    <cellStyle name="_Blend plan as of 09-January-2007_Usulan Blending Plan 10 jun (2) 2" xfId="1534"/>
    <cellStyle name="_Blend plan as of 09-January-2007_Usulan Blending Plan 10 jun (2)_Wadi-Qinfa" xfId="1535"/>
    <cellStyle name="_Blend plan as of 09-January-2007_Usulan Blending Plan 17 jun (2)" xfId="1536"/>
    <cellStyle name="_Blend plan as of 09-January-2007_Usulan Blending Plan 17 jun (2) 2" xfId="1537"/>
    <cellStyle name="_Blend plan as of 09-January-2007_Usulan Blending Plan 17 jun (2)_Wadi-Qinfa" xfId="1538"/>
    <cellStyle name="_Blend plan as of 09-January-2007_Usulan blending plan 21_05_08" xfId="1539"/>
    <cellStyle name="_Blend plan as of 09-January-2007_Usulan blending plan 21_05_08 2" xfId="1540"/>
    <cellStyle name="_Blend plan as of 09-January-2007_Usulan blending plan 21_05_08_Wadi-Qinfa" xfId="1541"/>
    <cellStyle name="_Blend plan as of 09-January-2007_Usulan blending PlaN 27-05-08" xfId="1542"/>
    <cellStyle name="_Blend plan as of 09-January-2007_Usulan blending PlaN 27-05-08 2" xfId="1543"/>
    <cellStyle name="_Blend plan as of 09-January-2007_Usulan blending PlaN 27-05-08_Wadi-Qinfa" xfId="1544"/>
    <cellStyle name="_Blend plan as of 09-January-2007_Usulan Blending Plan_13 Feb 2008_awl" xfId="1545"/>
    <cellStyle name="_Blend plan as of 09-January-2007_Usulan Blending Plan_13 Feb 2008_awl 2" xfId="1546"/>
    <cellStyle name="_Blend plan as of 09-January-2007_Usulan Blending Plan_13 Feb 2008_awl_Wadi-Qinfa" xfId="1547"/>
    <cellStyle name="_Blend plan as of 09-January-2007_Wadi-Qinfa" xfId="1548"/>
    <cellStyle name="_Blend plan as of 09-May-06" xfId="1549"/>
    <cellStyle name="_Blend plan as of 09-May-06 2" xfId="1550"/>
    <cellStyle name="_Blend plan as of 09-May-06_01  Usulan Blend Plan BMO_220408 (2)" xfId="1551"/>
    <cellStyle name="_Blend plan as of 09-May-06_01  Usulan Blend Plan BMO_220408 (2) 2" xfId="1552"/>
    <cellStyle name="_Blend plan as of 09-May-06_01  Usulan Blend Plan BMO_220408 (2)_Wadi-Qinfa" xfId="1553"/>
    <cellStyle name="_Blend plan as of 09-May-06_Stock Status Jul 29, 2008" xfId="1554"/>
    <cellStyle name="_Blend plan as of 09-May-06_Stock Status Jul 29, 2008 2" xfId="1555"/>
    <cellStyle name="_Blend plan as of 09-May-06_Stock Status Jul 29, 2008_Wadi-Qinfa" xfId="1556"/>
    <cellStyle name="_Blend plan as of 09-May-06_Usulan Blend Plan BMO 11-03-08" xfId="1557"/>
    <cellStyle name="_Blend plan as of 09-May-06_Usulan Blend Plan BMO 11-03-08 2" xfId="1558"/>
    <cellStyle name="_Blend plan as of 09-May-06_Usulan Blend Plan BMO 11-03-08_Wadi-Qinfa" xfId="1559"/>
    <cellStyle name="_Blend plan as of 09-May-06_Usulan Blend Plan BMO 25-03-08" xfId="1560"/>
    <cellStyle name="_Blend plan as of 09-May-06_Usulan Blend Plan BMO 25-03-08 2" xfId="1561"/>
    <cellStyle name="_Blend plan as of 09-May-06_Usulan Blend Plan BMO 25-03-08_Wadi-Qinfa" xfId="1562"/>
    <cellStyle name="_Blend plan as of 09-May-06_Usulan Blending 27 Mei 2008" xfId="1563"/>
    <cellStyle name="_Blend plan as of 09-May-06_Usulan Blending 27 Mei 2008 2" xfId="1564"/>
    <cellStyle name="_Blend plan as of 09-May-06_Usulan Blending 27 Mei 2008_Wadi-Qinfa" xfId="1565"/>
    <cellStyle name="_Blend plan as of 09-May-06_Usulan Blending Plan 10 jun (2)" xfId="1566"/>
    <cellStyle name="_Blend plan as of 09-May-06_Usulan Blending Plan 10 jun (2) 2" xfId="1567"/>
    <cellStyle name="_Blend plan as of 09-May-06_Usulan Blending Plan 10 jun (2)_Wadi-Qinfa" xfId="1568"/>
    <cellStyle name="_Blend plan as of 09-May-06_Usulan Blending Plan 17 jun (2)" xfId="1569"/>
    <cellStyle name="_Blend plan as of 09-May-06_Usulan Blending Plan 17 jun (2) 2" xfId="1570"/>
    <cellStyle name="_Blend plan as of 09-May-06_Usulan Blending Plan 17 jun (2)_Wadi-Qinfa" xfId="1571"/>
    <cellStyle name="_Blend plan as of 09-May-06_Usulan blending plan 21_05_08" xfId="1572"/>
    <cellStyle name="_Blend plan as of 09-May-06_Usulan blending plan 21_05_08 2" xfId="1573"/>
    <cellStyle name="_Blend plan as of 09-May-06_Usulan blending plan 21_05_08_Wadi-Qinfa" xfId="1574"/>
    <cellStyle name="_Blend plan as of 09-May-06_Usulan blending PlaN 27-05-08" xfId="1575"/>
    <cellStyle name="_Blend plan as of 09-May-06_Usulan blending PlaN 27-05-08 2" xfId="1576"/>
    <cellStyle name="_Blend plan as of 09-May-06_Usulan blending PlaN 27-05-08_Wadi-Qinfa" xfId="1577"/>
    <cellStyle name="_Blend plan as of 09-May-06_Usulan Blending Plan_13 Feb 2008_awl" xfId="1578"/>
    <cellStyle name="_Blend plan as of 09-May-06_Usulan Blending Plan_13 Feb 2008_awl 2" xfId="1579"/>
    <cellStyle name="_Blend plan as of 09-May-06_Usulan Blending Plan_13 Feb 2008_awl_Wadi-Qinfa" xfId="1580"/>
    <cellStyle name="_Blend plan as of 09-May-06_Wadi-Qinfa" xfId="1581"/>
    <cellStyle name="_Blend plan as of 10-April-2007" xfId="1582"/>
    <cellStyle name="_Blend plan as of 10-April-2007 2" xfId="1583"/>
    <cellStyle name="_Blend plan as of 10-April-2007_01  Usulan Blend Plan BMO_220408 (2)" xfId="1584"/>
    <cellStyle name="_Blend plan as of 10-April-2007_01  Usulan Blend Plan BMO_220408 (2) 2" xfId="1585"/>
    <cellStyle name="_Blend plan as of 10-April-2007_01  Usulan Blend Plan BMO_220408 (2)_Wadi-Qinfa" xfId="1586"/>
    <cellStyle name="_Blend plan as of 10-April-2007_Stock Status Jul 29, 2008" xfId="1587"/>
    <cellStyle name="_Blend plan as of 10-April-2007_Stock Status Jul 29, 2008 2" xfId="1588"/>
    <cellStyle name="_Blend plan as of 10-April-2007_Stock Status Jul 29, 2008_Wadi-Qinfa" xfId="1589"/>
    <cellStyle name="_Blend plan as of 10-April-2007_Usulan Blend Plan BMO 11-03-08" xfId="1590"/>
    <cellStyle name="_Blend plan as of 10-April-2007_Usulan Blend Plan BMO 11-03-08 2" xfId="1591"/>
    <cellStyle name="_Blend plan as of 10-April-2007_Usulan Blend Plan BMO 11-03-08_Wadi-Qinfa" xfId="1592"/>
    <cellStyle name="_Blend plan as of 10-April-2007_Usulan Blend Plan BMO 25-03-08" xfId="1593"/>
    <cellStyle name="_Blend plan as of 10-April-2007_Usulan Blend Plan BMO 25-03-08 2" xfId="1594"/>
    <cellStyle name="_Blend plan as of 10-April-2007_Usulan Blend Plan BMO 25-03-08_Wadi-Qinfa" xfId="1595"/>
    <cellStyle name="_Blend plan as of 10-April-2007_Usulan Blending 27 Mei 2008" xfId="1596"/>
    <cellStyle name="_Blend plan as of 10-April-2007_Usulan Blending 27 Mei 2008 2" xfId="1597"/>
    <cellStyle name="_Blend plan as of 10-April-2007_Usulan Blending 27 Mei 2008_Wadi-Qinfa" xfId="1598"/>
    <cellStyle name="_Blend plan as of 10-April-2007_Usulan Blending Plan 10 jun (2)" xfId="1599"/>
    <cellStyle name="_Blend plan as of 10-April-2007_Usulan Blending Plan 10 jun (2) 2" xfId="1600"/>
    <cellStyle name="_Blend plan as of 10-April-2007_Usulan Blending Plan 10 jun (2)_Wadi-Qinfa" xfId="1601"/>
    <cellStyle name="_Blend plan as of 10-April-2007_Usulan Blending Plan 17 jun (2)" xfId="1602"/>
    <cellStyle name="_Blend plan as of 10-April-2007_Usulan Blending Plan 17 jun (2) 2" xfId="1603"/>
    <cellStyle name="_Blend plan as of 10-April-2007_Usulan Blending Plan 17 jun (2)_Wadi-Qinfa" xfId="1604"/>
    <cellStyle name="_Blend plan as of 10-April-2007_Usulan blending plan 21_05_08" xfId="1605"/>
    <cellStyle name="_Blend plan as of 10-April-2007_Usulan blending plan 21_05_08 2" xfId="1606"/>
    <cellStyle name="_Blend plan as of 10-April-2007_Usulan blending plan 21_05_08_Wadi-Qinfa" xfId="1607"/>
    <cellStyle name="_Blend plan as of 10-April-2007_Usulan blending PlaN 27-05-08" xfId="1608"/>
    <cellStyle name="_Blend plan as of 10-April-2007_Usulan blending PlaN 27-05-08 2" xfId="1609"/>
    <cellStyle name="_Blend plan as of 10-April-2007_Usulan blending PlaN 27-05-08_Wadi-Qinfa" xfId="1610"/>
    <cellStyle name="_Blend plan as of 10-April-2007_Usulan Blending Plan_13 Feb 2008_awl" xfId="1611"/>
    <cellStyle name="_Blend plan as of 10-April-2007_Usulan Blending Plan_13 Feb 2008_awl 2" xfId="1612"/>
    <cellStyle name="_Blend plan as of 10-April-2007_Usulan Blending Plan_13 Feb 2008_awl_Wadi-Qinfa" xfId="1613"/>
    <cellStyle name="_Blend plan as of 10-April-2007_Wadi-Qinfa" xfId="1614"/>
    <cellStyle name="_Blend plan as of 10-Juli-2007" xfId="1615"/>
    <cellStyle name="_Blend plan as of 10-Juli-2007 2" xfId="1616"/>
    <cellStyle name="_Blend plan as of 10-Juli-2007_01  Usulan Blend Plan BMO_220408 (2)" xfId="1617"/>
    <cellStyle name="_Blend plan as of 10-Juli-2007_01  Usulan Blend Plan BMO_220408 (2) 2" xfId="1618"/>
    <cellStyle name="_Blend plan as of 10-Juli-2007_01  Usulan Blend Plan BMO_220408 (2)_Wadi-Qinfa" xfId="1619"/>
    <cellStyle name="_Blend plan as of 10-Juli-2007_Stock Status Jul 29, 2008" xfId="1620"/>
    <cellStyle name="_Blend plan as of 10-Juli-2007_Stock Status Jul 29, 2008 2" xfId="1621"/>
    <cellStyle name="_Blend plan as of 10-Juli-2007_Stock Status Jul 29, 2008_Wadi-Qinfa" xfId="1622"/>
    <cellStyle name="_Blend plan as of 10-Juli-2007_Usulan Blend Plan BMO 11-03-08" xfId="1623"/>
    <cellStyle name="_Blend plan as of 10-Juli-2007_Usulan Blend Plan BMO 11-03-08 2" xfId="1624"/>
    <cellStyle name="_Blend plan as of 10-Juli-2007_Usulan Blend Plan BMO 11-03-08_Wadi-Qinfa" xfId="1625"/>
    <cellStyle name="_Blend plan as of 10-Juli-2007_Usulan Blend Plan BMO 25-03-08" xfId="1626"/>
    <cellStyle name="_Blend plan as of 10-Juli-2007_Usulan Blend Plan BMO 25-03-08 2" xfId="1627"/>
    <cellStyle name="_Blend plan as of 10-Juli-2007_Usulan Blend Plan BMO 25-03-08_Wadi-Qinfa" xfId="1628"/>
    <cellStyle name="_Blend plan as of 10-Juli-2007_Usulan Blending 27 Mei 2008" xfId="1629"/>
    <cellStyle name="_Blend plan as of 10-Juli-2007_Usulan Blending 27 Mei 2008 2" xfId="1630"/>
    <cellStyle name="_Blend plan as of 10-Juli-2007_Usulan Blending 27 Mei 2008_Wadi-Qinfa" xfId="1631"/>
    <cellStyle name="_Blend plan as of 10-Juli-2007_Usulan Blending Plan 10 jun (2)" xfId="1632"/>
    <cellStyle name="_Blend plan as of 10-Juli-2007_Usulan Blending Plan 10 jun (2) 2" xfId="1633"/>
    <cellStyle name="_Blend plan as of 10-Juli-2007_Usulan Blending Plan 10 jun (2)_Wadi-Qinfa" xfId="1634"/>
    <cellStyle name="_Blend plan as of 10-Juli-2007_Usulan Blending Plan 17 jun (2)" xfId="1635"/>
    <cellStyle name="_Blend plan as of 10-Juli-2007_Usulan Blending Plan 17 jun (2) 2" xfId="1636"/>
    <cellStyle name="_Blend plan as of 10-Juli-2007_Usulan Blending Plan 17 jun (2)_Wadi-Qinfa" xfId="1637"/>
    <cellStyle name="_Blend plan as of 10-Juli-2007_Usulan blending plan 21_05_08" xfId="1638"/>
    <cellStyle name="_Blend plan as of 10-Juli-2007_Usulan blending plan 21_05_08 2" xfId="1639"/>
    <cellStyle name="_Blend plan as of 10-Juli-2007_Usulan blending plan 21_05_08_Wadi-Qinfa" xfId="1640"/>
    <cellStyle name="_Blend plan as of 10-Juli-2007_Usulan blending PlaN 27-05-08" xfId="1641"/>
    <cellStyle name="_Blend plan as of 10-Juli-2007_Usulan blending PlaN 27-05-08 2" xfId="1642"/>
    <cellStyle name="_Blend plan as of 10-Juli-2007_Usulan blending PlaN 27-05-08_Wadi-Qinfa" xfId="1643"/>
    <cellStyle name="_Blend plan as of 10-Juli-2007_Usulan Blending Plan_13 Feb 2008_awl" xfId="1644"/>
    <cellStyle name="_Blend plan as of 10-Juli-2007_Usulan Blending Plan_13 Feb 2008_awl 2" xfId="1645"/>
    <cellStyle name="_Blend plan as of 10-Juli-2007_Usulan Blending Plan_13 Feb 2008_awl_Wadi-Qinfa" xfId="1646"/>
    <cellStyle name="_Blend plan as of 10-Juli-2007_Wadi-Qinfa" xfId="1647"/>
    <cellStyle name="_Blend plan as of 10-May-05" xfId="1648"/>
    <cellStyle name="_Blend plan as of 10-May-05 2" xfId="1649"/>
    <cellStyle name="_Blend plan as of 10-May-05_01  Usulan Blend Plan BMO_220408 (2)" xfId="1650"/>
    <cellStyle name="_Blend plan as of 10-May-05_01  Usulan Blend Plan BMO_220408 (2) 2" xfId="1651"/>
    <cellStyle name="_Blend plan as of 10-May-05_01  Usulan Blend Plan BMO_220408 (2)_Wadi-Qinfa" xfId="1652"/>
    <cellStyle name="_Blend plan as of 10-May-05_Stock Status Jul 29, 2008" xfId="1653"/>
    <cellStyle name="_Blend plan as of 10-May-05_Stock Status Jul 29, 2008 2" xfId="1654"/>
    <cellStyle name="_Blend plan as of 10-May-05_Stock Status Jul 29, 2008_Wadi-Qinfa" xfId="1655"/>
    <cellStyle name="_Blend plan as of 10-May-05_Usulan Blend Plan BMO 11-03-08" xfId="1656"/>
    <cellStyle name="_Blend plan as of 10-May-05_Usulan Blend Plan BMO 11-03-08 2" xfId="1657"/>
    <cellStyle name="_Blend plan as of 10-May-05_Usulan Blend Plan BMO 11-03-08_Wadi-Qinfa" xfId="1658"/>
    <cellStyle name="_Blend plan as of 10-May-05_Usulan Blend Plan BMO 25-03-08" xfId="1659"/>
    <cellStyle name="_Blend plan as of 10-May-05_Usulan Blend Plan BMO 25-03-08 2" xfId="1660"/>
    <cellStyle name="_Blend plan as of 10-May-05_Usulan Blend Plan BMO 25-03-08_Wadi-Qinfa" xfId="1661"/>
    <cellStyle name="_Blend plan as of 10-May-05_Usulan Blending 27 Mei 2008" xfId="1662"/>
    <cellStyle name="_Blend plan as of 10-May-05_Usulan Blending 27 Mei 2008 2" xfId="1663"/>
    <cellStyle name="_Blend plan as of 10-May-05_Usulan Blending 27 Mei 2008_Wadi-Qinfa" xfId="1664"/>
    <cellStyle name="_Blend plan as of 10-May-05_Usulan Blending Plan 10 jun (2)" xfId="1665"/>
    <cellStyle name="_Blend plan as of 10-May-05_Usulan Blending Plan 10 jun (2) 2" xfId="1666"/>
    <cellStyle name="_Blend plan as of 10-May-05_Usulan Blending Plan 10 jun (2)_Wadi-Qinfa" xfId="1667"/>
    <cellStyle name="_Blend plan as of 10-May-05_Usulan Blending Plan 17 jun (2)" xfId="1668"/>
    <cellStyle name="_Blend plan as of 10-May-05_Usulan Blending Plan 17 jun (2) 2" xfId="1669"/>
    <cellStyle name="_Blend plan as of 10-May-05_Usulan Blending Plan 17 jun (2)_Wadi-Qinfa" xfId="1670"/>
    <cellStyle name="_Blend plan as of 10-May-05_Usulan blending plan 21_05_08" xfId="1671"/>
    <cellStyle name="_Blend plan as of 10-May-05_Usulan blending plan 21_05_08 2" xfId="1672"/>
    <cellStyle name="_Blend plan as of 10-May-05_Usulan blending plan 21_05_08_Wadi-Qinfa" xfId="1673"/>
    <cellStyle name="_Blend plan as of 10-May-05_Usulan blending PlaN 27-05-08" xfId="1674"/>
    <cellStyle name="_Blend plan as of 10-May-05_Usulan blending PlaN 27-05-08 2" xfId="1675"/>
    <cellStyle name="_Blend plan as of 10-May-05_Usulan blending PlaN 27-05-08_Wadi-Qinfa" xfId="1676"/>
    <cellStyle name="_Blend plan as of 10-May-05_Usulan Blending Plan_13 Feb 2008_awl" xfId="1677"/>
    <cellStyle name="_Blend plan as of 10-May-05_Usulan Blending Plan_13 Feb 2008_awl 2" xfId="1678"/>
    <cellStyle name="_Blend plan as of 10-May-05_Usulan Blending Plan_13 Feb 2008_awl_Wadi-Qinfa" xfId="1679"/>
    <cellStyle name="_Blend plan as of 10-May-05_Wadi-Qinfa" xfId="1680"/>
    <cellStyle name="_Blend plan as of 10-October-06" xfId="1681"/>
    <cellStyle name="_Blend plan as of 10-October-06 2" xfId="1682"/>
    <cellStyle name="_Blend plan as of 10-October-06_01  Usulan Blend Plan BMO_220408 (2)" xfId="1683"/>
    <cellStyle name="_Blend plan as of 10-October-06_01  Usulan Blend Plan BMO_220408 (2) 2" xfId="1684"/>
    <cellStyle name="_Blend plan as of 10-October-06_01  Usulan Blend Plan BMO_220408 (2)_Wadi-Qinfa" xfId="1685"/>
    <cellStyle name="_Blend plan as of 10-October-06_Stock Status Jul 29, 2008" xfId="1686"/>
    <cellStyle name="_Blend plan as of 10-October-06_Stock Status Jul 29, 2008 2" xfId="1687"/>
    <cellStyle name="_Blend plan as of 10-October-06_Stock Status Jul 29, 2008_Wadi-Qinfa" xfId="1688"/>
    <cellStyle name="_Blend plan as of 10-October-06_Usulan Blend Plan BMO 11-03-08" xfId="1689"/>
    <cellStyle name="_Blend plan as of 10-October-06_Usulan Blend Plan BMO 11-03-08 2" xfId="1690"/>
    <cellStyle name="_Blend plan as of 10-October-06_Usulan Blend Plan BMO 11-03-08_Wadi-Qinfa" xfId="1691"/>
    <cellStyle name="_Blend plan as of 10-October-06_Usulan Blend Plan BMO 25-03-08" xfId="1692"/>
    <cellStyle name="_Blend plan as of 10-October-06_Usulan Blend Plan BMO 25-03-08 2" xfId="1693"/>
    <cellStyle name="_Blend plan as of 10-October-06_Usulan Blend Plan BMO 25-03-08_Wadi-Qinfa" xfId="1694"/>
    <cellStyle name="_Blend plan as of 10-October-06_Usulan Blending 27 Mei 2008" xfId="1695"/>
    <cellStyle name="_Blend plan as of 10-October-06_Usulan Blending 27 Mei 2008 2" xfId="1696"/>
    <cellStyle name="_Blend plan as of 10-October-06_Usulan Blending 27 Mei 2008_Wadi-Qinfa" xfId="1697"/>
    <cellStyle name="_Blend plan as of 10-October-06_Usulan Blending Plan 10 jun (2)" xfId="1698"/>
    <cellStyle name="_Blend plan as of 10-October-06_Usulan Blending Plan 10 jun (2) 2" xfId="1699"/>
    <cellStyle name="_Blend plan as of 10-October-06_Usulan Blending Plan 10 jun (2)_Wadi-Qinfa" xfId="1700"/>
    <cellStyle name="_Blend plan as of 10-October-06_Usulan Blending Plan 17 jun (2)" xfId="1701"/>
    <cellStyle name="_Blend plan as of 10-October-06_Usulan Blending Plan 17 jun (2) 2" xfId="1702"/>
    <cellStyle name="_Blend plan as of 10-October-06_Usulan Blending Plan 17 jun (2)_Wadi-Qinfa" xfId="1703"/>
    <cellStyle name="_Blend plan as of 10-October-06_Usulan blending plan 21_05_08" xfId="1704"/>
    <cellStyle name="_Blend plan as of 10-October-06_Usulan blending plan 21_05_08 2" xfId="1705"/>
    <cellStyle name="_Blend plan as of 10-October-06_Usulan blending plan 21_05_08_Wadi-Qinfa" xfId="1706"/>
    <cellStyle name="_Blend plan as of 10-October-06_Usulan blending PlaN 27-05-08" xfId="1707"/>
    <cellStyle name="_Blend plan as of 10-October-06_Usulan blending PlaN 27-05-08 2" xfId="1708"/>
    <cellStyle name="_Blend plan as of 10-October-06_Usulan blending PlaN 27-05-08_Wadi-Qinfa" xfId="1709"/>
    <cellStyle name="_Blend plan as of 10-October-06_Usulan Blending Plan_13 Feb 2008_awl" xfId="1710"/>
    <cellStyle name="_Blend plan as of 10-October-06_Usulan Blending Plan_13 Feb 2008_awl 2" xfId="1711"/>
    <cellStyle name="_Blend plan as of 10-October-06_Usulan Blending Plan_13 Feb 2008_awl_Wadi-Qinfa" xfId="1712"/>
    <cellStyle name="_Blend plan as of 10-October-06_Wadi-Qinfa" xfId="1713"/>
    <cellStyle name="_Blend plan as of 11-April-06" xfId="1714"/>
    <cellStyle name="_Blend plan as of 11-April-06 2" xfId="1715"/>
    <cellStyle name="_Blend plan as of 11-April-06_01  Usulan Blend Plan BMO_220408 (2)" xfId="1716"/>
    <cellStyle name="_Blend plan as of 11-April-06_01  Usulan Blend Plan BMO_220408 (2) 2" xfId="1717"/>
    <cellStyle name="_Blend plan as of 11-April-06_01  Usulan Blend Plan BMO_220408 (2)_Wadi-Qinfa" xfId="1718"/>
    <cellStyle name="_Blend plan as of 11-April-06_Stock Status Jul 29, 2008" xfId="1719"/>
    <cellStyle name="_Blend plan as of 11-April-06_Stock Status Jul 29, 2008 2" xfId="1720"/>
    <cellStyle name="_Blend plan as of 11-April-06_Stock Status Jul 29, 2008_Wadi-Qinfa" xfId="1721"/>
    <cellStyle name="_Blend plan as of 11-April-06_Usulan Blend Plan BMO 11-03-08" xfId="1722"/>
    <cellStyle name="_Blend plan as of 11-April-06_Usulan Blend Plan BMO 11-03-08 2" xfId="1723"/>
    <cellStyle name="_Blend plan as of 11-April-06_Usulan Blend Plan BMO 11-03-08_Wadi-Qinfa" xfId="1724"/>
    <cellStyle name="_Blend plan as of 11-April-06_Usulan Blend Plan BMO 25-03-08" xfId="1725"/>
    <cellStyle name="_Blend plan as of 11-April-06_Usulan Blend Plan BMO 25-03-08 2" xfId="1726"/>
    <cellStyle name="_Blend plan as of 11-April-06_Usulan Blend Plan BMO 25-03-08_Wadi-Qinfa" xfId="1727"/>
    <cellStyle name="_Blend plan as of 11-April-06_Usulan Blending 27 Mei 2008" xfId="1728"/>
    <cellStyle name="_Blend plan as of 11-April-06_Usulan Blending 27 Mei 2008 2" xfId="1729"/>
    <cellStyle name="_Blend plan as of 11-April-06_Usulan Blending 27 Mei 2008_Wadi-Qinfa" xfId="1730"/>
    <cellStyle name="_Blend plan as of 11-April-06_Usulan Blending Plan 10 jun (2)" xfId="1731"/>
    <cellStyle name="_Blend plan as of 11-April-06_Usulan Blending Plan 10 jun (2) 2" xfId="1732"/>
    <cellStyle name="_Blend plan as of 11-April-06_Usulan Blending Plan 10 jun (2)_Wadi-Qinfa" xfId="1733"/>
    <cellStyle name="_Blend plan as of 11-April-06_Usulan Blending Plan 17 jun (2)" xfId="1734"/>
    <cellStyle name="_Blend plan as of 11-April-06_Usulan Blending Plan 17 jun (2) 2" xfId="1735"/>
    <cellStyle name="_Blend plan as of 11-April-06_Usulan Blending Plan 17 jun (2)_Wadi-Qinfa" xfId="1736"/>
    <cellStyle name="_Blend plan as of 11-April-06_Usulan blending plan 21_05_08" xfId="1737"/>
    <cellStyle name="_Blend plan as of 11-April-06_Usulan blending plan 21_05_08 2" xfId="1738"/>
    <cellStyle name="_Blend plan as of 11-April-06_Usulan blending plan 21_05_08_Wadi-Qinfa" xfId="1739"/>
    <cellStyle name="_Blend plan as of 11-April-06_Usulan blending PlaN 27-05-08" xfId="1740"/>
    <cellStyle name="_Blend plan as of 11-April-06_Usulan blending PlaN 27-05-08 2" xfId="1741"/>
    <cellStyle name="_Blend plan as of 11-April-06_Usulan blending PlaN 27-05-08_Wadi-Qinfa" xfId="1742"/>
    <cellStyle name="_Blend plan as of 11-April-06_Usulan Blending Plan_13 Feb 2008_awl" xfId="1743"/>
    <cellStyle name="_Blend plan as of 11-April-06_Usulan Blending Plan_13 Feb 2008_awl 2" xfId="1744"/>
    <cellStyle name="_Blend plan as of 11-April-06_Usulan Blending Plan_13 Feb 2008_awl_Wadi-Qinfa" xfId="1745"/>
    <cellStyle name="_Blend plan as of 11-April-06_Wadi-Qinfa" xfId="1746"/>
    <cellStyle name="_Blend plan as of 11-Desember-2007" xfId="1747"/>
    <cellStyle name="_Blend plan as of 11-Desember-2007 2" xfId="1748"/>
    <cellStyle name="_Blend plan as of 11-Desember-2007_01  Usulan Blend Plan BMO_220408 (2)" xfId="1749"/>
    <cellStyle name="_Blend plan as of 11-Desember-2007_01  Usulan Blend Plan BMO_220408 (2) 2" xfId="1750"/>
    <cellStyle name="_Blend plan as of 11-Desember-2007_01  Usulan Blend Plan BMO_220408 (2)_Wadi-Qinfa" xfId="1751"/>
    <cellStyle name="_Blend plan as of 11-Desember-2007_Stock Status Jul 29, 2008" xfId="1752"/>
    <cellStyle name="_Blend plan as of 11-Desember-2007_Stock Status Jul 29, 2008 2" xfId="1753"/>
    <cellStyle name="_Blend plan as of 11-Desember-2007_Stock Status Jul 29, 2008_Wadi-Qinfa" xfId="1754"/>
    <cellStyle name="_Blend plan as of 11-Desember-2007_Usulan Blend Plan BMO 11-03-08" xfId="1755"/>
    <cellStyle name="_Blend plan as of 11-Desember-2007_Usulan Blend Plan BMO 11-03-08 2" xfId="1756"/>
    <cellStyle name="_Blend plan as of 11-Desember-2007_Usulan Blend Plan BMO 11-03-08_Wadi-Qinfa" xfId="1757"/>
    <cellStyle name="_Blend plan as of 11-Desember-2007_Usulan Blend Plan BMO 25-03-08" xfId="1758"/>
    <cellStyle name="_Blend plan as of 11-Desember-2007_Usulan Blend Plan BMO 25-03-08 2" xfId="1759"/>
    <cellStyle name="_Blend plan as of 11-Desember-2007_Usulan Blend Plan BMO 25-03-08_Wadi-Qinfa" xfId="1760"/>
    <cellStyle name="_Blend plan as of 11-Desember-2007_Usulan Blending 27 Mei 2008" xfId="1761"/>
    <cellStyle name="_Blend plan as of 11-Desember-2007_Usulan Blending 27 Mei 2008 2" xfId="1762"/>
    <cellStyle name="_Blend plan as of 11-Desember-2007_Usulan Blending 27 Mei 2008_Wadi-Qinfa" xfId="1763"/>
    <cellStyle name="_Blend plan as of 11-Desember-2007_Usulan Blending Plan 10 jun (2)" xfId="1764"/>
    <cellStyle name="_Blend plan as of 11-Desember-2007_Usulan Blending Plan 10 jun (2) 2" xfId="1765"/>
    <cellStyle name="_Blend plan as of 11-Desember-2007_Usulan Blending Plan 10 jun (2)_Wadi-Qinfa" xfId="1766"/>
    <cellStyle name="_Blend plan as of 11-Desember-2007_Usulan Blending Plan 17 jun (2)" xfId="1767"/>
    <cellStyle name="_Blend plan as of 11-Desember-2007_Usulan Blending Plan 17 jun (2) 2" xfId="1768"/>
    <cellStyle name="_Blend plan as of 11-Desember-2007_Usulan Blending Plan 17 jun (2)_Wadi-Qinfa" xfId="1769"/>
    <cellStyle name="_Blend plan as of 11-Desember-2007_Usulan blending plan 21_05_08" xfId="1770"/>
    <cellStyle name="_Blend plan as of 11-Desember-2007_Usulan blending plan 21_05_08 2" xfId="1771"/>
    <cellStyle name="_Blend plan as of 11-Desember-2007_Usulan blending plan 21_05_08_Wadi-Qinfa" xfId="1772"/>
    <cellStyle name="_Blend plan as of 11-Desember-2007_Usulan blending PlaN 27-05-08" xfId="1773"/>
    <cellStyle name="_Blend plan as of 11-Desember-2007_Usulan blending PlaN 27-05-08 2" xfId="1774"/>
    <cellStyle name="_Blend plan as of 11-Desember-2007_Usulan blending PlaN 27-05-08_Wadi-Qinfa" xfId="1775"/>
    <cellStyle name="_Blend plan as of 11-Desember-2007_Usulan Blending Plan_13 Feb 2008_awl" xfId="1776"/>
    <cellStyle name="_Blend plan as of 11-Desember-2007_Usulan Blending Plan_13 Feb 2008_awl 2" xfId="1777"/>
    <cellStyle name="_Blend plan as of 11-Desember-2007_Usulan Blending Plan_13 Feb 2008_awl_Wadi-Qinfa" xfId="1778"/>
    <cellStyle name="_Blend plan as of 11-Desember-2007_Wadi-Qinfa" xfId="1779"/>
    <cellStyle name="_Blend plan as of 11-Jan-05" xfId="1780"/>
    <cellStyle name="_Blend plan as of 11-Jan-05 2" xfId="1781"/>
    <cellStyle name="_Blend plan as of 11-Jan-05_01  Usulan Blend Plan BMO_220408 (2)" xfId="1782"/>
    <cellStyle name="_Blend plan as of 11-Jan-05_01  Usulan Blend Plan BMO_220408 (2) 2" xfId="1783"/>
    <cellStyle name="_Blend plan as of 11-Jan-05_01  Usulan Blend Plan BMO_220408 (2)_Wadi-Qinfa" xfId="1784"/>
    <cellStyle name="_Blend plan as of 11-Jan-05_Stock Status Jul 29, 2008" xfId="1785"/>
    <cellStyle name="_Blend plan as of 11-Jan-05_Stock Status Jul 29, 2008 2" xfId="1786"/>
    <cellStyle name="_Blend plan as of 11-Jan-05_Stock Status Jul 29, 2008_Wadi-Qinfa" xfId="1787"/>
    <cellStyle name="_Blend plan as of 11-Jan-05_Usulan Blend Plan BMO 11-03-08" xfId="1788"/>
    <cellStyle name="_Blend plan as of 11-Jan-05_Usulan Blend Plan BMO 11-03-08 2" xfId="1789"/>
    <cellStyle name="_Blend plan as of 11-Jan-05_Usulan Blend Plan BMO 11-03-08_Wadi-Qinfa" xfId="1790"/>
    <cellStyle name="_Blend plan as of 11-Jan-05_Usulan Blend Plan BMO 25-03-08" xfId="1791"/>
    <cellStyle name="_Blend plan as of 11-Jan-05_Usulan Blend Plan BMO 25-03-08 2" xfId="1792"/>
    <cellStyle name="_Blend plan as of 11-Jan-05_Usulan Blend Plan BMO 25-03-08_Wadi-Qinfa" xfId="1793"/>
    <cellStyle name="_Blend plan as of 11-Jan-05_Usulan Blending 27 Mei 2008" xfId="1794"/>
    <cellStyle name="_Blend plan as of 11-Jan-05_Usulan Blending 27 Mei 2008 2" xfId="1795"/>
    <cellStyle name="_Blend plan as of 11-Jan-05_Usulan Blending 27 Mei 2008_Wadi-Qinfa" xfId="1796"/>
    <cellStyle name="_Blend plan as of 11-Jan-05_Usulan Blending Plan 10 jun (2)" xfId="1797"/>
    <cellStyle name="_Blend plan as of 11-Jan-05_Usulan Blending Plan 10 jun (2) 2" xfId="1798"/>
    <cellStyle name="_Blend plan as of 11-Jan-05_Usulan Blending Plan 10 jun (2)_Wadi-Qinfa" xfId="1799"/>
    <cellStyle name="_Blend plan as of 11-Jan-05_Usulan Blending Plan 17 jun (2)" xfId="1800"/>
    <cellStyle name="_Blend plan as of 11-Jan-05_Usulan Blending Plan 17 jun (2) 2" xfId="1801"/>
    <cellStyle name="_Blend plan as of 11-Jan-05_Usulan Blending Plan 17 jun (2)_Wadi-Qinfa" xfId="1802"/>
    <cellStyle name="_Blend plan as of 11-Jan-05_Usulan blending plan 21_05_08" xfId="1803"/>
    <cellStyle name="_Blend plan as of 11-Jan-05_Usulan blending plan 21_05_08 2" xfId="1804"/>
    <cellStyle name="_Blend plan as of 11-Jan-05_Usulan blending plan 21_05_08_Wadi-Qinfa" xfId="1805"/>
    <cellStyle name="_Blend plan as of 11-Jan-05_Usulan blending PlaN 27-05-08" xfId="1806"/>
    <cellStyle name="_Blend plan as of 11-Jan-05_Usulan blending PlaN 27-05-08 2" xfId="1807"/>
    <cellStyle name="_Blend plan as of 11-Jan-05_Usulan blending PlaN 27-05-08_Wadi-Qinfa" xfId="1808"/>
    <cellStyle name="_Blend plan as of 11-Jan-05_Usulan Blending Plan_13 Feb 2008_awl" xfId="1809"/>
    <cellStyle name="_Blend plan as of 11-Jan-05_Usulan Blending Plan_13 Feb 2008_awl 2" xfId="1810"/>
    <cellStyle name="_Blend plan as of 11-Jan-05_Usulan Blending Plan_13 Feb 2008_awl_Wadi-Qinfa" xfId="1811"/>
    <cellStyle name="_Blend plan as of 11-Jan-05_Wadi-Qinfa" xfId="1812"/>
    <cellStyle name="_Blend plan as of 11-January-06" xfId="1813"/>
    <cellStyle name="_Blend plan as of 11-January-06 2" xfId="1814"/>
    <cellStyle name="_Blend plan as of 11-January-06_01  Usulan Blend Plan BMO_220408 (2)" xfId="1815"/>
    <cellStyle name="_Blend plan as of 11-January-06_01  Usulan Blend Plan BMO_220408 (2) 2" xfId="1816"/>
    <cellStyle name="_Blend plan as of 11-January-06_01  Usulan Blend Plan BMO_220408 (2)_Wadi-Qinfa" xfId="1817"/>
    <cellStyle name="_Blend plan as of 11-January-06_Stock Status Jul 29, 2008" xfId="1818"/>
    <cellStyle name="_Blend plan as of 11-January-06_Stock Status Jul 29, 2008 2" xfId="1819"/>
    <cellStyle name="_Blend plan as of 11-January-06_Stock Status Jul 29, 2008_Wadi-Qinfa" xfId="1820"/>
    <cellStyle name="_Blend plan as of 11-January-06_Usulan Blend Plan BMO 11-03-08" xfId="1821"/>
    <cellStyle name="_Blend plan as of 11-January-06_Usulan Blend Plan BMO 11-03-08 2" xfId="1822"/>
    <cellStyle name="_Blend plan as of 11-January-06_Usulan Blend Plan BMO 11-03-08_Wadi-Qinfa" xfId="1823"/>
    <cellStyle name="_Blend plan as of 11-January-06_Usulan Blend Plan BMO 25-03-08" xfId="1824"/>
    <cellStyle name="_Blend plan as of 11-January-06_Usulan Blend Plan BMO 25-03-08 2" xfId="1825"/>
    <cellStyle name="_Blend plan as of 11-January-06_Usulan Blend Plan BMO 25-03-08_Wadi-Qinfa" xfId="1826"/>
    <cellStyle name="_Blend plan as of 11-January-06_Usulan Blending 27 Mei 2008" xfId="1827"/>
    <cellStyle name="_Blend plan as of 11-January-06_Usulan Blending 27 Mei 2008 2" xfId="1828"/>
    <cellStyle name="_Blend plan as of 11-January-06_Usulan Blending 27 Mei 2008_Wadi-Qinfa" xfId="1829"/>
    <cellStyle name="_Blend plan as of 11-January-06_Usulan Blending Plan 10 jun (2)" xfId="1830"/>
    <cellStyle name="_Blend plan as of 11-January-06_Usulan Blending Plan 10 jun (2) 2" xfId="1831"/>
    <cellStyle name="_Blend plan as of 11-January-06_Usulan Blending Plan 10 jun (2)_Wadi-Qinfa" xfId="1832"/>
    <cellStyle name="_Blend plan as of 11-January-06_Usulan Blending Plan 17 jun (2)" xfId="1833"/>
    <cellStyle name="_Blend plan as of 11-January-06_Usulan Blending Plan 17 jun (2) 2" xfId="1834"/>
    <cellStyle name="_Blend plan as of 11-January-06_Usulan Blending Plan 17 jun (2)_Wadi-Qinfa" xfId="1835"/>
    <cellStyle name="_Blend plan as of 11-January-06_Usulan blending plan 21_05_08" xfId="1836"/>
    <cellStyle name="_Blend plan as of 11-January-06_Usulan blending plan 21_05_08 2" xfId="1837"/>
    <cellStyle name="_Blend plan as of 11-January-06_Usulan blending plan 21_05_08_Wadi-Qinfa" xfId="1838"/>
    <cellStyle name="_Blend plan as of 11-January-06_Usulan blending PlaN 27-05-08" xfId="1839"/>
    <cellStyle name="_Blend plan as of 11-January-06_Usulan blending PlaN 27-05-08 2" xfId="1840"/>
    <cellStyle name="_Blend plan as of 11-January-06_Usulan blending PlaN 27-05-08_Wadi-Qinfa" xfId="1841"/>
    <cellStyle name="_Blend plan as of 11-January-06_Usulan Blending Plan_13 Feb 2008_awl" xfId="1842"/>
    <cellStyle name="_Blend plan as of 11-January-06_Usulan Blending Plan_13 Feb 2008_awl 2" xfId="1843"/>
    <cellStyle name="_Blend plan as of 11-January-06_Usulan Blending Plan_13 Feb 2008_awl_Wadi-Qinfa" xfId="1844"/>
    <cellStyle name="_Blend plan as of 11-January-06_Wadi-Qinfa" xfId="1845"/>
    <cellStyle name="_Blend plan as of 11-July-06" xfId="1846"/>
    <cellStyle name="_Blend plan as of 11-July-06 2" xfId="1847"/>
    <cellStyle name="_Blend plan as of 11-July-06_01  Usulan Blend Plan BMO_220408 (2)" xfId="1848"/>
    <cellStyle name="_Blend plan as of 11-July-06_01  Usulan Blend Plan BMO_220408 (2) 2" xfId="1849"/>
    <cellStyle name="_Blend plan as of 11-July-06_01  Usulan Blend Plan BMO_220408 (2)_Wadi-Qinfa" xfId="1850"/>
    <cellStyle name="_Blend plan as of 11-July-06_Stock Status Jul 29, 2008" xfId="1851"/>
    <cellStyle name="_Blend plan as of 11-July-06_Stock Status Jul 29, 2008 2" xfId="1852"/>
    <cellStyle name="_Blend plan as of 11-July-06_Stock Status Jul 29, 2008_Wadi-Qinfa" xfId="1853"/>
    <cellStyle name="_Blend plan as of 11-July-06_Usulan Blend Plan BMO 11-03-08" xfId="1854"/>
    <cellStyle name="_Blend plan as of 11-July-06_Usulan Blend Plan BMO 11-03-08 2" xfId="1855"/>
    <cellStyle name="_Blend plan as of 11-July-06_Usulan Blend Plan BMO 11-03-08_Wadi-Qinfa" xfId="1856"/>
    <cellStyle name="_Blend plan as of 11-July-06_Usulan Blend Plan BMO 25-03-08" xfId="1857"/>
    <cellStyle name="_Blend plan as of 11-July-06_Usulan Blend Plan BMO 25-03-08 2" xfId="1858"/>
    <cellStyle name="_Blend plan as of 11-July-06_Usulan Blend Plan BMO 25-03-08_Wadi-Qinfa" xfId="1859"/>
    <cellStyle name="_Blend plan as of 11-July-06_Usulan Blending 27 Mei 2008" xfId="1860"/>
    <cellStyle name="_Blend plan as of 11-July-06_Usulan Blending 27 Mei 2008 2" xfId="1861"/>
    <cellStyle name="_Blend plan as of 11-July-06_Usulan Blending 27 Mei 2008_Wadi-Qinfa" xfId="1862"/>
    <cellStyle name="_Blend plan as of 11-July-06_Usulan Blending Plan 10 jun (2)" xfId="1863"/>
    <cellStyle name="_Blend plan as of 11-July-06_Usulan Blending Plan 10 jun (2) 2" xfId="1864"/>
    <cellStyle name="_Blend plan as of 11-July-06_Usulan Blending Plan 10 jun (2)_Wadi-Qinfa" xfId="1865"/>
    <cellStyle name="_Blend plan as of 11-July-06_Usulan Blending Plan 17 jun (2)" xfId="1866"/>
    <cellStyle name="_Blend plan as of 11-July-06_Usulan Blending Plan 17 jun (2) 2" xfId="1867"/>
    <cellStyle name="_Blend plan as of 11-July-06_Usulan Blending Plan 17 jun (2)_Wadi-Qinfa" xfId="1868"/>
    <cellStyle name="_Blend plan as of 11-July-06_Usulan blending plan 21_05_08" xfId="1869"/>
    <cellStyle name="_Blend plan as of 11-July-06_Usulan blending plan 21_05_08 2" xfId="1870"/>
    <cellStyle name="_Blend plan as of 11-July-06_Usulan blending plan 21_05_08_Wadi-Qinfa" xfId="1871"/>
    <cellStyle name="_Blend plan as of 11-July-06_Usulan blending PlaN 27-05-08" xfId="1872"/>
    <cellStyle name="_Blend plan as of 11-July-06_Usulan blending PlaN 27-05-08 2" xfId="1873"/>
    <cellStyle name="_Blend plan as of 11-July-06_Usulan blending PlaN 27-05-08_Wadi-Qinfa" xfId="1874"/>
    <cellStyle name="_Blend plan as of 11-July-06_Usulan Blending Plan_13 Feb 2008_awl" xfId="1875"/>
    <cellStyle name="_Blend plan as of 11-July-06_Usulan Blending Plan_13 Feb 2008_awl 2" xfId="1876"/>
    <cellStyle name="_Blend plan as of 11-July-06_Usulan Blending Plan_13 Feb 2008_awl_Wadi-Qinfa" xfId="1877"/>
    <cellStyle name="_Blend plan as of 11-July-06_Wadi-Qinfa" xfId="1878"/>
    <cellStyle name="_Blend plan as of 11-October-05" xfId="1879"/>
    <cellStyle name="_Blend plan as of 11-October-05 2" xfId="1880"/>
    <cellStyle name="_Blend plan as of 11-October-05_01  Usulan Blend Plan BMO_220408 (2)" xfId="1881"/>
    <cellStyle name="_Blend plan as of 11-October-05_01  Usulan Blend Plan BMO_220408 (2) 2" xfId="1882"/>
    <cellStyle name="_Blend plan as of 11-October-05_01  Usulan Blend Plan BMO_220408 (2)_Wadi-Qinfa" xfId="1883"/>
    <cellStyle name="_Blend plan as of 11-October-05_Stock Status Jul 29, 2008" xfId="1884"/>
    <cellStyle name="_Blend plan as of 11-October-05_Stock Status Jul 29, 2008 2" xfId="1885"/>
    <cellStyle name="_Blend plan as of 11-October-05_Stock Status Jul 29, 2008_Wadi-Qinfa" xfId="1886"/>
    <cellStyle name="_Blend plan as of 11-October-05_Usulan Blend Plan BMO 11-03-08" xfId="1887"/>
    <cellStyle name="_Blend plan as of 11-October-05_Usulan Blend Plan BMO 11-03-08 2" xfId="1888"/>
    <cellStyle name="_Blend plan as of 11-October-05_Usulan Blend Plan BMO 11-03-08_Wadi-Qinfa" xfId="1889"/>
    <cellStyle name="_Blend plan as of 11-October-05_Usulan Blend Plan BMO 25-03-08" xfId="1890"/>
    <cellStyle name="_Blend plan as of 11-October-05_Usulan Blend Plan BMO 25-03-08 2" xfId="1891"/>
    <cellStyle name="_Blend plan as of 11-October-05_Usulan Blend Plan BMO 25-03-08_Wadi-Qinfa" xfId="1892"/>
    <cellStyle name="_Blend plan as of 11-October-05_Usulan Blending 27 Mei 2008" xfId="1893"/>
    <cellStyle name="_Blend plan as of 11-October-05_Usulan Blending 27 Mei 2008 2" xfId="1894"/>
    <cellStyle name="_Blend plan as of 11-October-05_Usulan Blending 27 Mei 2008_Wadi-Qinfa" xfId="1895"/>
    <cellStyle name="_Blend plan as of 11-October-05_Usulan Blending Plan 10 jun (2)" xfId="1896"/>
    <cellStyle name="_Blend plan as of 11-October-05_Usulan Blending Plan 10 jun (2) 2" xfId="1897"/>
    <cellStyle name="_Blend plan as of 11-October-05_Usulan Blending Plan 10 jun (2)_Wadi-Qinfa" xfId="1898"/>
    <cellStyle name="_Blend plan as of 11-October-05_Usulan Blending Plan 17 jun (2)" xfId="1899"/>
    <cellStyle name="_Blend plan as of 11-October-05_Usulan Blending Plan 17 jun (2) 2" xfId="1900"/>
    <cellStyle name="_Blend plan as of 11-October-05_Usulan Blending Plan 17 jun (2)_Wadi-Qinfa" xfId="1901"/>
    <cellStyle name="_Blend plan as of 11-October-05_Usulan blending plan 21_05_08" xfId="1902"/>
    <cellStyle name="_Blend plan as of 11-October-05_Usulan blending plan 21_05_08 2" xfId="1903"/>
    <cellStyle name="_Blend plan as of 11-October-05_Usulan blending plan 21_05_08_Wadi-Qinfa" xfId="1904"/>
    <cellStyle name="_Blend plan as of 11-October-05_Usulan blending PlaN 27-05-08" xfId="1905"/>
    <cellStyle name="_Blend plan as of 11-October-05_Usulan blending PlaN 27-05-08 2" xfId="1906"/>
    <cellStyle name="_Blend plan as of 11-October-05_Usulan blending PlaN 27-05-08_Wadi-Qinfa" xfId="1907"/>
    <cellStyle name="_Blend plan as of 11-October-05_Usulan Blending Plan_13 Feb 2008_awl" xfId="1908"/>
    <cellStyle name="_Blend plan as of 11-October-05_Usulan Blending Plan_13 Feb 2008_awl 2" xfId="1909"/>
    <cellStyle name="_Blend plan as of 11-October-05_Usulan Blending Plan_13 Feb 2008_awl_Wadi-Qinfa" xfId="1910"/>
    <cellStyle name="_Blend plan as of 11-October-05_Wadi-Qinfa" xfId="1911"/>
    <cellStyle name="_Blend plan as of 11-September-2007" xfId="1912"/>
    <cellStyle name="_Blend plan as of 11-September-2007 2" xfId="1913"/>
    <cellStyle name="_Blend plan as of 11-September-2007_01  Usulan Blend Plan BMO_220408 (2)" xfId="1914"/>
    <cellStyle name="_Blend plan as of 11-September-2007_01  Usulan Blend Plan BMO_220408 (2) 2" xfId="1915"/>
    <cellStyle name="_Blend plan as of 11-September-2007_01  Usulan Blend Plan BMO_220408 (2)_Wadi-Qinfa" xfId="1916"/>
    <cellStyle name="_Blend plan as of 11-September-2007_Stock Status Jul 29, 2008" xfId="1917"/>
    <cellStyle name="_Blend plan as of 11-September-2007_Stock Status Jul 29, 2008 2" xfId="1918"/>
    <cellStyle name="_Blend plan as of 11-September-2007_Stock Status Jul 29, 2008_Wadi-Qinfa" xfId="1919"/>
    <cellStyle name="_Blend plan as of 11-September-2007_Usulan Blend Plan BMO 11-03-08" xfId="1920"/>
    <cellStyle name="_Blend plan as of 11-September-2007_Usulan Blend Plan BMO 11-03-08 2" xfId="1921"/>
    <cellStyle name="_Blend plan as of 11-September-2007_Usulan Blend Plan BMO 11-03-08_Wadi-Qinfa" xfId="1922"/>
    <cellStyle name="_Blend plan as of 11-September-2007_Usulan Blend Plan BMO 25-03-08" xfId="1923"/>
    <cellStyle name="_Blend plan as of 11-September-2007_Usulan Blend Plan BMO 25-03-08 2" xfId="1924"/>
    <cellStyle name="_Blend plan as of 11-September-2007_Usulan Blend Plan BMO 25-03-08_Wadi-Qinfa" xfId="1925"/>
    <cellStyle name="_Blend plan as of 11-September-2007_Usulan Blending 27 Mei 2008" xfId="1926"/>
    <cellStyle name="_Blend plan as of 11-September-2007_Usulan Blending 27 Mei 2008 2" xfId="1927"/>
    <cellStyle name="_Blend plan as of 11-September-2007_Usulan Blending 27 Mei 2008_Wadi-Qinfa" xfId="1928"/>
    <cellStyle name="_Blend plan as of 11-September-2007_Usulan Blending Plan 10 jun (2)" xfId="1929"/>
    <cellStyle name="_Blend plan as of 11-September-2007_Usulan Blending Plan 10 jun (2) 2" xfId="1930"/>
    <cellStyle name="_Blend plan as of 11-September-2007_Usulan Blending Plan 10 jun (2)_Wadi-Qinfa" xfId="1931"/>
    <cellStyle name="_Blend plan as of 11-September-2007_Usulan Blending Plan 17 jun (2)" xfId="1932"/>
    <cellStyle name="_Blend plan as of 11-September-2007_Usulan Blending Plan 17 jun (2) 2" xfId="1933"/>
    <cellStyle name="_Blend plan as of 11-September-2007_Usulan Blending Plan 17 jun (2)_Wadi-Qinfa" xfId="1934"/>
    <cellStyle name="_Blend plan as of 11-September-2007_Usulan blending plan 21_05_08" xfId="1935"/>
    <cellStyle name="_Blend plan as of 11-September-2007_Usulan blending plan 21_05_08 2" xfId="1936"/>
    <cellStyle name="_Blend plan as of 11-September-2007_Usulan blending plan 21_05_08_Wadi-Qinfa" xfId="1937"/>
    <cellStyle name="_Blend plan as of 11-September-2007_Usulan blending PlaN 27-05-08" xfId="1938"/>
    <cellStyle name="_Blend plan as of 11-September-2007_Usulan blending PlaN 27-05-08 2" xfId="1939"/>
    <cellStyle name="_Blend plan as of 11-September-2007_Usulan blending PlaN 27-05-08_Wadi-Qinfa" xfId="1940"/>
    <cellStyle name="_Blend plan as of 11-September-2007_Usulan Blending Plan_13 Feb 2008_awl" xfId="1941"/>
    <cellStyle name="_Blend plan as of 11-September-2007_Usulan Blending Plan_13 Feb 2008_awl 2" xfId="1942"/>
    <cellStyle name="_Blend plan as of 11-September-2007_Usulan Blending Plan_13 Feb 2008_awl_Wadi-Qinfa" xfId="1943"/>
    <cellStyle name="_Blend plan as of 11-September-2007_Wadi-Qinfa" xfId="1944"/>
    <cellStyle name="_Blend plan as of 12-August-06" xfId="1945"/>
    <cellStyle name="_Blend plan as of 12-August-06 2" xfId="1946"/>
    <cellStyle name="_Blend plan as of 12-August-06_01  Usulan Blend Plan BMO_220408 (2)" xfId="1947"/>
    <cellStyle name="_Blend plan as of 12-August-06_01  Usulan Blend Plan BMO_220408 (2) 2" xfId="1948"/>
    <cellStyle name="_Blend plan as of 12-August-06_01  Usulan Blend Plan BMO_220408 (2)_Wadi-Qinfa" xfId="1949"/>
    <cellStyle name="_Blend plan as of 12-August-06_Stock Status Jul 29, 2008" xfId="1950"/>
    <cellStyle name="_Blend plan as of 12-August-06_Stock Status Jul 29, 2008 2" xfId="1951"/>
    <cellStyle name="_Blend plan as of 12-August-06_Stock Status Jul 29, 2008_Wadi-Qinfa" xfId="1952"/>
    <cellStyle name="_Blend plan as of 12-August-06_Usulan Blend Plan BMO 11-03-08" xfId="1953"/>
    <cellStyle name="_Blend plan as of 12-August-06_Usulan Blend Plan BMO 11-03-08 2" xfId="1954"/>
    <cellStyle name="_Blend plan as of 12-August-06_Usulan Blend Plan BMO 11-03-08_Wadi-Qinfa" xfId="1955"/>
    <cellStyle name="_Blend plan as of 12-August-06_Usulan Blend Plan BMO 25-03-08" xfId="1956"/>
    <cellStyle name="_Blend plan as of 12-August-06_Usulan Blend Plan BMO 25-03-08 2" xfId="1957"/>
    <cellStyle name="_Blend plan as of 12-August-06_Usulan Blend Plan BMO 25-03-08_Wadi-Qinfa" xfId="1958"/>
    <cellStyle name="_Blend plan as of 12-August-06_Usulan Blending 27 Mei 2008" xfId="1959"/>
    <cellStyle name="_Blend plan as of 12-August-06_Usulan Blending 27 Mei 2008 2" xfId="1960"/>
    <cellStyle name="_Blend plan as of 12-August-06_Usulan Blending 27 Mei 2008_Wadi-Qinfa" xfId="1961"/>
    <cellStyle name="_Blend plan as of 12-August-06_Usulan Blending Plan 10 jun (2)" xfId="1962"/>
    <cellStyle name="_Blend plan as of 12-August-06_Usulan Blending Plan 10 jun (2) 2" xfId="1963"/>
    <cellStyle name="_Blend plan as of 12-August-06_Usulan Blending Plan 10 jun (2)_Wadi-Qinfa" xfId="1964"/>
    <cellStyle name="_Blend plan as of 12-August-06_Usulan Blending Plan 17 jun (2)" xfId="1965"/>
    <cellStyle name="_Blend plan as of 12-August-06_Usulan Blending Plan 17 jun (2) 2" xfId="1966"/>
    <cellStyle name="_Blend plan as of 12-August-06_Usulan Blending Plan 17 jun (2)_Wadi-Qinfa" xfId="1967"/>
    <cellStyle name="_Blend plan as of 12-August-06_Usulan blending plan 21_05_08" xfId="1968"/>
    <cellStyle name="_Blend plan as of 12-August-06_Usulan blending plan 21_05_08 2" xfId="1969"/>
    <cellStyle name="_Blend plan as of 12-August-06_Usulan blending plan 21_05_08_Wadi-Qinfa" xfId="1970"/>
    <cellStyle name="_Blend plan as of 12-August-06_Usulan blending PlaN 27-05-08" xfId="1971"/>
    <cellStyle name="_Blend plan as of 12-August-06_Usulan blending PlaN 27-05-08 2" xfId="1972"/>
    <cellStyle name="_Blend plan as of 12-August-06_Usulan blending PlaN 27-05-08_Wadi-Qinfa" xfId="1973"/>
    <cellStyle name="_Blend plan as of 12-August-06_Usulan Blending Plan_13 Feb 2008_awl" xfId="1974"/>
    <cellStyle name="_Blend plan as of 12-August-06_Usulan Blending Plan_13 Feb 2008_awl 2" xfId="1975"/>
    <cellStyle name="_Blend plan as of 12-August-06_Usulan Blending Plan_13 Feb 2008_awl_Wadi-Qinfa" xfId="1976"/>
    <cellStyle name="_Blend plan as of 12-August-06_Wadi-Qinfa" xfId="1977"/>
    <cellStyle name="_Blend plan as of 12-Desember-06" xfId="1978"/>
    <cellStyle name="_Blend plan as of 12-Desember-06 2" xfId="1979"/>
    <cellStyle name="_Blend plan as of 12-Desember-06_01  Usulan Blend Plan BMO_220408 (2)" xfId="1980"/>
    <cellStyle name="_Blend plan as of 12-Desember-06_01  Usulan Blend Plan BMO_220408 (2) 2" xfId="1981"/>
    <cellStyle name="_Blend plan as of 12-Desember-06_01  Usulan Blend Plan BMO_220408 (2)_Wadi-Qinfa" xfId="1982"/>
    <cellStyle name="_Blend plan as of 12-Desember-06_Stock Status Jul 29, 2008" xfId="1983"/>
    <cellStyle name="_Blend plan as of 12-Desember-06_Stock Status Jul 29, 2008 2" xfId="1984"/>
    <cellStyle name="_Blend plan as of 12-Desember-06_Stock Status Jul 29, 2008_Wadi-Qinfa" xfId="1985"/>
    <cellStyle name="_Blend plan as of 12-Desember-06_Usulan Blend Plan BMO 11-03-08" xfId="1986"/>
    <cellStyle name="_Blend plan as of 12-Desember-06_Usulan Blend Plan BMO 11-03-08 2" xfId="1987"/>
    <cellStyle name="_Blend plan as of 12-Desember-06_Usulan Blend Plan BMO 11-03-08_Wadi-Qinfa" xfId="1988"/>
    <cellStyle name="_Blend plan as of 12-Desember-06_Usulan Blend Plan BMO 25-03-08" xfId="1989"/>
    <cellStyle name="_Blend plan as of 12-Desember-06_Usulan Blend Plan BMO 25-03-08 2" xfId="1990"/>
    <cellStyle name="_Blend plan as of 12-Desember-06_Usulan Blend Plan BMO 25-03-08_Wadi-Qinfa" xfId="1991"/>
    <cellStyle name="_Blend plan as of 12-Desember-06_Usulan Blending 27 Mei 2008" xfId="1992"/>
    <cellStyle name="_Blend plan as of 12-Desember-06_Usulan Blending 27 Mei 2008 2" xfId="1993"/>
    <cellStyle name="_Blend plan as of 12-Desember-06_Usulan Blending 27 Mei 2008_Wadi-Qinfa" xfId="1994"/>
    <cellStyle name="_Blend plan as of 12-Desember-06_Usulan Blending Plan 10 jun (2)" xfId="1995"/>
    <cellStyle name="_Blend plan as of 12-Desember-06_Usulan Blending Plan 10 jun (2) 2" xfId="1996"/>
    <cellStyle name="_Blend plan as of 12-Desember-06_Usulan Blending Plan 10 jun (2)_Wadi-Qinfa" xfId="1997"/>
    <cellStyle name="_Blend plan as of 12-Desember-06_Usulan Blending Plan 17 jun (2)" xfId="1998"/>
    <cellStyle name="_Blend plan as of 12-Desember-06_Usulan Blending Plan 17 jun (2) 2" xfId="1999"/>
    <cellStyle name="_Blend plan as of 12-Desember-06_Usulan Blending Plan 17 jun (2)_Wadi-Qinfa" xfId="2000"/>
    <cellStyle name="_Blend plan as of 12-Desember-06_Usulan blending plan 21_05_08" xfId="2001"/>
    <cellStyle name="_Blend plan as of 12-Desember-06_Usulan blending plan 21_05_08 2" xfId="2002"/>
    <cellStyle name="_Blend plan as of 12-Desember-06_Usulan blending plan 21_05_08_Wadi-Qinfa" xfId="2003"/>
    <cellStyle name="_Blend plan as of 12-Desember-06_Usulan blending PlaN 27-05-08" xfId="2004"/>
    <cellStyle name="_Blend plan as of 12-Desember-06_Usulan blending PlaN 27-05-08 2" xfId="2005"/>
    <cellStyle name="_Blend plan as of 12-Desember-06_Usulan blending PlaN 27-05-08_Wadi-Qinfa" xfId="2006"/>
    <cellStyle name="_Blend plan as of 12-Desember-06_Usulan Blending Plan_13 Feb 2008_awl" xfId="2007"/>
    <cellStyle name="_Blend plan as of 12-Desember-06_Usulan Blending Plan_13 Feb 2008_awl 2" xfId="2008"/>
    <cellStyle name="_Blend plan as of 12-Desember-06_Usulan Blending Plan_13 Feb 2008_awl_Wadi-Qinfa" xfId="2009"/>
    <cellStyle name="_Blend plan as of 12-Desember-06_Wadi-Qinfa" xfId="2010"/>
    <cellStyle name="_Blend plan as of 12-Juli-051" xfId="2011"/>
    <cellStyle name="_Blend plan as of 12-Juli-051 2" xfId="2012"/>
    <cellStyle name="_Blend plan as of 12-Juli-051_01  Usulan Blend Plan BMO_220408 (2)" xfId="2013"/>
    <cellStyle name="_Blend plan as of 12-Juli-051_01  Usulan Blend Plan BMO_220408 (2) 2" xfId="2014"/>
    <cellStyle name="_Blend plan as of 12-Juli-051_01  Usulan Blend Plan BMO_220408 (2)_Wadi-Qinfa" xfId="2015"/>
    <cellStyle name="_Blend plan as of 12-Juli-051_Stock Status Jul 29, 2008" xfId="2016"/>
    <cellStyle name="_Blend plan as of 12-Juli-051_Stock Status Jul 29, 2008 2" xfId="2017"/>
    <cellStyle name="_Blend plan as of 12-Juli-051_Stock Status Jul 29, 2008_Wadi-Qinfa" xfId="2018"/>
    <cellStyle name="_Blend plan as of 12-Juli-051_Usulan Blend Plan BMO 11-03-08" xfId="2019"/>
    <cellStyle name="_Blend plan as of 12-Juli-051_Usulan Blend Plan BMO 11-03-08 2" xfId="2020"/>
    <cellStyle name="_Blend plan as of 12-Juli-051_Usulan Blend Plan BMO 11-03-08_Wadi-Qinfa" xfId="2021"/>
    <cellStyle name="_Blend plan as of 12-Juli-051_Usulan Blend Plan BMO 25-03-08" xfId="2022"/>
    <cellStyle name="_Blend plan as of 12-Juli-051_Usulan Blend Plan BMO 25-03-08 2" xfId="2023"/>
    <cellStyle name="_Blend plan as of 12-Juli-051_Usulan Blend Plan BMO 25-03-08_Wadi-Qinfa" xfId="2024"/>
    <cellStyle name="_Blend plan as of 12-Juli-051_Usulan Blending 27 Mei 2008" xfId="2025"/>
    <cellStyle name="_Blend plan as of 12-Juli-051_Usulan Blending 27 Mei 2008 2" xfId="2026"/>
    <cellStyle name="_Blend plan as of 12-Juli-051_Usulan Blending 27 Mei 2008_Wadi-Qinfa" xfId="2027"/>
    <cellStyle name="_Blend plan as of 12-Juli-051_Usulan Blending Plan 10 jun (2)" xfId="2028"/>
    <cellStyle name="_Blend plan as of 12-Juli-051_Usulan Blending Plan 10 jun (2) 2" xfId="2029"/>
    <cellStyle name="_Blend plan as of 12-Juli-051_Usulan Blending Plan 10 jun (2)_Wadi-Qinfa" xfId="2030"/>
    <cellStyle name="_Blend plan as of 12-Juli-051_Usulan Blending Plan 17 jun (2)" xfId="2031"/>
    <cellStyle name="_Blend plan as of 12-Juli-051_Usulan Blending Plan 17 jun (2) 2" xfId="2032"/>
    <cellStyle name="_Blend plan as of 12-Juli-051_Usulan Blending Plan 17 jun (2)_Wadi-Qinfa" xfId="2033"/>
    <cellStyle name="_Blend plan as of 12-Juli-051_Usulan blending plan 21_05_08" xfId="2034"/>
    <cellStyle name="_Blend plan as of 12-Juli-051_Usulan blending plan 21_05_08 2" xfId="2035"/>
    <cellStyle name="_Blend plan as of 12-Juli-051_Usulan blending plan 21_05_08_Wadi-Qinfa" xfId="2036"/>
    <cellStyle name="_Blend plan as of 12-Juli-051_Usulan blending PlaN 27-05-08" xfId="2037"/>
    <cellStyle name="_Blend plan as of 12-Juli-051_Usulan blending PlaN 27-05-08 2" xfId="2038"/>
    <cellStyle name="_Blend plan as of 12-Juli-051_Usulan blending PlaN 27-05-08_Wadi-Qinfa" xfId="2039"/>
    <cellStyle name="_Blend plan as of 12-Juli-051_Usulan Blending Plan_13 Feb 2008_awl" xfId="2040"/>
    <cellStyle name="_Blend plan as of 12-Juli-051_Usulan Blending Plan_13 Feb 2008_awl 2" xfId="2041"/>
    <cellStyle name="_Blend plan as of 12-Juli-051_Usulan Blending Plan_13 Feb 2008_awl_Wadi-Qinfa" xfId="2042"/>
    <cellStyle name="_Blend plan as of 12-Juli-051_Wadi-Qinfa" xfId="2043"/>
    <cellStyle name="_Blend plan as of 12-Juni-2007" xfId="2044"/>
    <cellStyle name="_Blend plan as of 12-Juni-2007 2" xfId="2045"/>
    <cellStyle name="_Blend plan as of 12-Juni-2007_01  Usulan Blend Plan BMO_220408 (2)" xfId="2046"/>
    <cellStyle name="_Blend plan as of 12-Juni-2007_01  Usulan Blend Plan BMO_220408 (2) 2" xfId="2047"/>
    <cellStyle name="_Blend plan as of 12-Juni-2007_01  Usulan Blend Plan BMO_220408 (2)_Wadi-Qinfa" xfId="2048"/>
    <cellStyle name="_Blend plan as of 12-Juni-2007_Stock Status Jul 29, 2008" xfId="2049"/>
    <cellStyle name="_Blend plan as of 12-Juni-2007_Stock Status Jul 29, 2008 2" xfId="2050"/>
    <cellStyle name="_Blend plan as of 12-Juni-2007_Stock Status Jul 29, 2008_Wadi-Qinfa" xfId="2051"/>
    <cellStyle name="_Blend plan as of 12-Juni-2007_Usulan Blend Plan BMO 11-03-08" xfId="2052"/>
    <cellStyle name="_Blend plan as of 12-Juni-2007_Usulan Blend Plan BMO 11-03-08 2" xfId="2053"/>
    <cellStyle name="_Blend plan as of 12-Juni-2007_Usulan Blend Plan BMO 11-03-08_Wadi-Qinfa" xfId="2054"/>
    <cellStyle name="_Blend plan as of 12-Juni-2007_Usulan Blend Plan BMO 25-03-08" xfId="2055"/>
    <cellStyle name="_Blend plan as of 12-Juni-2007_Usulan Blend Plan BMO 25-03-08 2" xfId="2056"/>
    <cellStyle name="_Blend plan as of 12-Juni-2007_Usulan Blend Plan BMO 25-03-08_Wadi-Qinfa" xfId="2057"/>
    <cellStyle name="_Blend plan as of 12-Juni-2007_Usulan Blending 27 Mei 2008" xfId="2058"/>
    <cellStyle name="_Blend plan as of 12-Juni-2007_Usulan Blending 27 Mei 2008 2" xfId="2059"/>
    <cellStyle name="_Blend plan as of 12-Juni-2007_Usulan Blending 27 Mei 2008_Wadi-Qinfa" xfId="2060"/>
    <cellStyle name="_Blend plan as of 12-Juni-2007_Usulan Blending Plan 10 jun (2)" xfId="2061"/>
    <cellStyle name="_Blend plan as of 12-Juni-2007_Usulan Blending Plan 10 jun (2) 2" xfId="2062"/>
    <cellStyle name="_Blend plan as of 12-Juni-2007_Usulan Blending Plan 10 jun (2)_Wadi-Qinfa" xfId="2063"/>
    <cellStyle name="_Blend plan as of 12-Juni-2007_Usulan Blending Plan 17 jun (2)" xfId="2064"/>
    <cellStyle name="_Blend plan as of 12-Juni-2007_Usulan Blending Plan 17 jun (2) 2" xfId="2065"/>
    <cellStyle name="_Blend plan as of 12-Juni-2007_Usulan Blending Plan 17 jun (2)_Wadi-Qinfa" xfId="2066"/>
    <cellStyle name="_Blend plan as of 12-Juni-2007_Usulan blending plan 21_05_08" xfId="2067"/>
    <cellStyle name="_Blend plan as of 12-Juni-2007_Usulan blending plan 21_05_08 2" xfId="2068"/>
    <cellStyle name="_Blend plan as of 12-Juni-2007_Usulan blending plan 21_05_08_Wadi-Qinfa" xfId="2069"/>
    <cellStyle name="_Blend plan as of 12-Juni-2007_Usulan blending PlaN 27-05-08" xfId="2070"/>
    <cellStyle name="_Blend plan as of 12-Juni-2007_Usulan blending PlaN 27-05-08 2" xfId="2071"/>
    <cellStyle name="_Blend plan as of 12-Juni-2007_Usulan blending PlaN 27-05-08_Wadi-Qinfa" xfId="2072"/>
    <cellStyle name="_Blend plan as of 12-Juni-2007_Usulan Blending Plan_13 Feb 2008_awl" xfId="2073"/>
    <cellStyle name="_Blend plan as of 12-Juni-2007_Usulan Blending Plan_13 Feb 2008_awl 2" xfId="2074"/>
    <cellStyle name="_Blend plan as of 12-Juni-2007_Usulan Blending Plan_13 Feb 2008_awl_Wadi-Qinfa" xfId="2075"/>
    <cellStyle name="_Blend plan as of 12-Juni-2007_Wadi-Qinfa" xfId="2076"/>
    <cellStyle name="_Blend plan as of 12-September-06" xfId="2077"/>
    <cellStyle name="_Blend plan as of 12-September-06 2" xfId="2078"/>
    <cellStyle name="_Blend plan as of 12-September-06_01  Usulan Blend Plan BMO_220408 (2)" xfId="2079"/>
    <cellStyle name="_Blend plan as of 12-September-06_01  Usulan Blend Plan BMO_220408 (2) 2" xfId="2080"/>
    <cellStyle name="_Blend plan as of 12-September-06_01  Usulan Blend Plan BMO_220408 (2)_Wadi-Qinfa" xfId="2081"/>
    <cellStyle name="_Blend plan as of 12-September-06_Stock Status Jul 29, 2008" xfId="2082"/>
    <cellStyle name="_Blend plan as of 12-September-06_Stock Status Jul 29, 2008 2" xfId="2083"/>
    <cellStyle name="_Blend plan as of 12-September-06_Stock Status Jul 29, 2008_Wadi-Qinfa" xfId="2084"/>
    <cellStyle name="_Blend plan as of 12-September-06_Usulan Blend Plan BMO 11-03-08" xfId="2085"/>
    <cellStyle name="_Blend plan as of 12-September-06_Usulan Blend Plan BMO 11-03-08 2" xfId="2086"/>
    <cellStyle name="_Blend plan as of 12-September-06_Usulan Blend Plan BMO 11-03-08_Wadi-Qinfa" xfId="2087"/>
    <cellStyle name="_Blend plan as of 12-September-06_Usulan Blend Plan BMO 25-03-08" xfId="2088"/>
    <cellStyle name="_Blend plan as of 12-September-06_Usulan Blend Plan BMO 25-03-08 2" xfId="2089"/>
    <cellStyle name="_Blend plan as of 12-September-06_Usulan Blend Plan BMO 25-03-08_Wadi-Qinfa" xfId="2090"/>
    <cellStyle name="_Blend plan as of 12-September-06_Usulan Blending 27 Mei 2008" xfId="2091"/>
    <cellStyle name="_Blend plan as of 12-September-06_Usulan Blending 27 Mei 2008 2" xfId="2092"/>
    <cellStyle name="_Blend plan as of 12-September-06_Usulan Blending 27 Mei 2008_Wadi-Qinfa" xfId="2093"/>
    <cellStyle name="_Blend plan as of 12-September-06_Usulan Blending Plan 10 jun (2)" xfId="2094"/>
    <cellStyle name="_Blend plan as of 12-September-06_Usulan Blending Plan 10 jun (2) 2" xfId="2095"/>
    <cellStyle name="_Blend plan as of 12-September-06_Usulan Blending Plan 10 jun (2)_Wadi-Qinfa" xfId="2096"/>
    <cellStyle name="_Blend plan as of 12-September-06_Usulan Blending Plan 17 jun (2)" xfId="2097"/>
    <cellStyle name="_Blend plan as of 12-September-06_Usulan Blending Plan 17 jun (2) 2" xfId="2098"/>
    <cellStyle name="_Blend plan as of 12-September-06_Usulan Blending Plan 17 jun (2)_Wadi-Qinfa" xfId="2099"/>
    <cellStyle name="_Blend plan as of 12-September-06_Usulan blending plan 21_05_08" xfId="2100"/>
    <cellStyle name="_Blend plan as of 12-September-06_Usulan blending plan 21_05_08 2" xfId="2101"/>
    <cellStyle name="_Blend plan as of 12-September-06_Usulan blending plan 21_05_08_Wadi-Qinfa" xfId="2102"/>
    <cellStyle name="_Blend plan as of 12-September-06_Usulan blending PlaN 27-05-08" xfId="2103"/>
    <cellStyle name="_Blend plan as of 12-September-06_Usulan blending PlaN 27-05-08 2" xfId="2104"/>
    <cellStyle name="_Blend plan as of 12-September-06_Usulan blending PlaN 27-05-08_Wadi-Qinfa" xfId="2105"/>
    <cellStyle name="_Blend plan as of 12-September-06_Usulan Blending Plan_13 Feb 2008_awl" xfId="2106"/>
    <cellStyle name="_Blend plan as of 12-September-06_Usulan Blending Plan_13 Feb 2008_awl 2" xfId="2107"/>
    <cellStyle name="_Blend plan as of 12-September-06_Usulan Blending Plan_13 Feb 2008_awl_Wadi-Qinfa" xfId="2108"/>
    <cellStyle name="_Blend plan as of 12-September-06_Wadi-Qinfa" xfId="2109"/>
    <cellStyle name="_Blend plan as of 13-December-05" xfId="2110"/>
    <cellStyle name="_Blend plan as of 13-December-05 2" xfId="2111"/>
    <cellStyle name="_Blend plan as of 13-December-05_01  Usulan Blend Plan BMO_220408 (2)" xfId="2112"/>
    <cellStyle name="_Blend plan as of 13-December-05_01  Usulan Blend Plan BMO_220408 (2) 2" xfId="2113"/>
    <cellStyle name="_Blend plan as of 13-December-05_01  Usulan Blend Plan BMO_220408 (2)_Wadi-Qinfa" xfId="2114"/>
    <cellStyle name="_Blend plan as of 13-December-05_Stock Status Jul 29, 2008" xfId="2115"/>
    <cellStyle name="_Blend plan as of 13-December-05_Stock Status Jul 29, 2008 2" xfId="2116"/>
    <cellStyle name="_Blend plan as of 13-December-05_Stock Status Jul 29, 2008_Wadi-Qinfa" xfId="2117"/>
    <cellStyle name="_Blend plan as of 13-December-05_Usulan Blend Plan BMO 11-03-08" xfId="2118"/>
    <cellStyle name="_Blend plan as of 13-December-05_Usulan Blend Plan BMO 11-03-08 2" xfId="2119"/>
    <cellStyle name="_Blend plan as of 13-December-05_Usulan Blend Plan BMO 11-03-08_Wadi-Qinfa" xfId="2120"/>
    <cellStyle name="_Blend plan as of 13-December-05_Usulan Blend Plan BMO 25-03-08" xfId="2121"/>
    <cellStyle name="_Blend plan as of 13-December-05_Usulan Blend Plan BMO 25-03-08 2" xfId="2122"/>
    <cellStyle name="_Blend plan as of 13-December-05_Usulan Blend Plan BMO 25-03-08_Wadi-Qinfa" xfId="2123"/>
    <cellStyle name="_Blend plan as of 13-December-05_Usulan Blending 27 Mei 2008" xfId="2124"/>
    <cellStyle name="_Blend plan as of 13-December-05_Usulan Blending 27 Mei 2008 2" xfId="2125"/>
    <cellStyle name="_Blend plan as of 13-December-05_Usulan Blending 27 Mei 2008_Wadi-Qinfa" xfId="2126"/>
    <cellStyle name="_Blend plan as of 13-December-05_Usulan Blending Plan 10 jun (2)" xfId="2127"/>
    <cellStyle name="_Blend plan as of 13-December-05_Usulan Blending Plan 10 jun (2) 2" xfId="2128"/>
    <cellStyle name="_Blend plan as of 13-December-05_Usulan Blending Plan 10 jun (2)_Wadi-Qinfa" xfId="2129"/>
    <cellStyle name="_Blend plan as of 13-December-05_Usulan Blending Plan 17 jun (2)" xfId="2130"/>
    <cellStyle name="_Blend plan as of 13-December-05_Usulan Blending Plan 17 jun (2) 2" xfId="2131"/>
    <cellStyle name="_Blend plan as of 13-December-05_Usulan Blending Plan 17 jun (2)_Wadi-Qinfa" xfId="2132"/>
    <cellStyle name="_Blend plan as of 13-December-05_Usulan blending plan 21_05_08" xfId="2133"/>
    <cellStyle name="_Blend plan as of 13-December-05_Usulan blending plan 21_05_08 2" xfId="2134"/>
    <cellStyle name="_Blend plan as of 13-December-05_Usulan blending plan 21_05_08_Wadi-Qinfa" xfId="2135"/>
    <cellStyle name="_Blend plan as of 13-December-05_Usulan blending PlaN 27-05-08" xfId="2136"/>
    <cellStyle name="_Blend plan as of 13-December-05_Usulan blending PlaN 27-05-08 2" xfId="2137"/>
    <cellStyle name="_Blend plan as of 13-December-05_Usulan blending PlaN 27-05-08_Wadi-Qinfa" xfId="2138"/>
    <cellStyle name="_Blend plan as of 13-December-05_Usulan Blending Plan_13 Feb 2008_awl" xfId="2139"/>
    <cellStyle name="_Blend plan as of 13-December-05_Usulan Blending Plan_13 Feb 2008_awl 2" xfId="2140"/>
    <cellStyle name="_Blend plan as of 13-December-05_Usulan Blending Plan_13 Feb 2008_awl_Wadi-Qinfa" xfId="2141"/>
    <cellStyle name="_Blend plan as of 13-December-05_Wadi-Qinfa" xfId="2142"/>
    <cellStyle name="_Blend plan as of 13-June-06" xfId="2143"/>
    <cellStyle name="_Blend plan as of 13-June-06 2" xfId="2144"/>
    <cellStyle name="_Blend plan as of 13-June-06_01  Usulan Blend Plan BMO_220408 (2)" xfId="2145"/>
    <cellStyle name="_Blend plan as of 13-June-06_01  Usulan Blend Plan BMO_220408 (2) 2" xfId="2146"/>
    <cellStyle name="_Blend plan as of 13-June-06_01  Usulan Blend Plan BMO_220408 (2)_Wadi-Qinfa" xfId="2147"/>
    <cellStyle name="_Blend plan as of 13-June-06_Stock Status Jul 29, 2008" xfId="2148"/>
    <cellStyle name="_Blend plan as of 13-June-06_Stock Status Jul 29, 2008 2" xfId="2149"/>
    <cellStyle name="_Blend plan as of 13-June-06_Stock Status Jul 29, 2008_Wadi-Qinfa" xfId="2150"/>
    <cellStyle name="_Blend plan as of 13-June-06_Usulan Blend Plan BMO 11-03-08" xfId="2151"/>
    <cellStyle name="_Blend plan as of 13-June-06_Usulan Blend Plan BMO 11-03-08 2" xfId="2152"/>
    <cellStyle name="_Blend plan as of 13-June-06_Usulan Blend Plan BMO 11-03-08_Wadi-Qinfa" xfId="2153"/>
    <cellStyle name="_Blend plan as of 13-June-06_Usulan Blend Plan BMO 25-03-08" xfId="2154"/>
    <cellStyle name="_Blend plan as of 13-June-06_Usulan Blend Plan BMO 25-03-08 2" xfId="2155"/>
    <cellStyle name="_Blend plan as of 13-June-06_Usulan Blend Plan BMO 25-03-08_Wadi-Qinfa" xfId="2156"/>
    <cellStyle name="_Blend plan as of 13-June-06_Usulan Blending 27 Mei 2008" xfId="2157"/>
    <cellStyle name="_Blend plan as of 13-June-06_Usulan Blending 27 Mei 2008 2" xfId="2158"/>
    <cellStyle name="_Blend plan as of 13-June-06_Usulan Blending 27 Mei 2008_Wadi-Qinfa" xfId="2159"/>
    <cellStyle name="_Blend plan as of 13-June-06_Usulan Blending Plan 10 jun (2)" xfId="2160"/>
    <cellStyle name="_Blend plan as of 13-June-06_Usulan Blending Plan 10 jun (2) 2" xfId="2161"/>
    <cellStyle name="_Blend plan as of 13-June-06_Usulan Blending Plan 10 jun (2)_Wadi-Qinfa" xfId="2162"/>
    <cellStyle name="_Blend plan as of 13-June-06_Usulan Blending Plan 17 jun (2)" xfId="2163"/>
    <cellStyle name="_Blend plan as of 13-June-06_Usulan Blending Plan 17 jun (2) 2" xfId="2164"/>
    <cellStyle name="_Blend plan as of 13-June-06_Usulan Blending Plan 17 jun (2)_Wadi-Qinfa" xfId="2165"/>
    <cellStyle name="_Blend plan as of 13-June-06_Usulan blending plan 21_05_08" xfId="2166"/>
    <cellStyle name="_Blend plan as of 13-June-06_Usulan blending plan 21_05_08 2" xfId="2167"/>
    <cellStyle name="_Blend plan as of 13-June-06_Usulan blending plan 21_05_08_Wadi-Qinfa" xfId="2168"/>
    <cellStyle name="_Blend plan as of 13-June-06_Usulan blending PlaN 27-05-08" xfId="2169"/>
    <cellStyle name="_Blend plan as of 13-June-06_Usulan blending PlaN 27-05-08 2" xfId="2170"/>
    <cellStyle name="_Blend plan as of 13-June-06_Usulan blending PlaN 27-05-08_Wadi-Qinfa" xfId="2171"/>
    <cellStyle name="_Blend plan as of 13-June-06_Usulan Blending Plan_13 Feb 2008_awl" xfId="2172"/>
    <cellStyle name="_Blend plan as of 13-June-06_Usulan Blending Plan_13 Feb 2008_awl 2" xfId="2173"/>
    <cellStyle name="_Blend plan as of 13-June-06_Usulan Blending Plan_13 Feb 2008_awl_Wadi-Qinfa" xfId="2174"/>
    <cellStyle name="_Blend plan as of 13-June-06_Wadi-Qinfa" xfId="2175"/>
    <cellStyle name="_Blend plan as of 13-Maret-2007" xfId="2176"/>
    <cellStyle name="_Blend plan as of 13-Maret-2007 2" xfId="2177"/>
    <cellStyle name="_Blend plan as of 13-Maret-2007_01  Usulan Blend Plan BMO_220408 (2)" xfId="2178"/>
    <cellStyle name="_Blend plan as of 13-Maret-2007_01  Usulan Blend Plan BMO_220408 (2) 2" xfId="2179"/>
    <cellStyle name="_Blend plan as of 13-Maret-2007_01  Usulan Blend Plan BMO_220408 (2)_Wadi-Qinfa" xfId="2180"/>
    <cellStyle name="_Blend plan as of 13-Maret-2007_Stock Status Jul 29, 2008" xfId="2181"/>
    <cellStyle name="_Blend plan as of 13-Maret-2007_Stock Status Jul 29, 2008 2" xfId="2182"/>
    <cellStyle name="_Blend plan as of 13-Maret-2007_Stock Status Jul 29, 2008_Wadi-Qinfa" xfId="2183"/>
    <cellStyle name="_Blend plan as of 13-Maret-2007_Usulan Blend Plan BMO 11-03-08" xfId="2184"/>
    <cellStyle name="_Blend plan as of 13-Maret-2007_Usulan Blend Plan BMO 11-03-08 2" xfId="2185"/>
    <cellStyle name="_Blend plan as of 13-Maret-2007_Usulan Blend Plan BMO 11-03-08_Wadi-Qinfa" xfId="2186"/>
    <cellStyle name="_Blend plan as of 13-Maret-2007_Usulan Blend Plan BMO 25-03-08" xfId="2187"/>
    <cellStyle name="_Blend plan as of 13-Maret-2007_Usulan Blend Plan BMO 25-03-08 2" xfId="2188"/>
    <cellStyle name="_Blend plan as of 13-Maret-2007_Usulan Blend Plan BMO 25-03-08_Wadi-Qinfa" xfId="2189"/>
    <cellStyle name="_Blend plan as of 13-Maret-2007_Usulan Blending 27 Mei 2008" xfId="2190"/>
    <cellStyle name="_Blend plan as of 13-Maret-2007_Usulan Blending 27 Mei 2008 2" xfId="2191"/>
    <cellStyle name="_Blend plan as of 13-Maret-2007_Usulan Blending 27 Mei 2008_Wadi-Qinfa" xfId="2192"/>
    <cellStyle name="_Blend plan as of 13-Maret-2007_Usulan Blending Plan 10 jun (2)" xfId="2193"/>
    <cellStyle name="_Blend plan as of 13-Maret-2007_Usulan Blending Plan 10 jun (2) 2" xfId="2194"/>
    <cellStyle name="_Blend plan as of 13-Maret-2007_Usulan Blending Plan 10 jun (2)_Wadi-Qinfa" xfId="2195"/>
    <cellStyle name="_Blend plan as of 13-Maret-2007_Usulan Blending Plan 17 jun (2)" xfId="2196"/>
    <cellStyle name="_Blend plan as of 13-Maret-2007_Usulan Blending Plan 17 jun (2) 2" xfId="2197"/>
    <cellStyle name="_Blend plan as of 13-Maret-2007_Usulan Blending Plan 17 jun (2)_Wadi-Qinfa" xfId="2198"/>
    <cellStyle name="_Blend plan as of 13-Maret-2007_Usulan blending plan 21_05_08" xfId="2199"/>
    <cellStyle name="_Blend plan as of 13-Maret-2007_Usulan blending plan 21_05_08 2" xfId="2200"/>
    <cellStyle name="_Blend plan as of 13-Maret-2007_Usulan blending plan 21_05_08_Wadi-Qinfa" xfId="2201"/>
    <cellStyle name="_Blend plan as of 13-Maret-2007_Usulan blending PlaN 27-05-08" xfId="2202"/>
    <cellStyle name="_Blend plan as of 13-Maret-2007_Usulan blending PlaN 27-05-08 2" xfId="2203"/>
    <cellStyle name="_Blend plan as of 13-Maret-2007_Usulan blending PlaN 27-05-08_Wadi-Qinfa" xfId="2204"/>
    <cellStyle name="_Blend plan as of 13-Maret-2007_Usulan Blending Plan_13 Feb 2008_awl" xfId="2205"/>
    <cellStyle name="_Blend plan as of 13-Maret-2007_Usulan Blending Plan_13 Feb 2008_awl 2" xfId="2206"/>
    <cellStyle name="_Blend plan as of 13-Maret-2007_Usulan Blending Plan_13 Feb 2008_awl_Wadi-Qinfa" xfId="2207"/>
    <cellStyle name="_Blend plan as of 13-Maret-2007_Wadi-Qinfa" xfId="2208"/>
    <cellStyle name="_Blend plan as of 13-September-05" xfId="2209"/>
    <cellStyle name="_Blend plan as of 13-September-05 2" xfId="2210"/>
    <cellStyle name="_Blend plan as of 13-September-05_01  Usulan Blend Plan BMO_220408 (2)" xfId="2211"/>
    <cellStyle name="_Blend plan as of 13-September-05_01  Usulan Blend Plan BMO_220408 (2) 2" xfId="2212"/>
    <cellStyle name="_Blend plan as of 13-September-05_01  Usulan Blend Plan BMO_220408 (2)_Wadi-Qinfa" xfId="2213"/>
    <cellStyle name="_Blend plan as of 13-September-05_Stock Status Jul 29, 2008" xfId="2214"/>
    <cellStyle name="_Blend plan as of 13-September-05_Stock Status Jul 29, 2008 2" xfId="2215"/>
    <cellStyle name="_Blend plan as of 13-September-05_Stock Status Jul 29, 2008_Wadi-Qinfa" xfId="2216"/>
    <cellStyle name="_Blend plan as of 13-September-05_Usulan Blend Plan BMO 11-03-08" xfId="2217"/>
    <cellStyle name="_Blend plan as of 13-September-05_Usulan Blend Plan BMO 11-03-08 2" xfId="2218"/>
    <cellStyle name="_Blend plan as of 13-September-05_Usulan Blend Plan BMO 11-03-08_Wadi-Qinfa" xfId="2219"/>
    <cellStyle name="_Blend plan as of 13-September-05_Usulan Blend Plan BMO 25-03-08" xfId="2220"/>
    <cellStyle name="_Blend plan as of 13-September-05_Usulan Blend Plan BMO 25-03-08 2" xfId="2221"/>
    <cellStyle name="_Blend plan as of 13-September-05_Usulan Blend Plan BMO 25-03-08_Wadi-Qinfa" xfId="2222"/>
    <cellStyle name="_Blend plan as of 13-September-05_Usulan Blending 27 Mei 2008" xfId="2223"/>
    <cellStyle name="_Blend plan as of 13-September-05_Usulan Blending 27 Mei 2008 2" xfId="2224"/>
    <cellStyle name="_Blend plan as of 13-September-05_Usulan Blending 27 Mei 2008_Wadi-Qinfa" xfId="2225"/>
    <cellStyle name="_Blend plan as of 13-September-05_Usulan Blending Plan 10 jun (2)" xfId="2226"/>
    <cellStyle name="_Blend plan as of 13-September-05_Usulan Blending Plan 10 jun (2) 2" xfId="2227"/>
    <cellStyle name="_Blend plan as of 13-September-05_Usulan Blending Plan 10 jun (2)_Wadi-Qinfa" xfId="2228"/>
    <cellStyle name="_Blend plan as of 13-September-05_Usulan Blending Plan 17 jun (2)" xfId="2229"/>
    <cellStyle name="_Blend plan as of 13-September-05_Usulan Blending Plan 17 jun (2) 2" xfId="2230"/>
    <cellStyle name="_Blend plan as of 13-September-05_Usulan Blending Plan 17 jun (2)_Wadi-Qinfa" xfId="2231"/>
    <cellStyle name="_Blend plan as of 13-September-05_Usulan blending plan 21_05_08" xfId="2232"/>
    <cellStyle name="_Blend plan as of 13-September-05_Usulan blending plan 21_05_08 2" xfId="2233"/>
    <cellStyle name="_Blend plan as of 13-September-05_Usulan blending plan 21_05_08_Wadi-Qinfa" xfId="2234"/>
    <cellStyle name="_Blend plan as of 13-September-05_Usulan blending PlaN 27-05-08" xfId="2235"/>
    <cellStyle name="_Blend plan as of 13-September-05_Usulan blending PlaN 27-05-08 2" xfId="2236"/>
    <cellStyle name="_Blend plan as of 13-September-05_Usulan blending PlaN 27-05-08_Wadi-Qinfa" xfId="2237"/>
    <cellStyle name="_Blend plan as of 13-September-05_Usulan Blending Plan_13 Feb 2008_awl" xfId="2238"/>
    <cellStyle name="_Blend plan as of 13-September-05_Usulan Blending Plan_13 Feb 2008_awl 2" xfId="2239"/>
    <cellStyle name="_Blend plan as of 13-September-05_Usulan Blending Plan_13 Feb 2008_awl_Wadi-Qinfa" xfId="2240"/>
    <cellStyle name="_Blend plan as of 13-September-05_Wadi-Qinfa" xfId="2241"/>
    <cellStyle name="_Blend plan as of 14-Agustus-2007" xfId="2242"/>
    <cellStyle name="_Blend plan as of 14-Agustus-2007 2" xfId="2243"/>
    <cellStyle name="_Blend plan as of 14-Agustus-2007_01  Usulan Blend Plan BMO_220408 (2)" xfId="2244"/>
    <cellStyle name="_Blend plan as of 14-Agustus-2007_01  Usulan Blend Plan BMO_220408 (2) 2" xfId="2245"/>
    <cellStyle name="_Blend plan as of 14-Agustus-2007_01  Usulan Blend Plan BMO_220408 (2)_Wadi-Qinfa" xfId="2246"/>
    <cellStyle name="_Blend plan as of 14-Agustus-2007_Stock Status Jul 29, 2008" xfId="2247"/>
    <cellStyle name="_Blend plan as of 14-Agustus-2007_Stock Status Jul 29, 2008 2" xfId="2248"/>
    <cellStyle name="_Blend plan as of 14-Agustus-2007_Stock Status Jul 29, 2008_Wadi-Qinfa" xfId="2249"/>
    <cellStyle name="_Blend plan as of 14-Agustus-2007_Usulan Blend Plan BMO 11-03-08" xfId="2250"/>
    <cellStyle name="_Blend plan as of 14-Agustus-2007_Usulan Blend Plan BMO 11-03-08 2" xfId="2251"/>
    <cellStyle name="_Blend plan as of 14-Agustus-2007_Usulan Blend Plan BMO 11-03-08_Wadi-Qinfa" xfId="2252"/>
    <cellStyle name="_Blend plan as of 14-Agustus-2007_Usulan Blend Plan BMO 25-03-08" xfId="2253"/>
    <cellStyle name="_Blend plan as of 14-Agustus-2007_Usulan Blend Plan BMO 25-03-08 2" xfId="2254"/>
    <cellStyle name="_Blend plan as of 14-Agustus-2007_Usulan Blend Plan BMO 25-03-08_Wadi-Qinfa" xfId="2255"/>
    <cellStyle name="_Blend plan as of 14-Agustus-2007_Usulan Blending 27 Mei 2008" xfId="2256"/>
    <cellStyle name="_Blend plan as of 14-Agustus-2007_Usulan Blending 27 Mei 2008 2" xfId="2257"/>
    <cellStyle name="_Blend plan as of 14-Agustus-2007_Usulan Blending 27 Mei 2008_Wadi-Qinfa" xfId="2258"/>
    <cellStyle name="_Blend plan as of 14-Agustus-2007_Usulan Blending Plan 10 jun (2)" xfId="2259"/>
    <cellStyle name="_Blend plan as of 14-Agustus-2007_Usulan Blending Plan 10 jun (2) 2" xfId="2260"/>
    <cellStyle name="_Blend plan as of 14-Agustus-2007_Usulan Blending Plan 10 jun (2)_Wadi-Qinfa" xfId="2261"/>
    <cellStyle name="_Blend plan as of 14-Agustus-2007_Usulan Blending Plan 17 jun (2)" xfId="2262"/>
    <cellStyle name="_Blend plan as of 14-Agustus-2007_Usulan Blending Plan 17 jun (2) 2" xfId="2263"/>
    <cellStyle name="_Blend plan as of 14-Agustus-2007_Usulan Blending Plan 17 jun (2)_Wadi-Qinfa" xfId="2264"/>
    <cellStyle name="_Blend plan as of 14-Agustus-2007_Usulan blending plan 21_05_08" xfId="2265"/>
    <cellStyle name="_Blend plan as of 14-Agustus-2007_Usulan blending plan 21_05_08 2" xfId="2266"/>
    <cellStyle name="_Blend plan as of 14-Agustus-2007_Usulan blending plan 21_05_08_Wadi-Qinfa" xfId="2267"/>
    <cellStyle name="_Blend plan as of 14-Agustus-2007_Usulan blending PlaN 27-05-08" xfId="2268"/>
    <cellStyle name="_Blend plan as of 14-Agustus-2007_Usulan blending PlaN 27-05-08 2" xfId="2269"/>
    <cellStyle name="_Blend plan as of 14-Agustus-2007_Usulan blending PlaN 27-05-08_Wadi-Qinfa" xfId="2270"/>
    <cellStyle name="_Blend plan as of 14-Agustus-2007_Usulan Blending Plan_13 Feb 2008_awl" xfId="2271"/>
    <cellStyle name="_Blend plan as of 14-Agustus-2007_Usulan Blending Plan_13 Feb 2008_awl 2" xfId="2272"/>
    <cellStyle name="_Blend plan as of 14-Agustus-2007_Usulan Blending Plan_13 Feb 2008_awl_Wadi-Qinfa" xfId="2273"/>
    <cellStyle name="_Blend plan as of 14-Agustus-2007_Wadi-Qinfa" xfId="2274"/>
    <cellStyle name="_Blend plan as of 14-Dec-04" xfId="2275"/>
    <cellStyle name="_Blend plan as of 14-Dec-04 2" xfId="2276"/>
    <cellStyle name="_Blend plan as of 14-Dec-04_01  Usulan Blend Plan BMO_220408 (2)" xfId="2277"/>
    <cellStyle name="_Blend plan as of 14-Dec-04_01  Usulan Blend Plan BMO_220408 (2) 2" xfId="2278"/>
    <cellStyle name="_Blend plan as of 14-Dec-04_01  Usulan Blend Plan BMO_220408 (2)_Wadi-Qinfa" xfId="2279"/>
    <cellStyle name="_Blend plan as of 14-Dec-04_Stock Status Jul 29, 2008" xfId="2280"/>
    <cellStyle name="_Blend plan as of 14-Dec-04_Stock Status Jul 29, 2008 2" xfId="2281"/>
    <cellStyle name="_Blend plan as of 14-Dec-04_Stock Status Jul 29, 2008_Wadi-Qinfa" xfId="2282"/>
    <cellStyle name="_Blend plan as of 14-Dec-04_Usulan Blend Plan BMO 11-03-08" xfId="2283"/>
    <cellStyle name="_Blend plan as of 14-Dec-04_Usulan Blend Plan BMO 11-03-08 2" xfId="2284"/>
    <cellStyle name="_Blend plan as of 14-Dec-04_Usulan Blend Plan BMO 11-03-08_Wadi-Qinfa" xfId="2285"/>
    <cellStyle name="_Blend plan as of 14-Dec-04_Usulan Blend Plan BMO 25-03-08" xfId="2286"/>
    <cellStyle name="_Blend plan as of 14-Dec-04_Usulan Blend Plan BMO 25-03-08 2" xfId="2287"/>
    <cellStyle name="_Blend plan as of 14-Dec-04_Usulan Blend Plan BMO 25-03-08_Wadi-Qinfa" xfId="2288"/>
    <cellStyle name="_Blend plan as of 14-Dec-04_Usulan Blending 27 Mei 2008" xfId="2289"/>
    <cellStyle name="_Blend plan as of 14-Dec-04_Usulan Blending 27 Mei 2008 2" xfId="2290"/>
    <cellStyle name="_Blend plan as of 14-Dec-04_Usulan Blending 27 Mei 2008_Wadi-Qinfa" xfId="2291"/>
    <cellStyle name="_Blend plan as of 14-Dec-04_Usulan Blending Plan 10 jun (2)" xfId="2292"/>
    <cellStyle name="_Blend plan as of 14-Dec-04_Usulan Blending Plan 10 jun (2) 2" xfId="2293"/>
    <cellStyle name="_Blend plan as of 14-Dec-04_Usulan Blending Plan 10 jun (2)_Wadi-Qinfa" xfId="2294"/>
    <cellStyle name="_Blend plan as of 14-Dec-04_Usulan Blending Plan 17 jun (2)" xfId="2295"/>
    <cellStyle name="_Blend plan as of 14-Dec-04_Usulan Blending Plan 17 jun (2) 2" xfId="2296"/>
    <cellStyle name="_Blend plan as of 14-Dec-04_Usulan Blending Plan 17 jun (2)_Wadi-Qinfa" xfId="2297"/>
    <cellStyle name="_Blend plan as of 14-Dec-04_Usulan blending plan 21_05_08" xfId="2298"/>
    <cellStyle name="_Blend plan as of 14-Dec-04_Usulan blending plan 21_05_08 2" xfId="2299"/>
    <cellStyle name="_Blend plan as of 14-Dec-04_Usulan blending plan 21_05_08_Wadi-Qinfa" xfId="2300"/>
    <cellStyle name="_Blend plan as of 14-Dec-04_Usulan blending PlaN 27-05-08" xfId="2301"/>
    <cellStyle name="_Blend plan as of 14-Dec-04_Usulan blending PlaN 27-05-08 2" xfId="2302"/>
    <cellStyle name="_Blend plan as of 14-Dec-04_Usulan blending PlaN 27-05-08_Wadi-Qinfa" xfId="2303"/>
    <cellStyle name="_Blend plan as of 14-Dec-04_Usulan Blending Plan_13 Feb 2008_awl" xfId="2304"/>
    <cellStyle name="_Blend plan as of 14-Dec-04_Usulan Blending Plan_13 Feb 2008_awl 2" xfId="2305"/>
    <cellStyle name="_Blend plan as of 14-Dec-04_Usulan Blending Plan_13 Feb 2008_awl_Wadi-Qinfa" xfId="2306"/>
    <cellStyle name="_Blend plan as of 14-Dec-04_Wadi-Qinfa" xfId="2307"/>
    <cellStyle name="_Blend plan as of 14-February-06" xfId="2308"/>
    <cellStyle name="_Blend plan as of 14-February-06 2" xfId="2309"/>
    <cellStyle name="_Blend plan as of 14-February-06_01  Usulan Blend Plan BMO_220408 (2)" xfId="2310"/>
    <cellStyle name="_Blend plan as of 14-February-06_01  Usulan Blend Plan BMO_220408 (2) 2" xfId="2311"/>
    <cellStyle name="_Blend plan as of 14-February-06_01  Usulan Blend Plan BMO_220408 (2)_Wadi-Qinfa" xfId="2312"/>
    <cellStyle name="_Blend plan as of 14-February-06_Stock Status Jul 29, 2008" xfId="2313"/>
    <cellStyle name="_Blend plan as of 14-February-06_Stock Status Jul 29, 2008 2" xfId="2314"/>
    <cellStyle name="_Blend plan as of 14-February-06_Stock Status Jul 29, 2008_Wadi-Qinfa" xfId="2315"/>
    <cellStyle name="_Blend plan as of 14-February-06_Usulan Blend Plan BMO 11-03-08" xfId="2316"/>
    <cellStyle name="_Blend plan as of 14-February-06_Usulan Blend Plan BMO 11-03-08 2" xfId="2317"/>
    <cellStyle name="_Blend plan as of 14-February-06_Usulan Blend Plan BMO 11-03-08_Wadi-Qinfa" xfId="2318"/>
    <cellStyle name="_Blend plan as of 14-February-06_Usulan Blend Plan BMO 25-03-08" xfId="2319"/>
    <cellStyle name="_Blend plan as of 14-February-06_Usulan Blend Plan BMO 25-03-08 2" xfId="2320"/>
    <cellStyle name="_Blend plan as of 14-February-06_Usulan Blend Plan BMO 25-03-08_Wadi-Qinfa" xfId="2321"/>
    <cellStyle name="_Blend plan as of 14-February-06_Usulan Blending 27 Mei 2008" xfId="2322"/>
    <cellStyle name="_Blend plan as of 14-February-06_Usulan Blending 27 Mei 2008 2" xfId="2323"/>
    <cellStyle name="_Blend plan as of 14-February-06_Usulan Blending 27 Mei 2008_Wadi-Qinfa" xfId="2324"/>
    <cellStyle name="_Blend plan as of 14-February-06_Usulan Blending Plan 10 jun (2)" xfId="2325"/>
    <cellStyle name="_Blend plan as of 14-February-06_Usulan Blending Plan 10 jun (2) 2" xfId="2326"/>
    <cellStyle name="_Blend plan as of 14-February-06_Usulan Blending Plan 10 jun (2)_Wadi-Qinfa" xfId="2327"/>
    <cellStyle name="_Blend plan as of 14-February-06_Usulan Blending Plan 17 jun (2)" xfId="2328"/>
    <cellStyle name="_Blend plan as of 14-February-06_Usulan Blending Plan 17 jun (2) 2" xfId="2329"/>
    <cellStyle name="_Blend plan as of 14-February-06_Usulan Blending Plan 17 jun (2)_Wadi-Qinfa" xfId="2330"/>
    <cellStyle name="_Blend plan as of 14-February-06_Usulan blending plan 21_05_08" xfId="2331"/>
    <cellStyle name="_Blend plan as of 14-February-06_Usulan blending plan 21_05_08 2" xfId="2332"/>
    <cellStyle name="_Blend plan as of 14-February-06_Usulan blending plan 21_05_08_Wadi-Qinfa" xfId="2333"/>
    <cellStyle name="_Blend plan as of 14-February-06_Usulan blending PlaN 27-05-08" xfId="2334"/>
    <cellStyle name="_Blend plan as of 14-February-06_Usulan blending PlaN 27-05-08 2" xfId="2335"/>
    <cellStyle name="_Blend plan as of 14-February-06_Usulan blending PlaN 27-05-08_Wadi-Qinfa" xfId="2336"/>
    <cellStyle name="_Blend plan as of 14-February-06_Usulan Blending Plan_13 Feb 2008_awl" xfId="2337"/>
    <cellStyle name="_Blend plan as of 14-February-06_Usulan Blending Plan_13 Feb 2008_awl 2" xfId="2338"/>
    <cellStyle name="_Blend plan as of 14-February-06_Usulan Blending Plan_13 Feb 2008_awl_Wadi-Qinfa" xfId="2339"/>
    <cellStyle name="_Blend plan as of 14-February-06_Wadi-Qinfa" xfId="2340"/>
    <cellStyle name="_Blend plan as of 14-Jun-05" xfId="2341"/>
    <cellStyle name="_Blend plan as of 14-Jun-05 2" xfId="2342"/>
    <cellStyle name="_Blend plan as of 14-Jun-05_01  Usulan Blend Plan BMO_220408 (2)" xfId="2343"/>
    <cellStyle name="_Blend plan as of 14-Jun-05_01  Usulan Blend Plan BMO_220408 (2) 2" xfId="2344"/>
    <cellStyle name="_Blend plan as of 14-Jun-05_01  Usulan Blend Plan BMO_220408 (2)_Wadi-Qinfa" xfId="2345"/>
    <cellStyle name="_Blend plan as of 14-Jun-05_Stock Status Jul 29, 2008" xfId="2346"/>
    <cellStyle name="_Blend plan as of 14-Jun-05_Stock Status Jul 29, 2008 2" xfId="2347"/>
    <cellStyle name="_Blend plan as of 14-Jun-05_Stock Status Jul 29, 2008_Wadi-Qinfa" xfId="2348"/>
    <cellStyle name="_Blend plan as of 14-Jun-05_Usulan Blend Plan BMO 11-03-08" xfId="2349"/>
    <cellStyle name="_Blend plan as of 14-Jun-05_Usulan Blend Plan BMO 11-03-08 2" xfId="2350"/>
    <cellStyle name="_Blend plan as of 14-Jun-05_Usulan Blend Plan BMO 11-03-08_Wadi-Qinfa" xfId="2351"/>
    <cellStyle name="_Blend plan as of 14-Jun-05_Usulan Blend Plan BMO 25-03-08" xfId="2352"/>
    <cellStyle name="_Blend plan as of 14-Jun-05_Usulan Blend Plan BMO 25-03-08 2" xfId="2353"/>
    <cellStyle name="_Blend plan as of 14-Jun-05_Usulan Blend Plan BMO 25-03-08_Wadi-Qinfa" xfId="2354"/>
    <cellStyle name="_Blend plan as of 14-Jun-05_Usulan Blending 27 Mei 2008" xfId="2355"/>
    <cellStyle name="_Blend plan as of 14-Jun-05_Usulan Blending 27 Mei 2008 2" xfId="2356"/>
    <cellStyle name="_Blend plan as of 14-Jun-05_Usulan Blending 27 Mei 2008_Wadi-Qinfa" xfId="2357"/>
    <cellStyle name="_Blend plan as of 14-Jun-05_Usulan Blending Plan 10 jun (2)" xfId="2358"/>
    <cellStyle name="_Blend plan as of 14-Jun-05_Usulan Blending Plan 10 jun (2) 2" xfId="2359"/>
    <cellStyle name="_Blend plan as of 14-Jun-05_Usulan Blending Plan 10 jun (2)_Wadi-Qinfa" xfId="2360"/>
    <cellStyle name="_Blend plan as of 14-Jun-05_Usulan Blending Plan 17 jun (2)" xfId="2361"/>
    <cellStyle name="_Blend plan as of 14-Jun-05_Usulan Blending Plan 17 jun (2) 2" xfId="2362"/>
    <cellStyle name="_Blend plan as of 14-Jun-05_Usulan Blending Plan 17 jun (2)_Wadi-Qinfa" xfId="2363"/>
    <cellStyle name="_Blend plan as of 14-Jun-05_Usulan blending plan 21_05_08" xfId="2364"/>
    <cellStyle name="_Blend plan as of 14-Jun-05_Usulan blending plan 21_05_08 2" xfId="2365"/>
    <cellStyle name="_Blend plan as of 14-Jun-05_Usulan blending plan 21_05_08_Wadi-Qinfa" xfId="2366"/>
    <cellStyle name="_Blend plan as of 14-Jun-05_Usulan blending PlaN 27-05-08" xfId="2367"/>
    <cellStyle name="_Blend plan as of 14-Jun-05_Usulan blending PlaN 27-05-08 2" xfId="2368"/>
    <cellStyle name="_Blend plan as of 14-Jun-05_Usulan blending PlaN 27-05-08_Wadi-Qinfa" xfId="2369"/>
    <cellStyle name="_Blend plan as of 14-Jun-05_Usulan Blending Plan_13 Feb 2008_awl" xfId="2370"/>
    <cellStyle name="_Blend plan as of 14-Jun-05_Usulan Blending Plan_13 Feb 2008_awl 2" xfId="2371"/>
    <cellStyle name="_Blend plan as of 14-Jun-05_Usulan Blending Plan_13 Feb 2008_awl_Wadi-Qinfa" xfId="2372"/>
    <cellStyle name="_Blend plan as of 14-Jun-05_Wadi-Qinfa" xfId="2373"/>
    <cellStyle name="_Blend plan as of 14-March-06" xfId="2374"/>
    <cellStyle name="_Blend plan as of 14-March-06 2" xfId="2375"/>
    <cellStyle name="_Blend plan as of 14-March-06_01  Usulan Blend Plan BMO_220408 (2)" xfId="2376"/>
    <cellStyle name="_Blend plan as of 14-March-06_01  Usulan Blend Plan BMO_220408 (2) 2" xfId="2377"/>
    <cellStyle name="_Blend plan as of 14-March-06_01  Usulan Blend Plan BMO_220408 (2)_Wadi-Qinfa" xfId="2378"/>
    <cellStyle name="_Blend plan as of 14-March-06_Stock Status Jul 29, 2008" xfId="2379"/>
    <cellStyle name="_Blend plan as of 14-March-06_Stock Status Jul 29, 2008 2" xfId="2380"/>
    <cellStyle name="_Blend plan as of 14-March-06_Stock Status Jul 29, 2008_Wadi-Qinfa" xfId="2381"/>
    <cellStyle name="_Blend plan as of 14-March-06_Usulan Blend Plan BMO 11-03-08" xfId="2382"/>
    <cellStyle name="_Blend plan as of 14-March-06_Usulan Blend Plan BMO 11-03-08 2" xfId="2383"/>
    <cellStyle name="_Blend plan as of 14-March-06_Usulan Blend Plan BMO 11-03-08_Wadi-Qinfa" xfId="2384"/>
    <cellStyle name="_Blend plan as of 14-March-06_Usulan Blend Plan BMO 25-03-08" xfId="2385"/>
    <cellStyle name="_Blend plan as of 14-March-06_Usulan Blend Plan BMO 25-03-08 2" xfId="2386"/>
    <cellStyle name="_Blend plan as of 14-March-06_Usulan Blend Plan BMO 25-03-08_Wadi-Qinfa" xfId="2387"/>
    <cellStyle name="_Blend plan as of 14-March-06_Usulan Blending 27 Mei 2008" xfId="2388"/>
    <cellStyle name="_Blend plan as of 14-March-06_Usulan Blending 27 Mei 2008 2" xfId="2389"/>
    <cellStyle name="_Blend plan as of 14-March-06_Usulan Blending 27 Mei 2008_Wadi-Qinfa" xfId="2390"/>
    <cellStyle name="_Blend plan as of 14-March-06_Usulan Blending Plan 10 jun (2)" xfId="2391"/>
    <cellStyle name="_Blend plan as of 14-March-06_Usulan Blending Plan 10 jun (2) 2" xfId="2392"/>
    <cellStyle name="_Blend plan as of 14-March-06_Usulan Blending Plan 10 jun (2)_Wadi-Qinfa" xfId="2393"/>
    <cellStyle name="_Blend plan as of 14-March-06_Usulan Blending Plan 17 jun (2)" xfId="2394"/>
    <cellStyle name="_Blend plan as of 14-March-06_Usulan Blending Plan 17 jun (2) 2" xfId="2395"/>
    <cellStyle name="_Blend plan as of 14-March-06_Usulan Blending Plan 17 jun (2)_Wadi-Qinfa" xfId="2396"/>
    <cellStyle name="_Blend plan as of 14-March-06_Usulan blending plan 21_05_08" xfId="2397"/>
    <cellStyle name="_Blend plan as of 14-March-06_Usulan blending plan 21_05_08 2" xfId="2398"/>
    <cellStyle name="_Blend plan as of 14-March-06_Usulan blending plan 21_05_08_Wadi-Qinfa" xfId="2399"/>
    <cellStyle name="_Blend plan as of 14-March-06_Usulan blending PlaN 27-05-08" xfId="2400"/>
    <cellStyle name="_Blend plan as of 14-March-06_Usulan blending PlaN 27-05-08 2" xfId="2401"/>
    <cellStyle name="_Blend plan as of 14-March-06_Usulan blending PlaN 27-05-08_Wadi-Qinfa" xfId="2402"/>
    <cellStyle name="_Blend plan as of 14-March-06_Usulan Blending Plan_13 Feb 2008_awl" xfId="2403"/>
    <cellStyle name="_Blend plan as of 14-March-06_Usulan Blending Plan_13 Feb 2008_awl 2" xfId="2404"/>
    <cellStyle name="_Blend plan as of 14-March-06_Usulan Blending Plan_13 Feb 2008_awl_Wadi-Qinfa" xfId="2405"/>
    <cellStyle name="_Blend plan as of 14-March-06_Wadi-Qinfa" xfId="2406"/>
    <cellStyle name="_Blend plan as of 14-November-06" xfId="2407"/>
    <cellStyle name="_Blend plan as of 14-November-06 2" xfId="2408"/>
    <cellStyle name="_Blend plan as of 14-November-06_01  Usulan Blend Plan BMO_220408 (2)" xfId="2409"/>
    <cellStyle name="_Blend plan as of 14-November-06_01  Usulan Blend Plan BMO_220408 (2) 2" xfId="2410"/>
    <cellStyle name="_Blend plan as of 14-November-06_01  Usulan Blend Plan BMO_220408 (2)_Wadi-Qinfa" xfId="2411"/>
    <cellStyle name="_Blend plan as of 14-November-06_Stock Status Jul 29, 2008" xfId="2412"/>
    <cellStyle name="_Blend plan as of 14-November-06_Stock Status Jul 29, 2008 2" xfId="2413"/>
    <cellStyle name="_Blend plan as of 14-November-06_Stock Status Jul 29, 2008_Wadi-Qinfa" xfId="2414"/>
    <cellStyle name="_Blend plan as of 14-November-06_Usulan Blend Plan BMO 11-03-08" xfId="2415"/>
    <cellStyle name="_Blend plan as of 14-November-06_Usulan Blend Plan BMO 11-03-08 2" xfId="2416"/>
    <cellStyle name="_Blend plan as of 14-November-06_Usulan Blend Plan BMO 11-03-08_Wadi-Qinfa" xfId="2417"/>
    <cellStyle name="_Blend plan as of 14-November-06_Usulan Blend Plan BMO 25-03-08" xfId="2418"/>
    <cellStyle name="_Blend plan as of 14-November-06_Usulan Blend Plan BMO 25-03-08 2" xfId="2419"/>
    <cellStyle name="_Blend plan as of 14-November-06_Usulan Blend Plan BMO 25-03-08_Wadi-Qinfa" xfId="2420"/>
    <cellStyle name="_Blend plan as of 14-November-06_Usulan Blending 27 Mei 2008" xfId="2421"/>
    <cellStyle name="_Blend plan as of 14-November-06_Usulan Blending 27 Mei 2008 2" xfId="2422"/>
    <cellStyle name="_Blend plan as of 14-November-06_Usulan Blending 27 Mei 2008_Wadi-Qinfa" xfId="2423"/>
    <cellStyle name="_Blend plan as of 14-November-06_Usulan Blending Plan 10 jun (2)" xfId="2424"/>
    <cellStyle name="_Blend plan as of 14-November-06_Usulan Blending Plan 10 jun (2) 2" xfId="2425"/>
    <cellStyle name="_Blend plan as of 14-November-06_Usulan Blending Plan 10 jun (2)_Wadi-Qinfa" xfId="2426"/>
    <cellStyle name="_Blend plan as of 14-November-06_Usulan Blending Plan 17 jun (2)" xfId="2427"/>
    <cellStyle name="_Blend plan as of 14-November-06_Usulan Blending Plan 17 jun (2) 2" xfId="2428"/>
    <cellStyle name="_Blend plan as of 14-November-06_Usulan Blending Plan 17 jun (2)_Wadi-Qinfa" xfId="2429"/>
    <cellStyle name="_Blend plan as of 14-November-06_Usulan blending plan 21_05_08" xfId="2430"/>
    <cellStyle name="_Blend plan as of 14-November-06_Usulan blending plan 21_05_08 2" xfId="2431"/>
    <cellStyle name="_Blend plan as of 14-November-06_Usulan blending plan 21_05_08_Wadi-Qinfa" xfId="2432"/>
    <cellStyle name="_Blend plan as of 14-November-06_Usulan blending PlaN 27-05-08" xfId="2433"/>
    <cellStyle name="_Blend plan as of 14-November-06_Usulan blending PlaN 27-05-08 2" xfId="2434"/>
    <cellStyle name="_Blend plan as of 14-November-06_Usulan blending PlaN 27-05-08_Wadi-Qinfa" xfId="2435"/>
    <cellStyle name="_Blend plan as of 14-November-06_Usulan Blending Plan_13 Feb 2008_awl" xfId="2436"/>
    <cellStyle name="_Blend plan as of 14-November-06_Usulan Blending Plan_13 Feb 2008_awl 2" xfId="2437"/>
    <cellStyle name="_Blend plan as of 14-November-06_Usulan Blending Plan_13 Feb 2008_awl_Wadi-Qinfa" xfId="2438"/>
    <cellStyle name="_Blend plan as of 14-November-06_Wadi-Qinfa" xfId="2439"/>
    <cellStyle name="_Blend plan as of 15-Feb-052" xfId="2440"/>
    <cellStyle name="_Blend plan as of 15-Feb-052 2" xfId="2441"/>
    <cellStyle name="_Blend plan as of 15-Feb-052_01  Usulan Blend Plan BMO_220408 (2)" xfId="2442"/>
    <cellStyle name="_Blend plan as of 15-Feb-052_01  Usulan Blend Plan BMO_220408 (2) 2" xfId="2443"/>
    <cellStyle name="_Blend plan as of 15-Feb-052_01  Usulan Blend Plan BMO_220408 (2)_Wadi-Qinfa" xfId="2444"/>
    <cellStyle name="_Blend plan as of 15-Feb-052_Stock Status Jul 29, 2008" xfId="2445"/>
    <cellStyle name="_Blend plan as of 15-Feb-052_Stock Status Jul 29, 2008 2" xfId="2446"/>
    <cellStyle name="_Blend plan as of 15-Feb-052_Stock Status Jul 29, 2008_Wadi-Qinfa" xfId="2447"/>
    <cellStyle name="_Blend plan as of 15-Feb-052_Usulan Blend Plan BMO 11-03-08" xfId="2448"/>
    <cellStyle name="_Blend plan as of 15-Feb-052_Usulan Blend Plan BMO 11-03-08 2" xfId="2449"/>
    <cellStyle name="_Blend plan as of 15-Feb-052_Usulan Blend Plan BMO 11-03-08_Wadi-Qinfa" xfId="2450"/>
    <cellStyle name="_Blend plan as of 15-Feb-052_Usulan Blend Plan BMO 25-03-08" xfId="2451"/>
    <cellStyle name="_Blend plan as of 15-Feb-052_Usulan Blend Plan BMO 25-03-08 2" xfId="2452"/>
    <cellStyle name="_Blend plan as of 15-Feb-052_Usulan Blend Plan BMO 25-03-08_Wadi-Qinfa" xfId="2453"/>
    <cellStyle name="_Blend plan as of 15-Feb-052_Usulan Blending 27 Mei 2008" xfId="2454"/>
    <cellStyle name="_Blend plan as of 15-Feb-052_Usulan Blending 27 Mei 2008 2" xfId="2455"/>
    <cellStyle name="_Blend plan as of 15-Feb-052_Usulan Blending 27 Mei 2008_Wadi-Qinfa" xfId="2456"/>
    <cellStyle name="_Blend plan as of 15-Feb-052_Usulan Blending Plan 10 jun (2)" xfId="2457"/>
    <cellStyle name="_Blend plan as of 15-Feb-052_Usulan Blending Plan 10 jun (2) 2" xfId="2458"/>
    <cellStyle name="_Blend plan as of 15-Feb-052_Usulan Blending Plan 10 jun (2)_Wadi-Qinfa" xfId="2459"/>
    <cellStyle name="_Blend plan as of 15-Feb-052_Usulan Blending Plan 17 jun (2)" xfId="2460"/>
    <cellStyle name="_Blend plan as of 15-Feb-052_Usulan Blending Plan 17 jun (2) 2" xfId="2461"/>
    <cellStyle name="_Blend plan as of 15-Feb-052_Usulan Blending Plan 17 jun (2)_Wadi-Qinfa" xfId="2462"/>
    <cellStyle name="_Blend plan as of 15-Feb-052_Usulan blending plan 21_05_08" xfId="2463"/>
    <cellStyle name="_Blend plan as of 15-Feb-052_Usulan blending plan 21_05_08 2" xfId="2464"/>
    <cellStyle name="_Blend plan as of 15-Feb-052_Usulan blending plan 21_05_08_Wadi-Qinfa" xfId="2465"/>
    <cellStyle name="_Blend plan as of 15-Feb-052_Usulan blending PlaN 27-05-08" xfId="2466"/>
    <cellStyle name="_Blend plan as of 15-Feb-052_Usulan blending PlaN 27-05-08 2" xfId="2467"/>
    <cellStyle name="_Blend plan as of 15-Feb-052_Usulan blending PlaN 27-05-08_Wadi-Qinfa" xfId="2468"/>
    <cellStyle name="_Blend plan as of 15-Feb-052_Usulan Blending Plan_13 Feb 2008_awl" xfId="2469"/>
    <cellStyle name="_Blend plan as of 15-Feb-052_Usulan Blending Plan_13 Feb 2008_awl 2" xfId="2470"/>
    <cellStyle name="_Blend plan as of 15-Feb-052_Usulan Blending Plan_13 Feb 2008_awl_Wadi-Qinfa" xfId="2471"/>
    <cellStyle name="_Blend plan as of 15-Feb-052_Wadi-Qinfa" xfId="2472"/>
    <cellStyle name="_Blend plan as of 15-Mar-05" xfId="2473"/>
    <cellStyle name="_Blend plan as of 15-Mar-05 2" xfId="2474"/>
    <cellStyle name="_Blend plan as of 15-Mar-05_01  Usulan Blend Plan BMO_220408 (2)" xfId="2475"/>
    <cellStyle name="_Blend plan as of 15-Mar-05_01  Usulan Blend Plan BMO_220408 (2) 2" xfId="2476"/>
    <cellStyle name="_Blend plan as of 15-Mar-05_01  Usulan Blend Plan BMO_220408 (2)_Wadi-Qinfa" xfId="2477"/>
    <cellStyle name="_Blend plan as of 15-Mar-05_Stock Status Jul 29, 2008" xfId="2478"/>
    <cellStyle name="_Blend plan as of 15-Mar-05_Stock Status Jul 29, 2008 2" xfId="2479"/>
    <cellStyle name="_Blend plan as of 15-Mar-05_Stock Status Jul 29, 2008_Wadi-Qinfa" xfId="2480"/>
    <cellStyle name="_Blend plan as of 15-Mar-05_Usulan Blend Plan BMO 11-03-08" xfId="2481"/>
    <cellStyle name="_Blend plan as of 15-Mar-05_Usulan Blend Plan BMO 11-03-08 2" xfId="2482"/>
    <cellStyle name="_Blend plan as of 15-Mar-05_Usulan Blend Plan BMO 11-03-08_Wadi-Qinfa" xfId="2483"/>
    <cellStyle name="_Blend plan as of 15-Mar-05_Usulan Blend Plan BMO 25-03-08" xfId="2484"/>
    <cellStyle name="_Blend plan as of 15-Mar-05_Usulan Blend Plan BMO 25-03-08 2" xfId="2485"/>
    <cellStyle name="_Blend plan as of 15-Mar-05_Usulan Blend Plan BMO 25-03-08_Wadi-Qinfa" xfId="2486"/>
    <cellStyle name="_Blend plan as of 15-Mar-05_Usulan Blending 27 Mei 2008" xfId="2487"/>
    <cellStyle name="_Blend plan as of 15-Mar-05_Usulan Blending 27 Mei 2008 2" xfId="2488"/>
    <cellStyle name="_Blend plan as of 15-Mar-05_Usulan Blending 27 Mei 2008_Wadi-Qinfa" xfId="2489"/>
    <cellStyle name="_Blend plan as of 15-Mar-05_Usulan Blending Plan 10 jun (2)" xfId="2490"/>
    <cellStyle name="_Blend plan as of 15-Mar-05_Usulan Blending Plan 10 jun (2) 2" xfId="2491"/>
    <cellStyle name="_Blend plan as of 15-Mar-05_Usulan Blending Plan 10 jun (2)_Wadi-Qinfa" xfId="2492"/>
    <cellStyle name="_Blend plan as of 15-Mar-05_Usulan Blending Plan 17 jun (2)" xfId="2493"/>
    <cellStyle name="_Blend plan as of 15-Mar-05_Usulan Blending Plan 17 jun (2) 2" xfId="2494"/>
    <cellStyle name="_Blend plan as of 15-Mar-05_Usulan Blending Plan 17 jun (2)_Wadi-Qinfa" xfId="2495"/>
    <cellStyle name="_Blend plan as of 15-Mar-05_Usulan blending plan 21_05_08" xfId="2496"/>
    <cellStyle name="_Blend plan as of 15-Mar-05_Usulan blending plan 21_05_08 2" xfId="2497"/>
    <cellStyle name="_Blend plan as of 15-Mar-05_Usulan blending plan 21_05_08_Wadi-Qinfa" xfId="2498"/>
    <cellStyle name="_Blend plan as of 15-Mar-05_Usulan blending PlaN 27-05-08" xfId="2499"/>
    <cellStyle name="_Blend plan as of 15-Mar-05_Usulan blending PlaN 27-05-08 2" xfId="2500"/>
    <cellStyle name="_Blend plan as of 15-Mar-05_Usulan blending PlaN 27-05-08_Wadi-Qinfa" xfId="2501"/>
    <cellStyle name="_Blend plan as of 15-Mar-05_Usulan Blending Plan_13 Feb 2008_awl" xfId="2502"/>
    <cellStyle name="_Blend plan as of 15-Mar-05_Usulan Blending Plan_13 Feb 2008_awl 2" xfId="2503"/>
    <cellStyle name="_Blend plan as of 15-Mar-05_Usulan Blending Plan_13 Feb 2008_awl_Wadi-Qinfa" xfId="2504"/>
    <cellStyle name="_Blend plan as of 15-Mar-05_Wadi-Qinfa" xfId="2505"/>
    <cellStyle name="_Blend plan as of 15-May-2007" xfId="2506"/>
    <cellStyle name="_Blend plan as of 15-May-2007 2" xfId="2507"/>
    <cellStyle name="_Blend plan as of 15-May-2007_01  Usulan Blend Plan BMO_220408 (2)" xfId="2508"/>
    <cellStyle name="_Blend plan as of 15-May-2007_01  Usulan Blend Plan BMO_220408 (2) 2" xfId="2509"/>
    <cellStyle name="_Blend plan as of 15-May-2007_01  Usulan Blend Plan BMO_220408 (2)_Wadi-Qinfa" xfId="2510"/>
    <cellStyle name="_Blend plan as of 15-May-2007_Stock Status Jul 29, 2008" xfId="2511"/>
    <cellStyle name="_Blend plan as of 15-May-2007_Stock Status Jul 29, 2008 2" xfId="2512"/>
    <cellStyle name="_Blend plan as of 15-May-2007_Stock Status Jul 29, 2008_Wadi-Qinfa" xfId="2513"/>
    <cellStyle name="_Blend plan as of 15-May-2007_Usulan Blend Plan BMO 11-03-08" xfId="2514"/>
    <cellStyle name="_Blend plan as of 15-May-2007_Usulan Blend Plan BMO 11-03-08 2" xfId="2515"/>
    <cellStyle name="_Blend plan as of 15-May-2007_Usulan Blend Plan BMO 11-03-08_Wadi-Qinfa" xfId="2516"/>
    <cellStyle name="_Blend plan as of 15-May-2007_Usulan Blend Plan BMO 25-03-08" xfId="2517"/>
    <cellStyle name="_Blend plan as of 15-May-2007_Usulan Blend Plan BMO 25-03-08 2" xfId="2518"/>
    <cellStyle name="_Blend plan as of 15-May-2007_Usulan Blend Plan BMO 25-03-08_Wadi-Qinfa" xfId="2519"/>
    <cellStyle name="_Blend plan as of 15-May-2007_Usulan Blending 27 Mei 2008" xfId="2520"/>
    <cellStyle name="_Blend plan as of 15-May-2007_Usulan Blending 27 Mei 2008 2" xfId="2521"/>
    <cellStyle name="_Blend plan as of 15-May-2007_Usulan Blending 27 Mei 2008_Wadi-Qinfa" xfId="2522"/>
    <cellStyle name="_Blend plan as of 15-May-2007_Usulan Blending Plan 10 jun (2)" xfId="2523"/>
    <cellStyle name="_Blend plan as of 15-May-2007_Usulan Blending Plan 10 jun (2) 2" xfId="2524"/>
    <cellStyle name="_Blend plan as of 15-May-2007_Usulan Blending Plan 10 jun (2)_Wadi-Qinfa" xfId="2525"/>
    <cellStyle name="_Blend plan as of 15-May-2007_Usulan Blending Plan 17 jun (2)" xfId="2526"/>
    <cellStyle name="_Blend plan as of 15-May-2007_Usulan Blending Plan 17 jun (2) 2" xfId="2527"/>
    <cellStyle name="_Blend plan as of 15-May-2007_Usulan Blending Plan 17 jun (2)_Wadi-Qinfa" xfId="2528"/>
    <cellStyle name="_Blend plan as of 15-May-2007_Usulan blending plan 21_05_08" xfId="2529"/>
    <cellStyle name="_Blend plan as of 15-May-2007_Usulan blending plan 21_05_08 2" xfId="2530"/>
    <cellStyle name="_Blend plan as of 15-May-2007_Usulan blending plan 21_05_08_Wadi-Qinfa" xfId="2531"/>
    <cellStyle name="_Blend plan as of 15-May-2007_Usulan blending PlaN 27-05-08" xfId="2532"/>
    <cellStyle name="_Blend plan as of 15-May-2007_Usulan blending PlaN 27-05-08 2" xfId="2533"/>
    <cellStyle name="_Blend plan as of 15-May-2007_Usulan blending PlaN 27-05-08_Wadi-Qinfa" xfId="2534"/>
    <cellStyle name="_Blend plan as of 15-May-2007_Usulan Blending Plan_13 Feb 2008_awl" xfId="2535"/>
    <cellStyle name="_Blend plan as of 15-May-2007_Usulan Blending Plan_13 Feb 2008_awl 2" xfId="2536"/>
    <cellStyle name="_Blend plan as of 15-May-2007_Usulan Blending Plan_13 Feb 2008_awl_Wadi-Qinfa" xfId="2537"/>
    <cellStyle name="_Blend plan as of 15-May-2007_Wadi-Qinfa" xfId="2538"/>
    <cellStyle name="_Blend plan as of 15-Nopember-05 (2)" xfId="2539"/>
    <cellStyle name="_Blend plan as of 15-Nopember-05 (2) 2" xfId="2540"/>
    <cellStyle name="_Blend plan as of 15-Nopember-05 (2)_01  Usulan Blend Plan BMO_220408 (2)" xfId="2541"/>
    <cellStyle name="_Blend plan as of 15-Nopember-05 (2)_01  Usulan Blend Plan BMO_220408 (2) 2" xfId="2542"/>
    <cellStyle name="_Blend plan as of 15-Nopember-05 (2)_01  Usulan Blend Plan BMO_220408 (2)_Wadi-Qinfa" xfId="2543"/>
    <cellStyle name="_Blend plan as of 15-Nopember-05 (2)_Stock Status Jul 29, 2008" xfId="2544"/>
    <cellStyle name="_Blend plan as of 15-Nopember-05 (2)_Stock Status Jul 29, 2008 2" xfId="2545"/>
    <cellStyle name="_Blend plan as of 15-Nopember-05 (2)_Stock Status Jul 29, 2008_Wadi-Qinfa" xfId="2546"/>
    <cellStyle name="_Blend plan as of 15-Nopember-05 (2)_Usulan Blend Plan BMO 11-03-08" xfId="2547"/>
    <cellStyle name="_Blend plan as of 15-Nopember-05 (2)_Usulan Blend Plan BMO 11-03-08 2" xfId="2548"/>
    <cellStyle name="_Blend plan as of 15-Nopember-05 (2)_Usulan Blend Plan BMO 11-03-08_Wadi-Qinfa" xfId="2549"/>
    <cellStyle name="_Blend plan as of 15-Nopember-05 (2)_Usulan Blend Plan BMO 25-03-08" xfId="2550"/>
    <cellStyle name="_Blend plan as of 15-Nopember-05 (2)_Usulan Blend Plan BMO 25-03-08 2" xfId="2551"/>
    <cellStyle name="_Blend plan as of 15-Nopember-05 (2)_Usulan Blend Plan BMO 25-03-08_Wadi-Qinfa" xfId="2552"/>
    <cellStyle name="_Blend plan as of 15-Nopember-05 (2)_Usulan Blending 27 Mei 2008" xfId="2553"/>
    <cellStyle name="_Blend plan as of 15-Nopember-05 (2)_Usulan Blending 27 Mei 2008 2" xfId="2554"/>
    <cellStyle name="_Blend plan as of 15-Nopember-05 (2)_Usulan Blending 27 Mei 2008_Wadi-Qinfa" xfId="2555"/>
    <cellStyle name="_Blend plan as of 15-Nopember-05 (2)_Usulan Blending Plan 10 jun (2)" xfId="2556"/>
    <cellStyle name="_Blend plan as of 15-Nopember-05 (2)_Usulan Blending Plan 10 jun (2) 2" xfId="2557"/>
    <cellStyle name="_Blend plan as of 15-Nopember-05 (2)_Usulan Blending Plan 10 jun (2)_Wadi-Qinfa" xfId="2558"/>
    <cellStyle name="_Blend plan as of 15-Nopember-05 (2)_Usulan Blending Plan 17 jun (2)" xfId="2559"/>
    <cellStyle name="_Blend plan as of 15-Nopember-05 (2)_Usulan Blending Plan 17 jun (2) 2" xfId="2560"/>
    <cellStyle name="_Blend plan as of 15-Nopember-05 (2)_Usulan Blending Plan 17 jun (2)_Wadi-Qinfa" xfId="2561"/>
    <cellStyle name="_Blend plan as of 15-Nopember-05 (2)_Usulan blending plan 21_05_08" xfId="2562"/>
    <cellStyle name="_Blend plan as of 15-Nopember-05 (2)_Usulan blending plan 21_05_08 2" xfId="2563"/>
    <cellStyle name="_Blend plan as of 15-Nopember-05 (2)_Usulan blending plan 21_05_08_Wadi-Qinfa" xfId="2564"/>
    <cellStyle name="_Blend plan as of 15-Nopember-05 (2)_Usulan blending PlaN 27-05-08" xfId="2565"/>
    <cellStyle name="_Blend plan as of 15-Nopember-05 (2)_Usulan blending PlaN 27-05-08 2" xfId="2566"/>
    <cellStyle name="_Blend plan as of 15-Nopember-05 (2)_Usulan blending PlaN 27-05-08_Wadi-Qinfa" xfId="2567"/>
    <cellStyle name="_Blend plan as of 15-Nopember-05 (2)_Usulan Blending Plan_13 Feb 2008_awl" xfId="2568"/>
    <cellStyle name="_Blend plan as of 15-Nopember-05 (2)_Usulan Blending Plan_13 Feb 2008_awl 2" xfId="2569"/>
    <cellStyle name="_Blend plan as of 15-Nopember-05 (2)_Usulan Blending Plan_13 Feb 2008_awl_Wadi-Qinfa" xfId="2570"/>
    <cellStyle name="_Blend plan as of 15-Nopember-05 (2)_Wadi-Qinfa" xfId="2571"/>
    <cellStyle name="_Blend plan as of 16-august-05" xfId="2572"/>
    <cellStyle name="_Blend plan as of 16-august-05 2" xfId="2573"/>
    <cellStyle name="_Blend plan as of 16-august-05_01  Usulan Blend Plan BMO_220408 (2)" xfId="2574"/>
    <cellStyle name="_Blend plan as of 16-august-05_01  Usulan Blend Plan BMO_220408 (2) 2" xfId="2575"/>
    <cellStyle name="_Blend plan as of 16-august-05_01  Usulan Blend Plan BMO_220408 (2)_Wadi-Qinfa" xfId="2576"/>
    <cellStyle name="_Blend plan as of 16-august-05_Stock Status Jul 29, 2008" xfId="2577"/>
    <cellStyle name="_Blend plan as of 16-august-05_Stock Status Jul 29, 2008 2" xfId="2578"/>
    <cellStyle name="_Blend plan as of 16-august-05_Stock Status Jul 29, 2008_Wadi-Qinfa" xfId="2579"/>
    <cellStyle name="_Blend plan as of 16-august-05_Usulan Blend Plan BMO 11-03-08" xfId="2580"/>
    <cellStyle name="_Blend plan as of 16-august-05_Usulan Blend Plan BMO 11-03-08 2" xfId="2581"/>
    <cellStyle name="_Blend plan as of 16-august-05_Usulan Blend Plan BMO 11-03-08_Wadi-Qinfa" xfId="2582"/>
    <cellStyle name="_Blend plan as of 16-august-05_Usulan Blend Plan BMO 25-03-08" xfId="2583"/>
    <cellStyle name="_Blend plan as of 16-august-05_Usulan Blend Plan BMO 25-03-08 2" xfId="2584"/>
    <cellStyle name="_Blend plan as of 16-august-05_Usulan Blend Plan BMO 25-03-08_Wadi-Qinfa" xfId="2585"/>
    <cellStyle name="_Blend plan as of 16-august-05_Usulan Blending 27 Mei 2008" xfId="2586"/>
    <cellStyle name="_Blend plan as of 16-august-05_Usulan Blending 27 Mei 2008 2" xfId="2587"/>
    <cellStyle name="_Blend plan as of 16-august-05_Usulan Blending 27 Mei 2008_Wadi-Qinfa" xfId="2588"/>
    <cellStyle name="_Blend plan as of 16-august-05_Usulan Blending Plan 10 jun (2)" xfId="2589"/>
    <cellStyle name="_Blend plan as of 16-august-05_Usulan Blending Plan 10 jun (2) 2" xfId="2590"/>
    <cellStyle name="_Blend plan as of 16-august-05_Usulan Blending Plan 10 jun (2)_Wadi-Qinfa" xfId="2591"/>
    <cellStyle name="_Blend plan as of 16-august-05_Usulan Blending Plan 17 jun (2)" xfId="2592"/>
    <cellStyle name="_Blend plan as of 16-august-05_Usulan Blending Plan 17 jun (2) 2" xfId="2593"/>
    <cellStyle name="_Blend plan as of 16-august-05_Usulan Blending Plan 17 jun (2)_Wadi-Qinfa" xfId="2594"/>
    <cellStyle name="_Blend plan as of 16-august-05_Usulan blending plan 21_05_08" xfId="2595"/>
    <cellStyle name="_Blend plan as of 16-august-05_Usulan blending plan 21_05_08 2" xfId="2596"/>
    <cellStyle name="_Blend plan as of 16-august-05_Usulan blending plan 21_05_08_Wadi-Qinfa" xfId="2597"/>
    <cellStyle name="_Blend plan as of 16-august-05_Usulan blending PlaN 27-05-08" xfId="2598"/>
    <cellStyle name="_Blend plan as of 16-august-05_Usulan blending PlaN 27-05-08 2" xfId="2599"/>
    <cellStyle name="_Blend plan as of 16-august-05_Usulan blending PlaN 27-05-08_Wadi-Qinfa" xfId="2600"/>
    <cellStyle name="_Blend plan as of 16-august-05_Usulan Blending Plan_13 Feb 2008_awl" xfId="2601"/>
    <cellStyle name="_Blend plan as of 16-august-05_Usulan Blending Plan_13 Feb 2008_awl 2" xfId="2602"/>
    <cellStyle name="_Blend plan as of 16-august-05_Usulan Blending Plan_13 Feb 2008_awl_Wadi-Qinfa" xfId="2603"/>
    <cellStyle name="_Blend plan as of 16-august-05_Wadi-Qinfa" xfId="2604"/>
    <cellStyle name="_Blend plan as of 16-January-2007" xfId="2605"/>
    <cellStyle name="_Blend plan as of 16-January-2007 2" xfId="2606"/>
    <cellStyle name="_Blend plan as of 16-January-2007_01  Usulan Blend Plan BMO_220408 (2)" xfId="2607"/>
    <cellStyle name="_Blend plan as of 16-January-2007_01  Usulan Blend Plan BMO_220408 (2) 2" xfId="2608"/>
    <cellStyle name="_Blend plan as of 16-January-2007_01  Usulan Blend Plan BMO_220408 (2)_Wadi-Qinfa" xfId="2609"/>
    <cellStyle name="_Blend plan as of 16-January-2007_Stock Status Jul 29, 2008" xfId="2610"/>
    <cellStyle name="_Blend plan as of 16-January-2007_Stock Status Jul 29, 2008 2" xfId="2611"/>
    <cellStyle name="_Blend plan as of 16-January-2007_Stock Status Jul 29, 2008_Wadi-Qinfa" xfId="2612"/>
    <cellStyle name="_Blend plan as of 16-January-2007_Usulan Blend Plan BMO 11-03-08" xfId="2613"/>
    <cellStyle name="_Blend plan as of 16-January-2007_Usulan Blend Plan BMO 11-03-08 2" xfId="2614"/>
    <cellStyle name="_Blend plan as of 16-January-2007_Usulan Blend Plan BMO 11-03-08_Wadi-Qinfa" xfId="2615"/>
    <cellStyle name="_Blend plan as of 16-January-2007_Usulan Blend Plan BMO 25-03-08" xfId="2616"/>
    <cellStyle name="_Blend plan as of 16-January-2007_Usulan Blend Plan BMO 25-03-08 2" xfId="2617"/>
    <cellStyle name="_Blend plan as of 16-January-2007_Usulan Blend Plan BMO 25-03-08_Wadi-Qinfa" xfId="2618"/>
    <cellStyle name="_Blend plan as of 16-January-2007_Usulan Blending 27 Mei 2008" xfId="2619"/>
    <cellStyle name="_Blend plan as of 16-January-2007_Usulan Blending 27 Mei 2008 2" xfId="2620"/>
    <cellStyle name="_Blend plan as of 16-January-2007_Usulan Blending 27 Mei 2008_Wadi-Qinfa" xfId="2621"/>
    <cellStyle name="_Blend plan as of 16-January-2007_Usulan Blending Plan 10 jun (2)" xfId="2622"/>
    <cellStyle name="_Blend plan as of 16-January-2007_Usulan Blending Plan 10 jun (2) 2" xfId="2623"/>
    <cellStyle name="_Blend plan as of 16-January-2007_Usulan Blending Plan 10 jun (2)_Wadi-Qinfa" xfId="2624"/>
    <cellStyle name="_Blend plan as of 16-January-2007_Usulan Blending Plan 17 jun (2)" xfId="2625"/>
    <cellStyle name="_Blend plan as of 16-January-2007_Usulan Blending Plan 17 jun (2) 2" xfId="2626"/>
    <cellStyle name="_Blend plan as of 16-January-2007_Usulan Blending Plan 17 jun (2)_Wadi-Qinfa" xfId="2627"/>
    <cellStyle name="_Blend plan as of 16-January-2007_Usulan blending plan 21_05_08" xfId="2628"/>
    <cellStyle name="_Blend plan as of 16-January-2007_Usulan blending plan 21_05_08 2" xfId="2629"/>
    <cellStyle name="_Blend plan as of 16-January-2007_Usulan blending plan 21_05_08_Wadi-Qinfa" xfId="2630"/>
    <cellStyle name="_Blend plan as of 16-January-2007_Usulan blending PlaN 27-05-08" xfId="2631"/>
    <cellStyle name="_Blend plan as of 16-January-2007_Usulan blending PlaN 27-05-08 2" xfId="2632"/>
    <cellStyle name="_Blend plan as of 16-January-2007_Usulan blending PlaN 27-05-08_Wadi-Qinfa" xfId="2633"/>
    <cellStyle name="_Blend plan as of 16-January-2007_Usulan Blending Plan_13 Feb 2008_awl" xfId="2634"/>
    <cellStyle name="_Blend plan as of 16-January-2007_Usulan Blending Plan_13 Feb 2008_awl 2" xfId="2635"/>
    <cellStyle name="_Blend plan as of 16-January-2007_Usulan Blending Plan_13 Feb 2008_awl_Wadi-Qinfa" xfId="2636"/>
    <cellStyle name="_Blend plan as of 16-January-2007_Wadi-Qinfa" xfId="2637"/>
    <cellStyle name="_Blend plan as of 16-May-06" xfId="2638"/>
    <cellStyle name="_Blend plan as of 16-May-06 2" xfId="2639"/>
    <cellStyle name="_Blend plan as of 16-May-06_01  Usulan Blend Plan BMO_220408 (2)" xfId="2640"/>
    <cellStyle name="_Blend plan as of 16-May-06_01  Usulan Blend Plan BMO_220408 (2) 2" xfId="2641"/>
    <cellStyle name="_Blend plan as of 16-May-06_01  Usulan Blend Plan BMO_220408 (2)_Wadi-Qinfa" xfId="2642"/>
    <cellStyle name="_Blend plan as of 16-May-06_Stock Status Jul 29, 2008" xfId="2643"/>
    <cellStyle name="_Blend plan as of 16-May-06_Stock Status Jul 29, 2008 2" xfId="2644"/>
    <cellStyle name="_Blend plan as of 16-May-06_Stock Status Jul 29, 2008_Wadi-Qinfa" xfId="2645"/>
    <cellStyle name="_Blend plan as of 16-May-06_Usulan Blend Plan BMO 11-03-08" xfId="2646"/>
    <cellStyle name="_Blend plan as of 16-May-06_Usulan Blend Plan BMO 11-03-08 2" xfId="2647"/>
    <cellStyle name="_Blend plan as of 16-May-06_Usulan Blend Plan BMO 11-03-08_Wadi-Qinfa" xfId="2648"/>
    <cellStyle name="_Blend plan as of 16-May-06_Usulan Blend Plan BMO 25-03-08" xfId="2649"/>
    <cellStyle name="_Blend plan as of 16-May-06_Usulan Blend Plan BMO 25-03-08 2" xfId="2650"/>
    <cellStyle name="_Blend plan as of 16-May-06_Usulan Blend Plan BMO 25-03-08_Wadi-Qinfa" xfId="2651"/>
    <cellStyle name="_Blend plan as of 16-May-06_Usulan Blending 27 Mei 2008" xfId="2652"/>
    <cellStyle name="_Blend plan as of 16-May-06_Usulan Blending 27 Mei 2008 2" xfId="2653"/>
    <cellStyle name="_Blend plan as of 16-May-06_Usulan Blending 27 Mei 2008_Wadi-Qinfa" xfId="2654"/>
    <cellStyle name="_Blend plan as of 16-May-06_Usulan Blending Plan 10 jun (2)" xfId="2655"/>
    <cellStyle name="_Blend plan as of 16-May-06_Usulan Blending Plan 10 jun (2) 2" xfId="2656"/>
    <cellStyle name="_Blend plan as of 16-May-06_Usulan Blending Plan 10 jun (2)_Wadi-Qinfa" xfId="2657"/>
    <cellStyle name="_Blend plan as of 16-May-06_Usulan Blending Plan 17 jun (2)" xfId="2658"/>
    <cellStyle name="_Blend plan as of 16-May-06_Usulan Blending Plan 17 jun (2) 2" xfId="2659"/>
    <cellStyle name="_Blend plan as of 16-May-06_Usulan Blending Plan 17 jun (2)_Wadi-Qinfa" xfId="2660"/>
    <cellStyle name="_Blend plan as of 16-May-06_Usulan blending plan 21_05_08" xfId="2661"/>
    <cellStyle name="_Blend plan as of 16-May-06_Usulan blending plan 21_05_08 2" xfId="2662"/>
    <cellStyle name="_Blend plan as of 16-May-06_Usulan blending plan 21_05_08_Wadi-Qinfa" xfId="2663"/>
    <cellStyle name="_Blend plan as of 16-May-06_Usulan blending PlaN 27-05-08" xfId="2664"/>
    <cellStyle name="_Blend plan as of 16-May-06_Usulan blending PlaN 27-05-08 2" xfId="2665"/>
    <cellStyle name="_Blend plan as of 16-May-06_Usulan blending PlaN 27-05-08_Wadi-Qinfa" xfId="2666"/>
    <cellStyle name="_Blend plan as of 16-May-06_Usulan Blending Plan_13 Feb 2008_awl" xfId="2667"/>
    <cellStyle name="_Blend plan as of 16-May-06_Usulan Blending Plan_13 Feb 2008_awl 2" xfId="2668"/>
    <cellStyle name="_Blend plan as of 16-May-06_Usulan Blending Plan_13 Feb 2008_awl_Wadi-Qinfa" xfId="2669"/>
    <cellStyle name="_Blend plan as of 16-May-06_Wadi-Qinfa" xfId="2670"/>
    <cellStyle name="_Blend plan as of 17-April-2007" xfId="2671"/>
    <cellStyle name="_Blend plan as of 17-April-2007 2" xfId="2672"/>
    <cellStyle name="_Blend plan as of 17-April-2007_01  Usulan Blend Plan BMO_220408 (2)" xfId="2673"/>
    <cellStyle name="_Blend plan as of 17-April-2007_01  Usulan Blend Plan BMO_220408 (2) 2" xfId="2674"/>
    <cellStyle name="_Blend plan as of 17-April-2007_01  Usulan Blend Plan BMO_220408 (2)_Wadi-Qinfa" xfId="2675"/>
    <cellStyle name="_Blend plan as of 17-April-2007_Stock Status Jul 29, 2008" xfId="2676"/>
    <cellStyle name="_Blend plan as of 17-April-2007_Stock Status Jul 29, 2008 2" xfId="2677"/>
    <cellStyle name="_Blend plan as of 17-April-2007_Stock Status Jul 29, 2008_Wadi-Qinfa" xfId="2678"/>
    <cellStyle name="_Blend plan as of 17-April-2007_Usulan Blend Plan BMO 11-03-08" xfId="2679"/>
    <cellStyle name="_Blend plan as of 17-April-2007_Usulan Blend Plan BMO 11-03-08 2" xfId="2680"/>
    <cellStyle name="_Blend plan as of 17-April-2007_Usulan Blend Plan BMO 11-03-08_Wadi-Qinfa" xfId="2681"/>
    <cellStyle name="_Blend plan as of 17-April-2007_Usulan Blend Plan BMO 25-03-08" xfId="2682"/>
    <cellStyle name="_Blend plan as of 17-April-2007_Usulan Blend Plan BMO 25-03-08 2" xfId="2683"/>
    <cellStyle name="_Blend plan as of 17-April-2007_Usulan Blend Plan BMO 25-03-08_Wadi-Qinfa" xfId="2684"/>
    <cellStyle name="_Blend plan as of 17-April-2007_Usulan Blending 27 Mei 2008" xfId="2685"/>
    <cellStyle name="_Blend plan as of 17-April-2007_Usulan Blending 27 Mei 2008 2" xfId="2686"/>
    <cellStyle name="_Blend plan as of 17-April-2007_Usulan Blending 27 Mei 2008_Wadi-Qinfa" xfId="2687"/>
    <cellStyle name="_Blend plan as of 17-April-2007_Usulan Blending Plan 10 jun (2)" xfId="2688"/>
    <cellStyle name="_Blend plan as of 17-April-2007_Usulan Blending Plan 10 jun (2) 2" xfId="2689"/>
    <cellStyle name="_Blend plan as of 17-April-2007_Usulan Blending Plan 10 jun (2)_Wadi-Qinfa" xfId="2690"/>
    <cellStyle name="_Blend plan as of 17-April-2007_Usulan Blending Plan 17 jun (2)" xfId="2691"/>
    <cellStyle name="_Blend plan as of 17-April-2007_Usulan Blending Plan 17 jun (2) 2" xfId="2692"/>
    <cellStyle name="_Blend plan as of 17-April-2007_Usulan Blending Plan 17 jun (2)_Wadi-Qinfa" xfId="2693"/>
    <cellStyle name="_Blend plan as of 17-April-2007_Usulan blending plan 21_05_08" xfId="2694"/>
    <cellStyle name="_Blend plan as of 17-April-2007_Usulan blending plan 21_05_08 2" xfId="2695"/>
    <cellStyle name="_Blend plan as of 17-April-2007_Usulan blending plan 21_05_08_Wadi-Qinfa" xfId="2696"/>
    <cellStyle name="_Blend plan as of 17-April-2007_Usulan blending PlaN 27-05-08" xfId="2697"/>
    <cellStyle name="_Blend plan as of 17-April-2007_Usulan blending PlaN 27-05-08 2" xfId="2698"/>
    <cellStyle name="_Blend plan as of 17-April-2007_Usulan blending PlaN 27-05-08_Wadi-Qinfa" xfId="2699"/>
    <cellStyle name="_Blend plan as of 17-April-2007_Usulan Blending Plan_13 Feb 2008_awl" xfId="2700"/>
    <cellStyle name="_Blend plan as of 17-April-2007_Usulan Blending Plan_13 Feb 2008_awl 2" xfId="2701"/>
    <cellStyle name="_Blend plan as of 17-April-2007_Usulan Blending Plan_13 Feb 2008_awl_Wadi-Qinfa" xfId="2702"/>
    <cellStyle name="_Blend plan as of 17-April-2007_Wadi-Qinfa" xfId="2703"/>
    <cellStyle name="_Blend plan as of 17-January-06-rev" xfId="2704"/>
    <cellStyle name="_Blend plan as of 17-January-06-rev 2" xfId="2705"/>
    <cellStyle name="_Blend plan as of 17-January-06-rev_01  Usulan Blend Plan BMO_220408 (2)" xfId="2706"/>
    <cellStyle name="_Blend plan as of 17-January-06-rev_01  Usulan Blend Plan BMO_220408 (2) 2" xfId="2707"/>
    <cellStyle name="_Blend plan as of 17-January-06-rev_01  Usulan Blend Plan BMO_220408 (2)_Wadi-Qinfa" xfId="2708"/>
    <cellStyle name="_Blend plan as of 17-January-06-rev_Stock Status Jul 29, 2008" xfId="2709"/>
    <cellStyle name="_Blend plan as of 17-January-06-rev_Stock Status Jul 29, 2008 2" xfId="2710"/>
    <cellStyle name="_Blend plan as of 17-January-06-rev_Stock Status Jul 29, 2008_Wadi-Qinfa" xfId="2711"/>
    <cellStyle name="_Blend plan as of 17-January-06-rev_Usulan Blend Plan BMO 11-03-08" xfId="2712"/>
    <cellStyle name="_Blend plan as of 17-January-06-rev_Usulan Blend Plan BMO 11-03-08 2" xfId="2713"/>
    <cellStyle name="_Blend plan as of 17-January-06-rev_Usulan Blend Plan BMO 11-03-08_Wadi-Qinfa" xfId="2714"/>
    <cellStyle name="_Blend plan as of 17-January-06-rev_Usulan Blend Plan BMO 25-03-08" xfId="2715"/>
    <cellStyle name="_Blend plan as of 17-January-06-rev_Usulan Blend Plan BMO 25-03-08 2" xfId="2716"/>
    <cellStyle name="_Blend plan as of 17-January-06-rev_Usulan Blend Plan BMO 25-03-08_Wadi-Qinfa" xfId="2717"/>
    <cellStyle name="_Blend plan as of 17-January-06-rev_Usulan Blending 27 Mei 2008" xfId="2718"/>
    <cellStyle name="_Blend plan as of 17-January-06-rev_Usulan Blending 27 Mei 2008 2" xfId="2719"/>
    <cellStyle name="_Blend plan as of 17-January-06-rev_Usulan Blending 27 Mei 2008_Wadi-Qinfa" xfId="2720"/>
    <cellStyle name="_Blend plan as of 17-January-06-rev_Usulan Blending Plan 10 jun (2)" xfId="2721"/>
    <cellStyle name="_Blend plan as of 17-January-06-rev_Usulan Blending Plan 10 jun (2) 2" xfId="2722"/>
    <cellStyle name="_Blend plan as of 17-January-06-rev_Usulan Blending Plan 10 jun (2)_Wadi-Qinfa" xfId="2723"/>
    <cellStyle name="_Blend plan as of 17-January-06-rev_Usulan Blending Plan 17 jun (2)" xfId="2724"/>
    <cellStyle name="_Blend plan as of 17-January-06-rev_Usulan Blending Plan 17 jun (2) 2" xfId="2725"/>
    <cellStyle name="_Blend plan as of 17-January-06-rev_Usulan Blending Plan 17 jun (2)_Wadi-Qinfa" xfId="2726"/>
    <cellStyle name="_Blend plan as of 17-January-06-rev_Usulan blending plan 21_05_08" xfId="2727"/>
    <cellStyle name="_Blend plan as of 17-January-06-rev_Usulan blending plan 21_05_08 2" xfId="2728"/>
    <cellStyle name="_Blend plan as of 17-January-06-rev_Usulan blending plan 21_05_08_Wadi-Qinfa" xfId="2729"/>
    <cellStyle name="_Blend plan as of 17-January-06-rev_Usulan blending PlaN 27-05-08" xfId="2730"/>
    <cellStyle name="_Blend plan as of 17-January-06-rev_Usulan blending PlaN 27-05-08 2" xfId="2731"/>
    <cellStyle name="_Blend plan as of 17-January-06-rev_Usulan blending PlaN 27-05-08_Wadi-Qinfa" xfId="2732"/>
    <cellStyle name="_Blend plan as of 17-January-06-rev_Usulan Blending Plan_13 Feb 2008_awl" xfId="2733"/>
    <cellStyle name="_Blend plan as of 17-January-06-rev_Usulan Blending Plan_13 Feb 2008_awl 2" xfId="2734"/>
    <cellStyle name="_Blend plan as of 17-January-06-rev_Usulan Blending Plan_13 Feb 2008_awl_Wadi-Qinfa" xfId="2735"/>
    <cellStyle name="_Blend plan as of 17-January-06-rev_Wadi-Qinfa" xfId="2736"/>
    <cellStyle name="_Blend plan as of 17-Juli-2007" xfId="2737"/>
    <cellStyle name="_Blend plan as of 17-Juli-2007 2" xfId="2738"/>
    <cellStyle name="_Blend plan as of 17-Juli-2007_01  Usulan Blend Plan BMO_220408 (2)" xfId="2739"/>
    <cellStyle name="_Blend plan as of 17-Juli-2007_01  Usulan Blend Plan BMO_220408 (2) 2" xfId="2740"/>
    <cellStyle name="_Blend plan as of 17-Juli-2007_01  Usulan Blend Plan BMO_220408 (2)_Wadi-Qinfa" xfId="2741"/>
    <cellStyle name="_Blend plan as of 17-Juli-2007_Stock Status Jul 29, 2008" xfId="2742"/>
    <cellStyle name="_Blend plan as of 17-Juli-2007_Stock Status Jul 29, 2008 2" xfId="2743"/>
    <cellStyle name="_Blend plan as of 17-Juli-2007_Stock Status Jul 29, 2008_Wadi-Qinfa" xfId="2744"/>
    <cellStyle name="_Blend plan as of 17-Juli-2007_Usulan Blend Plan BMO 11-03-08" xfId="2745"/>
    <cellStyle name="_Blend plan as of 17-Juli-2007_Usulan Blend Plan BMO 11-03-08 2" xfId="2746"/>
    <cellStyle name="_Blend plan as of 17-Juli-2007_Usulan Blend Plan BMO 11-03-08_Wadi-Qinfa" xfId="2747"/>
    <cellStyle name="_Blend plan as of 17-Juli-2007_Usulan Blend Plan BMO 25-03-08" xfId="2748"/>
    <cellStyle name="_Blend plan as of 17-Juli-2007_Usulan Blend Plan BMO 25-03-08 2" xfId="2749"/>
    <cellStyle name="_Blend plan as of 17-Juli-2007_Usulan Blend Plan BMO 25-03-08_Wadi-Qinfa" xfId="2750"/>
    <cellStyle name="_Blend plan as of 17-Juli-2007_Usulan Blending 27 Mei 2008" xfId="2751"/>
    <cellStyle name="_Blend plan as of 17-Juli-2007_Usulan Blending 27 Mei 2008 2" xfId="2752"/>
    <cellStyle name="_Blend plan as of 17-Juli-2007_Usulan Blending 27 Mei 2008_Wadi-Qinfa" xfId="2753"/>
    <cellStyle name="_Blend plan as of 17-Juli-2007_Usulan Blending Plan 10 jun (2)" xfId="2754"/>
    <cellStyle name="_Blend plan as of 17-Juli-2007_Usulan Blending Plan 10 jun (2) 2" xfId="2755"/>
    <cellStyle name="_Blend plan as of 17-Juli-2007_Usulan Blending Plan 10 jun (2)_Wadi-Qinfa" xfId="2756"/>
    <cellStyle name="_Blend plan as of 17-Juli-2007_Usulan Blending Plan 17 jun (2)" xfId="2757"/>
    <cellStyle name="_Blend plan as of 17-Juli-2007_Usulan Blending Plan 17 jun (2) 2" xfId="2758"/>
    <cellStyle name="_Blend plan as of 17-Juli-2007_Usulan Blending Plan 17 jun (2)_Wadi-Qinfa" xfId="2759"/>
    <cellStyle name="_Blend plan as of 17-Juli-2007_Usulan blending plan 21_05_08" xfId="2760"/>
    <cellStyle name="_Blend plan as of 17-Juli-2007_Usulan blending plan 21_05_08 2" xfId="2761"/>
    <cellStyle name="_Blend plan as of 17-Juli-2007_Usulan blending plan 21_05_08_Wadi-Qinfa" xfId="2762"/>
    <cellStyle name="_Blend plan as of 17-Juli-2007_Usulan blending PlaN 27-05-08" xfId="2763"/>
    <cellStyle name="_Blend plan as of 17-Juli-2007_Usulan blending PlaN 27-05-08 2" xfId="2764"/>
    <cellStyle name="_Blend plan as of 17-Juli-2007_Usulan blending PlaN 27-05-08_Wadi-Qinfa" xfId="2765"/>
    <cellStyle name="_Blend plan as of 17-Juli-2007_Usulan Blending Plan_13 Feb 2008_awl" xfId="2766"/>
    <cellStyle name="_Blend plan as of 17-Juli-2007_Usulan Blending Plan_13 Feb 2008_awl 2" xfId="2767"/>
    <cellStyle name="_Blend plan as of 17-Juli-2007_Usulan Blending Plan_13 Feb 2008_awl_Wadi-Qinfa" xfId="2768"/>
    <cellStyle name="_Blend plan as of 17-Juli-2007_Wadi-Qinfa" xfId="2769"/>
    <cellStyle name="_Blend plan as of 17-May-05" xfId="2770"/>
    <cellStyle name="_Blend plan as of 17-May-05 2" xfId="2771"/>
    <cellStyle name="_Blend plan as of 17-May-05_01  Usulan Blend Plan BMO_220408 (2)" xfId="2772"/>
    <cellStyle name="_Blend plan as of 17-May-05_01  Usulan Blend Plan BMO_220408 (2) 2" xfId="2773"/>
    <cellStyle name="_Blend plan as of 17-May-05_01  Usulan Blend Plan BMO_220408 (2)_Wadi-Qinfa" xfId="2774"/>
    <cellStyle name="_Blend plan as of 17-May-05_Stock Status Jul 29, 2008" xfId="2775"/>
    <cellStyle name="_Blend plan as of 17-May-05_Stock Status Jul 29, 2008 2" xfId="2776"/>
    <cellStyle name="_Blend plan as of 17-May-05_Stock Status Jul 29, 2008_Wadi-Qinfa" xfId="2777"/>
    <cellStyle name="_Blend plan as of 17-May-05_Usulan Blend Plan BMO 11-03-08" xfId="2778"/>
    <cellStyle name="_Blend plan as of 17-May-05_Usulan Blend Plan BMO 11-03-08 2" xfId="2779"/>
    <cellStyle name="_Blend plan as of 17-May-05_Usulan Blend Plan BMO 11-03-08_Wadi-Qinfa" xfId="2780"/>
    <cellStyle name="_Blend plan as of 17-May-05_Usulan Blend Plan BMO 25-03-08" xfId="2781"/>
    <cellStyle name="_Blend plan as of 17-May-05_Usulan Blend Plan BMO 25-03-08 2" xfId="2782"/>
    <cellStyle name="_Blend plan as of 17-May-05_Usulan Blend Plan BMO 25-03-08_Wadi-Qinfa" xfId="2783"/>
    <cellStyle name="_Blend plan as of 17-May-05_Usulan Blending 27 Mei 2008" xfId="2784"/>
    <cellStyle name="_Blend plan as of 17-May-05_Usulan Blending 27 Mei 2008 2" xfId="2785"/>
    <cellStyle name="_Blend plan as of 17-May-05_Usulan Blending 27 Mei 2008_Wadi-Qinfa" xfId="2786"/>
    <cellStyle name="_Blend plan as of 17-May-05_Usulan Blending Plan 10 jun (2)" xfId="2787"/>
    <cellStyle name="_Blend plan as of 17-May-05_Usulan Blending Plan 10 jun (2) 2" xfId="2788"/>
    <cellStyle name="_Blend plan as of 17-May-05_Usulan Blending Plan 10 jun (2)_Wadi-Qinfa" xfId="2789"/>
    <cellStyle name="_Blend plan as of 17-May-05_Usulan Blending Plan 17 jun (2)" xfId="2790"/>
    <cellStyle name="_Blend plan as of 17-May-05_Usulan Blending Plan 17 jun (2) 2" xfId="2791"/>
    <cellStyle name="_Blend plan as of 17-May-05_Usulan Blending Plan 17 jun (2)_Wadi-Qinfa" xfId="2792"/>
    <cellStyle name="_Blend plan as of 17-May-05_Usulan blending plan 21_05_08" xfId="2793"/>
    <cellStyle name="_Blend plan as of 17-May-05_Usulan blending plan 21_05_08 2" xfId="2794"/>
    <cellStyle name="_Blend plan as of 17-May-05_Usulan blending plan 21_05_08_Wadi-Qinfa" xfId="2795"/>
    <cellStyle name="_Blend plan as of 17-May-05_Usulan blending PlaN 27-05-08" xfId="2796"/>
    <cellStyle name="_Blend plan as of 17-May-05_Usulan blending PlaN 27-05-08 2" xfId="2797"/>
    <cellStyle name="_Blend plan as of 17-May-05_Usulan blending PlaN 27-05-08_Wadi-Qinfa" xfId="2798"/>
    <cellStyle name="_Blend plan as of 17-May-05_Usulan Blending Plan_13 Feb 2008_awl" xfId="2799"/>
    <cellStyle name="_Blend plan as of 17-May-05_Usulan Blending Plan_13 Feb 2008_awl 2" xfId="2800"/>
    <cellStyle name="_Blend plan as of 17-May-05_Usulan Blending Plan_13 Feb 2008_awl_Wadi-Qinfa" xfId="2801"/>
    <cellStyle name="_Blend plan as of 17-May-05_Wadi-Qinfa" xfId="2802"/>
    <cellStyle name="_Blend plan as of 17-October-06" xfId="2803"/>
    <cellStyle name="_Blend plan as of 17-October-06 2" xfId="2804"/>
    <cellStyle name="_Blend plan as of 17-October-06_01  Usulan Blend Plan BMO_220408 (2)" xfId="2805"/>
    <cellStyle name="_Blend plan as of 17-October-06_01  Usulan Blend Plan BMO_220408 (2) 2" xfId="2806"/>
    <cellStyle name="_Blend plan as of 17-October-06_01  Usulan Blend Plan BMO_220408 (2)_Wadi-Qinfa" xfId="2807"/>
    <cellStyle name="_Blend plan as of 17-October-06_Stock Status Jul 29, 2008" xfId="2808"/>
    <cellStyle name="_Blend plan as of 17-October-06_Stock Status Jul 29, 2008 2" xfId="2809"/>
    <cellStyle name="_Blend plan as of 17-October-06_Stock Status Jul 29, 2008_Wadi-Qinfa" xfId="2810"/>
    <cellStyle name="_Blend plan as of 17-October-06_Usulan Blend Plan BMO 11-03-08" xfId="2811"/>
    <cellStyle name="_Blend plan as of 17-October-06_Usulan Blend Plan BMO 11-03-08 2" xfId="2812"/>
    <cellStyle name="_Blend plan as of 17-October-06_Usulan Blend Plan BMO 11-03-08_Wadi-Qinfa" xfId="2813"/>
    <cellStyle name="_Blend plan as of 17-October-06_Usulan Blend Plan BMO 25-03-08" xfId="2814"/>
    <cellStyle name="_Blend plan as of 17-October-06_Usulan Blend Plan BMO 25-03-08 2" xfId="2815"/>
    <cellStyle name="_Blend plan as of 17-October-06_Usulan Blend Plan BMO 25-03-08_Wadi-Qinfa" xfId="2816"/>
    <cellStyle name="_Blend plan as of 17-October-06_Usulan Blending 27 Mei 2008" xfId="2817"/>
    <cellStyle name="_Blend plan as of 17-October-06_Usulan Blending 27 Mei 2008 2" xfId="2818"/>
    <cellStyle name="_Blend plan as of 17-October-06_Usulan Blending 27 Mei 2008_Wadi-Qinfa" xfId="2819"/>
    <cellStyle name="_Blend plan as of 17-October-06_Usulan Blending Plan 10 jun (2)" xfId="2820"/>
    <cellStyle name="_Blend plan as of 17-October-06_Usulan Blending Plan 10 jun (2) 2" xfId="2821"/>
    <cellStyle name="_Blend plan as of 17-October-06_Usulan Blending Plan 10 jun (2)_Wadi-Qinfa" xfId="2822"/>
    <cellStyle name="_Blend plan as of 17-October-06_Usulan Blending Plan 17 jun (2)" xfId="2823"/>
    <cellStyle name="_Blend plan as of 17-October-06_Usulan Blending Plan 17 jun (2) 2" xfId="2824"/>
    <cellStyle name="_Blend plan as of 17-October-06_Usulan Blending Plan 17 jun (2)_Wadi-Qinfa" xfId="2825"/>
    <cellStyle name="_Blend plan as of 17-October-06_Usulan blending plan 21_05_08" xfId="2826"/>
    <cellStyle name="_Blend plan as of 17-October-06_Usulan blending plan 21_05_08 2" xfId="2827"/>
    <cellStyle name="_Blend plan as of 17-October-06_Usulan blending plan 21_05_08_Wadi-Qinfa" xfId="2828"/>
    <cellStyle name="_Blend plan as of 17-October-06_Usulan blending PlaN 27-05-08" xfId="2829"/>
    <cellStyle name="_Blend plan as of 17-October-06_Usulan blending PlaN 27-05-08 2" xfId="2830"/>
    <cellStyle name="_Blend plan as of 17-October-06_Usulan blending PlaN 27-05-08_Wadi-Qinfa" xfId="2831"/>
    <cellStyle name="_Blend plan as of 17-October-06_Usulan Blending Plan_13 Feb 2008_awl" xfId="2832"/>
    <cellStyle name="_Blend plan as of 17-October-06_Usulan Blending Plan_13 Feb 2008_awl 2" xfId="2833"/>
    <cellStyle name="_Blend plan as of 17-October-06_Usulan Blending Plan_13 Feb 2008_awl_Wadi-Qinfa" xfId="2834"/>
    <cellStyle name="_Blend plan as of 17-October-06_Wadi-Qinfa" xfId="2835"/>
    <cellStyle name="_Blend plan as of 18-April-06" xfId="2836"/>
    <cellStyle name="_Blend plan as of 18-April-06 2" xfId="2837"/>
    <cellStyle name="_Blend plan as of 18-April-06_01  Usulan Blend Plan BMO_220408 (2)" xfId="2838"/>
    <cellStyle name="_Blend plan as of 18-April-06_01  Usulan Blend Plan BMO_220408 (2) 2" xfId="2839"/>
    <cellStyle name="_Blend plan as of 18-April-06_01  Usulan Blend Plan BMO_220408 (2)_Wadi-Qinfa" xfId="2840"/>
    <cellStyle name="_Blend plan as of 18-April-06_Stock Status Jul 29, 2008" xfId="2841"/>
    <cellStyle name="_Blend plan as of 18-April-06_Stock Status Jul 29, 2008 2" xfId="2842"/>
    <cellStyle name="_Blend plan as of 18-April-06_Stock Status Jul 29, 2008_Wadi-Qinfa" xfId="2843"/>
    <cellStyle name="_Blend plan as of 18-April-06_Usulan Blend Plan BMO 11-03-08" xfId="2844"/>
    <cellStyle name="_Blend plan as of 18-April-06_Usulan Blend Plan BMO 11-03-08 2" xfId="2845"/>
    <cellStyle name="_Blend plan as of 18-April-06_Usulan Blend Plan BMO 11-03-08_Wadi-Qinfa" xfId="2846"/>
    <cellStyle name="_Blend plan as of 18-April-06_Usulan Blend Plan BMO 25-03-08" xfId="2847"/>
    <cellStyle name="_Blend plan as of 18-April-06_Usulan Blend Plan BMO 25-03-08 2" xfId="2848"/>
    <cellStyle name="_Blend plan as of 18-April-06_Usulan Blend Plan BMO 25-03-08_Wadi-Qinfa" xfId="2849"/>
    <cellStyle name="_Blend plan as of 18-April-06_Usulan Blending 27 Mei 2008" xfId="2850"/>
    <cellStyle name="_Blend plan as of 18-April-06_Usulan Blending 27 Mei 2008 2" xfId="2851"/>
    <cellStyle name="_Blend plan as of 18-April-06_Usulan Blending 27 Mei 2008_Wadi-Qinfa" xfId="2852"/>
    <cellStyle name="_Blend plan as of 18-April-06_Usulan Blending Plan 10 jun (2)" xfId="2853"/>
    <cellStyle name="_Blend plan as of 18-April-06_Usulan Blending Plan 10 jun (2) 2" xfId="2854"/>
    <cellStyle name="_Blend plan as of 18-April-06_Usulan Blending Plan 10 jun (2)_Wadi-Qinfa" xfId="2855"/>
    <cellStyle name="_Blend plan as of 18-April-06_Usulan Blending Plan 17 jun (2)" xfId="2856"/>
    <cellStyle name="_Blend plan as of 18-April-06_Usulan Blending Plan 17 jun (2) 2" xfId="2857"/>
    <cellStyle name="_Blend plan as of 18-April-06_Usulan Blending Plan 17 jun (2)_Wadi-Qinfa" xfId="2858"/>
    <cellStyle name="_Blend plan as of 18-April-06_Usulan blending plan 21_05_08" xfId="2859"/>
    <cellStyle name="_Blend plan as of 18-April-06_Usulan blending plan 21_05_08 2" xfId="2860"/>
    <cellStyle name="_Blend plan as of 18-April-06_Usulan blending plan 21_05_08_Wadi-Qinfa" xfId="2861"/>
    <cellStyle name="_Blend plan as of 18-April-06_Usulan blending PlaN 27-05-08" xfId="2862"/>
    <cellStyle name="_Blend plan as of 18-April-06_Usulan blending PlaN 27-05-08 2" xfId="2863"/>
    <cellStyle name="_Blend plan as of 18-April-06_Usulan blending PlaN 27-05-08_Wadi-Qinfa" xfId="2864"/>
    <cellStyle name="_Blend plan as of 18-April-06_Usulan Blending Plan_13 Feb 2008_awl" xfId="2865"/>
    <cellStyle name="_Blend plan as of 18-April-06_Usulan Blending Plan_13 Feb 2008_awl 2" xfId="2866"/>
    <cellStyle name="_Blend plan as of 18-April-06_Usulan Blending Plan_13 Feb 2008_awl_Wadi-Qinfa" xfId="2867"/>
    <cellStyle name="_Blend plan as of 18-April-06_Wadi-Qinfa" xfId="2868"/>
    <cellStyle name="_Blend plan as of 18-Desember-2007" xfId="2869"/>
    <cellStyle name="_Blend plan as of 18-Desember-2007 2" xfId="2870"/>
    <cellStyle name="_Blend plan as of 18-Desember-2007_01  Usulan Blend Plan BMO_220408 (2)" xfId="2871"/>
    <cellStyle name="_Blend plan as of 18-Desember-2007_01  Usulan Blend Plan BMO_220408 (2) 2" xfId="2872"/>
    <cellStyle name="_Blend plan as of 18-Desember-2007_01  Usulan Blend Plan BMO_220408 (2)_Wadi-Qinfa" xfId="2873"/>
    <cellStyle name="_Blend plan as of 18-Desember-2007_Stock Status Jul 29, 2008" xfId="2874"/>
    <cellStyle name="_Blend plan as of 18-Desember-2007_Stock Status Jul 29, 2008 2" xfId="2875"/>
    <cellStyle name="_Blend plan as of 18-Desember-2007_Stock Status Jul 29, 2008_Wadi-Qinfa" xfId="2876"/>
    <cellStyle name="_Blend plan as of 18-Desember-2007_Usulan Blend Plan BMO 11-03-08" xfId="2877"/>
    <cellStyle name="_Blend plan as of 18-Desember-2007_Usulan Blend Plan BMO 11-03-08 2" xfId="2878"/>
    <cellStyle name="_Blend plan as of 18-Desember-2007_Usulan Blend Plan BMO 11-03-08_Wadi-Qinfa" xfId="2879"/>
    <cellStyle name="_Blend plan as of 18-Desember-2007_Usulan Blend Plan BMO 25-03-08" xfId="2880"/>
    <cellStyle name="_Blend plan as of 18-Desember-2007_Usulan Blend Plan BMO 25-03-08 2" xfId="2881"/>
    <cellStyle name="_Blend plan as of 18-Desember-2007_Usulan Blend Plan BMO 25-03-08_Wadi-Qinfa" xfId="2882"/>
    <cellStyle name="_Blend plan as of 18-Desember-2007_Usulan Blending 27 Mei 2008" xfId="2883"/>
    <cellStyle name="_Blend plan as of 18-Desember-2007_Usulan Blending 27 Mei 2008 2" xfId="2884"/>
    <cellStyle name="_Blend plan as of 18-Desember-2007_Usulan Blending 27 Mei 2008_Wadi-Qinfa" xfId="2885"/>
    <cellStyle name="_Blend plan as of 18-Desember-2007_Usulan Blending Plan 10 jun (2)" xfId="2886"/>
    <cellStyle name="_Blend plan as of 18-Desember-2007_Usulan Blending Plan 10 jun (2) 2" xfId="2887"/>
    <cellStyle name="_Blend plan as of 18-Desember-2007_Usulan Blending Plan 10 jun (2)_Wadi-Qinfa" xfId="2888"/>
    <cellStyle name="_Blend plan as of 18-Desember-2007_Usulan Blending Plan 17 jun (2)" xfId="2889"/>
    <cellStyle name="_Blend plan as of 18-Desember-2007_Usulan Blending Plan 17 jun (2) 2" xfId="2890"/>
    <cellStyle name="_Blend plan as of 18-Desember-2007_Usulan Blending Plan 17 jun (2)_Wadi-Qinfa" xfId="2891"/>
    <cellStyle name="_Blend plan as of 18-Desember-2007_Usulan blending plan 21_05_08" xfId="2892"/>
    <cellStyle name="_Blend plan as of 18-Desember-2007_Usulan blending plan 21_05_08 2" xfId="2893"/>
    <cellStyle name="_Blend plan as of 18-Desember-2007_Usulan blending plan 21_05_08_Wadi-Qinfa" xfId="2894"/>
    <cellStyle name="_Blend plan as of 18-Desember-2007_Usulan blending PlaN 27-05-08" xfId="2895"/>
    <cellStyle name="_Blend plan as of 18-Desember-2007_Usulan blending PlaN 27-05-08 2" xfId="2896"/>
    <cellStyle name="_Blend plan as of 18-Desember-2007_Usulan blending PlaN 27-05-08_Wadi-Qinfa" xfId="2897"/>
    <cellStyle name="_Blend plan as of 18-Desember-2007_Usulan Blending Plan_13 Feb 2008_awl" xfId="2898"/>
    <cellStyle name="_Blend plan as of 18-Desember-2007_Usulan Blending Plan_13 Feb 2008_awl 2" xfId="2899"/>
    <cellStyle name="_Blend plan as of 18-Desember-2007_Usulan Blending Plan_13 Feb 2008_awl_Wadi-Qinfa" xfId="2900"/>
    <cellStyle name="_Blend plan as of 18-Desember-2007_Wadi-Qinfa" xfId="2901"/>
    <cellStyle name="_Blend plan as of 18-January-051" xfId="2902"/>
    <cellStyle name="_Blend plan as of 18-January-051 2" xfId="2903"/>
    <cellStyle name="_Blend plan as of 18-January-051_01  Usulan Blend Plan BMO_220408 (2)" xfId="2904"/>
    <cellStyle name="_Blend plan as of 18-January-051_01  Usulan Blend Plan BMO_220408 (2) 2" xfId="2905"/>
    <cellStyle name="_Blend plan as of 18-January-051_01  Usulan Blend Plan BMO_220408 (2)_Wadi-Qinfa" xfId="2906"/>
    <cellStyle name="_Blend plan as of 18-January-051_Stock Status Jul 29, 2008" xfId="2907"/>
    <cellStyle name="_Blend plan as of 18-January-051_Stock Status Jul 29, 2008 2" xfId="2908"/>
    <cellStyle name="_Blend plan as of 18-January-051_Stock Status Jul 29, 2008_Wadi-Qinfa" xfId="2909"/>
    <cellStyle name="_Blend plan as of 18-January-051_Usulan Blend Plan BMO 11-03-08" xfId="2910"/>
    <cellStyle name="_Blend plan as of 18-January-051_Usulan Blend Plan BMO 11-03-08 2" xfId="2911"/>
    <cellStyle name="_Blend plan as of 18-January-051_Usulan Blend Plan BMO 11-03-08_Wadi-Qinfa" xfId="2912"/>
    <cellStyle name="_Blend plan as of 18-January-051_Usulan Blend Plan BMO 25-03-08" xfId="2913"/>
    <cellStyle name="_Blend plan as of 18-January-051_Usulan Blend Plan BMO 25-03-08 2" xfId="2914"/>
    <cellStyle name="_Blend plan as of 18-January-051_Usulan Blend Plan BMO 25-03-08_Wadi-Qinfa" xfId="2915"/>
    <cellStyle name="_Blend plan as of 18-January-051_Usulan Blending 27 Mei 2008" xfId="2916"/>
    <cellStyle name="_Blend plan as of 18-January-051_Usulan Blending 27 Mei 2008 2" xfId="2917"/>
    <cellStyle name="_Blend plan as of 18-January-051_Usulan Blending 27 Mei 2008_Wadi-Qinfa" xfId="2918"/>
    <cellStyle name="_Blend plan as of 18-January-051_Usulan Blending Plan 10 jun (2)" xfId="2919"/>
    <cellStyle name="_Blend plan as of 18-January-051_Usulan Blending Plan 10 jun (2) 2" xfId="2920"/>
    <cellStyle name="_Blend plan as of 18-January-051_Usulan Blending Plan 10 jun (2)_Wadi-Qinfa" xfId="2921"/>
    <cellStyle name="_Blend plan as of 18-January-051_Usulan Blending Plan 17 jun (2)" xfId="2922"/>
    <cellStyle name="_Blend plan as of 18-January-051_Usulan Blending Plan 17 jun (2) 2" xfId="2923"/>
    <cellStyle name="_Blend plan as of 18-January-051_Usulan Blending Plan 17 jun (2)_Wadi-Qinfa" xfId="2924"/>
    <cellStyle name="_Blend plan as of 18-January-051_Usulan blending plan 21_05_08" xfId="2925"/>
    <cellStyle name="_Blend plan as of 18-January-051_Usulan blending plan 21_05_08 2" xfId="2926"/>
    <cellStyle name="_Blend plan as of 18-January-051_Usulan blending plan 21_05_08_Wadi-Qinfa" xfId="2927"/>
    <cellStyle name="_Blend plan as of 18-January-051_Usulan blending PlaN 27-05-08" xfId="2928"/>
    <cellStyle name="_Blend plan as of 18-January-051_Usulan blending PlaN 27-05-08 2" xfId="2929"/>
    <cellStyle name="_Blend plan as of 18-January-051_Usulan blending PlaN 27-05-08_Wadi-Qinfa" xfId="2930"/>
    <cellStyle name="_Blend plan as of 18-January-051_Usulan Blending Plan_13 Feb 2008_awl" xfId="2931"/>
    <cellStyle name="_Blend plan as of 18-January-051_Usulan Blending Plan_13 Feb 2008_awl 2" xfId="2932"/>
    <cellStyle name="_Blend plan as of 18-January-051_Usulan Blending Plan_13 Feb 2008_awl_Wadi-Qinfa" xfId="2933"/>
    <cellStyle name="_Blend plan as of 18-January-051_Wadi-Qinfa" xfId="2934"/>
    <cellStyle name="_Blend plan as of 18-July-06 (2)" xfId="2935"/>
    <cellStyle name="_Blend plan as of 18-July-06 (2) 2" xfId="2936"/>
    <cellStyle name="_Blend plan as of 18-July-06 (2)_01  Usulan Blend Plan BMO_220408 (2)" xfId="2937"/>
    <cellStyle name="_Blend plan as of 18-July-06 (2)_01  Usulan Blend Plan BMO_220408 (2) 2" xfId="2938"/>
    <cellStyle name="_Blend plan as of 18-July-06 (2)_01  Usulan Blend Plan BMO_220408 (2)_Wadi-Qinfa" xfId="2939"/>
    <cellStyle name="_Blend plan as of 18-July-06 (2)_Stock Status Jul 29, 2008" xfId="2940"/>
    <cellStyle name="_Blend plan as of 18-July-06 (2)_Stock Status Jul 29, 2008 2" xfId="2941"/>
    <cellStyle name="_Blend plan as of 18-July-06 (2)_Stock Status Jul 29, 2008_Wadi-Qinfa" xfId="2942"/>
    <cellStyle name="_Blend plan as of 18-July-06 (2)_Usulan Blend Plan BMO 11-03-08" xfId="2943"/>
    <cellStyle name="_Blend plan as of 18-July-06 (2)_Usulan Blend Plan BMO 11-03-08 2" xfId="2944"/>
    <cellStyle name="_Blend plan as of 18-July-06 (2)_Usulan Blend Plan BMO 11-03-08_Wadi-Qinfa" xfId="2945"/>
    <cellStyle name="_Blend plan as of 18-July-06 (2)_Usulan Blend Plan BMO 25-03-08" xfId="2946"/>
    <cellStyle name="_Blend plan as of 18-July-06 (2)_Usulan Blend Plan BMO 25-03-08 2" xfId="2947"/>
    <cellStyle name="_Blend plan as of 18-July-06 (2)_Usulan Blend Plan BMO 25-03-08_Wadi-Qinfa" xfId="2948"/>
    <cellStyle name="_Blend plan as of 18-July-06 (2)_Usulan Blending 27 Mei 2008" xfId="2949"/>
    <cellStyle name="_Blend plan as of 18-July-06 (2)_Usulan Blending 27 Mei 2008 2" xfId="2950"/>
    <cellStyle name="_Blend plan as of 18-July-06 (2)_Usulan Blending 27 Mei 2008_Wadi-Qinfa" xfId="2951"/>
    <cellStyle name="_Blend plan as of 18-July-06 (2)_Usulan Blending Plan 10 jun (2)" xfId="2952"/>
    <cellStyle name="_Blend plan as of 18-July-06 (2)_Usulan Blending Plan 10 jun (2) 2" xfId="2953"/>
    <cellStyle name="_Blend plan as of 18-July-06 (2)_Usulan Blending Plan 10 jun (2)_Wadi-Qinfa" xfId="2954"/>
    <cellStyle name="_Blend plan as of 18-July-06 (2)_Usulan Blending Plan 17 jun (2)" xfId="2955"/>
    <cellStyle name="_Blend plan as of 18-July-06 (2)_Usulan Blending Plan 17 jun (2) 2" xfId="2956"/>
    <cellStyle name="_Blend plan as of 18-July-06 (2)_Usulan Blending Plan 17 jun (2)_Wadi-Qinfa" xfId="2957"/>
    <cellStyle name="_Blend plan as of 18-July-06 (2)_Usulan blending plan 21_05_08" xfId="2958"/>
    <cellStyle name="_Blend plan as of 18-July-06 (2)_Usulan blending plan 21_05_08 2" xfId="2959"/>
    <cellStyle name="_Blend plan as of 18-July-06 (2)_Usulan blending plan 21_05_08_Wadi-Qinfa" xfId="2960"/>
    <cellStyle name="_Blend plan as of 18-July-06 (2)_Usulan blending PlaN 27-05-08" xfId="2961"/>
    <cellStyle name="_Blend plan as of 18-July-06 (2)_Usulan blending PlaN 27-05-08 2" xfId="2962"/>
    <cellStyle name="_Blend plan as of 18-July-06 (2)_Usulan blending PlaN 27-05-08_Wadi-Qinfa" xfId="2963"/>
    <cellStyle name="_Blend plan as of 18-July-06 (2)_Usulan Blending Plan_13 Feb 2008_awl" xfId="2964"/>
    <cellStyle name="_Blend plan as of 18-July-06 (2)_Usulan Blending Plan_13 Feb 2008_awl 2" xfId="2965"/>
    <cellStyle name="_Blend plan as of 18-July-06 (2)_Usulan Blending Plan_13 Feb 2008_awl_Wadi-Qinfa" xfId="2966"/>
    <cellStyle name="_Blend plan as of 18-July-06 (2)_Wadi-Qinfa" xfId="2967"/>
    <cellStyle name="_Blend plan as of 18-October-05" xfId="2968"/>
    <cellStyle name="_Blend plan as of 18-October-05 2" xfId="2969"/>
    <cellStyle name="_Blend plan as of 18-October-05_01  Usulan Blend Plan BMO_220408 (2)" xfId="2970"/>
    <cellStyle name="_Blend plan as of 18-October-05_01  Usulan Blend Plan BMO_220408 (2) 2" xfId="2971"/>
    <cellStyle name="_Blend plan as of 18-October-05_01  Usulan Blend Plan BMO_220408 (2)_Wadi-Qinfa" xfId="2972"/>
    <cellStyle name="_Blend plan as of 18-October-05_Stock Status Jul 29, 2008" xfId="2973"/>
    <cellStyle name="_Blend plan as of 18-October-05_Stock Status Jul 29, 2008 2" xfId="2974"/>
    <cellStyle name="_Blend plan as of 18-October-05_Stock Status Jul 29, 2008_Wadi-Qinfa" xfId="2975"/>
    <cellStyle name="_Blend plan as of 18-October-05_Usulan Blend Plan BMO 11-03-08" xfId="2976"/>
    <cellStyle name="_Blend plan as of 18-October-05_Usulan Blend Plan BMO 11-03-08 2" xfId="2977"/>
    <cellStyle name="_Blend plan as of 18-October-05_Usulan Blend Plan BMO 11-03-08_Wadi-Qinfa" xfId="2978"/>
    <cellStyle name="_Blend plan as of 18-October-05_Usulan Blend Plan BMO 25-03-08" xfId="2979"/>
    <cellStyle name="_Blend plan as of 18-October-05_Usulan Blend Plan BMO 25-03-08 2" xfId="2980"/>
    <cellStyle name="_Blend plan as of 18-October-05_Usulan Blend Plan BMO 25-03-08_Wadi-Qinfa" xfId="2981"/>
    <cellStyle name="_Blend plan as of 18-October-05_Usulan Blending 27 Mei 2008" xfId="2982"/>
    <cellStyle name="_Blend plan as of 18-October-05_Usulan Blending 27 Mei 2008 2" xfId="2983"/>
    <cellStyle name="_Blend plan as of 18-October-05_Usulan Blending 27 Mei 2008_Wadi-Qinfa" xfId="2984"/>
    <cellStyle name="_Blend plan as of 18-October-05_Usulan Blending Plan 10 jun (2)" xfId="2985"/>
    <cellStyle name="_Blend plan as of 18-October-05_Usulan Blending Plan 10 jun (2) 2" xfId="2986"/>
    <cellStyle name="_Blend plan as of 18-October-05_Usulan Blending Plan 10 jun (2)_Wadi-Qinfa" xfId="2987"/>
    <cellStyle name="_Blend plan as of 18-October-05_Usulan Blending Plan 17 jun (2)" xfId="2988"/>
    <cellStyle name="_Blend plan as of 18-October-05_Usulan Blending Plan 17 jun (2) 2" xfId="2989"/>
    <cellStyle name="_Blend plan as of 18-October-05_Usulan Blending Plan 17 jun (2)_Wadi-Qinfa" xfId="2990"/>
    <cellStyle name="_Blend plan as of 18-October-05_Usulan blending plan 21_05_08" xfId="2991"/>
    <cellStyle name="_Blend plan as of 18-October-05_Usulan blending plan 21_05_08 2" xfId="2992"/>
    <cellStyle name="_Blend plan as of 18-October-05_Usulan blending plan 21_05_08_Wadi-Qinfa" xfId="2993"/>
    <cellStyle name="_Blend plan as of 18-October-05_Usulan blending PlaN 27-05-08" xfId="2994"/>
    <cellStyle name="_Blend plan as of 18-October-05_Usulan blending PlaN 27-05-08 2" xfId="2995"/>
    <cellStyle name="_Blend plan as of 18-October-05_Usulan blending PlaN 27-05-08_Wadi-Qinfa" xfId="2996"/>
    <cellStyle name="_Blend plan as of 18-October-05_Usulan Blending Plan_13 Feb 2008_awl" xfId="2997"/>
    <cellStyle name="_Blend plan as of 18-October-05_Usulan Blending Plan_13 Feb 2008_awl 2" xfId="2998"/>
    <cellStyle name="_Blend plan as of 18-October-05_Usulan Blending Plan_13 Feb 2008_awl_Wadi-Qinfa" xfId="2999"/>
    <cellStyle name="_Blend plan as of 18-October-05_Wadi-Qinfa" xfId="3000"/>
    <cellStyle name="_Blend plan as of 18-September-2007" xfId="3001"/>
    <cellStyle name="_Blend plan as of 18-September-2007 2" xfId="3002"/>
    <cellStyle name="_Blend plan as of 18-September-2007_01  Usulan Blend Plan BMO_220408 (2)" xfId="3003"/>
    <cellStyle name="_Blend plan as of 18-September-2007_01  Usulan Blend Plan BMO_220408 (2) 2" xfId="3004"/>
    <cellStyle name="_Blend plan as of 18-September-2007_01  Usulan Blend Plan BMO_220408 (2)_Wadi-Qinfa" xfId="3005"/>
    <cellStyle name="_Blend plan as of 18-September-2007_Stock Status Jul 29, 2008" xfId="3006"/>
    <cellStyle name="_Blend plan as of 18-September-2007_Stock Status Jul 29, 2008 2" xfId="3007"/>
    <cellStyle name="_Blend plan as of 18-September-2007_Stock Status Jul 29, 2008_Wadi-Qinfa" xfId="3008"/>
    <cellStyle name="_Blend plan as of 18-September-2007_Usulan Blend Plan BMO 11-03-08" xfId="3009"/>
    <cellStyle name="_Blend plan as of 18-September-2007_Usulan Blend Plan BMO 11-03-08 2" xfId="3010"/>
    <cellStyle name="_Blend plan as of 18-September-2007_Usulan Blend Plan BMO 11-03-08_Wadi-Qinfa" xfId="3011"/>
    <cellStyle name="_Blend plan as of 18-September-2007_Usulan Blend Plan BMO 25-03-08" xfId="3012"/>
    <cellStyle name="_Blend plan as of 18-September-2007_Usulan Blend Plan BMO 25-03-08 2" xfId="3013"/>
    <cellStyle name="_Blend plan as of 18-September-2007_Usulan Blend Plan BMO 25-03-08_Wadi-Qinfa" xfId="3014"/>
    <cellStyle name="_Blend plan as of 18-September-2007_Usulan Blending 27 Mei 2008" xfId="3015"/>
    <cellStyle name="_Blend plan as of 18-September-2007_Usulan Blending 27 Mei 2008 2" xfId="3016"/>
    <cellStyle name="_Blend plan as of 18-September-2007_Usulan Blending 27 Mei 2008_Wadi-Qinfa" xfId="3017"/>
    <cellStyle name="_Blend plan as of 18-September-2007_Usulan Blending Plan 10 jun (2)" xfId="3018"/>
    <cellStyle name="_Blend plan as of 18-September-2007_Usulan Blending Plan 10 jun (2) 2" xfId="3019"/>
    <cellStyle name="_Blend plan as of 18-September-2007_Usulan Blending Plan 10 jun (2)_Wadi-Qinfa" xfId="3020"/>
    <cellStyle name="_Blend plan as of 18-September-2007_Usulan Blending Plan 17 jun (2)" xfId="3021"/>
    <cellStyle name="_Blend plan as of 18-September-2007_Usulan Blending Plan 17 jun (2) 2" xfId="3022"/>
    <cellStyle name="_Blend plan as of 18-September-2007_Usulan Blending Plan 17 jun (2)_Wadi-Qinfa" xfId="3023"/>
    <cellStyle name="_Blend plan as of 18-September-2007_Usulan blending plan 21_05_08" xfId="3024"/>
    <cellStyle name="_Blend plan as of 18-September-2007_Usulan blending plan 21_05_08 2" xfId="3025"/>
    <cellStyle name="_Blend plan as of 18-September-2007_Usulan blending plan 21_05_08_Wadi-Qinfa" xfId="3026"/>
    <cellStyle name="_Blend plan as of 18-September-2007_Usulan blending PlaN 27-05-08" xfId="3027"/>
    <cellStyle name="_Blend plan as of 18-September-2007_Usulan blending PlaN 27-05-08 2" xfId="3028"/>
    <cellStyle name="_Blend plan as of 18-September-2007_Usulan blending PlaN 27-05-08_Wadi-Qinfa" xfId="3029"/>
    <cellStyle name="_Blend plan as of 18-September-2007_Usulan Blending Plan_13 Feb 2008_awl" xfId="3030"/>
    <cellStyle name="_Blend plan as of 18-September-2007_Usulan Blending Plan_13 Feb 2008_awl 2" xfId="3031"/>
    <cellStyle name="_Blend plan as of 18-September-2007_Usulan Blending Plan_13 Feb 2008_awl_Wadi-Qinfa" xfId="3032"/>
    <cellStyle name="_Blend plan as of 18-September-2007_Wadi-Qinfa" xfId="3033"/>
    <cellStyle name="_Blend plan as of 19-Desember-06" xfId="3034"/>
    <cellStyle name="_Blend plan as of 19-Desember-06 2" xfId="3035"/>
    <cellStyle name="_Blend plan as of 19-Desember-06_01  Usulan Blend Plan BMO_220408 (2)" xfId="3036"/>
    <cellStyle name="_Blend plan as of 19-Desember-06_01  Usulan Blend Plan BMO_220408 (2) 2" xfId="3037"/>
    <cellStyle name="_Blend plan as of 19-Desember-06_01  Usulan Blend Plan BMO_220408 (2)_Wadi-Qinfa" xfId="3038"/>
    <cellStyle name="_Blend plan as of 19-Desember-06_Stock Status Jul 29, 2008" xfId="3039"/>
    <cellStyle name="_Blend plan as of 19-Desember-06_Stock Status Jul 29, 2008 2" xfId="3040"/>
    <cellStyle name="_Blend plan as of 19-Desember-06_Stock Status Jul 29, 2008_Wadi-Qinfa" xfId="3041"/>
    <cellStyle name="_Blend plan as of 19-Desember-06_Usulan Blend Plan BMO 11-03-08" xfId="3042"/>
    <cellStyle name="_Blend plan as of 19-Desember-06_Usulan Blend Plan BMO 11-03-08 2" xfId="3043"/>
    <cellStyle name="_Blend plan as of 19-Desember-06_Usulan Blend Plan BMO 11-03-08_Wadi-Qinfa" xfId="3044"/>
    <cellStyle name="_Blend plan as of 19-Desember-06_Usulan Blend Plan BMO 25-03-08" xfId="3045"/>
    <cellStyle name="_Blend plan as of 19-Desember-06_Usulan Blend Plan BMO 25-03-08 2" xfId="3046"/>
    <cellStyle name="_Blend plan as of 19-Desember-06_Usulan Blend Plan BMO 25-03-08_Wadi-Qinfa" xfId="3047"/>
    <cellStyle name="_Blend plan as of 19-Desember-06_Usulan Blending 27 Mei 2008" xfId="3048"/>
    <cellStyle name="_Blend plan as of 19-Desember-06_Usulan Blending 27 Mei 2008 2" xfId="3049"/>
    <cellStyle name="_Blend plan as of 19-Desember-06_Usulan Blending 27 Mei 2008_Wadi-Qinfa" xfId="3050"/>
    <cellStyle name="_Blend plan as of 19-Desember-06_Usulan Blending Plan 10 jun (2)" xfId="3051"/>
    <cellStyle name="_Blend plan as of 19-Desember-06_Usulan Blending Plan 10 jun (2) 2" xfId="3052"/>
    <cellStyle name="_Blend plan as of 19-Desember-06_Usulan Blending Plan 10 jun (2)_Wadi-Qinfa" xfId="3053"/>
    <cellStyle name="_Blend plan as of 19-Desember-06_Usulan Blending Plan 17 jun (2)" xfId="3054"/>
    <cellStyle name="_Blend plan as of 19-Desember-06_Usulan Blending Plan 17 jun (2) 2" xfId="3055"/>
    <cellStyle name="_Blend plan as of 19-Desember-06_Usulan Blending Plan 17 jun (2)_Wadi-Qinfa" xfId="3056"/>
    <cellStyle name="_Blend plan as of 19-Desember-06_Usulan blending plan 21_05_08" xfId="3057"/>
    <cellStyle name="_Blend plan as of 19-Desember-06_Usulan blending plan 21_05_08 2" xfId="3058"/>
    <cellStyle name="_Blend plan as of 19-Desember-06_Usulan blending plan 21_05_08_Wadi-Qinfa" xfId="3059"/>
    <cellStyle name="_Blend plan as of 19-Desember-06_Usulan blending PlaN 27-05-08" xfId="3060"/>
    <cellStyle name="_Blend plan as of 19-Desember-06_Usulan blending PlaN 27-05-08 2" xfId="3061"/>
    <cellStyle name="_Blend plan as of 19-Desember-06_Usulan blending PlaN 27-05-08_Wadi-Qinfa" xfId="3062"/>
    <cellStyle name="_Blend plan as of 19-Desember-06_Usulan Blending Plan_13 Feb 2008_awl" xfId="3063"/>
    <cellStyle name="_Blend plan as of 19-Desember-06_Usulan Blending Plan_13 Feb 2008_awl 2" xfId="3064"/>
    <cellStyle name="_Blend plan as of 19-Desember-06_Usulan Blending Plan_13 Feb 2008_awl_Wadi-Qinfa" xfId="3065"/>
    <cellStyle name="_Blend plan as of 19-Desember-06_Wadi-Qinfa" xfId="3066"/>
    <cellStyle name="_Blend plan as of 19-Juli-05" xfId="3067"/>
    <cellStyle name="_Blend plan as of 19-Juli-05 2" xfId="3068"/>
    <cellStyle name="_Blend plan as of 19-Juli-05_01  Usulan Blend Plan BMO_220408 (2)" xfId="3069"/>
    <cellStyle name="_Blend plan as of 19-Juli-05_01  Usulan Blend Plan BMO_220408 (2) 2" xfId="3070"/>
    <cellStyle name="_Blend plan as of 19-Juli-05_01  Usulan Blend Plan BMO_220408 (2)_Wadi-Qinfa" xfId="3071"/>
    <cellStyle name="_Blend plan as of 19-Juli-05_Stock Status Jul 29, 2008" xfId="3072"/>
    <cellStyle name="_Blend plan as of 19-Juli-05_Stock Status Jul 29, 2008 2" xfId="3073"/>
    <cellStyle name="_Blend plan as of 19-Juli-05_Stock Status Jul 29, 2008_Wadi-Qinfa" xfId="3074"/>
    <cellStyle name="_Blend plan as of 19-Juli-05_Usulan Blend Plan BMO 11-03-08" xfId="3075"/>
    <cellStyle name="_Blend plan as of 19-Juli-05_Usulan Blend Plan BMO 11-03-08 2" xfId="3076"/>
    <cellStyle name="_Blend plan as of 19-Juli-05_Usulan Blend Plan BMO 11-03-08_Wadi-Qinfa" xfId="3077"/>
    <cellStyle name="_Blend plan as of 19-Juli-05_Usulan Blend Plan BMO 25-03-08" xfId="3078"/>
    <cellStyle name="_Blend plan as of 19-Juli-05_Usulan Blend Plan BMO 25-03-08 2" xfId="3079"/>
    <cellStyle name="_Blend plan as of 19-Juli-05_Usulan Blend Plan BMO 25-03-08_Wadi-Qinfa" xfId="3080"/>
    <cellStyle name="_Blend plan as of 19-Juli-05_Usulan Blending 27 Mei 2008" xfId="3081"/>
    <cellStyle name="_Blend plan as of 19-Juli-05_Usulan Blending 27 Mei 2008 2" xfId="3082"/>
    <cellStyle name="_Blend plan as of 19-Juli-05_Usulan Blending 27 Mei 2008_Wadi-Qinfa" xfId="3083"/>
    <cellStyle name="_Blend plan as of 19-Juli-05_Usulan Blending Plan 10 jun (2)" xfId="3084"/>
    <cellStyle name="_Blend plan as of 19-Juli-05_Usulan Blending Plan 10 jun (2) 2" xfId="3085"/>
    <cellStyle name="_Blend plan as of 19-Juli-05_Usulan Blending Plan 10 jun (2)_Wadi-Qinfa" xfId="3086"/>
    <cellStyle name="_Blend plan as of 19-Juli-05_Usulan Blending Plan 17 jun (2)" xfId="3087"/>
    <cellStyle name="_Blend plan as of 19-Juli-05_Usulan Blending Plan 17 jun (2) 2" xfId="3088"/>
    <cellStyle name="_Blend plan as of 19-Juli-05_Usulan Blending Plan 17 jun (2)_Wadi-Qinfa" xfId="3089"/>
    <cellStyle name="_Blend plan as of 19-Juli-05_Usulan blending plan 21_05_08" xfId="3090"/>
    <cellStyle name="_Blend plan as of 19-Juli-05_Usulan blending plan 21_05_08 2" xfId="3091"/>
    <cellStyle name="_Blend plan as of 19-Juli-05_Usulan blending plan 21_05_08_Wadi-Qinfa" xfId="3092"/>
    <cellStyle name="_Blend plan as of 19-Juli-05_Usulan blending PlaN 27-05-08" xfId="3093"/>
    <cellStyle name="_Blend plan as of 19-Juli-05_Usulan blending PlaN 27-05-08 2" xfId="3094"/>
    <cellStyle name="_Blend plan as of 19-Juli-05_Usulan blending PlaN 27-05-08_Wadi-Qinfa" xfId="3095"/>
    <cellStyle name="_Blend plan as of 19-Juli-05_Usulan Blending Plan_13 Feb 2008_awl" xfId="3096"/>
    <cellStyle name="_Blend plan as of 19-Juli-05_Usulan Blending Plan_13 Feb 2008_awl 2" xfId="3097"/>
    <cellStyle name="_Blend plan as of 19-Juli-05_Usulan Blending Plan_13 Feb 2008_awl_Wadi-Qinfa" xfId="3098"/>
    <cellStyle name="_Blend plan as of 19-Juli-05_Wadi-Qinfa" xfId="3099"/>
    <cellStyle name="_Blend plan as of 19-Juni-2007" xfId="3100"/>
    <cellStyle name="_Blend plan as of 19-Juni-2007 2" xfId="3101"/>
    <cellStyle name="_Blend plan as of 19-Juni-2007_01  Usulan Blend Plan BMO_220408 (2)" xfId="3102"/>
    <cellStyle name="_Blend plan as of 19-Juni-2007_01  Usulan Blend Plan BMO_220408 (2) 2" xfId="3103"/>
    <cellStyle name="_Blend plan as of 19-Juni-2007_01  Usulan Blend Plan BMO_220408 (2)_Wadi-Qinfa" xfId="3104"/>
    <cellStyle name="_Blend plan as of 19-Juni-2007_Stock Status Jul 29, 2008" xfId="3105"/>
    <cellStyle name="_Blend plan as of 19-Juni-2007_Stock Status Jul 29, 2008 2" xfId="3106"/>
    <cellStyle name="_Blend plan as of 19-Juni-2007_Stock Status Jul 29, 2008_Wadi-Qinfa" xfId="3107"/>
    <cellStyle name="_Blend plan as of 19-Juni-2007_Usulan Blend Plan BMO 11-03-08" xfId="3108"/>
    <cellStyle name="_Blend plan as of 19-Juni-2007_Usulan Blend Plan BMO 11-03-08 2" xfId="3109"/>
    <cellStyle name="_Blend plan as of 19-Juni-2007_Usulan Blend Plan BMO 11-03-08_Wadi-Qinfa" xfId="3110"/>
    <cellStyle name="_Blend plan as of 19-Juni-2007_Usulan Blend Plan BMO 25-03-08" xfId="3111"/>
    <cellStyle name="_Blend plan as of 19-Juni-2007_Usulan Blend Plan BMO 25-03-08 2" xfId="3112"/>
    <cellStyle name="_Blend plan as of 19-Juni-2007_Usulan Blend Plan BMO 25-03-08_Wadi-Qinfa" xfId="3113"/>
    <cellStyle name="_Blend plan as of 19-Juni-2007_Usulan Blending 27 Mei 2008" xfId="3114"/>
    <cellStyle name="_Blend plan as of 19-Juni-2007_Usulan Blending 27 Mei 2008 2" xfId="3115"/>
    <cellStyle name="_Blend plan as of 19-Juni-2007_Usulan Blending 27 Mei 2008_Wadi-Qinfa" xfId="3116"/>
    <cellStyle name="_Blend plan as of 19-Juni-2007_Usulan Blending Plan 10 jun (2)" xfId="3117"/>
    <cellStyle name="_Blend plan as of 19-Juni-2007_Usulan Blending Plan 10 jun (2) 2" xfId="3118"/>
    <cellStyle name="_Blend plan as of 19-Juni-2007_Usulan Blending Plan 10 jun (2)_Wadi-Qinfa" xfId="3119"/>
    <cellStyle name="_Blend plan as of 19-Juni-2007_Usulan Blending Plan 17 jun (2)" xfId="3120"/>
    <cellStyle name="_Blend plan as of 19-Juni-2007_Usulan Blending Plan 17 jun (2) 2" xfId="3121"/>
    <cellStyle name="_Blend plan as of 19-Juni-2007_Usulan Blending Plan 17 jun (2)_Wadi-Qinfa" xfId="3122"/>
    <cellStyle name="_Blend plan as of 19-Juni-2007_Usulan blending plan 21_05_08" xfId="3123"/>
    <cellStyle name="_Blend plan as of 19-Juni-2007_Usulan blending plan 21_05_08 2" xfId="3124"/>
    <cellStyle name="_Blend plan as of 19-Juni-2007_Usulan blending plan 21_05_08_Wadi-Qinfa" xfId="3125"/>
    <cellStyle name="_Blend plan as of 19-Juni-2007_Usulan blending PlaN 27-05-08" xfId="3126"/>
    <cellStyle name="_Blend plan as of 19-Juni-2007_Usulan blending PlaN 27-05-08 2" xfId="3127"/>
    <cellStyle name="_Blend plan as of 19-Juni-2007_Usulan blending PlaN 27-05-08_Wadi-Qinfa" xfId="3128"/>
    <cellStyle name="_Blend plan as of 19-Juni-2007_Usulan Blending Plan_13 Feb 2008_awl" xfId="3129"/>
    <cellStyle name="_Blend plan as of 19-Juni-2007_Usulan Blending Plan_13 Feb 2008_awl 2" xfId="3130"/>
    <cellStyle name="_Blend plan as of 19-Juni-2007_Usulan Blending Plan_13 Feb 2008_awl_Wadi-Qinfa" xfId="3131"/>
    <cellStyle name="_Blend plan as of 19-Juni-2007_Wadi-Qinfa" xfId="3132"/>
    <cellStyle name="_Blend plan as of 19-September-06" xfId="3133"/>
    <cellStyle name="_Blend plan as of 19-September-06 2" xfId="3134"/>
    <cellStyle name="_Blend plan as of 19-September-06_01  Usulan Blend Plan BMO_220408 (2)" xfId="3135"/>
    <cellStyle name="_Blend plan as of 19-September-06_01  Usulan Blend Plan BMO_220408 (2) 2" xfId="3136"/>
    <cellStyle name="_Blend plan as of 19-September-06_01  Usulan Blend Plan BMO_220408 (2)_Wadi-Qinfa" xfId="3137"/>
    <cellStyle name="_Blend plan as of 19-September-06_Stock Status Jul 29, 2008" xfId="3138"/>
    <cellStyle name="_Blend plan as of 19-September-06_Stock Status Jul 29, 2008 2" xfId="3139"/>
    <cellStyle name="_Blend plan as of 19-September-06_Stock Status Jul 29, 2008_Wadi-Qinfa" xfId="3140"/>
    <cellStyle name="_Blend plan as of 19-September-06_Usulan Blend Plan BMO 11-03-08" xfId="3141"/>
    <cellStyle name="_Blend plan as of 19-September-06_Usulan Blend Plan BMO 11-03-08 2" xfId="3142"/>
    <cellStyle name="_Blend plan as of 19-September-06_Usulan Blend Plan BMO 11-03-08_Wadi-Qinfa" xfId="3143"/>
    <cellStyle name="_Blend plan as of 19-September-06_Usulan Blend Plan BMO 25-03-08" xfId="3144"/>
    <cellStyle name="_Blend plan as of 19-September-06_Usulan Blend Plan BMO 25-03-08 2" xfId="3145"/>
    <cellStyle name="_Blend plan as of 19-September-06_Usulan Blend Plan BMO 25-03-08_Wadi-Qinfa" xfId="3146"/>
    <cellStyle name="_Blend plan as of 19-September-06_Usulan Blending 27 Mei 2008" xfId="3147"/>
    <cellStyle name="_Blend plan as of 19-September-06_Usulan Blending 27 Mei 2008 2" xfId="3148"/>
    <cellStyle name="_Blend plan as of 19-September-06_Usulan Blending 27 Mei 2008_Wadi-Qinfa" xfId="3149"/>
    <cellStyle name="_Blend plan as of 19-September-06_Usulan Blending Plan 10 jun (2)" xfId="3150"/>
    <cellStyle name="_Blend plan as of 19-September-06_Usulan Blending Plan 10 jun (2) 2" xfId="3151"/>
    <cellStyle name="_Blend plan as of 19-September-06_Usulan Blending Plan 10 jun (2)_Wadi-Qinfa" xfId="3152"/>
    <cellStyle name="_Blend plan as of 19-September-06_Usulan Blending Plan 17 jun (2)" xfId="3153"/>
    <cellStyle name="_Blend plan as of 19-September-06_Usulan Blending Plan 17 jun (2) 2" xfId="3154"/>
    <cellStyle name="_Blend plan as of 19-September-06_Usulan Blending Plan 17 jun (2)_Wadi-Qinfa" xfId="3155"/>
    <cellStyle name="_Blend plan as of 19-September-06_Usulan blending plan 21_05_08" xfId="3156"/>
    <cellStyle name="_Blend plan as of 19-September-06_Usulan blending plan 21_05_08 2" xfId="3157"/>
    <cellStyle name="_Blend plan as of 19-September-06_Usulan blending plan 21_05_08_Wadi-Qinfa" xfId="3158"/>
    <cellStyle name="_Blend plan as of 19-September-06_Usulan blending PlaN 27-05-08" xfId="3159"/>
    <cellStyle name="_Blend plan as of 19-September-06_Usulan blending PlaN 27-05-08 2" xfId="3160"/>
    <cellStyle name="_Blend plan as of 19-September-06_Usulan blending PlaN 27-05-08_Wadi-Qinfa" xfId="3161"/>
    <cellStyle name="_Blend plan as of 19-September-06_Usulan Blending Plan_13 Feb 2008_awl" xfId="3162"/>
    <cellStyle name="_Blend plan as of 19-September-06_Usulan Blending Plan_13 Feb 2008_awl 2" xfId="3163"/>
    <cellStyle name="_Blend plan as of 19-September-06_Usulan Blending Plan_13 Feb 2008_awl_Wadi-Qinfa" xfId="3164"/>
    <cellStyle name="_Blend plan as of 19-September-06_Wadi-Qinfa" xfId="3165"/>
    <cellStyle name="_Blend plan as of 1-May-2007" xfId="3166"/>
    <cellStyle name="_Blend plan as of 1-May-2007 2" xfId="3167"/>
    <cellStyle name="_Blend plan as of 1-May-2007_01  Usulan Blend Plan BMO_220408 (2)" xfId="3168"/>
    <cellStyle name="_Blend plan as of 1-May-2007_01  Usulan Blend Plan BMO_220408 (2) 2" xfId="3169"/>
    <cellStyle name="_Blend plan as of 1-May-2007_01  Usulan Blend Plan BMO_220408 (2)_Wadi-Qinfa" xfId="3170"/>
    <cellStyle name="_Blend plan as of 1-May-2007_Stock Status Jul 29, 2008" xfId="3171"/>
    <cellStyle name="_Blend plan as of 1-May-2007_Stock Status Jul 29, 2008 2" xfId="3172"/>
    <cellStyle name="_Blend plan as of 1-May-2007_Stock Status Jul 29, 2008_Wadi-Qinfa" xfId="3173"/>
    <cellStyle name="_Blend plan as of 1-May-2007_Usulan Blend Plan BMO 11-03-08" xfId="3174"/>
    <cellStyle name="_Blend plan as of 1-May-2007_Usulan Blend Plan BMO 11-03-08 2" xfId="3175"/>
    <cellStyle name="_Blend plan as of 1-May-2007_Usulan Blend Plan BMO 11-03-08_Wadi-Qinfa" xfId="3176"/>
    <cellStyle name="_Blend plan as of 1-May-2007_Usulan Blend Plan BMO 25-03-08" xfId="3177"/>
    <cellStyle name="_Blend plan as of 1-May-2007_Usulan Blend Plan BMO 25-03-08 2" xfId="3178"/>
    <cellStyle name="_Blend plan as of 1-May-2007_Usulan Blend Plan BMO 25-03-08_Wadi-Qinfa" xfId="3179"/>
    <cellStyle name="_Blend plan as of 1-May-2007_Usulan Blending 27 Mei 2008" xfId="3180"/>
    <cellStyle name="_Blend plan as of 1-May-2007_Usulan Blending 27 Mei 2008 2" xfId="3181"/>
    <cellStyle name="_Blend plan as of 1-May-2007_Usulan Blending 27 Mei 2008_Wadi-Qinfa" xfId="3182"/>
    <cellStyle name="_Blend plan as of 1-May-2007_Usulan Blending Plan 10 jun (2)" xfId="3183"/>
    <cellStyle name="_Blend plan as of 1-May-2007_Usulan Blending Plan 10 jun (2) 2" xfId="3184"/>
    <cellStyle name="_Blend plan as of 1-May-2007_Usulan Blending Plan 10 jun (2)_Wadi-Qinfa" xfId="3185"/>
    <cellStyle name="_Blend plan as of 1-May-2007_Usulan Blending Plan 17 jun (2)" xfId="3186"/>
    <cellStyle name="_Blend plan as of 1-May-2007_Usulan Blending Plan 17 jun (2) 2" xfId="3187"/>
    <cellStyle name="_Blend plan as of 1-May-2007_Usulan Blending Plan 17 jun (2)_Wadi-Qinfa" xfId="3188"/>
    <cellStyle name="_Blend plan as of 1-May-2007_Usulan blending plan 21_05_08" xfId="3189"/>
    <cellStyle name="_Blend plan as of 1-May-2007_Usulan blending plan 21_05_08 2" xfId="3190"/>
    <cellStyle name="_Blend plan as of 1-May-2007_Usulan blending plan 21_05_08_Wadi-Qinfa" xfId="3191"/>
    <cellStyle name="_Blend plan as of 1-May-2007_Usulan blending PlaN 27-05-08" xfId="3192"/>
    <cellStyle name="_Blend plan as of 1-May-2007_Usulan blending PlaN 27-05-08 2" xfId="3193"/>
    <cellStyle name="_Blend plan as of 1-May-2007_Usulan blending PlaN 27-05-08_Wadi-Qinfa" xfId="3194"/>
    <cellStyle name="_Blend plan as of 1-May-2007_Usulan Blending Plan_13 Feb 2008_awl" xfId="3195"/>
    <cellStyle name="_Blend plan as of 1-May-2007_Usulan Blending Plan_13 Feb 2008_awl 2" xfId="3196"/>
    <cellStyle name="_Blend plan as of 1-May-2007_Usulan Blending Plan_13 Feb 2008_awl_Wadi-Qinfa" xfId="3197"/>
    <cellStyle name="_Blend plan as of 1-May-2007_Wadi-Qinfa" xfId="3198"/>
    <cellStyle name="_Blend plan as of 20-December-05" xfId="3199"/>
    <cellStyle name="_Blend plan as of 20-December-05 2" xfId="3200"/>
    <cellStyle name="_Blend plan as of 20-December-05_01  Usulan Blend Plan BMO_220408 (2)" xfId="3201"/>
    <cellStyle name="_Blend plan as of 20-December-05_01  Usulan Blend Plan BMO_220408 (2) 2" xfId="3202"/>
    <cellStyle name="_Blend plan as of 20-December-05_01  Usulan Blend Plan BMO_220408 (2)_Wadi-Qinfa" xfId="3203"/>
    <cellStyle name="_Blend plan as of 20-December-05_Stock Status Jul 29, 2008" xfId="3204"/>
    <cellStyle name="_Blend plan as of 20-December-05_Stock Status Jul 29, 2008 2" xfId="3205"/>
    <cellStyle name="_Blend plan as of 20-December-05_Stock Status Jul 29, 2008_Wadi-Qinfa" xfId="3206"/>
    <cellStyle name="_Blend plan as of 20-December-05_Usulan Blend Plan BMO 11-03-08" xfId="3207"/>
    <cellStyle name="_Blend plan as of 20-December-05_Usulan Blend Plan BMO 11-03-08 2" xfId="3208"/>
    <cellStyle name="_Blend plan as of 20-December-05_Usulan Blend Plan BMO 11-03-08_Wadi-Qinfa" xfId="3209"/>
    <cellStyle name="_Blend plan as of 20-December-05_Usulan Blend Plan BMO 25-03-08" xfId="3210"/>
    <cellStyle name="_Blend plan as of 20-December-05_Usulan Blend Plan BMO 25-03-08 2" xfId="3211"/>
    <cellStyle name="_Blend plan as of 20-December-05_Usulan Blend Plan BMO 25-03-08_Wadi-Qinfa" xfId="3212"/>
    <cellStyle name="_Blend plan as of 20-December-05_Usulan Blending 27 Mei 2008" xfId="3213"/>
    <cellStyle name="_Blend plan as of 20-December-05_Usulan Blending 27 Mei 2008 2" xfId="3214"/>
    <cellStyle name="_Blend plan as of 20-December-05_Usulan Blending 27 Mei 2008_Wadi-Qinfa" xfId="3215"/>
    <cellStyle name="_Blend plan as of 20-December-05_Usulan Blending Plan 10 jun (2)" xfId="3216"/>
    <cellStyle name="_Blend plan as of 20-December-05_Usulan Blending Plan 10 jun (2) 2" xfId="3217"/>
    <cellStyle name="_Blend plan as of 20-December-05_Usulan Blending Plan 10 jun (2)_Wadi-Qinfa" xfId="3218"/>
    <cellStyle name="_Blend plan as of 20-December-05_Usulan Blending Plan 17 jun (2)" xfId="3219"/>
    <cellStyle name="_Blend plan as of 20-December-05_Usulan Blending Plan 17 jun (2) 2" xfId="3220"/>
    <cellStyle name="_Blend plan as of 20-December-05_Usulan Blending Plan 17 jun (2)_Wadi-Qinfa" xfId="3221"/>
    <cellStyle name="_Blend plan as of 20-December-05_Usulan blending plan 21_05_08" xfId="3222"/>
    <cellStyle name="_Blend plan as of 20-December-05_Usulan blending plan 21_05_08 2" xfId="3223"/>
    <cellStyle name="_Blend plan as of 20-December-05_Usulan blending plan 21_05_08_Wadi-Qinfa" xfId="3224"/>
    <cellStyle name="_Blend plan as of 20-December-05_Usulan blending PlaN 27-05-08" xfId="3225"/>
    <cellStyle name="_Blend plan as of 20-December-05_Usulan blending PlaN 27-05-08 2" xfId="3226"/>
    <cellStyle name="_Blend plan as of 20-December-05_Usulan blending PlaN 27-05-08_Wadi-Qinfa" xfId="3227"/>
    <cellStyle name="_Blend plan as of 20-December-05_Usulan Blending Plan_13 Feb 2008_awl" xfId="3228"/>
    <cellStyle name="_Blend plan as of 20-December-05_Usulan Blending Plan_13 Feb 2008_awl 2" xfId="3229"/>
    <cellStyle name="_Blend plan as of 20-December-05_Usulan Blending Plan_13 Feb 2008_awl_Wadi-Qinfa" xfId="3230"/>
    <cellStyle name="_Blend plan as of 20-December-05_Wadi-Qinfa" xfId="3231"/>
    <cellStyle name="_Blend plan as of 20-February-2007" xfId="3232"/>
    <cellStyle name="_Blend plan as of 20-February-2007 2" xfId="3233"/>
    <cellStyle name="_Blend plan as of 20-February-2007_01  Usulan Blend Plan BMO_220408 (2)" xfId="3234"/>
    <cellStyle name="_Blend plan as of 20-February-2007_01  Usulan Blend Plan BMO_220408 (2) 2" xfId="3235"/>
    <cellStyle name="_Blend plan as of 20-February-2007_01  Usulan Blend Plan BMO_220408 (2)_Wadi-Qinfa" xfId="3236"/>
    <cellStyle name="_Blend plan as of 20-February-2007_Stock Status Jul 29, 2008" xfId="3237"/>
    <cellStyle name="_Blend plan as of 20-February-2007_Stock Status Jul 29, 2008 2" xfId="3238"/>
    <cellStyle name="_Blend plan as of 20-February-2007_Stock Status Jul 29, 2008_Wadi-Qinfa" xfId="3239"/>
    <cellStyle name="_Blend plan as of 20-February-2007_Usulan Blend Plan BMO 11-03-08" xfId="3240"/>
    <cellStyle name="_Blend plan as of 20-February-2007_Usulan Blend Plan BMO 11-03-08 2" xfId="3241"/>
    <cellStyle name="_Blend plan as of 20-February-2007_Usulan Blend Plan BMO 11-03-08_Wadi-Qinfa" xfId="3242"/>
    <cellStyle name="_Blend plan as of 20-February-2007_Usulan Blend Plan BMO 25-03-08" xfId="3243"/>
    <cellStyle name="_Blend plan as of 20-February-2007_Usulan Blend Plan BMO 25-03-08 2" xfId="3244"/>
    <cellStyle name="_Blend plan as of 20-February-2007_Usulan Blend Plan BMO 25-03-08_Wadi-Qinfa" xfId="3245"/>
    <cellStyle name="_Blend plan as of 20-February-2007_Usulan Blending 27 Mei 2008" xfId="3246"/>
    <cellStyle name="_Blend plan as of 20-February-2007_Usulan Blending 27 Mei 2008 2" xfId="3247"/>
    <cellStyle name="_Blend plan as of 20-February-2007_Usulan Blending 27 Mei 2008_Wadi-Qinfa" xfId="3248"/>
    <cellStyle name="_Blend plan as of 20-February-2007_Usulan Blending Plan 10 jun (2)" xfId="3249"/>
    <cellStyle name="_Blend plan as of 20-February-2007_Usulan Blending Plan 10 jun (2) 2" xfId="3250"/>
    <cellStyle name="_Blend plan as of 20-February-2007_Usulan Blending Plan 10 jun (2)_Wadi-Qinfa" xfId="3251"/>
    <cellStyle name="_Blend plan as of 20-February-2007_Usulan Blending Plan 17 jun (2)" xfId="3252"/>
    <cellStyle name="_Blend plan as of 20-February-2007_Usulan Blending Plan 17 jun (2) 2" xfId="3253"/>
    <cellStyle name="_Blend plan as of 20-February-2007_Usulan Blending Plan 17 jun (2)_Wadi-Qinfa" xfId="3254"/>
    <cellStyle name="_Blend plan as of 20-February-2007_Usulan blending plan 21_05_08" xfId="3255"/>
    <cellStyle name="_Blend plan as of 20-February-2007_Usulan blending plan 21_05_08 2" xfId="3256"/>
    <cellStyle name="_Blend plan as of 20-February-2007_Usulan blending plan 21_05_08_Wadi-Qinfa" xfId="3257"/>
    <cellStyle name="_Blend plan as of 20-February-2007_Usulan blending PlaN 27-05-08" xfId="3258"/>
    <cellStyle name="_Blend plan as of 20-February-2007_Usulan blending PlaN 27-05-08 2" xfId="3259"/>
    <cellStyle name="_Blend plan as of 20-February-2007_Usulan blending PlaN 27-05-08_Wadi-Qinfa" xfId="3260"/>
    <cellStyle name="_Blend plan as of 20-February-2007_Usulan Blending Plan_13 Feb 2008_awl" xfId="3261"/>
    <cellStyle name="_Blend plan as of 20-February-2007_Usulan Blending Plan_13 Feb 2008_awl 2" xfId="3262"/>
    <cellStyle name="_Blend plan as of 20-February-2007_Usulan Blending Plan_13 Feb 2008_awl_Wadi-Qinfa" xfId="3263"/>
    <cellStyle name="_Blend plan as of 20-February-2007_Wadi-Qinfa" xfId="3264"/>
    <cellStyle name="_Blend plan as of 20-June-06" xfId="3265"/>
    <cellStyle name="_Blend plan as of 20-June-06 2" xfId="3266"/>
    <cellStyle name="_Blend plan as of 20-June-06_01  Usulan Blend Plan BMO_220408 (2)" xfId="3267"/>
    <cellStyle name="_Blend plan as of 20-June-06_01  Usulan Blend Plan BMO_220408 (2) 2" xfId="3268"/>
    <cellStyle name="_Blend plan as of 20-June-06_01  Usulan Blend Plan BMO_220408 (2)_Wadi-Qinfa" xfId="3269"/>
    <cellStyle name="_Blend plan as of 20-June-06_Stock Status Jul 29, 2008" xfId="3270"/>
    <cellStyle name="_Blend plan as of 20-June-06_Stock Status Jul 29, 2008 2" xfId="3271"/>
    <cellStyle name="_Blend plan as of 20-June-06_Stock Status Jul 29, 2008_Wadi-Qinfa" xfId="3272"/>
    <cellStyle name="_Blend plan as of 20-June-06_Usulan Blend Plan BMO 11-03-08" xfId="3273"/>
    <cellStyle name="_Blend plan as of 20-June-06_Usulan Blend Plan BMO 11-03-08 2" xfId="3274"/>
    <cellStyle name="_Blend plan as of 20-June-06_Usulan Blend Plan BMO 11-03-08_Wadi-Qinfa" xfId="3275"/>
    <cellStyle name="_Blend plan as of 20-June-06_Usulan Blend Plan BMO 25-03-08" xfId="3276"/>
    <cellStyle name="_Blend plan as of 20-June-06_Usulan Blend Plan BMO 25-03-08 2" xfId="3277"/>
    <cellStyle name="_Blend plan as of 20-June-06_Usulan Blend Plan BMO 25-03-08_Wadi-Qinfa" xfId="3278"/>
    <cellStyle name="_Blend plan as of 20-June-06_Usulan Blending 27 Mei 2008" xfId="3279"/>
    <cellStyle name="_Blend plan as of 20-June-06_Usulan Blending 27 Mei 2008 2" xfId="3280"/>
    <cellStyle name="_Blend plan as of 20-June-06_Usulan Blending 27 Mei 2008_Wadi-Qinfa" xfId="3281"/>
    <cellStyle name="_Blend plan as of 20-June-06_Usulan Blending Plan 10 jun (2)" xfId="3282"/>
    <cellStyle name="_Blend plan as of 20-June-06_Usulan Blending Plan 10 jun (2) 2" xfId="3283"/>
    <cellStyle name="_Blend plan as of 20-June-06_Usulan Blending Plan 10 jun (2)_Wadi-Qinfa" xfId="3284"/>
    <cellStyle name="_Blend plan as of 20-June-06_Usulan Blending Plan 17 jun (2)" xfId="3285"/>
    <cellStyle name="_Blend plan as of 20-June-06_Usulan Blending Plan 17 jun (2) 2" xfId="3286"/>
    <cellStyle name="_Blend plan as of 20-June-06_Usulan Blending Plan 17 jun (2)_Wadi-Qinfa" xfId="3287"/>
    <cellStyle name="_Blend plan as of 20-June-06_Usulan blending plan 21_05_08" xfId="3288"/>
    <cellStyle name="_Blend plan as of 20-June-06_Usulan blending plan 21_05_08 2" xfId="3289"/>
    <cellStyle name="_Blend plan as of 20-June-06_Usulan blending plan 21_05_08_Wadi-Qinfa" xfId="3290"/>
    <cellStyle name="_Blend plan as of 20-June-06_Usulan blending PlaN 27-05-08" xfId="3291"/>
    <cellStyle name="_Blend plan as of 20-June-06_Usulan blending PlaN 27-05-08 2" xfId="3292"/>
    <cellStyle name="_Blend plan as of 20-June-06_Usulan blending PlaN 27-05-08_Wadi-Qinfa" xfId="3293"/>
    <cellStyle name="_Blend plan as of 20-June-06_Usulan Blending Plan_13 Feb 2008_awl" xfId="3294"/>
    <cellStyle name="_Blend plan as of 20-June-06_Usulan Blending Plan_13 Feb 2008_awl 2" xfId="3295"/>
    <cellStyle name="_Blend plan as of 20-June-06_Usulan Blending Plan_13 Feb 2008_awl_Wadi-Qinfa" xfId="3296"/>
    <cellStyle name="_Blend plan as of 20-June-06_Wadi-Qinfa" xfId="3297"/>
    <cellStyle name="_Blend plan as of 20-Maret-2007" xfId="3298"/>
    <cellStyle name="_Blend plan as of 20-Maret-2007 2" xfId="3299"/>
    <cellStyle name="_Blend plan as of 20-Maret-2007_01  Usulan Blend Plan BMO_220408 (2)" xfId="3300"/>
    <cellStyle name="_Blend plan as of 20-Maret-2007_01  Usulan Blend Plan BMO_220408 (2) 2" xfId="3301"/>
    <cellStyle name="_Blend plan as of 20-Maret-2007_01  Usulan Blend Plan BMO_220408 (2)_Wadi-Qinfa" xfId="3302"/>
    <cellStyle name="_Blend plan as of 20-Maret-2007_Stock Status Jul 29, 2008" xfId="3303"/>
    <cellStyle name="_Blend plan as of 20-Maret-2007_Stock Status Jul 29, 2008 2" xfId="3304"/>
    <cellStyle name="_Blend plan as of 20-Maret-2007_Stock Status Jul 29, 2008_Wadi-Qinfa" xfId="3305"/>
    <cellStyle name="_Blend plan as of 20-Maret-2007_Usulan Blend Plan BMO 11-03-08" xfId="3306"/>
    <cellStyle name="_Blend plan as of 20-Maret-2007_Usulan Blend Plan BMO 11-03-08 2" xfId="3307"/>
    <cellStyle name="_Blend plan as of 20-Maret-2007_Usulan Blend Plan BMO 11-03-08_Wadi-Qinfa" xfId="3308"/>
    <cellStyle name="_Blend plan as of 20-Maret-2007_Usulan Blend Plan BMO 25-03-08" xfId="3309"/>
    <cellStyle name="_Blend plan as of 20-Maret-2007_Usulan Blend Plan BMO 25-03-08 2" xfId="3310"/>
    <cellStyle name="_Blend plan as of 20-Maret-2007_Usulan Blend Plan BMO 25-03-08_Wadi-Qinfa" xfId="3311"/>
    <cellStyle name="_Blend plan as of 20-Maret-2007_Usulan Blending 27 Mei 2008" xfId="3312"/>
    <cellStyle name="_Blend plan as of 20-Maret-2007_Usulan Blending 27 Mei 2008 2" xfId="3313"/>
    <cellStyle name="_Blend plan as of 20-Maret-2007_Usulan Blending 27 Mei 2008_Wadi-Qinfa" xfId="3314"/>
    <cellStyle name="_Blend plan as of 20-Maret-2007_Usulan Blending Plan 10 jun (2)" xfId="3315"/>
    <cellStyle name="_Blend plan as of 20-Maret-2007_Usulan Blending Plan 10 jun (2) 2" xfId="3316"/>
    <cellStyle name="_Blend plan as of 20-Maret-2007_Usulan Blending Plan 10 jun (2)_Wadi-Qinfa" xfId="3317"/>
    <cellStyle name="_Blend plan as of 20-Maret-2007_Usulan Blending Plan 17 jun (2)" xfId="3318"/>
    <cellStyle name="_Blend plan as of 20-Maret-2007_Usulan Blending Plan 17 jun (2) 2" xfId="3319"/>
    <cellStyle name="_Blend plan as of 20-Maret-2007_Usulan Blending Plan 17 jun (2)_Wadi-Qinfa" xfId="3320"/>
    <cellStyle name="_Blend plan as of 20-Maret-2007_Usulan blending plan 21_05_08" xfId="3321"/>
    <cellStyle name="_Blend plan as of 20-Maret-2007_Usulan blending plan 21_05_08 2" xfId="3322"/>
    <cellStyle name="_Blend plan as of 20-Maret-2007_Usulan blending plan 21_05_08_Wadi-Qinfa" xfId="3323"/>
    <cellStyle name="_Blend plan as of 20-Maret-2007_Usulan blending PlaN 27-05-08" xfId="3324"/>
    <cellStyle name="_Blend plan as of 20-Maret-2007_Usulan blending PlaN 27-05-08 2" xfId="3325"/>
    <cellStyle name="_Blend plan as of 20-Maret-2007_Usulan blending PlaN 27-05-08_Wadi-Qinfa" xfId="3326"/>
    <cellStyle name="_Blend plan as of 20-Maret-2007_Usulan Blending Plan_13 Feb 2008_awl" xfId="3327"/>
    <cellStyle name="_Blend plan as of 20-Maret-2007_Usulan Blending Plan_13 Feb 2008_awl 2" xfId="3328"/>
    <cellStyle name="_Blend plan as of 20-Maret-2007_Usulan Blending Plan_13 Feb 2008_awl_Wadi-Qinfa" xfId="3329"/>
    <cellStyle name="_Blend plan as of 20-Maret-2007_Wadi-Qinfa" xfId="3330"/>
    <cellStyle name="_Blend plan as of 20-Nov-07" xfId="3331"/>
    <cellStyle name="_Blend plan as of 20-Nov-07 2" xfId="3332"/>
    <cellStyle name="_Blend plan as of 20-Nov-07_01  Usulan Blend Plan BMO_220408 (2)" xfId="3333"/>
    <cellStyle name="_Blend plan as of 20-Nov-07_01  Usulan Blend Plan BMO_220408 (2) 2" xfId="3334"/>
    <cellStyle name="_Blend plan as of 20-Nov-07_01  Usulan Blend Plan BMO_220408 (2)_Wadi-Qinfa" xfId="3335"/>
    <cellStyle name="_Blend plan as of 20-Nov-07_Stock Status Jul 29, 2008" xfId="3336"/>
    <cellStyle name="_Blend plan as of 20-Nov-07_Stock Status Jul 29, 2008 2" xfId="3337"/>
    <cellStyle name="_Blend plan as of 20-Nov-07_Stock Status Jul 29, 2008_Wadi-Qinfa" xfId="3338"/>
    <cellStyle name="_Blend plan as of 20-Nov-07_Usulan Blend Plan BMO 11-03-08" xfId="3339"/>
    <cellStyle name="_Blend plan as of 20-Nov-07_Usulan Blend Plan BMO 11-03-08 2" xfId="3340"/>
    <cellStyle name="_Blend plan as of 20-Nov-07_Usulan Blend Plan BMO 11-03-08_Wadi-Qinfa" xfId="3341"/>
    <cellStyle name="_Blend plan as of 20-Nov-07_Usulan Blend Plan BMO 25-03-08" xfId="3342"/>
    <cellStyle name="_Blend plan as of 20-Nov-07_Usulan Blend Plan BMO 25-03-08 2" xfId="3343"/>
    <cellStyle name="_Blend plan as of 20-Nov-07_Usulan Blend Plan BMO 25-03-08_Wadi-Qinfa" xfId="3344"/>
    <cellStyle name="_Blend plan as of 20-Nov-07_Usulan Blending 27 Mei 2008" xfId="3345"/>
    <cellStyle name="_Blend plan as of 20-Nov-07_Usulan Blending 27 Mei 2008 2" xfId="3346"/>
    <cellStyle name="_Blend plan as of 20-Nov-07_Usulan Blending 27 Mei 2008_Wadi-Qinfa" xfId="3347"/>
    <cellStyle name="_Blend plan as of 20-Nov-07_Usulan Blending Plan 10 jun (2)" xfId="3348"/>
    <cellStyle name="_Blend plan as of 20-Nov-07_Usulan Blending Plan 10 jun (2) 2" xfId="3349"/>
    <cellStyle name="_Blend plan as of 20-Nov-07_Usulan Blending Plan 10 jun (2)_Wadi-Qinfa" xfId="3350"/>
    <cellStyle name="_Blend plan as of 20-Nov-07_Usulan Blending Plan 17 jun (2)" xfId="3351"/>
    <cellStyle name="_Blend plan as of 20-Nov-07_Usulan Blending Plan 17 jun (2) 2" xfId="3352"/>
    <cellStyle name="_Blend plan as of 20-Nov-07_Usulan Blending Plan 17 jun (2)_Wadi-Qinfa" xfId="3353"/>
    <cellStyle name="_Blend plan as of 20-Nov-07_Usulan blending plan 21_05_08" xfId="3354"/>
    <cellStyle name="_Blend plan as of 20-Nov-07_Usulan blending plan 21_05_08 2" xfId="3355"/>
    <cellStyle name="_Blend plan as of 20-Nov-07_Usulan blending plan 21_05_08_Wadi-Qinfa" xfId="3356"/>
    <cellStyle name="_Blend plan as of 20-Nov-07_Usulan blending PlaN 27-05-08" xfId="3357"/>
    <cellStyle name="_Blend plan as of 20-Nov-07_Usulan blending PlaN 27-05-08 2" xfId="3358"/>
    <cellStyle name="_Blend plan as of 20-Nov-07_Usulan blending PlaN 27-05-08_Wadi-Qinfa" xfId="3359"/>
    <cellStyle name="_Blend plan as of 20-Nov-07_Usulan Blending Plan_13 Feb 2008_awl" xfId="3360"/>
    <cellStyle name="_Blend plan as of 20-Nov-07_Usulan Blending Plan_13 Feb 2008_awl 2" xfId="3361"/>
    <cellStyle name="_Blend plan as of 20-Nov-07_Usulan Blending Plan_13 Feb 2008_awl_Wadi-Qinfa" xfId="3362"/>
    <cellStyle name="_Blend plan as of 20-Nov-07_Wadi-Qinfa" xfId="3363"/>
    <cellStyle name="_Blend plan as of 20-September-05" xfId="3364"/>
    <cellStyle name="_Blend plan as of 20-September-05 2" xfId="3365"/>
    <cellStyle name="_Blend plan as of 20-September-05_01  Usulan Blend Plan BMO_220408 (2)" xfId="3366"/>
    <cellStyle name="_Blend plan as of 20-September-05_01  Usulan Blend Plan BMO_220408 (2) 2" xfId="3367"/>
    <cellStyle name="_Blend plan as of 20-September-05_01  Usulan Blend Plan BMO_220408 (2)_Wadi-Qinfa" xfId="3368"/>
    <cellStyle name="_Blend plan as of 20-September-05_Stock Status Jul 29, 2008" xfId="3369"/>
    <cellStyle name="_Blend plan as of 20-September-05_Stock Status Jul 29, 2008 2" xfId="3370"/>
    <cellStyle name="_Blend plan as of 20-September-05_Stock Status Jul 29, 2008_Wadi-Qinfa" xfId="3371"/>
    <cellStyle name="_Blend plan as of 20-September-05_Usulan Blend Plan BMO 11-03-08" xfId="3372"/>
    <cellStyle name="_Blend plan as of 20-September-05_Usulan Blend Plan BMO 11-03-08 2" xfId="3373"/>
    <cellStyle name="_Blend plan as of 20-September-05_Usulan Blend Plan BMO 11-03-08_Wadi-Qinfa" xfId="3374"/>
    <cellStyle name="_Blend plan as of 20-September-05_Usulan Blend Plan BMO 25-03-08" xfId="3375"/>
    <cellStyle name="_Blend plan as of 20-September-05_Usulan Blend Plan BMO 25-03-08 2" xfId="3376"/>
    <cellStyle name="_Blend plan as of 20-September-05_Usulan Blend Plan BMO 25-03-08_Wadi-Qinfa" xfId="3377"/>
    <cellStyle name="_Blend plan as of 20-September-05_Usulan Blending 27 Mei 2008" xfId="3378"/>
    <cellStyle name="_Blend plan as of 20-September-05_Usulan Blending 27 Mei 2008 2" xfId="3379"/>
    <cellStyle name="_Blend plan as of 20-September-05_Usulan Blending 27 Mei 2008_Wadi-Qinfa" xfId="3380"/>
    <cellStyle name="_Blend plan as of 20-September-05_Usulan Blending Plan 10 jun (2)" xfId="3381"/>
    <cellStyle name="_Blend plan as of 20-September-05_Usulan Blending Plan 10 jun (2) 2" xfId="3382"/>
    <cellStyle name="_Blend plan as of 20-September-05_Usulan Blending Plan 10 jun (2)_Wadi-Qinfa" xfId="3383"/>
    <cellStyle name="_Blend plan as of 20-September-05_Usulan Blending Plan 17 jun (2)" xfId="3384"/>
    <cellStyle name="_Blend plan as of 20-September-05_Usulan Blending Plan 17 jun (2) 2" xfId="3385"/>
    <cellStyle name="_Blend plan as of 20-September-05_Usulan Blending Plan 17 jun (2)_Wadi-Qinfa" xfId="3386"/>
    <cellStyle name="_Blend plan as of 20-September-05_Usulan blending plan 21_05_08" xfId="3387"/>
    <cellStyle name="_Blend plan as of 20-September-05_Usulan blending plan 21_05_08 2" xfId="3388"/>
    <cellStyle name="_Blend plan as of 20-September-05_Usulan blending plan 21_05_08_Wadi-Qinfa" xfId="3389"/>
    <cellStyle name="_Blend plan as of 20-September-05_Usulan blending PlaN 27-05-08" xfId="3390"/>
    <cellStyle name="_Blend plan as of 20-September-05_Usulan blending PlaN 27-05-08 2" xfId="3391"/>
    <cellStyle name="_Blend plan as of 20-September-05_Usulan blending PlaN 27-05-08_Wadi-Qinfa" xfId="3392"/>
    <cellStyle name="_Blend plan as of 20-September-05_Usulan Blending Plan_13 Feb 2008_awl" xfId="3393"/>
    <cellStyle name="_Blend plan as of 20-September-05_Usulan Blending Plan_13 Feb 2008_awl 2" xfId="3394"/>
    <cellStyle name="_Blend plan as of 20-September-05_Usulan Blending Plan_13 Feb 2008_awl_Wadi-Qinfa" xfId="3395"/>
    <cellStyle name="_Blend plan as of 20-September-05_Wadi-Qinfa" xfId="3396"/>
    <cellStyle name="_Blend plan as of 21-Agustus-2007" xfId="3397"/>
    <cellStyle name="_Blend plan as of 21-Agustus-2007 2" xfId="3398"/>
    <cellStyle name="_Blend plan as of 21-Agustus-2007_01  Usulan Blend Plan BMO_220408 (2)" xfId="3399"/>
    <cellStyle name="_Blend plan as of 21-Agustus-2007_01  Usulan Blend Plan BMO_220408 (2) 2" xfId="3400"/>
    <cellStyle name="_Blend plan as of 21-Agustus-2007_01  Usulan Blend Plan BMO_220408 (2)_Wadi-Qinfa" xfId="3401"/>
    <cellStyle name="_Blend plan as of 21-Agustus-2007_Stock Status Jul 29, 2008" xfId="3402"/>
    <cellStyle name="_Blend plan as of 21-Agustus-2007_Stock Status Jul 29, 2008 2" xfId="3403"/>
    <cellStyle name="_Blend plan as of 21-Agustus-2007_Stock Status Jul 29, 2008_Wadi-Qinfa" xfId="3404"/>
    <cellStyle name="_Blend plan as of 21-Agustus-2007_Usulan Blend Plan BMO 11-03-08" xfId="3405"/>
    <cellStyle name="_Blend plan as of 21-Agustus-2007_Usulan Blend Plan BMO 11-03-08 2" xfId="3406"/>
    <cellStyle name="_Blend plan as of 21-Agustus-2007_Usulan Blend Plan BMO 11-03-08_Wadi-Qinfa" xfId="3407"/>
    <cellStyle name="_Blend plan as of 21-Agustus-2007_Usulan Blend Plan BMO 25-03-08" xfId="3408"/>
    <cellStyle name="_Blend plan as of 21-Agustus-2007_Usulan Blend Plan BMO 25-03-08 2" xfId="3409"/>
    <cellStyle name="_Blend plan as of 21-Agustus-2007_Usulan Blend Plan BMO 25-03-08_Wadi-Qinfa" xfId="3410"/>
    <cellStyle name="_Blend plan as of 21-Agustus-2007_Usulan Blending 27 Mei 2008" xfId="3411"/>
    <cellStyle name="_Blend plan as of 21-Agustus-2007_Usulan Blending 27 Mei 2008 2" xfId="3412"/>
    <cellStyle name="_Blend plan as of 21-Agustus-2007_Usulan Blending 27 Mei 2008_Wadi-Qinfa" xfId="3413"/>
    <cellStyle name="_Blend plan as of 21-Agustus-2007_Usulan Blending Plan 10 jun (2)" xfId="3414"/>
    <cellStyle name="_Blend plan as of 21-Agustus-2007_Usulan Blending Plan 10 jun (2) 2" xfId="3415"/>
    <cellStyle name="_Blend plan as of 21-Agustus-2007_Usulan Blending Plan 10 jun (2)_Wadi-Qinfa" xfId="3416"/>
    <cellStyle name="_Blend plan as of 21-Agustus-2007_Usulan Blending Plan 17 jun (2)" xfId="3417"/>
    <cellStyle name="_Blend plan as of 21-Agustus-2007_Usulan Blending Plan 17 jun (2) 2" xfId="3418"/>
    <cellStyle name="_Blend plan as of 21-Agustus-2007_Usulan Blending Plan 17 jun (2)_Wadi-Qinfa" xfId="3419"/>
    <cellStyle name="_Blend plan as of 21-Agustus-2007_Usulan blending plan 21_05_08" xfId="3420"/>
    <cellStyle name="_Blend plan as of 21-Agustus-2007_Usulan blending plan 21_05_08 2" xfId="3421"/>
    <cellStyle name="_Blend plan as of 21-Agustus-2007_Usulan blending plan 21_05_08_Wadi-Qinfa" xfId="3422"/>
    <cellStyle name="_Blend plan as of 21-Agustus-2007_Usulan blending PlaN 27-05-08" xfId="3423"/>
    <cellStyle name="_Blend plan as of 21-Agustus-2007_Usulan blending PlaN 27-05-08 2" xfId="3424"/>
    <cellStyle name="_Blend plan as of 21-Agustus-2007_Usulan blending PlaN 27-05-08_Wadi-Qinfa" xfId="3425"/>
    <cellStyle name="_Blend plan as of 21-Agustus-2007_Usulan Blending Plan_13 Feb 2008_awl" xfId="3426"/>
    <cellStyle name="_Blend plan as of 21-Agustus-2007_Usulan Blending Plan_13 Feb 2008_awl 2" xfId="3427"/>
    <cellStyle name="_Blend plan as of 21-Agustus-2007_Usulan Blending Plan_13 Feb 2008_awl_Wadi-Qinfa" xfId="3428"/>
    <cellStyle name="_Blend plan as of 21-Agustus-2007_Wadi-Qinfa" xfId="3429"/>
    <cellStyle name="_Blend plan as of 21-Dec-04" xfId="3430"/>
    <cellStyle name="_Blend plan as of 21-Dec-04 2" xfId="3431"/>
    <cellStyle name="_Blend plan as of 21-Dec-04_01  Usulan Blend Plan BMO_220408 (2)" xfId="3432"/>
    <cellStyle name="_Blend plan as of 21-Dec-04_01  Usulan Blend Plan BMO_220408 (2) 2" xfId="3433"/>
    <cellStyle name="_Blend plan as of 21-Dec-04_01  Usulan Blend Plan BMO_220408 (2)_Wadi-Qinfa" xfId="3434"/>
    <cellStyle name="_Blend plan as of 21-Dec-04_Stock Status Jul 29, 2008" xfId="3435"/>
    <cellStyle name="_Blend plan as of 21-Dec-04_Stock Status Jul 29, 2008 2" xfId="3436"/>
    <cellStyle name="_Blend plan as of 21-Dec-04_Stock Status Jul 29, 2008_Wadi-Qinfa" xfId="3437"/>
    <cellStyle name="_Blend plan as of 21-Dec-04_Usulan Blend Plan BMO 11-03-08" xfId="3438"/>
    <cellStyle name="_Blend plan as of 21-Dec-04_Usulan Blend Plan BMO 11-03-08 2" xfId="3439"/>
    <cellStyle name="_Blend plan as of 21-Dec-04_Usulan Blend Plan BMO 11-03-08_Wadi-Qinfa" xfId="3440"/>
    <cellStyle name="_Blend plan as of 21-Dec-04_Usulan Blend Plan BMO 25-03-08" xfId="3441"/>
    <cellStyle name="_Blend plan as of 21-Dec-04_Usulan Blend Plan BMO 25-03-08 2" xfId="3442"/>
    <cellStyle name="_Blend plan as of 21-Dec-04_Usulan Blend Plan BMO 25-03-08_Wadi-Qinfa" xfId="3443"/>
    <cellStyle name="_Blend plan as of 21-Dec-04_Usulan Blending 27 Mei 2008" xfId="3444"/>
    <cellStyle name="_Blend plan as of 21-Dec-04_Usulan Blending 27 Mei 2008 2" xfId="3445"/>
    <cellStyle name="_Blend plan as of 21-Dec-04_Usulan Blending 27 Mei 2008_Wadi-Qinfa" xfId="3446"/>
    <cellStyle name="_Blend plan as of 21-Dec-04_Usulan Blending Plan 10 jun (2)" xfId="3447"/>
    <cellStyle name="_Blend plan as of 21-Dec-04_Usulan Blending Plan 10 jun (2) 2" xfId="3448"/>
    <cellStyle name="_Blend plan as of 21-Dec-04_Usulan Blending Plan 10 jun (2)_Wadi-Qinfa" xfId="3449"/>
    <cellStyle name="_Blend plan as of 21-Dec-04_Usulan Blending Plan 17 jun (2)" xfId="3450"/>
    <cellStyle name="_Blend plan as of 21-Dec-04_Usulan Blending Plan 17 jun (2) 2" xfId="3451"/>
    <cellStyle name="_Blend plan as of 21-Dec-04_Usulan Blending Plan 17 jun (2)_Wadi-Qinfa" xfId="3452"/>
    <cellStyle name="_Blend plan as of 21-Dec-04_Usulan blending plan 21_05_08" xfId="3453"/>
    <cellStyle name="_Blend plan as of 21-Dec-04_Usulan blending plan 21_05_08 2" xfId="3454"/>
    <cellStyle name="_Blend plan as of 21-Dec-04_Usulan blending plan 21_05_08_Wadi-Qinfa" xfId="3455"/>
    <cellStyle name="_Blend plan as of 21-Dec-04_Usulan blending PlaN 27-05-08" xfId="3456"/>
    <cellStyle name="_Blend plan as of 21-Dec-04_Usulan blending PlaN 27-05-08 2" xfId="3457"/>
    <cellStyle name="_Blend plan as of 21-Dec-04_Usulan blending PlaN 27-05-08_Wadi-Qinfa" xfId="3458"/>
    <cellStyle name="_Blend plan as of 21-Dec-04_Usulan Blending Plan_13 Feb 2008_awl" xfId="3459"/>
    <cellStyle name="_Blend plan as of 21-Dec-04_Usulan Blending Plan_13 Feb 2008_awl 2" xfId="3460"/>
    <cellStyle name="_Blend plan as of 21-Dec-04_Usulan Blending Plan_13 Feb 2008_awl_Wadi-Qinfa" xfId="3461"/>
    <cellStyle name="_Blend plan as of 21-Dec-04_Wadi-Qinfa" xfId="3462"/>
    <cellStyle name="_Blend plan as of 21-February-06" xfId="3463"/>
    <cellStyle name="_Blend plan as of 21-February-06 2" xfId="3464"/>
    <cellStyle name="_Blend plan as of 21-February-06_01  Usulan Blend Plan BMO_220408 (2)" xfId="3465"/>
    <cellStyle name="_Blend plan as of 21-February-06_01  Usulan Blend Plan BMO_220408 (2) 2" xfId="3466"/>
    <cellStyle name="_Blend plan as of 21-February-06_01  Usulan Blend Plan BMO_220408 (2)_Wadi-Qinfa" xfId="3467"/>
    <cellStyle name="_Blend plan as of 21-February-06_Stock Status Jul 29, 2008" xfId="3468"/>
    <cellStyle name="_Blend plan as of 21-February-06_Stock Status Jul 29, 2008 2" xfId="3469"/>
    <cellStyle name="_Blend plan as of 21-February-06_Stock Status Jul 29, 2008_Wadi-Qinfa" xfId="3470"/>
    <cellStyle name="_Blend plan as of 21-February-06_Usulan Blend Plan BMO 11-03-08" xfId="3471"/>
    <cellStyle name="_Blend plan as of 21-February-06_Usulan Blend Plan BMO 11-03-08 2" xfId="3472"/>
    <cellStyle name="_Blend plan as of 21-February-06_Usulan Blend Plan BMO 11-03-08_Wadi-Qinfa" xfId="3473"/>
    <cellStyle name="_Blend plan as of 21-February-06_Usulan Blend Plan BMO 25-03-08" xfId="3474"/>
    <cellStyle name="_Blend plan as of 21-February-06_Usulan Blend Plan BMO 25-03-08 2" xfId="3475"/>
    <cellStyle name="_Blend plan as of 21-February-06_Usulan Blend Plan BMO 25-03-08_Wadi-Qinfa" xfId="3476"/>
    <cellStyle name="_Blend plan as of 21-February-06_Usulan Blending 27 Mei 2008" xfId="3477"/>
    <cellStyle name="_Blend plan as of 21-February-06_Usulan Blending 27 Mei 2008 2" xfId="3478"/>
    <cellStyle name="_Blend plan as of 21-February-06_Usulan Blending 27 Mei 2008_Wadi-Qinfa" xfId="3479"/>
    <cellStyle name="_Blend plan as of 21-February-06_Usulan Blending Plan 10 jun (2)" xfId="3480"/>
    <cellStyle name="_Blend plan as of 21-February-06_Usulan Blending Plan 10 jun (2) 2" xfId="3481"/>
    <cellStyle name="_Blend plan as of 21-February-06_Usulan Blending Plan 10 jun (2)_Wadi-Qinfa" xfId="3482"/>
    <cellStyle name="_Blend plan as of 21-February-06_Usulan Blending Plan 17 jun (2)" xfId="3483"/>
    <cellStyle name="_Blend plan as of 21-February-06_Usulan Blending Plan 17 jun (2) 2" xfId="3484"/>
    <cellStyle name="_Blend plan as of 21-February-06_Usulan Blending Plan 17 jun (2)_Wadi-Qinfa" xfId="3485"/>
    <cellStyle name="_Blend plan as of 21-February-06_Usulan blending plan 21_05_08" xfId="3486"/>
    <cellStyle name="_Blend plan as of 21-February-06_Usulan blending plan 21_05_08 2" xfId="3487"/>
    <cellStyle name="_Blend plan as of 21-February-06_Usulan blending plan 21_05_08_Wadi-Qinfa" xfId="3488"/>
    <cellStyle name="_Blend plan as of 21-February-06_Usulan blending PlaN 27-05-08" xfId="3489"/>
    <cellStyle name="_Blend plan as of 21-February-06_Usulan blending PlaN 27-05-08 2" xfId="3490"/>
    <cellStyle name="_Blend plan as of 21-February-06_Usulan blending PlaN 27-05-08_Wadi-Qinfa" xfId="3491"/>
    <cellStyle name="_Blend plan as of 21-February-06_Usulan Blending Plan_13 Feb 2008_awl" xfId="3492"/>
    <cellStyle name="_Blend plan as of 21-February-06_Usulan Blending Plan_13 Feb 2008_awl 2" xfId="3493"/>
    <cellStyle name="_Blend plan as of 21-February-06_Usulan Blending Plan_13 Feb 2008_awl_Wadi-Qinfa" xfId="3494"/>
    <cellStyle name="_Blend plan as of 21-February-06_Wadi-Qinfa" xfId="3495"/>
    <cellStyle name="_Blend plan as of 21-Jun-05fix" xfId="3496"/>
    <cellStyle name="_Blend plan as of 21-Jun-05fix 2" xfId="3497"/>
    <cellStyle name="_Blend plan as of 21-Jun-05fix_01  Usulan Blend Plan BMO_220408 (2)" xfId="3498"/>
    <cellStyle name="_Blend plan as of 21-Jun-05fix_01  Usulan Blend Plan BMO_220408 (2) 2" xfId="3499"/>
    <cellStyle name="_Blend plan as of 21-Jun-05fix_01  Usulan Blend Plan BMO_220408 (2)_Wadi-Qinfa" xfId="3500"/>
    <cellStyle name="_Blend plan as of 21-Jun-05fix_Stock Status Jul 29, 2008" xfId="3501"/>
    <cellStyle name="_Blend plan as of 21-Jun-05fix_Stock Status Jul 29, 2008 2" xfId="3502"/>
    <cellStyle name="_Blend plan as of 21-Jun-05fix_Stock Status Jul 29, 2008_Wadi-Qinfa" xfId="3503"/>
    <cellStyle name="_Blend plan as of 21-Jun-05fix_Usulan Blend Plan BMO 11-03-08" xfId="3504"/>
    <cellStyle name="_Blend plan as of 21-Jun-05fix_Usulan Blend Plan BMO 11-03-08 2" xfId="3505"/>
    <cellStyle name="_Blend plan as of 21-Jun-05fix_Usulan Blend Plan BMO 11-03-08_Wadi-Qinfa" xfId="3506"/>
    <cellStyle name="_Blend plan as of 21-Jun-05fix_Usulan Blend Plan BMO 25-03-08" xfId="3507"/>
    <cellStyle name="_Blend plan as of 21-Jun-05fix_Usulan Blend Plan BMO 25-03-08 2" xfId="3508"/>
    <cellStyle name="_Blend plan as of 21-Jun-05fix_Usulan Blend Plan BMO 25-03-08_Wadi-Qinfa" xfId="3509"/>
    <cellStyle name="_Blend plan as of 21-Jun-05fix_Usulan Blending 27 Mei 2008" xfId="3510"/>
    <cellStyle name="_Blend plan as of 21-Jun-05fix_Usulan Blending 27 Mei 2008 2" xfId="3511"/>
    <cellStyle name="_Blend plan as of 21-Jun-05fix_Usulan Blending 27 Mei 2008_Wadi-Qinfa" xfId="3512"/>
    <cellStyle name="_Blend plan as of 21-Jun-05fix_Usulan Blending Plan 10 jun (2)" xfId="3513"/>
    <cellStyle name="_Blend plan as of 21-Jun-05fix_Usulan Blending Plan 10 jun (2) 2" xfId="3514"/>
    <cellStyle name="_Blend plan as of 21-Jun-05fix_Usulan Blending Plan 10 jun (2)_Wadi-Qinfa" xfId="3515"/>
    <cellStyle name="_Blend plan as of 21-Jun-05fix_Usulan Blending Plan 17 jun (2)" xfId="3516"/>
    <cellStyle name="_Blend plan as of 21-Jun-05fix_Usulan Blending Plan 17 jun (2) 2" xfId="3517"/>
    <cellStyle name="_Blend plan as of 21-Jun-05fix_Usulan Blending Plan 17 jun (2)_Wadi-Qinfa" xfId="3518"/>
    <cellStyle name="_Blend plan as of 21-Jun-05fix_Usulan blending plan 21_05_08" xfId="3519"/>
    <cellStyle name="_Blend plan as of 21-Jun-05fix_Usulan blending plan 21_05_08 2" xfId="3520"/>
    <cellStyle name="_Blend plan as of 21-Jun-05fix_Usulan blending plan 21_05_08_Wadi-Qinfa" xfId="3521"/>
    <cellStyle name="_Blend plan as of 21-Jun-05fix_Usulan blending PlaN 27-05-08" xfId="3522"/>
    <cellStyle name="_Blend plan as of 21-Jun-05fix_Usulan blending PlaN 27-05-08 2" xfId="3523"/>
    <cellStyle name="_Blend plan as of 21-Jun-05fix_Usulan blending PlaN 27-05-08_Wadi-Qinfa" xfId="3524"/>
    <cellStyle name="_Blend plan as of 21-Jun-05fix_Usulan Blending Plan_13 Feb 2008_awl" xfId="3525"/>
    <cellStyle name="_Blend plan as of 21-Jun-05fix_Usulan Blending Plan_13 Feb 2008_awl 2" xfId="3526"/>
    <cellStyle name="_Blend plan as of 21-Jun-05fix_Usulan Blending Plan_13 Feb 2008_awl_Wadi-Qinfa" xfId="3527"/>
    <cellStyle name="_Blend plan as of 21-Jun-05fix_Wadi-Qinfa" xfId="3528"/>
    <cellStyle name="_Blend plan as of 21-March-06" xfId="3529"/>
    <cellStyle name="_Blend plan as of 21-March-06 2" xfId="3530"/>
    <cellStyle name="_Blend plan as of 21-March-06_01  Usulan Blend Plan BMO_220408 (2)" xfId="3531"/>
    <cellStyle name="_Blend plan as of 21-March-06_01  Usulan Blend Plan BMO_220408 (2) 2" xfId="3532"/>
    <cellStyle name="_Blend plan as of 21-March-06_01  Usulan Blend Plan BMO_220408 (2)_Wadi-Qinfa" xfId="3533"/>
    <cellStyle name="_Blend plan as of 21-March-06_Stock Status Jul 29, 2008" xfId="3534"/>
    <cellStyle name="_Blend plan as of 21-March-06_Stock Status Jul 29, 2008 2" xfId="3535"/>
    <cellStyle name="_Blend plan as of 21-March-06_Stock Status Jul 29, 2008_Wadi-Qinfa" xfId="3536"/>
    <cellStyle name="_Blend plan as of 21-March-06_Usulan Blend Plan BMO 11-03-08" xfId="3537"/>
    <cellStyle name="_Blend plan as of 21-March-06_Usulan Blend Plan BMO 11-03-08 2" xfId="3538"/>
    <cellStyle name="_Blend plan as of 21-March-06_Usulan Blend Plan BMO 11-03-08_Wadi-Qinfa" xfId="3539"/>
    <cellStyle name="_Blend plan as of 21-March-06_Usulan Blend Plan BMO 25-03-08" xfId="3540"/>
    <cellStyle name="_Blend plan as of 21-March-06_Usulan Blend Plan BMO 25-03-08 2" xfId="3541"/>
    <cellStyle name="_Blend plan as of 21-March-06_Usulan Blend Plan BMO 25-03-08_Wadi-Qinfa" xfId="3542"/>
    <cellStyle name="_Blend plan as of 21-March-06_Usulan Blending 27 Mei 2008" xfId="3543"/>
    <cellStyle name="_Blend plan as of 21-March-06_Usulan Blending 27 Mei 2008 2" xfId="3544"/>
    <cellStyle name="_Blend plan as of 21-March-06_Usulan Blending 27 Mei 2008_Wadi-Qinfa" xfId="3545"/>
    <cellStyle name="_Blend plan as of 21-March-06_Usulan Blending Plan 10 jun (2)" xfId="3546"/>
    <cellStyle name="_Blend plan as of 21-March-06_Usulan Blending Plan 10 jun (2) 2" xfId="3547"/>
    <cellStyle name="_Blend plan as of 21-March-06_Usulan Blending Plan 10 jun (2)_Wadi-Qinfa" xfId="3548"/>
    <cellStyle name="_Blend plan as of 21-March-06_Usulan Blending Plan 17 jun (2)" xfId="3549"/>
    <cellStyle name="_Blend plan as of 21-March-06_Usulan Blending Plan 17 jun (2) 2" xfId="3550"/>
    <cellStyle name="_Blend plan as of 21-March-06_Usulan Blending Plan 17 jun (2)_Wadi-Qinfa" xfId="3551"/>
    <cellStyle name="_Blend plan as of 21-March-06_Usulan blending plan 21_05_08" xfId="3552"/>
    <cellStyle name="_Blend plan as of 21-March-06_Usulan blending plan 21_05_08 2" xfId="3553"/>
    <cellStyle name="_Blend plan as of 21-March-06_Usulan blending plan 21_05_08_Wadi-Qinfa" xfId="3554"/>
    <cellStyle name="_Blend plan as of 21-March-06_Usulan blending PlaN 27-05-08" xfId="3555"/>
    <cellStyle name="_Blend plan as of 21-March-06_Usulan blending PlaN 27-05-08 2" xfId="3556"/>
    <cellStyle name="_Blend plan as of 21-March-06_Usulan blending PlaN 27-05-08_Wadi-Qinfa" xfId="3557"/>
    <cellStyle name="_Blend plan as of 21-March-06_Usulan Blending Plan_13 Feb 2008_awl" xfId="3558"/>
    <cellStyle name="_Blend plan as of 21-March-06_Usulan Blending Plan_13 Feb 2008_awl 2" xfId="3559"/>
    <cellStyle name="_Blend plan as of 21-March-06_Usulan Blending Plan_13 Feb 2008_awl_Wadi-Qinfa" xfId="3560"/>
    <cellStyle name="_Blend plan as of 21-March-06_Wadi-Qinfa" xfId="3561"/>
    <cellStyle name="_Blend plan as of 21-November-06" xfId="3562"/>
    <cellStyle name="_Blend plan as of 21-November-06 2" xfId="3563"/>
    <cellStyle name="_Blend plan as of 21-November-06_01  Usulan Blend Plan BMO_220408 (2)" xfId="3564"/>
    <cellStyle name="_Blend plan as of 21-November-06_01  Usulan Blend Plan BMO_220408 (2) 2" xfId="3565"/>
    <cellStyle name="_Blend plan as of 21-November-06_01  Usulan Blend Plan BMO_220408 (2)_Wadi-Qinfa" xfId="3566"/>
    <cellStyle name="_Blend plan as of 21-November-06_Stock Status Jul 29, 2008" xfId="3567"/>
    <cellStyle name="_Blend plan as of 21-November-06_Stock Status Jul 29, 2008 2" xfId="3568"/>
    <cellStyle name="_Blend plan as of 21-November-06_Stock Status Jul 29, 2008_Wadi-Qinfa" xfId="3569"/>
    <cellStyle name="_Blend plan as of 21-November-06_Usulan Blend Plan BMO 11-03-08" xfId="3570"/>
    <cellStyle name="_Blend plan as of 21-November-06_Usulan Blend Plan BMO 11-03-08 2" xfId="3571"/>
    <cellStyle name="_Blend plan as of 21-November-06_Usulan Blend Plan BMO 11-03-08_Wadi-Qinfa" xfId="3572"/>
    <cellStyle name="_Blend plan as of 21-November-06_Usulan Blend Plan BMO 25-03-08" xfId="3573"/>
    <cellStyle name="_Blend plan as of 21-November-06_Usulan Blend Plan BMO 25-03-08 2" xfId="3574"/>
    <cellStyle name="_Blend plan as of 21-November-06_Usulan Blend Plan BMO 25-03-08_Wadi-Qinfa" xfId="3575"/>
    <cellStyle name="_Blend plan as of 21-November-06_Usulan Blending 27 Mei 2008" xfId="3576"/>
    <cellStyle name="_Blend plan as of 21-November-06_Usulan Blending 27 Mei 2008 2" xfId="3577"/>
    <cellStyle name="_Blend plan as of 21-November-06_Usulan Blending 27 Mei 2008_Wadi-Qinfa" xfId="3578"/>
    <cellStyle name="_Blend plan as of 21-November-06_Usulan Blending Plan 10 jun (2)" xfId="3579"/>
    <cellStyle name="_Blend plan as of 21-November-06_Usulan Blending Plan 10 jun (2) 2" xfId="3580"/>
    <cellStyle name="_Blend plan as of 21-November-06_Usulan Blending Plan 10 jun (2)_Wadi-Qinfa" xfId="3581"/>
    <cellStyle name="_Blend plan as of 21-November-06_Usulan Blending Plan 17 jun (2)" xfId="3582"/>
    <cellStyle name="_Blend plan as of 21-November-06_Usulan Blending Plan 17 jun (2) 2" xfId="3583"/>
    <cellStyle name="_Blend plan as of 21-November-06_Usulan Blending Plan 17 jun (2)_Wadi-Qinfa" xfId="3584"/>
    <cellStyle name="_Blend plan as of 21-November-06_Usulan blending plan 21_05_08" xfId="3585"/>
    <cellStyle name="_Blend plan as of 21-November-06_Usulan blending plan 21_05_08 2" xfId="3586"/>
    <cellStyle name="_Blend plan as of 21-November-06_Usulan blending plan 21_05_08_Wadi-Qinfa" xfId="3587"/>
    <cellStyle name="_Blend plan as of 21-November-06_Usulan blending PlaN 27-05-08" xfId="3588"/>
    <cellStyle name="_Blend plan as of 21-November-06_Usulan blending PlaN 27-05-08 2" xfId="3589"/>
    <cellStyle name="_Blend plan as of 21-November-06_Usulan blending PlaN 27-05-08_Wadi-Qinfa" xfId="3590"/>
    <cellStyle name="_Blend plan as of 21-November-06_Usulan Blending Plan_13 Feb 2008_awl" xfId="3591"/>
    <cellStyle name="_Blend plan as of 21-November-06_Usulan Blending Plan_13 Feb 2008_awl 2" xfId="3592"/>
    <cellStyle name="_Blend plan as of 21-November-06_Usulan Blending Plan_13 Feb 2008_awl_Wadi-Qinfa" xfId="3593"/>
    <cellStyle name="_Blend plan as of 21-November-06_Wadi-Qinfa" xfId="3594"/>
    <cellStyle name="_Blend plan as of 22-August-06" xfId="3595"/>
    <cellStyle name="_Blend plan as of 22-August-06 2" xfId="3596"/>
    <cellStyle name="_Blend plan as of 22-August-06_01  Usulan Blend Plan BMO_220408 (2)" xfId="3597"/>
    <cellStyle name="_Blend plan as of 22-August-06_01  Usulan Blend Plan BMO_220408 (2) 2" xfId="3598"/>
    <cellStyle name="_Blend plan as of 22-August-06_01  Usulan Blend Plan BMO_220408 (2)_Wadi-Qinfa" xfId="3599"/>
    <cellStyle name="_Blend plan as of 22-August-06_Stock Status Jul 29, 2008" xfId="3600"/>
    <cellStyle name="_Blend plan as of 22-August-06_Stock Status Jul 29, 2008 2" xfId="3601"/>
    <cellStyle name="_Blend plan as of 22-August-06_Stock Status Jul 29, 2008_Wadi-Qinfa" xfId="3602"/>
    <cellStyle name="_Blend plan as of 22-August-06_Usulan Blend Plan BMO 11-03-08" xfId="3603"/>
    <cellStyle name="_Blend plan as of 22-August-06_Usulan Blend Plan BMO 11-03-08 2" xfId="3604"/>
    <cellStyle name="_Blend plan as of 22-August-06_Usulan Blend Plan BMO 11-03-08_Wadi-Qinfa" xfId="3605"/>
    <cellStyle name="_Blend plan as of 22-August-06_Usulan Blend Plan BMO 25-03-08" xfId="3606"/>
    <cellStyle name="_Blend plan as of 22-August-06_Usulan Blend Plan BMO 25-03-08 2" xfId="3607"/>
    <cellStyle name="_Blend plan as of 22-August-06_Usulan Blend Plan BMO 25-03-08_Wadi-Qinfa" xfId="3608"/>
    <cellStyle name="_Blend plan as of 22-August-06_Usulan Blending 27 Mei 2008" xfId="3609"/>
    <cellStyle name="_Blend plan as of 22-August-06_Usulan Blending 27 Mei 2008 2" xfId="3610"/>
    <cellStyle name="_Blend plan as of 22-August-06_Usulan Blending 27 Mei 2008_Wadi-Qinfa" xfId="3611"/>
    <cellStyle name="_Blend plan as of 22-August-06_Usulan Blending Plan 10 jun (2)" xfId="3612"/>
    <cellStyle name="_Blend plan as of 22-August-06_Usulan Blending Plan 10 jun (2) 2" xfId="3613"/>
    <cellStyle name="_Blend plan as of 22-August-06_Usulan Blending Plan 10 jun (2)_Wadi-Qinfa" xfId="3614"/>
    <cellStyle name="_Blend plan as of 22-August-06_Usulan Blending Plan 17 jun (2)" xfId="3615"/>
    <cellStyle name="_Blend plan as of 22-August-06_Usulan Blending Plan 17 jun (2) 2" xfId="3616"/>
    <cellStyle name="_Blend plan as of 22-August-06_Usulan Blending Plan 17 jun (2)_Wadi-Qinfa" xfId="3617"/>
    <cellStyle name="_Blend plan as of 22-August-06_Usulan blending plan 21_05_08" xfId="3618"/>
    <cellStyle name="_Blend plan as of 22-August-06_Usulan blending plan 21_05_08 2" xfId="3619"/>
    <cellStyle name="_Blend plan as of 22-August-06_Usulan blending plan 21_05_08_Wadi-Qinfa" xfId="3620"/>
    <cellStyle name="_Blend plan as of 22-August-06_Usulan blending PlaN 27-05-08" xfId="3621"/>
    <cellStyle name="_Blend plan as of 22-August-06_Usulan blending PlaN 27-05-08 2" xfId="3622"/>
    <cellStyle name="_Blend plan as of 22-August-06_Usulan blending PlaN 27-05-08_Wadi-Qinfa" xfId="3623"/>
    <cellStyle name="_Blend plan as of 22-August-06_Usulan Blending Plan_13 Feb 2008_awl" xfId="3624"/>
    <cellStyle name="_Blend plan as of 22-August-06_Usulan Blending Plan_13 Feb 2008_awl 2" xfId="3625"/>
    <cellStyle name="_Blend plan as of 22-August-06_Usulan Blending Plan_13 Feb 2008_awl_Wadi-Qinfa" xfId="3626"/>
    <cellStyle name="_Blend plan as of 22-August-06_Wadi-Qinfa" xfId="3627"/>
    <cellStyle name="_Blend plan as of 22-Feb-05" xfId="3628"/>
    <cellStyle name="_Blend plan as of 22-Feb-05 2" xfId="3629"/>
    <cellStyle name="_Blend plan as of 22-Feb-05_01  Usulan Blend Plan BMO_220408 (2)" xfId="3630"/>
    <cellStyle name="_Blend plan as of 22-Feb-05_01  Usulan Blend Plan BMO_220408 (2) 2" xfId="3631"/>
    <cellStyle name="_Blend plan as of 22-Feb-05_01  Usulan Blend Plan BMO_220408 (2)_Wadi-Qinfa" xfId="3632"/>
    <cellStyle name="_Blend plan as of 22-Feb-05_Stock Status Jul 29, 2008" xfId="3633"/>
    <cellStyle name="_Blend plan as of 22-Feb-05_Stock Status Jul 29, 2008 2" xfId="3634"/>
    <cellStyle name="_Blend plan as of 22-Feb-05_Stock Status Jul 29, 2008_Wadi-Qinfa" xfId="3635"/>
    <cellStyle name="_Blend plan as of 22-Feb-05_Usulan Blend Plan BMO 11-03-08" xfId="3636"/>
    <cellStyle name="_Blend plan as of 22-Feb-05_Usulan Blend Plan BMO 11-03-08 2" xfId="3637"/>
    <cellStyle name="_Blend plan as of 22-Feb-05_Usulan Blend Plan BMO 11-03-08_Wadi-Qinfa" xfId="3638"/>
    <cellStyle name="_Blend plan as of 22-Feb-05_Usulan Blend Plan BMO 25-03-08" xfId="3639"/>
    <cellStyle name="_Blend plan as of 22-Feb-05_Usulan Blend Plan BMO 25-03-08 2" xfId="3640"/>
    <cellStyle name="_Blend plan as of 22-Feb-05_Usulan Blend Plan BMO 25-03-08_Wadi-Qinfa" xfId="3641"/>
    <cellStyle name="_Blend plan as of 22-Feb-05_Usulan Blending 27 Mei 2008" xfId="3642"/>
    <cellStyle name="_Blend plan as of 22-Feb-05_Usulan Blending 27 Mei 2008 2" xfId="3643"/>
    <cellStyle name="_Blend plan as of 22-Feb-05_Usulan Blending 27 Mei 2008_Wadi-Qinfa" xfId="3644"/>
    <cellStyle name="_Blend plan as of 22-Feb-05_Usulan Blending Plan 10 jun (2)" xfId="3645"/>
    <cellStyle name="_Blend plan as of 22-Feb-05_Usulan Blending Plan 10 jun (2) 2" xfId="3646"/>
    <cellStyle name="_Blend plan as of 22-Feb-05_Usulan Blending Plan 10 jun (2)_Wadi-Qinfa" xfId="3647"/>
    <cellStyle name="_Blend plan as of 22-Feb-05_Usulan Blending Plan 17 jun (2)" xfId="3648"/>
    <cellStyle name="_Blend plan as of 22-Feb-05_Usulan Blending Plan 17 jun (2) 2" xfId="3649"/>
    <cellStyle name="_Blend plan as of 22-Feb-05_Usulan Blending Plan 17 jun (2)_Wadi-Qinfa" xfId="3650"/>
    <cellStyle name="_Blend plan as of 22-Feb-05_Usulan blending plan 21_05_08" xfId="3651"/>
    <cellStyle name="_Blend plan as of 22-Feb-05_Usulan blending plan 21_05_08 2" xfId="3652"/>
    <cellStyle name="_Blend plan as of 22-Feb-05_Usulan blending plan 21_05_08_Wadi-Qinfa" xfId="3653"/>
    <cellStyle name="_Blend plan as of 22-Feb-05_Usulan blending PlaN 27-05-08" xfId="3654"/>
    <cellStyle name="_Blend plan as of 22-Feb-05_Usulan blending PlaN 27-05-08 2" xfId="3655"/>
    <cellStyle name="_Blend plan as of 22-Feb-05_Usulan blending PlaN 27-05-08_Wadi-Qinfa" xfId="3656"/>
    <cellStyle name="_Blend plan as of 22-Feb-05_Usulan Blending Plan_13 Feb 2008_awl" xfId="3657"/>
    <cellStyle name="_Blend plan as of 22-Feb-05_Usulan Blending Plan_13 Feb 2008_awl 2" xfId="3658"/>
    <cellStyle name="_Blend plan as of 22-Feb-05_Usulan Blending Plan_13 Feb 2008_awl_Wadi-Qinfa" xfId="3659"/>
    <cellStyle name="_Blend plan as of 22-Feb-05_Wadi-Qinfa" xfId="3660"/>
    <cellStyle name="_Blend plan as of 22-Mar-05" xfId="3661"/>
    <cellStyle name="_Blend plan as of 22-Mar-05 2" xfId="3662"/>
    <cellStyle name="_Blend plan as of 22-Mar-05_01  Usulan Blend Plan BMO_220408 (2)" xfId="3663"/>
    <cellStyle name="_Blend plan as of 22-Mar-05_01  Usulan Blend Plan BMO_220408 (2) 2" xfId="3664"/>
    <cellStyle name="_Blend plan as of 22-Mar-05_01  Usulan Blend Plan BMO_220408 (2)_Wadi-Qinfa" xfId="3665"/>
    <cellStyle name="_Blend plan as of 22-Mar-05_Stock Status Jul 29, 2008" xfId="3666"/>
    <cellStyle name="_Blend plan as of 22-Mar-05_Stock Status Jul 29, 2008 2" xfId="3667"/>
    <cellStyle name="_Blend plan as of 22-Mar-05_Stock Status Jul 29, 2008_Wadi-Qinfa" xfId="3668"/>
    <cellStyle name="_Blend plan as of 22-Mar-05_Usulan Blend Plan BMO 11-03-08" xfId="3669"/>
    <cellStyle name="_Blend plan as of 22-Mar-05_Usulan Blend Plan BMO 11-03-08 2" xfId="3670"/>
    <cellStyle name="_Blend plan as of 22-Mar-05_Usulan Blend Plan BMO 11-03-08_Wadi-Qinfa" xfId="3671"/>
    <cellStyle name="_Blend plan as of 22-Mar-05_Usulan Blend Plan BMO 25-03-08" xfId="3672"/>
    <cellStyle name="_Blend plan as of 22-Mar-05_Usulan Blend Plan BMO 25-03-08 2" xfId="3673"/>
    <cellStyle name="_Blend plan as of 22-Mar-05_Usulan Blend Plan BMO 25-03-08_Wadi-Qinfa" xfId="3674"/>
    <cellStyle name="_Blend plan as of 22-Mar-05_Usulan Blending 27 Mei 2008" xfId="3675"/>
    <cellStyle name="_Blend plan as of 22-Mar-05_Usulan Blending 27 Mei 2008 2" xfId="3676"/>
    <cellStyle name="_Blend plan as of 22-Mar-05_Usulan Blending 27 Mei 2008_Wadi-Qinfa" xfId="3677"/>
    <cellStyle name="_Blend plan as of 22-Mar-05_Usulan Blending Plan 10 jun (2)" xfId="3678"/>
    <cellStyle name="_Blend plan as of 22-Mar-05_Usulan Blending Plan 10 jun (2) 2" xfId="3679"/>
    <cellStyle name="_Blend plan as of 22-Mar-05_Usulan Blending Plan 10 jun (2)_Wadi-Qinfa" xfId="3680"/>
    <cellStyle name="_Blend plan as of 22-Mar-05_Usulan Blending Plan 17 jun (2)" xfId="3681"/>
    <cellStyle name="_Blend plan as of 22-Mar-05_Usulan Blending Plan 17 jun (2) 2" xfId="3682"/>
    <cellStyle name="_Blend plan as of 22-Mar-05_Usulan Blending Plan 17 jun (2)_Wadi-Qinfa" xfId="3683"/>
    <cellStyle name="_Blend plan as of 22-Mar-05_Usulan blending plan 21_05_08" xfId="3684"/>
    <cellStyle name="_Blend plan as of 22-Mar-05_Usulan blending plan 21_05_08 2" xfId="3685"/>
    <cellStyle name="_Blend plan as of 22-Mar-05_Usulan blending plan 21_05_08_Wadi-Qinfa" xfId="3686"/>
    <cellStyle name="_Blend plan as of 22-Mar-05_Usulan blending PlaN 27-05-08" xfId="3687"/>
    <cellStyle name="_Blend plan as of 22-Mar-05_Usulan blending PlaN 27-05-08 2" xfId="3688"/>
    <cellStyle name="_Blend plan as of 22-Mar-05_Usulan blending PlaN 27-05-08_Wadi-Qinfa" xfId="3689"/>
    <cellStyle name="_Blend plan as of 22-Mar-05_Usulan Blending Plan_13 Feb 2008_awl" xfId="3690"/>
    <cellStyle name="_Blend plan as of 22-Mar-05_Usulan Blending Plan_13 Feb 2008_awl 2" xfId="3691"/>
    <cellStyle name="_Blend plan as of 22-Mar-05_Usulan Blending Plan_13 Feb 2008_awl_Wadi-Qinfa" xfId="3692"/>
    <cellStyle name="_Blend plan as of 22-Mar-05_Wadi-Qinfa" xfId="3693"/>
    <cellStyle name="_Blend plan as of 22-May-2007" xfId="3694"/>
    <cellStyle name="_Blend plan as of 22-May-2007 2" xfId="3695"/>
    <cellStyle name="_Blend plan as of 22-May-2007_01  Usulan Blend Plan BMO_220408 (2)" xfId="3696"/>
    <cellStyle name="_Blend plan as of 22-May-2007_01  Usulan Blend Plan BMO_220408 (2) 2" xfId="3697"/>
    <cellStyle name="_Blend plan as of 22-May-2007_01  Usulan Blend Plan BMO_220408 (2)_Wadi-Qinfa" xfId="3698"/>
    <cellStyle name="_Blend plan as of 22-May-2007_Stock Status Jul 29, 2008" xfId="3699"/>
    <cellStyle name="_Blend plan as of 22-May-2007_Stock Status Jul 29, 2008 2" xfId="3700"/>
    <cellStyle name="_Blend plan as of 22-May-2007_Stock Status Jul 29, 2008_Wadi-Qinfa" xfId="3701"/>
    <cellStyle name="_Blend plan as of 22-May-2007_Usulan Blend Plan BMO 11-03-08" xfId="3702"/>
    <cellStyle name="_Blend plan as of 22-May-2007_Usulan Blend Plan BMO 11-03-08 2" xfId="3703"/>
    <cellStyle name="_Blend plan as of 22-May-2007_Usulan Blend Plan BMO 11-03-08_Wadi-Qinfa" xfId="3704"/>
    <cellStyle name="_Blend plan as of 22-May-2007_Usulan Blend Plan BMO 25-03-08" xfId="3705"/>
    <cellStyle name="_Blend plan as of 22-May-2007_Usulan Blend Plan BMO 25-03-08 2" xfId="3706"/>
    <cellStyle name="_Blend plan as of 22-May-2007_Usulan Blend Plan BMO 25-03-08_Wadi-Qinfa" xfId="3707"/>
    <cellStyle name="_Blend plan as of 22-May-2007_Usulan Blending 27 Mei 2008" xfId="3708"/>
    <cellStyle name="_Blend plan as of 22-May-2007_Usulan Blending 27 Mei 2008 2" xfId="3709"/>
    <cellStyle name="_Blend plan as of 22-May-2007_Usulan Blending 27 Mei 2008_Wadi-Qinfa" xfId="3710"/>
    <cellStyle name="_Blend plan as of 22-May-2007_Usulan Blending Plan 10 jun (2)" xfId="3711"/>
    <cellStyle name="_Blend plan as of 22-May-2007_Usulan Blending Plan 10 jun (2) 2" xfId="3712"/>
    <cellStyle name="_Blend plan as of 22-May-2007_Usulan Blending Plan 10 jun (2)_Wadi-Qinfa" xfId="3713"/>
    <cellStyle name="_Blend plan as of 22-May-2007_Usulan Blending Plan 17 jun (2)" xfId="3714"/>
    <cellStyle name="_Blend plan as of 22-May-2007_Usulan Blending Plan 17 jun (2) 2" xfId="3715"/>
    <cellStyle name="_Blend plan as of 22-May-2007_Usulan Blending Plan 17 jun (2)_Wadi-Qinfa" xfId="3716"/>
    <cellStyle name="_Blend plan as of 22-May-2007_Usulan blending plan 21_05_08" xfId="3717"/>
    <cellStyle name="_Blend plan as of 22-May-2007_Usulan blending plan 21_05_08 2" xfId="3718"/>
    <cellStyle name="_Blend plan as of 22-May-2007_Usulan blending plan 21_05_08_Wadi-Qinfa" xfId="3719"/>
    <cellStyle name="_Blend plan as of 22-May-2007_Usulan blending PlaN 27-05-08" xfId="3720"/>
    <cellStyle name="_Blend plan as of 22-May-2007_Usulan blending PlaN 27-05-08 2" xfId="3721"/>
    <cellStyle name="_Blend plan as of 22-May-2007_Usulan blending PlaN 27-05-08_Wadi-Qinfa" xfId="3722"/>
    <cellStyle name="_Blend plan as of 22-May-2007_Usulan Blending Plan_13 Feb 2008_awl" xfId="3723"/>
    <cellStyle name="_Blend plan as of 22-May-2007_Usulan Blending Plan_13 Feb 2008_awl 2" xfId="3724"/>
    <cellStyle name="_Blend plan as of 22-May-2007_Usulan Blending Plan_13 Feb 2008_awl_Wadi-Qinfa" xfId="3725"/>
    <cellStyle name="_Blend plan as of 22-May-2007_Wadi-Qinfa" xfId="3726"/>
    <cellStyle name="_Blend plan as of 22-Nopember-05" xfId="3727"/>
    <cellStyle name="_Blend plan as of 22-Nopember-05 2" xfId="3728"/>
    <cellStyle name="_Blend plan as of 22-Nopember-05_01  Usulan Blend Plan BMO_220408 (2)" xfId="3729"/>
    <cellStyle name="_Blend plan as of 22-Nopember-05_01  Usulan Blend Plan BMO_220408 (2) 2" xfId="3730"/>
    <cellStyle name="_Blend plan as of 22-Nopember-05_01  Usulan Blend Plan BMO_220408 (2)_Wadi-Qinfa" xfId="3731"/>
    <cellStyle name="_Blend plan as of 22-Nopember-05_Stock Status Jul 29, 2008" xfId="3732"/>
    <cellStyle name="_Blend plan as of 22-Nopember-05_Stock Status Jul 29, 2008 2" xfId="3733"/>
    <cellStyle name="_Blend plan as of 22-Nopember-05_Stock Status Jul 29, 2008_Wadi-Qinfa" xfId="3734"/>
    <cellStyle name="_Blend plan as of 22-Nopember-05_Usulan Blend Plan BMO 11-03-08" xfId="3735"/>
    <cellStyle name="_Blend plan as of 22-Nopember-05_Usulan Blend Plan BMO 11-03-08 2" xfId="3736"/>
    <cellStyle name="_Blend plan as of 22-Nopember-05_Usulan Blend Plan BMO 11-03-08_Wadi-Qinfa" xfId="3737"/>
    <cellStyle name="_Blend plan as of 22-Nopember-05_Usulan Blend Plan BMO 25-03-08" xfId="3738"/>
    <cellStyle name="_Blend plan as of 22-Nopember-05_Usulan Blend Plan BMO 25-03-08 2" xfId="3739"/>
    <cellStyle name="_Blend plan as of 22-Nopember-05_Usulan Blend Plan BMO 25-03-08_Wadi-Qinfa" xfId="3740"/>
    <cellStyle name="_Blend plan as of 22-Nopember-05_Usulan Blending 27 Mei 2008" xfId="3741"/>
    <cellStyle name="_Blend plan as of 22-Nopember-05_Usulan Blending 27 Mei 2008 2" xfId="3742"/>
    <cellStyle name="_Blend plan as of 22-Nopember-05_Usulan Blending 27 Mei 2008_Wadi-Qinfa" xfId="3743"/>
    <cellStyle name="_Blend plan as of 22-Nopember-05_Usulan Blending Plan 10 jun (2)" xfId="3744"/>
    <cellStyle name="_Blend plan as of 22-Nopember-05_Usulan Blending Plan 10 jun (2) 2" xfId="3745"/>
    <cellStyle name="_Blend plan as of 22-Nopember-05_Usulan Blending Plan 10 jun (2)_Wadi-Qinfa" xfId="3746"/>
    <cellStyle name="_Blend plan as of 22-Nopember-05_Usulan Blending Plan 17 jun (2)" xfId="3747"/>
    <cellStyle name="_Blend plan as of 22-Nopember-05_Usulan Blending Plan 17 jun (2) 2" xfId="3748"/>
    <cellStyle name="_Blend plan as of 22-Nopember-05_Usulan Blending Plan 17 jun (2)_Wadi-Qinfa" xfId="3749"/>
    <cellStyle name="_Blend plan as of 22-Nopember-05_Usulan blending plan 21_05_08" xfId="3750"/>
    <cellStyle name="_Blend plan as of 22-Nopember-05_Usulan blending plan 21_05_08 2" xfId="3751"/>
    <cellStyle name="_Blend plan as of 22-Nopember-05_Usulan blending plan 21_05_08_Wadi-Qinfa" xfId="3752"/>
    <cellStyle name="_Blend plan as of 22-Nopember-05_Usulan blending PlaN 27-05-08" xfId="3753"/>
    <cellStyle name="_Blend plan as of 22-Nopember-05_Usulan blending PlaN 27-05-08 2" xfId="3754"/>
    <cellStyle name="_Blend plan as of 22-Nopember-05_Usulan blending PlaN 27-05-08_Wadi-Qinfa" xfId="3755"/>
    <cellStyle name="_Blend plan as of 22-Nopember-05_Usulan Blending Plan_13 Feb 2008_awl" xfId="3756"/>
    <cellStyle name="_Blend plan as of 22-Nopember-05_Usulan Blending Plan_13 Feb 2008_awl 2" xfId="3757"/>
    <cellStyle name="_Blend plan as of 22-Nopember-05_Usulan Blending Plan_13 Feb 2008_awl_Wadi-Qinfa" xfId="3758"/>
    <cellStyle name="_Blend plan as of 22-Nopember-05_Wadi-Qinfa" xfId="3759"/>
    <cellStyle name="_Blend plan as of 23-august-05" xfId="3760"/>
    <cellStyle name="_Blend plan as of 23-august-05 2" xfId="3761"/>
    <cellStyle name="_Blend plan as of 23-august-05_01  Usulan Blend Plan BMO_220408 (2)" xfId="3762"/>
    <cellStyle name="_Blend plan as of 23-august-05_01  Usulan Blend Plan BMO_220408 (2) 2" xfId="3763"/>
    <cellStyle name="_Blend plan as of 23-august-05_01  Usulan Blend Plan BMO_220408 (2)_Wadi-Qinfa" xfId="3764"/>
    <cellStyle name="_Blend plan as of 23-august-05_Stock Status Jul 29, 2008" xfId="3765"/>
    <cellStyle name="_Blend plan as of 23-august-05_Stock Status Jul 29, 2008 2" xfId="3766"/>
    <cellStyle name="_Blend plan as of 23-august-05_Stock Status Jul 29, 2008_Wadi-Qinfa" xfId="3767"/>
    <cellStyle name="_Blend plan as of 23-august-05_Usulan Blend Plan BMO 11-03-08" xfId="3768"/>
    <cellStyle name="_Blend plan as of 23-august-05_Usulan Blend Plan BMO 11-03-08 2" xfId="3769"/>
    <cellStyle name="_Blend plan as of 23-august-05_Usulan Blend Plan BMO 11-03-08_Wadi-Qinfa" xfId="3770"/>
    <cellStyle name="_Blend plan as of 23-august-05_Usulan Blend Plan BMO 25-03-08" xfId="3771"/>
    <cellStyle name="_Blend plan as of 23-august-05_Usulan Blend Plan BMO 25-03-08 2" xfId="3772"/>
    <cellStyle name="_Blend plan as of 23-august-05_Usulan Blend Plan BMO 25-03-08_Wadi-Qinfa" xfId="3773"/>
    <cellStyle name="_Blend plan as of 23-august-05_Usulan Blending 27 Mei 2008" xfId="3774"/>
    <cellStyle name="_Blend plan as of 23-august-05_Usulan Blending 27 Mei 2008 2" xfId="3775"/>
    <cellStyle name="_Blend plan as of 23-august-05_Usulan Blending 27 Mei 2008_Wadi-Qinfa" xfId="3776"/>
    <cellStyle name="_Blend plan as of 23-august-05_Usulan Blending Plan 10 jun (2)" xfId="3777"/>
    <cellStyle name="_Blend plan as of 23-august-05_Usulan Blending Plan 10 jun (2) 2" xfId="3778"/>
    <cellStyle name="_Blend plan as of 23-august-05_Usulan Blending Plan 10 jun (2)_Wadi-Qinfa" xfId="3779"/>
    <cellStyle name="_Blend plan as of 23-august-05_Usulan Blending Plan 17 jun (2)" xfId="3780"/>
    <cellStyle name="_Blend plan as of 23-august-05_Usulan Blending Plan 17 jun (2) 2" xfId="3781"/>
    <cellStyle name="_Blend plan as of 23-august-05_Usulan Blending Plan 17 jun (2)_Wadi-Qinfa" xfId="3782"/>
    <cellStyle name="_Blend plan as of 23-august-05_Usulan blending plan 21_05_08" xfId="3783"/>
    <cellStyle name="_Blend plan as of 23-august-05_Usulan blending plan 21_05_08 2" xfId="3784"/>
    <cellStyle name="_Blend plan as of 23-august-05_Usulan blending plan 21_05_08_Wadi-Qinfa" xfId="3785"/>
    <cellStyle name="_Blend plan as of 23-august-05_Usulan blending PlaN 27-05-08" xfId="3786"/>
    <cellStyle name="_Blend plan as of 23-august-05_Usulan blending PlaN 27-05-08 2" xfId="3787"/>
    <cellStyle name="_Blend plan as of 23-august-05_Usulan blending PlaN 27-05-08_Wadi-Qinfa" xfId="3788"/>
    <cellStyle name="_Blend plan as of 23-august-05_Usulan Blending Plan_13 Feb 2008_awl" xfId="3789"/>
    <cellStyle name="_Blend plan as of 23-august-05_Usulan Blending Plan_13 Feb 2008_awl 2" xfId="3790"/>
    <cellStyle name="_Blend plan as of 23-august-05_Usulan Blending Plan_13 Feb 2008_awl_Wadi-Qinfa" xfId="3791"/>
    <cellStyle name="_Blend plan as of 23-august-05_Wadi-Qinfa" xfId="3792"/>
    <cellStyle name="_Blend plan as of 23-January-2007" xfId="3793"/>
    <cellStyle name="_Blend plan as of 23-January-2007 2" xfId="3794"/>
    <cellStyle name="_Blend plan as of 23-January-2007_01  Usulan Blend Plan BMO_220408 (2)" xfId="3795"/>
    <cellStyle name="_Blend plan as of 23-January-2007_01  Usulan Blend Plan BMO_220408 (2) 2" xfId="3796"/>
    <cellStyle name="_Blend plan as of 23-January-2007_01  Usulan Blend Plan BMO_220408 (2)_Wadi-Qinfa" xfId="3797"/>
    <cellStyle name="_Blend plan as of 23-January-2007_Stock Status Jul 29, 2008" xfId="3798"/>
    <cellStyle name="_Blend plan as of 23-January-2007_Stock Status Jul 29, 2008 2" xfId="3799"/>
    <cellStyle name="_Blend plan as of 23-January-2007_Stock Status Jul 29, 2008_Wadi-Qinfa" xfId="3800"/>
    <cellStyle name="_Blend plan as of 23-January-2007_Usulan Blend Plan BMO 11-03-08" xfId="3801"/>
    <cellStyle name="_Blend plan as of 23-January-2007_Usulan Blend Plan BMO 11-03-08 2" xfId="3802"/>
    <cellStyle name="_Blend plan as of 23-January-2007_Usulan Blend Plan BMO 11-03-08_Wadi-Qinfa" xfId="3803"/>
    <cellStyle name="_Blend plan as of 23-January-2007_Usulan Blend Plan BMO 25-03-08" xfId="3804"/>
    <cellStyle name="_Blend plan as of 23-January-2007_Usulan Blend Plan BMO 25-03-08 2" xfId="3805"/>
    <cellStyle name="_Blend plan as of 23-January-2007_Usulan Blend Plan BMO 25-03-08_Wadi-Qinfa" xfId="3806"/>
    <cellStyle name="_Blend plan as of 23-January-2007_Usulan Blending 27 Mei 2008" xfId="3807"/>
    <cellStyle name="_Blend plan as of 23-January-2007_Usulan Blending 27 Mei 2008 2" xfId="3808"/>
    <cellStyle name="_Blend plan as of 23-January-2007_Usulan Blending 27 Mei 2008_Wadi-Qinfa" xfId="3809"/>
    <cellStyle name="_Blend plan as of 23-January-2007_Usulan Blending Plan 10 jun (2)" xfId="3810"/>
    <cellStyle name="_Blend plan as of 23-January-2007_Usulan Blending Plan 10 jun (2) 2" xfId="3811"/>
    <cellStyle name="_Blend plan as of 23-January-2007_Usulan Blending Plan 10 jun (2)_Wadi-Qinfa" xfId="3812"/>
    <cellStyle name="_Blend plan as of 23-January-2007_Usulan Blending Plan 17 jun (2)" xfId="3813"/>
    <cellStyle name="_Blend plan as of 23-January-2007_Usulan Blending Plan 17 jun (2) 2" xfId="3814"/>
    <cellStyle name="_Blend plan as of 23-January-2007_Usulan Blending Plan 17 jun (2)_Wadi-Qinfa" xfId="3815"/>
    <cellStyle name="_Blend plan as of 23-January-2007_Usulan blending plan 21_05_08" xfId="3816"/>
    <cellStyle name="_Blend plan as of 23-January-2007_Usulan blending plan 21_05_08 2" xfId="3817"/>
    <cellStyle name="_Blend plan as of 23-January-2007_Usulan blending plan 21_05_08_Wadi-Qinfa" xfId="3818"/>
    <cellStyle name="_Blend plan as of 23-January-2007_Usulan blending PlaN 27-05-08" xfId="3819"/>
    <cellStyle name="_Blend plan as of 23-January-2007_Usulan blending PlaN 27-05-08 2" xfId="3820"/>
    <cellStyle name="_Blend plan as of 23-January-2007_Usulan blending PlaN 27-05-08_Wadi-Qinfa" xfId="3821"/>
    <cellStyle name="_Blend plan as of 23-January-2007_Usulan Blending Plan_13 Feb 2008_awl" xfId="3822"/>
    <cellStyle name="_Blend plan as of 23-January-2007_Usulan Blending Plan_13 Feb 2008_awl 2" xfId="3823"/>
    <cellStyle name="_Blend plan as of 23-January-2007_Usulan Blending Plan_13 Feb 2008_awl_Wadi-Qinfa" xfId="3824"/>
    <cellStyle name="_Blend plan as of 23-January-2007_Wadi-Qinfa" xfId="3825"/>
    <cellStyle name="_Blend plan as of 23-May-05" xfId="3826"/>
    <cellStyle name="_Blend plan as of 23-May-05 2" xfId="3827"/>
    <cellStyle name="_Blend plan as of 23-May-05_01  Usulan Blend Plan BMO_220408 (2)" xfId="3828"/>
    <cellStyle name="_Blend plan as of 23-May-05_01  Usulan Blend Plan BMO_220408 (2) 2" xfId="3829"/>
    <cellStyle name="_Blend plan as of 23-May-05_01  Usulan Blend Plan BMO_220408 (2)_Wadi-Qinfa" xfId="3830"/>
    <cellStyle name="_Blend plan as of 23-May-05_Stock Status Jul 29, 2008" xfId="3831"/>
    <cellStyle name="_Blend plan as of 23-May-05_Stock Status Jul 29, 2008 2" xfId="3832"/>
    <cellStyle name="_Blend plan as of 23-May-05_Stock Status Jul 29, 2008_Wadi-Qinfa" xfId="3833"/>
    <cellStyle name="_Blend plan as of 23-May-05_Usulan Blend Plan BMO 11-03-08" xfId="3834"/>
    <cellStyle name="_Blend plan as of 23-May-05_Usulan Blend Plan BMO 11-03-08 2" xfId="3835"/>
    <cellStyle name="_Blend plan as of 23-May-05_Usulan Blend Plan BMO 11-03-08_Wadi-Qinfa" xfId="3836"/>
    <cellStyle name="_Blend plan as of 23-May-05_Usulan Blend Plan BMO 25-03-08" xfId="3837"/>
    <cellStyle name="_Blend plan as of 23-May-05_Usulan Blend Plan BMO 25-03-08 2" xfId="3838"/>
    <cellStyle name="_Blend plan as of 23-May-05_Usulan Blend Plan BMO 25-03-08_Wadi-Qinfa" xfId="3839"/>
    <cellStyle name="_Blend plan as of 23-May-05_Usulan Blending 27 Mei 2008" xfId="3840"/>
    <cellStyle name="_Blend plan as of 23-May-05_Usulan Blending 27 Mei 2008 2" xfId="3841"/>
    <cellStyle name="_Blend plan as of 23-May-05_Usulan Blending 27 Mei 2008_Wadi-Qinfa" xfId="3842"/>
    <cellStyle name="_Blend plan as of 23-May-05_Usulan Blending Plan 10 jun (2)" xfId="3843"/>
    <cellStyle name="_Blend plan as of 23-May-05_Usulan Blending Plan 10 jun (2) 2" xfId="3844"/>
    <cellStyle name="_Blend plan as of 23-May-05_Usulan Blending Plan 10 jun (2)_Wadi-Qinfa" xfId="3845"/>
    <cellStyle name="_Blend plan as of 23-May-05_Usulan Blending Plan 17 jun (2)" xfId="3846"/>
    <cellStyle name="_Blend plan as of 23-May-05_Usulan Blending Plan 17 jun (2) 2" xfId="3847"/>
    <cellStyle name="_Blend plan as of 23-May-05_Usulan Blending Plan 17 jun (2)_Wadi-Qinfa" xfId="3848"/>
    <cellStyle name="_Blend plan as of 23-May-05_Usulan blending plan 21_05_08" xfId="3849"/>
    <cellStyle name="_Blend plan as of 23-May-05_Usulan blending plan 21_05_08 2" xfId="3850"/>
    <cellStyle name="_Blend plan as of 23-May-05_Usulan blending plan 21_05_08_Wadi-Qinfa" xfId="3851"/>
    <cellStyle name="_Blend plan as of 23-May-05_Usulan blending PlaN 27-05-08" xfId="3852"/>
    <cellStyle name="_Blend plan as of 23-May-05_Usulan blending PlaN 27-05-08 2" xfId="3853"/>
    <cellStyle name="_Blend plan as of 23-May-05_Usulan blending PlaN 27-05-08_Wadi-Qinfa" xfId="3854"/>
    <cellStyle name="_Blend plan as of 23-May-05_Usulan Blending Plan_13 Feb 2008_awl" xfId="3855"/>
    <cellStyle name="_Blend plan as of 23-May-05_Usulan Blending Plan_13 Feb 2008_awl 2" xfId="3856"/>
    <cellStyle name="_Blend plan as of 23-May-05_Usulan Blending Plan_13 Feb 2008_awl_Wadi-Qinfa" xfId="3857"/>
    <cellStyle name="_Blend plan as of 23-May-05_Wadi-Qinfa" xfId="3858"/>
    <cellStyle name="_Blend plan as of 23-May-06" xfId="3859"/>
    <cellStyle name="_Blend plan as of 23-May-06 2" xfId="3860"/>
    <cellStyle name="_Blend plan as of 23-May-06_01  Usulan Blend Plan BMO_220408 (2)" xfId="3861"/>
    <cellStyle name="_Blend plan as of 23-May-06_01  Usulan Blend Plan BMO_220408 (2) 2" xfId="3862"/>
    <cellStyle name="_Blend plan as of 23-May-06_01  Usulan Blend Plan BMO_220408 (2)_Wadi-Qinfa" xfId="3863"/>
    <cellStyle name="_Blend plan as of 23-May-06_Stock Status Jul 29, 2008" xfId="3864"/>
    <cellStyle name="_Blend plan as of 23-May-06_Stock Status Jul 29, 2008 2" xfId="3865"/>
    <cellStyle name="_Blend plan as of 23-May-06_Stock Status Jul 29, 2008_Wadi-Qinfa" xfId="3866"/>
    <cellStyle name="_Blend plan as of 23-May-06_Usulan Blend Plan BMO 11-03-08" xfId="3867"/>
    <cellStyle name="_Blend plan as of 23-May-06_Usulan Blend Plan BMO 11-03-08 2" xfId="3868"/>
    <cellStyle name="_Blend plan as of 23-May-06_Usulan Blend Plan BMO 11-03-08_Wadi-Qinfa" xfId="3869"/>
    <cellStyle name="_Blend plan as of 23-May-06_Usulan Blend Plan BMO 25-03-08" xfId="3870"/>
    <cellStyle name="_Blend plan as of 23-May-06_Usulan Blend Plan BMO 25-03-08 2" xfId="3871"/>
    <cellStyle name="_Blend plan as of 23-May-06_Usulan Blend Plan BMO 25-03-08_Wadi-Qinfa" xfId="3872"/>
    <cellStyle name="_Blend plan as of 23-May-06_Usulan Blending 27 Mei 2008" xfId="3873"/>
    <cellStyle name="_Blend plan as of 23-May-06_Usulan Blending 27 Mei 2008 2" xfId="3874"/>
    <cellStyle name="_Blend plan as of 23-May-06_Usulan Blending 27 Mei 2008_Wadi-Qinfa" xfId="3875"/>
    <cellStyle name="_Blend plan as of 23-May-06_Usulan Blending Plan 10 jun (2)" xfId="3876"/>
    <cellStyle name="_Blend plan as of 23-May-06_Usulan Blending Plan 10 jun (2) 2" xfId="3877"/>
    <cellStyle name="_Blend plan as of 23-May-06_Usulan Blending Plan 10 jun (2)_Wadi-Qinfa" xfId="3878"/>
    <cellStyle name="_Blend plan as of 23-May-06_Usulan Blending Plan 17 jun (2)" xfId="3879"/>
    <cellStyle name="_Blend plan as of 23-May-06_Usulan Blending Plan 17 jun (2) 2" xfId="3880"/>
    <cellStyle name="_Blend plan as of 23-May-06_Usulan Blending Plan 17 jun (2)_Wadi-Qinfa" xfId="3881"/>
    <cellStyle name="_Blend plan as of 23-May-06_Usulan blending plan 21_05_08" xfId="3882"/>
    <cellStyle name="_Blend plan as of 23-May-06_Usulan blending plan 21_05_08 2" xfId="3883"/>
    <cellStyle name="_Blend plan as of 23-May-06_Usulan blending plan 21_05_08_Wadi-Qinfa" xfId="3884"/>
    <cellStyle name="_Blend plan as of 23-May-06_Usulan blending PlaN 27-05-08" xfId="3885"/>
    <cellStyle name="_Blend plan as of 23-May-06_Usulan blending PlaN 27-05-08 2" xfId="3886"/>
    <cellStyle name="_Blend plan as of 23-May-06_Usulan blending PlaN 27-05-08_Wadi-Qinfa" xfId="3887"/>
    <cellStyle name="_Blend plan as of 23-May-06_Usulan Blending Plan_13 Feb 2008_awl" xfId="3888"/>
    <cellStyle name="_Blend plan as of 23-May-06_Usulan Blending Plan_13 Feb 2008_awl 2" xfId="3889"/>
    <cellStyle name="_Blend plan as of 23-May-06_Usulan Blending Plan_13 Feb 2008_awl_Wadi-Qinfa" xfId="3890"/>
    <cellStyle name="_Blend plan as of 23-May-06_Wadi-Qinfa" xfId="3891"/>
    <cellStyle name="_Blend plan as of 24-April-2007" xfId="3892"/>
    <cellStyle name="_Blend plan as of 24-April-2007 2" xfId="3893"/>
    <cellStyle name="_Blend plan as of 24-April-2007_01  Usulan Blend Plan BMO_220408 (2)" xfId="3894"/>
    <cellStyle name="_Blend plan as of 24-April-2007_01  Usulan Blend Plan BMO_220408 (2) 2" xfId="3895"/>
    <cellStyle name="_Blend plan as of 24-April-2007_01  Usulan Blend Plan BMO_220408 (2)_Wadi-Qinfa" xfId="3896"/>
    <cellStyle name="_Blend plan as of 24-April-2007_Stock Status Jul 29, 2008" xfId="3897"/>
    <cellStyle name="_Blend plan as of 24-April-2007_Stock Status Jul 29, 2008 2" xfId="3898"/>
    <cellStyle name="_Blend plan as of 24-April-2007_Stock Status Jul 29, 2008_Wadi-Qinfa" xfId="3899"/>
    <cellStyle name="_Blend plan as of 24-April-2007_Usulan Blend Plan BMO 11-03-08" xfId="3900"/>
    <cellStyle name="_Blend plan as of 24-April-2007_Usulan Blend Plan BMO 11-03-08 2" xfId="3901"/>
    <cellStyle name="_Blend plan as of 24-April-2007_Usulan Blend Plan BMO 11-03-08_Wadi-Qinfa" xfId="3902"/>
    <cellStyle name="_Blend plan as of 24-April-2007_Usulan Blend Plan BMO 25-03-08" xfId="3903"/>
    <cellStyle name="_Blend plan as of 24-April-2007_Usulan Blend Plan BMO 25-03-08 2" xfId="3904"/>
    <cellStyle name="_Blend plan as of 24-April-2007_Usulan Blend Plan BMO 25-03-08_Wadi-Qinfa" xfId="3905"/>
    <cellStyle name="_Blend plan as of 24-April-2007_Usulan Blending 27 Mei 2008" xfId="3906"/>
    <cellStyle name="_Blend plan as of 24-April-2007_Usulan Blending 27 Mei 2008 2" xfId="3907"/>
    <cellStyle name="_Blend plan as of 24-April-2007_Usulan Blending 27 Mei 2008_Wadi-Qinfa" xfId="3908"/>
    <cellStyle name="_Blend plan as of 24-April-2007_Usulan Blending Plan 10 jun (2)" xfId="3909"/>
    <cellStyle name="_Blend plan as of 24-April-2007_Usulan Blending Plan 10 jun (2) 2" xfId="3910"/>
    <cellStyle name="_Blend plan as of 24-April-2007_Usulan Blending Plan 10 jun (2)_Wadi-Qinfa" xfId="3911"/>
    <cellStyle name="_Blend plan as of 24-April-2007_Usulan Blending Plan 17 jun (2)" xfId="3912"/>
    <cellStyle name="_Blend plan as of 24-April-2007_Usulan Blending Plan 17 jun (2) 2" xfId="3913"/>
    <cellStyle name="_Blend plan as of 24-April-2007_Usulan Blending Plan 17 jun (2)_Wadi-Qinfa" xfId="3914"/>
    <cellStyle name="_Blend plan as of 24-April-2007_Usulan blending plan 21_05_08" xfId="3915"/>
    <cellStyle name="_Blend plan as of 24-April-2007_Usulan blending plan 21_05_08 2" xfId="3916"/>
    <cellStyle name="_Blend plan as of 24-April-2007_Usulan blending plan 21_05_08_Wadi-Qinfa" xfId="3917"/>
    <cellStyle name="_Blend plan as of 24-April-2007_Usulan blending PlaN 27-05-08" xfId="3918"/>
    <cellStyle name="_Blend plan as of 24-April-2007_Usulan blending PlaN 27-05-08 2" xfId="3919"/>
    <cellStyle name="_Blend plan as of 24-April-2007_Usulan blending PlaN 27-05-08_Wadi-Qinfa" xfId="3920"/>
    <cellStyle name="_Blend plan as of 24-April-2007_Usulan Blending Plan_13 Feb 2008_awl" xfId="3921"/>
    <cellStyle name="_Blend plan as of 24-April-2007_Usulan Blending Plan_13 Feb 2008_awl 2" xfId="3922"/>
    <cellStyle name="_Blend plan as of 24-April-2007_Usulan Blending Plan_13 Feb 2008_awl_Wadi-Qinfa" xfId="3923"/>
    <cellStyle name="_Blend plan as of 24-April-2007_Wadi-Qinfa" xfId="3924"/>
    <cellStyle name="_Blend plan as of 24-January-06" xfId="3925"/>
    <cellStyle name="_Blend plan as of 24-January-06 2" xfId="3926"/>
    <cellStyle name="_Blend plan as of 24-January-06_01  Usulan Blend Plan BMO_220408 (2)" xfId="3927"/>
    <cellStyle name="_Blend plan as of 24-January-06_01  Usulan Blend Plan BMO_220408 (2) 2" xfId="3928"/>
    <cellStyle name="_Blend plan as of 24-January-06_01  Usulan Blend Plan BMO_220408 (2)_Wadi-Qinfa" xfId="3929"/>
    <cellStyle name="_Blend plan as of 24-January-06_Stock Status Jul 29, 2008" xfId="3930"/>
    <cellStyle name="_Blend plan as of 24-January-06_Stock Status Jul 29, 2008 2" xfId="3931"/>
    <cellStyle name="_Blend plan as of 24-January-06_Stock Status Jul 29, 2008_Wadi-Qinfa" xfId="3932"/>
    <cellStyle name="_Blend plan as of 24-January-06_Usulan Blend Plan BMO 11-03-08" xfId="3933"/>
    <cellStyle name="_Blend plan as of 24-January-06_Usulan Blend Plan BMO 11-03-08 2" xfId="3934"/>
    <cellStyle name="_Blend plan as of 24-January-06_Usulan Blend Plan BMO 11-03-08_Wadi-Qinfa" xfId="3935"/>
    <cellStyle name="_Blend plan as of 24-January-06_Usulan Blend Plan BMO 25-03-08" xfId="3936"/>
    <cellStyle name="_Blend plan as of 24-January-06_Usulan Blend Plan BMO 25-03-08 2" xfId="3937"/>
    <cellStyle name="_Blend plan as of 24-January-06_Usulan Blend Plan BMO 25-03-08_Wadi-Qinfa" xfId="3938"/>
    <cellStyle name="_Blend plan as of 24-January-06_Usulan Blending 27 Mei 2008" xfId="3939"/>
    <cellStyle name="_Blend plan as of 24-January-06_Usulan Blending 27 Mei 2008 2" xfId="3940"/>
    <cellStyle name="_Blend plan as of 24-January-06_Usulan Blending 27 Mei 2008_Wadi-Qinfa" xfId="3941"/>
    <cellStyle name="_Blend plan as of 24-January-06_Usulan Blending Plan 10 jun (2)" xfId="3942"/>
    <cellStyle name="_Blend plan as of 24-January-06_Usulan Blending Plan 10 jun (2) 2" xfId="3943"/>
    <cellStyle name="_Blend plan as of 24-January-06_Usulan Blending Plan 10 jun (2)_Wadi-Qinfa" xfId="3944"/>
    <cellStyle name="_Blend plan as of 24-January-06_Usulan Blending Plan 17 jun (2)" xfId="3945"/>
    <cellStyle name="_Blend plan as of 24-January-06_Usulan Blending Plan 17 jun (2) 2" xfId="3946"/>
    <cellStyle name="_Blend plan as of 24-January-06_Usulan Blending Plan 17 jun (2)_Wadi-Qinfa" xfId="3947"/>
    <cellStyle name="_Blend plan as of 24-January-06_Usulan blending plan 21_05_08" xfId="3948"/>
    <cellStyle name="_Blend plan as of 24-January-06_Usulan blending plan 21_05_08 2" xfId="3949"/>
    <cellStyle name="_Blend plan as of 24-January-06_Usulan blending plan 21_05_08_Wadi-Qinfa" xfId="3950"/>
    <cellStyle name="_Blend plan as of 24-January-06_Usulan blending PlaN 27-05-08" xfId="3951"/>
    <cellStyle name="_Blend plan as of 24-January-06_Usulan blending PlaN 27-05-08 2" xfId="3952"/>
    <cellStyle name="_Blend plan as of 24-January-06_Usulan blending PlaN 27-05-08_Wadi-Qinfa" xfId="3953"/>
    <cellStyle name="_Blend plan as of 24-January-06_Usulan Blending Plan_13 Feb 2008_awl" xfId="3954"/>
    <cellStyle name="_Blend plan as of 24-January-06_Usulan Blending Plan_13 Feb 2008_awl 2" xfId="3955"/>
    <cellStyle name="_Blend plan as of 24-January-06_Usulan Blending Plan_13 Feb 2008_awl_Wadi-Qinfa" xfId="3956"/>
    <cellStyle name="_Blend plan as of 24-January-06_Wadi-Qinfa" xfId="3957"/>
    <cellStyle name="_Blend plan as of 24-Juli-2007" xfId="3958"/>
    <cellStyle name="_Blend plan as of 24-Juli-2007 2" xfId="3959"/>
    <cellStyle name="_Blend plan as of 24-Juli-2007_01  Usulan Blend Plan BMO_220408 (2)" xfId="3960"/>
    <cellStyle name="_Blend plan as of 24-Juli-2007_01  Usulan Blend Plan BMO_220408 (2) 2" xfId="3961"/>
    <cellStyle name="_Blend plan as of 24-Juli-2007_01  Usulan Blend Plan BMO_220408 (2)_Wadi-Qinfa" xfId="3962"/>
    <cellStyle name="_Blend plan as of 24-Juli-2007_Stock Status Jul 29, 2008" xfId="3963"/>
    <cellStyle name="_Blend plan as of 24-Juli-2007_Stock Status Jul 29, 2008 2" xfId="3964"/>
    <cellStyle name="_Blend plan as of 24-Juli-2007_Stock Status Jul 29, 2008_Wadi-Qinfa" xfId="3965"/>
    <cellStyle name="_Blend plan as of 24-Juli-2007_Usulan Blend Plan BMO 11-03-08" xfId="3966"/>
    <cellStyle name="_Blend plan as of 24-Juli-2007_Usulan Blend Plan BMO 11-03-08 2" xfId="3967"/>
    <cellStyle name="_Blend plan as of 24-Juli-2007_Usulan Blend Plan BMO 11-03-08_Wadi-Qinfa" xfId="3968"/>
    <cellStyle name="_Blend plan as of 24-Juli-2007_Usulan Blend Plan BMO 25-03-08" xfId="3969"/>
    <cellStyle name="_Blend plan as of 24-Juli-2007_Usulan Blend Plan BMO 25-03-08 2" xfId="3970"/>
    <cellStyle name="_Blend plan as of 24-Juli-2007_Usulan Blend Plan BMO 25-03-08_Wadi-Qinfa" xfId="3971"/>
    <cellStyle name="_Blend plan as of 24-Juli-2007_Usulan Blending 27 Mei 2008" xfId="3972"/>
    <cellStyle name="_Blend plan as of 24-Juli-2007_Usulan Blending 27 Mei 2008 2" xfId="3973"/>
    <cellStyle name="_Blend plan as of 24-Juli-2007_Usulan Blending 27 Mei 2008_Wadi-Qinfa" xfId="3974"/>
    <cellStyle name="_Blend plan as of 24-Juli-2007_Usulan Blending Plan 10 jun (2)" xfId="3975"/>
    <cellStyle name="_Blend plan as of 24-Juli-2007_Usulan Blending Plan 10 jun (2) 2" xfId="3976"/>
    <cellStyle name="_Blend plan as of 24-Juli-2007_Usulan Blending Plan 10 jun (2)_Wadi-Qinfa" xfId="3977"/>
    <cellStyle name="_Blend plan as of 24-Juli-2007_Usulan Blending Plan 17 jun (2)" xfId="3978"/>
    <cellStyle name="_Blend plan as of 24-Juli-2007_Usulan Blending Plan 17 jun (2) 2" xfId="3979"/>
    <cellStyle name="_Blend plan as of 24-Juli-2007_Usulan Blending Plan 17 jun (2)_Wadi-Qinfa" xfId="3980"/>
    <cellStyle name="_Blend plan as of 24-Juli-2007_Usulan blending plan 21_05_08" xfId="3981"/>
    <cellStyle name="_Blend plan as of 24-Juli-2007_Usulan blending plan 21_05_08 2" xfId="3982"/>
    <cellStyle name="_Blend plan as of 24-Juli-2007_Usulan blending plan 21_05_08_Wadi-Qinfa" xfId="3983"/>
    <cellStyle name="_Blend plan as of 24-Juli-2007_Usulan blending PlaN 27-05-08" xfId="3984"/>
    <cellStyle name="_Blend plan as of 24-Juli-2007_Usulan blending PlaN 27-05-08 2" xfId="3985"/>
    <cellStyle name="_Blend plan as of 24-Juli-2007_Usulan blending PlaN 27-05-08_Wadi-Qinfa" xfId="3986"/>
    <cellStyle name="_Blend plan as of 24-Juli-2007_Usulan Blending Plan_13 Feb 2008_awl" xfId="3987"/>
    <cellStyle name="_Blend plan as of 24-Juli-2007_Usulan Blending Plan_13 Feb 2008_awl 2" xfId="3988"/>
    <cellStyle name="_Blend plan as of 24-Juli-2007_Usulan Blending Plan_13 Feb 2008_awl_Wadi-Qinfa" xfId="3989"/>
    <cellStyle name="_Blend plan as of 24-Juli-2007_Wadi-Qinfa" xfId="3990"/>
    <cellStyle name="_Blend plan as of 25-April-06" xfId="3991"/>
    <cellStyle name="_Blend plan as of 25-April-06 (2)" xfId="3992"/>
    <cellStyle name="_Blend plan as of 25-April-06 (2) 2" xfId="3993"/>
    <cellStyle name="_Blend plan as of 25-April-06 (2)_01  Usulan Blend Plan BMO_220408 (2)" xfId="3994"/>
    <cellStyle name="_Blend plan as of 25-April-06 (2)_01  Usulan Blend Plan BMO_220408 (2) 2" xfId="3995"/>
    <cellStyle name="_Blend plan as of 25-April-06 (2)_01  Usulan Blend Plan BMO_220408 (2)_Wadi-Qinfa" xfId="3996"/>
    <cellStyle name="_Blend plan as of 25-April-06 (2)_Stock Status Jul 29, 2008" xfId="3997"/>
    <cellStyle name="_Blend plan as of 25-April-06 (2)_Stock Status Jul 29, 2008 2" xfId="3998"/>
    <cellStyle name="_Blend plan as of 25-April-06 (2)_Stock Status Jul 29, 2008_Wadi-Qinfa" xfId="3999"/>
    <cellStyle name="_Blend plan as of 25-April-06 (2)_Usulan Blend Plan BMO 11-03-08" xfId="4000"/>
    <cellStyle name="_Blend plan as of 25-April-06 (2)_Usulan Blend Plan BMO 11-03-08 2" xfId="4001"/>
    <cellStyle name="_Blend plan as of 25-April-06 (2)_Usulan Blend Plan BMO 11-03-08_Wadi-Qinfa" xfId="4002"/>
    <cellStyle name="_Blend plan as of 25-April-06 (2)_Usulan Blend Plan BMO 25-03-08" xfId="4003"/>
    <cellStyle name="_Blend plan as of 25-April-06 (2)_Usulan Blend Plan BMO 25-03-08 2" xfId="4004"/>
    <cellStyle name="_Blend plan as of 25-April-06 (2)_Usulan Blend Plan BMO 25-03-08_Wadi-Qinfa" xfId="4005"/>
    <cellStyle name="_Blend plan as of 25-April-06 (2)_Usulan Blending 27 Mei 2008" xfId="4006"/>
    <cellStyle name="_Blend plan as of 25-April-06 (2)_Usulan Blending 27 Mei 2008 2" xfId="4007"/>
    <cellStyle name="_Blend plan as of 25-April-06 (2)_Usulan Blending 27 Mei 2008_Wadi-Qinfa" xfId="4008"/>
    <cellStyle name="_Blend plan as of 25-April-06 (2)_Usulan Blending Plan 10 jun (2)" xfId="4009"/>
    <cellStyle name="_Blend plan as of 25-April-06 (2)_Usulan Blending Plan 10 jun (2) 2" xfId="4010"/>
    <cellStyle name="_Blend plan as of 25-April-06 (2)_Usulan Blending Plan 10 jun (2)_Wadi-Qinfa" xfId="4011"/>
    <cellStyle name="_Blend plan as of 25-April-06 (2)_Usulan Blending Plan 17 jun (2)" xfId="4012"/>
    <cellStyle name="_Blend plan as of 25-April-06 (2)_Usulan Blending Plan 17 jun (2) 2" xfId="4013"/>
    <cellStyle name="_Blend plan as of 25-April-06 (2)_Usulan Blending Plan 17 jun (2)_Wadi-Qinfa" xfId="4014"/>
    <cellStyle name="_Blend plan as of 25-April-06 (2)_Usulan blending plan 21_05_08" xfId="4015"/>
    <cellStyle name="_Blend plan as of 25-April-06 (2)_Usulan blending plan 21_05_08 2" xfId="4016"/>
    <cellStyle name="_Blend plan as of 25-April-06 (2)_Usulan blending plan 21_05_08_Wadi-Qinfa" xfId="4017"/>
    <cellStyle name="_Blend plan as of 25-April-06 (2)_Usulan blending PlaN 27-05-08" xfId="4018"/>
    <cellStyle name="_Blend plan as of 25-April-06 (2)_Usulan blending PlaN 27-05-08 2" xfId="4019"/>
    <cellStyle name="_Blend plan as of 25-April-06 (2)_Usulan blending PlaN 27-05-08_Wadi-Qinfa" xfId="4020"/>
    <cellStyle name="_Blend plan as of 25-April-06 (2)_Usulan Blending Plan_13 Feb 2008_awl" xfId="4021"/>
    <cellStyle name="_Blend plan as of 25-April-06 (2)_Usulan Blending Plan_13 Feb 2008_awl 2" xfId="4022"/>
    <cellStyle name="_Blend plan as of 25-April-06 (2)_Usulan Blending Plan_13 Feb 2008_awl_Wadi-Qinfa" xfId="4023"/>
    <cellStyle name="_Blend plan as of 25-April-06 (2)_Wadi-Qinfa" xfId="4024"/>
    <cellStyle name="_Blend plan as of 25-April-06 2" xfId="4025"/>
    <cellStyle name="_Blend plan as of 25-April-06_01  Usulan Blend Plan BMO_220408 (2)" xfId="4026"/>
    <cellStyle name="_Blend plan as of 25-April-06_01  Usulan Blend Plan BMO_220408 (2) 2" xfId="4027"/>
    <cellStyle name="_Blend plan as of 25-April-06_01  Usulan Blend Plan BMO_220408 (2)_Wadi-Qinfa" xfId="4028"/>
    <cellStyle name="_Blend plan as of 25-April-06_Stock Status Jul 29, 2008" xfId="4029"/>
    <cellStyle name="_Blend plan as of 25-April-06_Stock Status Jul 29, 2008 2" xfId="4030"/>
    <cellStyle name="_Blend plan as of 25-April-06_Stock Status Jul 29, 2008_Wadi-Qinfa" xfId="4031"/>
    <cellStyle name="_Blend plan as of 25-April-06_Usulan Blend Plan BMO 11-03-08" xfId="4032"/>
    <cellStyle name="_Blend plan as of 25-April-06_Usulan Blend Plan BMO 11-03-08 2" xfId="4033"/>
    <cellStyle name="_Blend plan as of 25-April-06_Usulan Blend Plan BMO 11-03-08_Wadi-Qinfa" xfId="4034"/>
    <cellStyle name="_Blend plan as of 25-April-06_Usulan Blend Plan BMO 25-03-08" xfId="4035"/>
    <cellStyle name="_Blend plan as of 25-April-06_Usulan Blend Plan BMO 25-03-08 2" xfId="4036"/>
    <cellStyle name="_Blend plan as of 25-April-06_Usulan Blend Plan BMO 25-03-08_Wadi-Qinfa" xfId="4037"/>
    <cellStyle name="_Blend plan as of 25-April-06_Usulan Blending 27 Mei 2008" xfId="4038"/>
    <cellStyle name="_Blend plan as of 25-April-06_Usulan Blending 27 Mei 2008 2" xfId="4039"/>
    <cellStyle name="_Blend plan as of 25-April-06_Usulan Blending 27 Mei 2008_Wadi-Qinfa" xfId="4040"/>
    <cellStyle name="_Blend plan as of 25-April-06_Usulan Blending Plan 10 jun (2)" xfId="4041"/>
    <cellStyle name="_Blend plan as of 25-April-06_Usulan Blending Plan 10 jun (2) 2" xfId="4042"/>
    <cellStyle name="_Blend plan as of 25-April-06_Usulan Blending Plan 10 jun (2)_Wadi-Qinfa" xfId="4043"/>
    <cellStyle name="_Blend plan as of 25-April-06_Usulan Blending Plan 17 jun (2)" xfId="4044"/>
    <cellStyle name="_Blend plan as of 25-April-06_Usulan Blending Plan 17 jun (2) 2" xfId="4045"/>
    <cellStyle name="_Blend plan as of 25-April-06_Usulan Blending Plan 17 jun (2)_Wadi-Qinfa" xfId="4046"/>
    <cellStyle name="_Blend plan as of 25-April-06_Usulan blending plan 21_05_08" xfId="4047"/>
    <cellStyle name="_Blend plan as of 25-April-06_Usulan blending plan 21_05_08 2" xfId="4048"/>
    <cellStyle name="_Blend plan as of 25-April-06_Usulan blending plan 21_05_08_Wadi-Qinfa" xfId="4049"/>
    <cellStyle name="_Blend plan as of 25-April-06_Usulan blending PlaN 27-05-08" xfId="4050"/>
    <cellStyle name="_Blend plan as of 25-April-06_Usulan blending PlaN 27-05-08 2" xfId="4051"/>
    <cellStyle name="_Blend plan as of 25-April-06_Usulan blending PlaN 27-05-08_Wadi-Qinfa" xfId="4052"/>
    <cellStyle name="_Blend plan as of 25-April-06_Usulan Blending Plan_13 Feb 2008_awl" xfId="4053"/>
    <cellStyle name="_Blend plan as of 25-April-06_Usulan Blending Plan_13 Feb 2008_awl 2" xfId="4054"/>
    <cellStyle name="_Blend plan as of 25-April-06_Usulan Blending Plan_13 Feb 2008_awl_Wadi-Qinfa" xfId="4055"/>
    <cellStyle name="_Blend plan as of 25-April-06_Wadi-Qinfa" xfId="4056"/>
    <cellStyle name="_Blend plan as of 25-Jan-05" xfId="4057"/>
    <cellStyle name="_Blend plan as of 25-Jan-05 2" xfId="4058"/>
    <cellStyle name="_Blend plan as of 25-Jan-05_01  Usulan Blend Plan BMO_220408 (2)" xfId="4059"/>
    <cellStyle name="_Blend plan as of 25-Jan-05_01  Usulan Blend Plan BMO_220408 (2) 2" xfId="4060"/>
    <cellStyle name="_Blend plan as of 25-Jan-05_01  Usulan Blend Plan BMO_220408 (2)_Wadi-Qinfa" xfId="4061"/>
    <cellStyle name="_Blend plan as of 25-Jan-05_Stock Status Jul 29, 2008" xfId="4062"/>
    <cellStyle name="_Blend plan as of 25-Jan-05_Stock Status Jul 29, 2008 2" xfId="4063"/>
    <cellStyle name="_Blend plan as of 25-Jan-05_Stock Status Jul 29, 2008_Wadi-Qinfa" xfId="4064"/>
    <cellStyle name="_Blend plan as of 25-Jan-05_Usulan Blend Plan BMO 11-03-08" xfId="4065"/>
    <cellStyle name="_Blend plan as of 25-Jan-05_Usulan Blend Plan BMO 11-03-08 2" xfId="4066"/>
    <cellStyle name="_Blend plan as of 25-Jan-05_Usulan Blend Plan BMO 11-03-08_Wadi-Qinfa" xfId="4067"/>
    <cellStyle name="_Blend plan as of 25-Jan-05_Usulan Blend Plan BMO 25-03-08" xfId="4068"/>
    <cellStyle name="_Blend plan as of 25-Jan-05_Usulan Blend Plan BMO 25-03-08 2" xfId="4069"/>
    <cellStyle name="_Blend plan as of 25-Jan-05_Usulan Blend Plan BMO 25-03-08_Wadi-Qinfa" xfId="4070"/>
    <cellStyle name="_Blend plan as of 25-Jan-05_Usulan Blending 27 Mei 2008" xfId="4071"/>
    <cellStyle name="_Blend plan as of 25-Jan-05_Usulan Blending 27 Mei 2008 2" xfId="4072"/>
    <cellStyle name="_Blend plan as of 25-Jan-05_Usulan Blending 27 Mei 2008_Wadi-Qinfa" xfId="4073"/>
    <cellStyle name="_Blend plan as of 25-Jan-05_Usulan Blending Plan 10 jun (2)" xfId="4074"/>
    <cellStyle name="_Blend plan as of 25-Jan-05_Usulan Blending Plan 10 jun (2) 2" xfId="4075"/>
    <cellStyle name="_Blend plan as of 25-Jan-05_Usulan Blending Plan 10 jun (2)_Wadi-Qinfa" xfId="4076"/>
    <cellStyle name="_Blend plan as of 25-Jan-05_Usulan Blending Plan 17 jun (2)" xfId="4077"/>
    <cellStyle name="_Blend plan as of 25-Jan-05_Usulan Blending Plan 17 jun (2) 2" xfId="4078"/>
    <cellStyle name="_Blend plan as of 25-Jan-05_Usulan Blending Plan 17 jun (2)_Wadi-Qinfa" xfId="4079"/>
    <cellStyle name="_Blend plan as of 25-Jan-05_Usulan blending plan 21_05_08" xfId="4080"/>
    <cellStyle name="_Blend plan as of 25-Jan-05_Usulan blending plan 21_05_08 2" xfId="4081"/>
    <cellStyle name="_Blend plan as of 25-Jan-05_Usulan blending plan 21_05_08_Wadi-Qinfa" xfId="4082"/>
    <cellStyle name="_Blend plan as of 25-Jan-05_Usulan blending PlaN 27-05-08" xfId="4083"/>
    <cellStyle name="_Blend plan as of 25-Jan-05_Usulan blending PlaN 27-05-08 2" xfId="4084"/>
    <cellStyle name="_Blend plan as of 25-Jan-05_Usulan blending PlaN 27-05-08_Wadi-Qinfa" xfId="4085"/>
    <cellStyle name="_Blend plan as of 25-Jan-05_Usulan Blending Plan_13 Feb 2008_awl" xfId="4086"/>
    <cellStyle name="_Blend plan as of 25-Jan-05_Usulan Blending Plan_13 Feb 2008_awl 2" xfId="4087"/>
    <cellStyle name="_Blend plan as of 25-Jan-05_Usulan Blending Plan_13 Feb 2008_awl_Wadi-Qinfa" xfId="4088"/>
    <cellStyle name="_Blend plan as of 25-Jan-05_Wadi-Qinfa" xfId="4089"/>
    <cellStyle name="_Blend plan as of 25-July-06" xfId="4090"/>
    <cellStyle name="_Blend plan as of 25-July-06 2" xfId="4091"/>
    <cellStyle name="_Blend plan as of 25-July-06_01  Usulan Blend Plan BMO_220408 (2)" xfId="4092"/>
    <cellStyle name="_Blend plan as of 25-July-06_01  Usulan Blend Plan BMO_220408 (2) 2" xfId="4093"/>
    <cellStyle name="_Blend plan as of 25-July-06_01  Usulan Blend Plan BMO_220408 (2)_Wadi-Qinfa" xfId="4094"/>
    <cellStyle name="_Blend plan as of 25-July-06_Stock Status Jul 29, 2008" xfId="4095"/>
    <cellStyle name="_Blend plan as of 25-July-06_Stock Status Jul 29, 2008 2" xfId="4096"/>
    <cellStyle name="_Blend plan as of 25-July-06_Stock Status Jul 29, 2008_Wadi-Qinfa" xfId="4097"/>
    <cellStyle name="_Blend plan as of 25-July-06_Usulan Blend Plan BMO 11-03-08" xfId="4098"/>
    <cellStyle name="_Blend plan as of 25-July-06_Usulan Blend Plan BMO 11-03-08 2" xfId="4099"/>
    <cellStyle name="_Blend plan as of 25-July-06_Usulan Blend Plan BMO 11-03-08_Wadi-Qinfa" xfId="4100"/>
    <cellStyle name="_Blend plan as of 25-July-06_Usulan Blend Plan BMO 25-03-08" xfId="4101"/>
    <cellStyle name="_Blend plan as of 25-July-06_Usulan Blend Plan BMO 25-03-08 2" xfId="4102"/>
    <cellStyle name="_Blend plan as of 25-July-06_Usulan Blend Plan BMO 25-03-08_Wadi-Qinfa" xfId="4103"/>
    <cellStyle name="_Blend plan as of 25-July-06_Usulan Blending 27 Mei 2008" xfId="4104"/>
    <cellStyle name="_Blend plan as of 25-July-06_Usulan Blending 27 Mei 2008 2" xfId="4105"/>
    <cellStyle name="_Blend plan as of 25-July-06_Usulan Blending 27 Mei 2008_Wadi-Qinfa" xfId="4106"/>
    <cellStyle name="_Blend plan as of 25-July-06_Usulan Blending Plan 10 jun (2)" xfId="4107"/>
    <cellStyle name="_Blend plan as of 25-July-06_Usulan Blending Plan 10 jun (2) 2" xfId="4108"/>
    <cellStyle name="_Blend plan as of 25-July-06_Usulan Blending Plan 10 jun (2)_Wadi-Qinfa" xfId="4109"/>
    <cellStyle name="_Blend plan as of 25-July-06_Usulan Blending Plan 17 jun (2)" xfId="4110"/>
    <cellStyle name="_Blend plan as of 25-July-06_Usulan Blending Plan 17 jun (2) 2" xfId="4111"/>
    <cellStyle name="_Blend plan as of 25-July-06_Usulan Blending Plan 17 jun (2)_Wadi-Qinfa" xfId="4112"/>
    <cellStyle name="_Blend plan as of 25-July-06_Usulan blending plan 21_05_08" xfId="4113"/>
    <cellStyle name="_Blend plan as of 25-July-06_Usulan blending plan 21_05_08 2" xfId="4114"/>
    <cellStyle name="_Blend plan as of 25-July-06_Usulan blending plan 21_05_08_Wadi-Qinfa" xfId="4115"/>
    <cellStyle name="_Blend plan as of 25-July-06_Usulan blending PlaN 27-05-08" xfId="4116"/>
    <cellStyle name="_Blend plan as of 25-July-06_Usulan blending PlaN 27-05-08 2" xfId="4117"/>
    <cellStyle name="_Blend plan as of 25-July-06_Usulan blending PlaN 27-05-08_Wadi-Qinfa" xfId="4118"/>
    <cellStyle name="_Blend plan as of 25-July-06_Usulan Blending Plan_13 Feb 2008_awl" xfId="4119"/>
    <cellStyle name="_Blend plan as of 25-July-06_Usulan Blending Plan_13 Feb 2008_awl 2" xfId="4120"/>
    <cellStyle name="_Blend plan as of 25-July-06_Usulan Blending Plan_13 Feb 2008_awl_Wadi-Qinfa" xfId="4121"/>
    <cellStyle name="_Blend plan as of 25-July-06_Wadi-Qinfa" xfId="4122"/>
    <cellStyle name="_Blend plan as of 25-October-05" xfId="4123"/>
    <cellStyle name="_Blend plan as of 25-October-05 2" xfId="4124"/>
    <cellStyle name="_Blend plan as of 25-October-05_01  Usulan Blend Plan BMO_220408 (2)" xfId="4125"/>
    <cellStyle name="_Blend plan as of 25-October-05_01  Usulan Blend Plan BMO_220408 (2) 2" xfId="4126"/>
    <cellStyle name="_Blend plan as of 25-October-05_01  Usulan Blend Plan BMO_220408 (2)_Wadi-Qinfa" xfId="4127"/>
    <cellStyle name="_Blend plan as of 25-October-05_Stock Status Jul 29, 2008" xfId="4128"/>
    <cellStyle name="_Blend plan as of 25-October-05_Stock Status Jul 29, 2008 2" xfId="4129"/>
    <cellStyle name="_Blend plan as of 25-October-05_Stock Status Jul 29, 2008_Wadi-Qinfa" xfId="4130"/>
    <cellStyle name="_Blend plan as of 25-October-05_Usulan Blend Plan BMO 11-03-08" xfId="4131"/>
    <cellStyle name="_Blend plan as of 25-October-05_Usulan Blend Plan BMO 11-03-08 2" xfId="4132"/>
    <cellStyle name="_Blend plan as of 25-October-05_Usulan Blend Plan BMO 11-03-08_Wadi-Qinfa" xfId="4133"/>
    <cellStyle name="_Blend plan as of 25-October-05_Usulan Blend Plan BMO 25-03-08" xfId="4134"/>
    <cellStyle name="_Blend plan as of 25-October-05_Usulan Blend Plan BMO 25-03-08 2" xfId="4135"/>
    <cellStyle name="_Blend plan as of 25-October-05_Usulan Blend Plan BMO 25-03-08_Wadi-Qinfa" xfId="4136"/>
    <cellStyle name="_Blend plan as of 25-October-05_Usulan Blending 27 Mei 2008" xfId="4137"/>
    <cellStyle name="_Blend plan as of 25-October-05_Usulan Blending 27 Mei 2008 2" xfId="4138"/>
    <cellStyle name="_Blend plan as of 25-October-05_Usulan Blending 27 Mei 2008_Wadi-Qinfa" xfId="4139"/>
    <cellStyle name="_Blend plan as of 25-October-05_Usulan Blending Plan 10 jun (2)" xfId="4140"/>
    <cellStyle name="_Blend plan as of 25-October-05_Usulan Blending Plan 10 jun (2) 2" xfId="4141"/>
    <cellStyle name="_Blend plan as of 25-October-05_Usulan Blending Plan 10 jun (2)_Wadi-Qinfa" xfId="4142"/>
    <cellStyle name="_Blend plan as of 25-October-05_Usulan Blending Plan 17 jun (2)" xfId="4143"/>
    <cellStyle name="_Blend plan as of 25-October-05_Usulan Blending Plan 17 jun (2) 2" xfId="4144"/>
    <cellStyle name="_Blend plan as of 25-October-05_Usulan Blending Plan 17 jun (2)_Wadi-Qinfa" xfId="4145"/>
    <cellStyle name="_Blend plan as of 25-October-05_Usulan blending plan 21_05_08" xfId="4146"/>
    <cellStyle name="_Blend plan as of 25-October-05_Usulan blending plan 21_05_08 2" xfId="4147"/>
    <cellStyle name="_Blend plan as of 25-October-05_Usulan blending plan 21_05_08_Wadi-Qinfa" xfId="4148"/>
    <cellStyle name="_Blend plan as of 25-October-05_Usulan blending PlaN 27-05-08" xfId="4149"/>
    <cellStyle name="_Blend plan as of 25-October-05_Usulan blending PlaN 27-05-08 2" xfId="4150"/>
    <cellStyle name="_Blend plan as of 25-October-05_Usulan blending PlaN 27-05-08_Wadi-Qinfa" xfId="4151"/>
    <cellStyle name="_Blend plan as of 25-October-05_Usulan Blending Plan_13 Feb 2008_awl" xfId="4152"/>
    <cellStyle name="_Blend plan as of 25-October-05_Usulan Blending Plan_13 Feb 2008_awl 2" xfId="4153"/>
    <cellStyle name="_Blend plan as of 25-October-05_Usulan Blending Plan_13 Feb 2008_awl_Wadi-Qinfa" xfId="4154"/>
    <cellStyle name="_Blend plan as of 25-October-05_Wadi-Qinfa" xfId="4155"/>
    <cellStyle name="_Blend plan as of 25-September-2007" xfId="4156"/>
    <cellStyle name="_Blend plan as of 25-September-2007 2" xfId="4157"/>
    <cellStyle name="_Blend plan as of 25-September-2007_01  Usulan Blend Plan BMO_220408 (2)" xfId="4158"/>
    <cellStyle name="_Blend plan as of 25-September-2007_01  Usulan Blend Plan BMO_220408 (2) 2" xfId="4159"/>
    <cellStyle name="_Blend plan as of 25-September-2007_01  Usulan Blend Plan BMO_220408 (2)_Wadi-Qinfa" xfId="4160"/>
    <cellStyle name="_Blend plan as of 25-September-2007_Stock Status Jul 29, 2008" xfId="4161"/>
    <cellStyle name="_Blend plan as of 25-September-2007_Stock Status Jul 29, 2008 2" xfId="4162"/>
    <cellStyle name="_Blend plan as of 25-September-2007_Stock Status Jul 29, 2008_Wadi-Qinfa" xfId="4163"/>
    <cellStyle name="_Blend plan as of 25-September-2007_Usulan Blend Plan BMO 11-03-08" xfId="4164"/>
    <cellStyle name="_Blend plan as of 25-September-2007_Usulan Blend Plan BMO 11-03-08 2" xfId="4165"/>
    <cellStyle name="_Blend plan as of 25-September-2007_Usulan Blend Plan BMO 11-03-08_Wadi-Qinfa" xfId="4166"/>
    <cellStyle name="_Blend plan as of 25-September-2007_Usulan Blend Plan BMO 25-03-08" xfId="4167"/>
    <cellStyle name="_Blend plan as of 25-September-2007_Usulan Blend Plan BMO 25-03-08 2" xfId="4168"/>
    <cellStyle name="_Blend plan as of 25-September-2007_Usulan Blend Plan BMO 25-03-08_Wadi-Qinfa" xfId="4169"/>
    <cellStyle name="_Blend plan as of 25-September-2007_Usulan Blending 27 Mei 2008" xfId="4170"/>
    <cellStyle name="_Blend plan as of 25-September-2007_Usulan Blending 27 Mei 2008 2" xfId="4171"/>
    <cellStyle name="_Blend plan as of 25-September-2007_Usulan Blending 27 Mei 2008_Wadi-Qinfa" xfId="4172"/>
    <cellStyle name="_Blend plan as of 25-September-2007_Usulan Blending Plan 10 jun (2)" xfId="4173"/>
    <cellStyle name="_Blend plan as of 25-September-2007_Usulan Blending Plan 10 jun (2) 2" xfId="4174"/>
    <cellStyle name="_Blend plan as of 25-September-2007_Usulan Blending Plan 10 jun (2)_Wadi-Qinfa" xfId="4175"/>
    <cellStyle name="_Blend plan as of 25-September-2007_Usulan Blending Plan 17 jun (2)" xfId="4176"/>
    <cellStyle name="_Blend plan as of 25-September-2007_Usulan Blending Plan 17 jun (2) 2" xfId="4177"/>
    <cellStyle name="_Blend plan as of 25-September-2007_Usulan Blending Plan 17 jun (2)_Wadi-Qinfa" xfId="4178"/>
    <cellStyle name="_Blend plan as of 25-September-2007_Usulan blending plan 21_05_08" xfId="4179"/>
    <cellStyle name="_Blend plan as of 25-September-2007_Usulan blending plan 21_05_08 2" xfId="4180"/>
    <cellStyle name="_Blend plan as of 25-September-2007_Usulan blending plan 21_05_08_Wadi-Qinfa" xfId="4181"/>
    <cellStyle name="_Blend plan as of 25-September-2007_Usulan blending PlaN 27-05-08" xfId="4182"/>
    <cellStyle name="_Blend plan as of 25-September-2007_Usulan blending PlaN 27-05-08 2" xfId="4183"/>
    <cellStyle name="_Blend plan as of 25-September-2007_Usulan blending PlaN 27-05-08_Wadi-Qinfa" xfId="4184"/>
    <cellStyle name="_Blend plan as of 25-September-2007_Usulan Blending Plan_13 Feb 2008_awl" xfId="4185"/>
    <cellStyle name="_Blend plan as of 25-September-2007_Usulan Blending Plan_13 Feb 2008_awl 2" xfId="4186"/>
    <cellStyle name="_Blend plan as of 25-September-2007_Usulan Blending Plan_13 Feb 2008_awl_Wadi-Qinfa" xfId="4187"/>
    <cellStyle name="_Blend plan as of 25-September-2007_Wadi-Qinfa" xfId="4188"/>
    <cellStyle name="_Blend plan as of 26-Desember-06" xfId="4189"/>
    <cellStyle name="_Blend plan as of 26-Desember-06 2" xfId="4190"/>
    <cellStyle name="_Blend plan as of 26-Desember-06_01  Usulan Blend Plan BMO_220408 (2)" xfId="4191"/>
    <cellStyle name="_Blend plan as of 26-Desember-06_01  Usulan Blend Plan BMO_220408 (2) 2" xfId="4192"/>
    <cellStyle name="_Blend plan as of 26-Desember-06_01  Usulan Blend Plan BMO_220408 (2)_Wadi-Qinfa" xfId="4193"/>
    <cellStyle name="_Blend plan as of 26-Desember-06_Stock Status Jul 29, 2008" xfId="4194"/>
    <cellStyle name="_Blend plan as of 26-Desember-06_Stock Status Jul 29, 2008 2" xfId="4195"/>
    <cellStyle name="_Blend plan as of 26-Desember-06_Stock Status Jul 29, 2008_Wadi-Qinfa" xfId="4196"/>
    <cellStyle name="_Blend plan as of 26-Desember-06_Usulan Blend Plan BMO 11-03-08" xfId="4197"/>
    <cellStyle name="_Blend plan as of 26-Desember-06_Usulan Blend Plan BMO 11-03-08 2" xfId="4198"/>
    <cellStyle name="_Blend plan as of 26-Desember-06_Usulan Blend Plan BMO 11-03-08_Wadi-Qinfa" xfId="4199"/>
    <cellStyle name="_Blend plan as of 26-Desember-06_Usulan Blend Plan BMO 25-03-08" xfId="4200"/>
    <cellStyle name="_Blend plan as of 26-Desember-06_Usulan Blend Plan BMO 25-03-08 2" xfId="4201"/>
    <cellStyle name="_Blend plan as of 26-Desember-06_Usulan Blend Plan BMO 25-03-08_Wadi-Qinfa" xfId="4202"/>
    <cellStyle name="_Blend plan as of 26-Desember-06_Usulan Blending 27 Mei 2008" xfId="4203"/>
    <cellStyle name="_Blend plan as of 26-Desember-06_Usulan Blending 27 Mei 2008 2" xfId="4204"/>
    <cellStyle name="_Blend plan as of 26-Desember-06_Usulan Blending 27 Mei 2008_Wadi-Qinfa" xfId="4205"/>
    <cellStyle name="_Blend plan as of 26-Desember-06_Usulan Blending Plan 10 jun (2)" xfId="4206"/>
    <cellStyle name="_Blend plan as of 26-Desember-06_Usulan Blending Plan 10 jun (2) 2" xfId="4207"/>
    <cellStyle name="_Blend plan as of 26-Desember-06_Usulan Blending Plan 10 jun (2)_Wadi-Qinfa" xfId="4208"/>
    <cellStyle name="_Blend plan as of 26-Desember-06_Usulan Blending Plan 17 jun (2)" xfId="4209"/>
    <cellStyle name="_Blend plan as of 26-Desember-06_Usulan Blending Plan 17 jun (2) 2" xfId="4210"/>
    <cellStyle name="_Blend plan as of 26-Desember-06_Usulan Blending Plan 17 jun (2)_Wadi-Qinfa" xfId="4211"/>
    <cellStyle name="_Blend plan as of 26-Desember-06_Usulan blending plan 21_05_08" xfId="4212"/>
    <cellStyle name="_Blend plan as of 26-Desember-06_Usulan blending plan 21_05_08 2" xfId="4213"/>
    <cellStyle name="_Blend plan as of 26-Desember-06_Usulan blending plan 21_05_08_Wadi-Qinfa" xfId="4214"/>
    <cellStyle name="_Blend plan as of 26-Desember-06_Usulan blending PlaN 27-05-08" xfId="4215"/>
    <cellStyle name="_Blend plan as of 26-Desember-06_Usulan blending PlaN 27-05-08 2" xfId="4216"/>
    <cellStyle name="_Blend plan as of 26-Desember-06_Usulan blending PlaN 27-05-08_Wadi-Qinfa" xfId="4217"/>
    <cellStyle name="_Blend plan as of 26-Desember-06_Usulan Blending Plan_13 Feb 2008_awl" xfId="4218"/>
    <cellStyle name="_Blend plan as of 26-Desember-06_Usulan Blending Plan_13 Feb 2008_awl 2" xfId="4219"/>
    <cellStyle name="_Blend plan as of 26-Desember-06_Usulan Blending Plan_13 Feb 2008_awl_Wadi-Qinfa" xfId="4220"/>
    <cellStyle name="_Blend plan as of 26-Desember-06_Wadi-Qinfa" xfId="4221"/>
    <cellStyle name="_Blend plan as of 26-Juli-05fix" xfId="4222"/>
    <cellStyle name="_Blend plan as of 26-Juli-05fix 2" xfId="4223"/>
    <cellStyle name="_Blend plan as of 26-Juli-05fix_01  Usulan Blend Plan BMO_220408 (2)" xfId="4224"/>
    <cellStyle name="_Blend plan as of 26-Juli-05fix_01  Usulan Blend Plan BMO_220408 (2) 2" xfId="4225"/>
    <cellStyle name="_Blend plan as of 26-Juli-05fix_01  Usulan Blend Plan BMO_220408 (2)_Wadi-Qinfa" xfId="4226"/>
    <cellStyle name="_Blend plan as of 26-Juli-05fix_Stock Status Jul 29, 2008" xfId="4227"/>
    <cellStyle name="_Blend plan as of 26-Juli-05fix_Stock Status Jul 29, 2008 2" xfId="4228"/>
    <cellStyle name="_Blend plan as of 26-Juli-05fix_Stock Status Jul 29, 2008_Wadi-Qinfa" xfId="4229"/>
    <cellStyle name="_Blend plan as of 26-Juli-05fix_Usulan Blend Plan BMO 11-03-08" xfId="4230"/>
    <cellStyle name="_Blend plan as of 26-Juli-05fix_Usulan Blend Plan BMO 11-03-08 2" xfId="4231"/>
    <cellStyle name="_Blend plan as of 26-Juli-05fix_Usulan Blend Plan BMO 11-03-08_Wadi-Qinfa" xfId="4232"/>
    <cellStyle name="_Blend plan as of 26-Juli-05fix_Usulan Blend Plan BMO 25-03-08" xfId="4233"/>
    <cellStyle name="_Blend plan as of 26-Juli-05fix_Usulan Blend Plan BMO 25-03-08 2" xfId="4234"/>
    <cellStyle name="_Blend plan as of 26-Juli-05fix_Usulan Blend Plan BMO 25-03-08_Wadi-Qinfa" xfId="4235"/>
    <cellStyle name="_Blend plan as of 26-Juli-05fix_Usulan Blending 27 Mei 2008" xfId="4236"/>
    <cellStyle name="_Blend plan as of 26-Juli-05fix_Usulan Blending 27 Mei 2008 2" xfId="4237"/>
    <cellStyle name="_Blend plan as of 26-Juli-05fix_Usulan Blending 27 Mei 2008_Wadi-Qinfa" xfId="4238"/>
    <cellStyle name="_Blend plan as of 26-Juli-05fix_Usulan Blending Plan 10 jun (2)" xfId="4239"/>
    <cellStyle name="_Blend plan as of 26-Juli-05fix_Usulan Blending Plan 10 jun (2) 2" xfId="4240"/>
    <cellStyle name="_Blend plan as of 26-Juli-05fix_Usulan Blending Plan 10 jun (2)_Wadi-Qinfa" xfId="4241"/>
    <cellStyle name="_Blend plan as of 26-Juli-05fix_Usulan Blending Plan 17 jun (2)" xfId="4242"/>
    <cellStyle name="_Blend plan as of 26-Juli-05fix_Usulan Blending Plan 17 jun (2) 2" xfId="4243"/>
    <cellStyle name="_Blend plan as of 26-Juli-05fix_Usulan Blending Plan 17 jun (2)_Wadi-Qinfa" xfId="4244"/>
    <cellStyle name="_Blend plan as of 26-Juli-05fix_Usulan blending plan 21_05_08" xfId="4245"/>
    <cellStyle name="_Blend plan as of 26-Juli-05fix_Usulan blending plan 21_05_08 2" xfId="4246"/>
    <cellStyle name="_Blend plan as of 26-Juli-05fix_Usulan blending plan 21_05_08_Wadi-Qinfa" xfId="4247"/>
    <cellStyle name="_Blend plan as of 26-Juli-05fix_Usulan blending PlaN 27-05-08" xfId="4248"/>
    <cellStyle name="_Blend plan as of 26-Juli-05fix_Usulan blending PlaN 27-05-08 2" xfId="4249"/>
    <cellStyle name="_Blend plan as of 26-Juli-05fix_Usulan blending PlaN 27-05-08_Wadi-Qinfa" xfId="4250"/>
    <cellStyle name="_Blend plan as of 26-Juli-05fix_Usulan Blending Plan_13 Feb 2008_awl" xfId="4251"/>
    <cellStyle name="_Blend plan as of 26-Juli-05fix_Usulan Blending Plan_13 Feb 2008_awl 2" xfId="4252"/>
    <cellStyle name="_Blend plan as of 26-Juli-05fix_Usulan Blending Plan_13 Feb 2008_awl_Wadi-Qinfa" xfId="4253"/>
    <cellStyle name="_Blend plan as of 26-Juli-05fix_Wadi-Qinfa" xfId="4254"/>
    <cellStyle name="_Blend plan as of 26-Juni-2007" xfId="4255"/>
    <cellStyle name="_Blend plan as of 26-Juni-2007 2" xfId="4256"/>
    <cellStyle name="_Blend plan as of 26-Juni-2007_01  Usulan Blend Plan BMO_220408 (2)" xfId="4257"/>
    <cellStyle name="_Blend plan as of 26-Juni-2007_01  Usulan Blend Plan BMO_220408 (2) 2" xfId="4258"/>
    <cellStyle name="_Blend plan as of 26-Juni-2007_01  Usulan Blend Plan BMO_220408 (2)_Wadi-Qinfa" xfId="4259"/>
    <cellStyle name="_Blend plan as of 26-Juni-2007_Stock Status Jul 29, 2008" xfId="4260"/>
    <cellStyle name="_Blend plan as of 26-Juni-2007_Stock Status Jul 29, 2008 2" xfId="4261"/>
    <cellStyle name="_Blend plan as of 26-Juni-2007_Stock Status Jul 29, 2008_Wadi-Qinfa" xfId="4262"/>
    <cellStyle name="_Blend plan as of 26-Juni-2007_Usulan Blend Plan BMO 11-03-08" xfId="4263"/>
    <cellStyle name="_Blend plan as of 26-Juni-2007_Usulan Blend Plan BMO 11-03-08 2" xfId="4264"/>
    <cellStyle name="_Blend plan as of 26-Juni-2007_Usulan Blend Plan BMO 11-03-08_Wadi-Qinfa" xfId="4265"/>
    <cellStyle name="_Blend plan as of 26-Juni-2007_Usulan Blend Plan BMO 25-03-08" xfId="4266"/>
    <cellStyle name="_Blend plan as of 26-Juni-2007_Usulan Blend Plan BMO 25-03-08 2" xfId="4267"/>
    <cellStyle name="_Blend plan as of 26-Juni-2007_Usulan Blend Plan BMO 25-03-08_Wadi-Qinfa" xfId="4268"/>
    <cellStyle name="_Blend plan as of 26-Juni-2007_Usulan Blending 27 Mei 2008" xfId="4269"/>
    <cellStyle name="_Blend plan as of 26-Juni-2007_Usulan Blending 27 Mei 2008 2" xfId="4270"/>
    <cellStyle name="_Blend plan as of 26-Juni-2007_Usulan Blending 27 Mei 2008_Wadi-Qinfa" xfId="4271"/>
    <cellStyle name="_Blend plan as of 26-Juni-2007_Usulan Blending Plan 10 jun (2)" xfId="4272"/>
    <cellStyle name="_Blend plan as of 26-Juni-2007_Usulan Blending Plan 10 jun (2) 2" xfId="4273"/>
    <cellStyle name="_Blend plan as of 26-Juni-2007_Usulan Blending Plan 10 jun (2)_Wadi-Qinfa" xfId="4274"/>
    <cellStyle name="_Blend plan as of 26-Juni-2007_Usulan Blending Plan 17 jun (2)" xfId="4275"/>
    <cellStyle name="_Blend plan as of 26-Juni-2007_Usulan Blending Plan 17 jun (2) 2" xfId="4276"/>
    <cellStyle name="_Blend plan as of 26-Juni-2007_Usulan Blending Plan 17 jun (2)_Wadi-Qinfa" xfId="4277"/>
    <cellStyle name="_Blend plan as of 26-Juni-2007_Usulan blending plan 21_05_08" xfId="4278"/>
    <cellStyle name="_Blend plan as of 26-Juni-2007_Usulan blending plan 21_05_08 2" xfId="4279"/>
    <cellStyle name="_Blend plan as of 26-Juni-2007_Usulan blending plan 21_05_08_Wadi-Qinfa" xfId="4280"/>
    <cellStyle name="_Blend plan as of 26-Juni-2007_Usulan blending PlaN 27-05-08" xfId="4281"/>
    <cellStyle name="_Blend plan as of 26-Juni-2007_Usulan blending PlaN 27-05-08 2" xfId="4282"/>
    <cellStyle name="_Blend plan as of 26-Juni-2007_Usulan blending PlaN 27-05-08_Wadi-Qinfa" xfId="4283"/>
    <cellStyle name="_Blend plan as of 26-Juni-2007_Usulan Blending Plan_13 Feb 2008_awl" xfId="4284"/>
    <cellStyle name="_Blend plan as of 26-Juni-2007_Usulan Blending Plan_13 Feb 2008_awl 2" xfId="4285"/>
    <cellStyle name="_Blend plan as of 26-Juni-2007_Usulan Blending Plan_13 Feb 2008_awl_Wadi-Qinfa" xfId="4286"/>
    <cellStyle name="_Blend plan as of 26-Juni-2007_Wadi-Qinfa" xfId="4287"/>
    <cellStyle name="_Blend plan as of 26-October-06" xfId="4288"/>
    <cellStyle name="_Blend plan as of 26-October-06 2" xfId="4289"/>
    <cellStyle name="_Blend plan as of 26-October-06_01  Usulan Blend Plan BMO_220408 (2)" xfId="4290"/>
    <cellStyle name="_Blend plan as of 26-October-06_01  Usulan Blend Plan BMO_220408 (2) 2" xfId="4291"/>
    <cellStyle name="_Blend plan as of 26-October-06_01  Usulan Blend Plan BMO_220408 (2)_Wadi-Qinfa" xfId="4292"/>
    <cellStyle name="_Blend plan as of 26-October-06_Stock Status Jul 29, 2008" xfId="4293"/>
    <cellStyle name="_Blend plan as of 26-October-06_Stock Status Jul 29, 2008 2" xfId="4294"/>
    <cellStyle name="_Blend plan as of 26-October-06_Stock Status Jul 29, 2008_Wadi-Qinfa" xfId="4295"/>
    <cellStyle name="_Blend plan as of 26-October-06_Usulan Blend Plan BMO 11-03-08" xfId="4296"/>
    <cellStyle name="_Blend plan as of 26-October-06_Usulan Blend Plan BMO 11-03-08 2" xfId="4297"/>
    <cellStyle name="_Blend plan as of 26-October-06_Usulan Blend Plan BMO 11-03-08_Wadi-Qinfa" xfId="4298"/>
    <cellStyle name="_Blend plan as of 26-October-06_Usulan Blend Plan BMO 25-03-08" xfId="4299"/>
    <cellStyle name="_Blend plan as of 26-October-06_Usulan Blend Plan BMO 25-03-08 2" xfId="4300"/>
    <cellStyle name="_Blend plan as of 26-October-06_Usulan Blend Plan BMO 25-03-08_Wadi-Qinfa" xfId="4301"/>
    <cellStyle name="_Blend plan as of 26-October-06_Usulan Blending 27 Mei 2008" xfId="4302"/>
    <cellStyle name="_Blend plan as of 26-October-06_Usulan Blending 27 Mei 2008 2" xfId="4303"/>
    <cellStyle name="_Blend plan as of 26-October-06_Usulan Blending 27 Mei 2008_Wadi-Qinfa" xfId="4304"/>
    <cellStyle name="_Blend plan as of 26-October-06_Usulan Blending Plan 10 jun (2)" xfId="4305"/>
    <cellStyle name="_Blend plan as of 26-October-06_Usulan Blending Plan 10 jun (2) 2" xfId="4306"/>
    <cellStyle name="_Blend plan as of 26-October-06_Usulan Blending Plan 10 jun (2)_Wadi-Qinfa" xfId="4307"/>
    <cellStyle name="_Blend plan as of 26-October-06_Usulan Blending Plan 17 jun (2)" xfId="4308"/>
    <cellStyle name="_Blend plan as of 26-October-06_Usulan Blending Plan 17 jun (2) 2" xfId="4309"/>
    <cellStyle name="_Blend plan as of 26-October-06_Usulan Blending Plan 17 jun (2)_Wadi-Qinfa" xfId="4310"/>
    <cellStyle name="_Blend plan as of 26-October-06_Usulan blending plan 21_05_08" xfId="4311"/>
    <cellStyle name="_Blend plan as of 26-October-06_Usulan blending plan 21_05_08 2" xfId="4312"/>
    <cellStyle name="_Blend plan as of 26-October-06_Usulan blending plan 21_05_08_Wadi-Qinfa" xfId="4313"/>
    <cellStyle name="_Blend plan as of 26-October-06_Usulan blending PlaN 27-05-08" xfId="4314"/>
    <cellStyle name="_Blend plan as of 26-October-06_Usulan blending PlaN 27-05-08 2" xfId="4315"/>
    <cellStyle name="_Blend plan as of 26-October-06_Usulan blending PlaN 27-05-08_Wadi-Qinfa" xfId="4316"/>
    <cellStyle name="_Blend plan as of 26-October-06_Usulan Blending Plan_13 Feb 2008_awl" xfId="4317"/>
    <cellStyle name="_Blend plan as of 26-October-06_Usulan Blending Plan_13 Feb 2008_awl 2" xfId="4318"/>
    <cellStyle name="_Blend plan as of 26-October-06_Usulan Blending Plan_13 Feb 2008_awl_Wadi-Qinfa" xfId="4319"/>
    <cellStyle name="_Blend plan as of 26-October-06_Wadi-Qinfa" xfId="4320"/>
    <cellStyle name="_Blend plan as of 26-September-06" xfId="4321"/>
    <cellStyle name="_Blend plan as of 26-September-06 2" xfId="4322"/>
    <cellStyle name="_Blend plan as of 26-September-06_01  Usulan Blend Plan BMO_220408 (2)" xfId="4323"/>
    <cellStyle name="_Blend plan as of 26-September-06_01  Usulan Blend Plan BMO_220408 (2) 2" xfId="4324"/>
    <cellStyle name="_Blend plan as of 26-September-06_01  Usulan Blend Plan BMO_220408 (2)_Wadi-Qinfa" xfId="4325"/>
    <cellStyle name="_Blend plan as of 26-September-06_Stock Status Jul 29, 2008" xfId="4326"/>
    <cellStyle name="_Blend plan as of 26-September-06_Stock Status Jul 29, 2008 2" xfId="4327"/>
    <cellStyle name="_Blend plan as of 26-September-06_Stock Status Jul 29, 2008_Wadi-Qinfa" xfId="4328"/>
    <cellStyle name="_Blend plan as of 26-September-06_Usulan Blend Plan BMO 11-03-08" xfId="4329"/>
    <cellStyle name="_Blend plan as of 26-September-06_Usulan Blend Plan BMO 11-03-08 2" xfId="4330"/>
    <cellStyle name="_Blend plan as of 26-September-06_Usulan Blend Plan BMO 11-03-08_Wadi-Qinfa" xfId="4331"/>
    <cellStyle name="_Blend plan as of 26-September-06_Usulan Blend Plan BMO 25-03-08" xfId="4332"/>
    <cellStyle name="_Blend plan as of 26-September-06_Usulan Blend Plan BMO 25-03-08 2" xfId="4333"/>
    <cellStyle name="_Blend plan as of 26-September-06_Usulan Blend Plan BMO 25-03-08_Wadi-Qinfa" xfId="4334"/>
    <cellStyle name="_Blend plan as of 26-September-06_Usulan Blending 27 Mei 2008" xfId="4335"/>
    <cellStyle name="_Blend plan as of 26-September-06_Usulan Blending 27 Mei 2008 2" xfId="4336"/>
    <cellStyle name="_Blend plan as of 26-September-06_Usulan Blending 27 Mei 2008_Wadi-Qinfa" xfId="4337"/>
    <cellStyle name="_Blend plan as of 26-September-06_Usulan Blending Plan 10 jun (2)" xfId="4338"/>
    <cellStyle name="_Blend plan as of 26-September-06_Usulan Blending Plan 10 jun (2) 2" xfId="4339"/>
    <cellStyle name="_Blend plan as of 26-September-06_Usulan Blending Plan 10 jun (2)_Wadi-Qinfa" xfId="4340"/>
    <cellStyle name="_Blend plan as of 26-September-06_Usulan Blending Plan 17 jun (2)" xfId="4341"/>
    <cellStyle name="_Blend plan as of 26-September-06_Usulan Blending Plan 17 jun (2) 2" xfId="4342"/>
    <cellStyle name="_Blend plan as of 26-September-06_Usulan Blending Plan 17 jun (2)_Wadi-Qinfa" xfId="4343"/>
    <cellStyle name="_Blend plan as of 26-September-06_Usulan blending plan 21_05_08" xfId="4344"/>
    <cellStyle name="_Blend plan as of 26-September-06_Usulan blending plan 21_05_08 2" xfId="4345"/>
    <cellStyle name="_Blend plan as of 26-September-06_Usulan blending plan 21_05_08_Wadi-Qinfa" xfId="4346"/>
    <cellStyle name="_Blend plan as of 26-September-06_Usulan blending PlaN 27-05-08" xfId="4347"/>
    <cellStyle name="_Blend plan as of 26-September-06_Usulan blending PlaN 27-05-08 2" xfId="4348"/>
    <cellStyle name="_Blend plan as of 26-September-06_Usulan blending PlaN 27-05-08_Wadi-Qinfa" xfId="4349"/>
    <cellStyle name="_Blend plan as of 26-September-06_Usulan Blending Plan_13 Feb 2008_awl" xfId="4350"/>
    <cellStyle name="_Blend plan as of 26-September-06_Usulan Blending Plan_13 Feb 2008_awl 2" xfId="4351"/>
    <cellStyle name="_Blend plan as of 26-September-06_Usulan Blending Plan_13 Feb 2008_awl_Wadi-Qinfa" xfId="4352"/>
    <cellStyle name="_Blend plan as of 26-September-06_Wadi-Qinfa" xfId="4353"/>
    <cellStyle name="_Blend plan as of 27-December-05" xfId="4354"/>
    <cellStyle name="_Blend plan as of 27-December-05 2" xfId="4355"/>
    <cellStyle name="_Blend plan as of 27-December-05_01  Usulan Blend Plan BMO_220408 (2)" xfId="4356"/>
    <cellStyle name="_Blend plan as of 27-December-05_01  Usulan Blend Plan BMO_220408 (2) 2" xfId="4357"/>
    <cellStyle name="_Blend plan as of 27-December-05_01  Usulan Blend Plan BMO_220408 (2)_Wadi-Qinfa" xfId="4358"/>
    <cellStyle name="_Blend plan as of 27-December-05_Stock Status Jul 29, 2008" xfId="4359"/>
    <cellStyle name="_Blend plan as of 27-December-05_Stock Status Jul 29, 2008 2" xfId="4360"/>
    <cellStyle name="_Blend plan as of 27-December-05_Stock Status Jul 29, 2008_Wadi-Qinfa" xfId="4361"/>
    <cellStyle name="_Blend plan as of 27-December-05_Usulan Blend Plan BMO 11-03-08" xfId="4362"/>
    <cellStyle name="_Blend plan as of 27-December-05_Usulan Blend Plan BMO 11-03-08 2" xfId="4363"/>
    <cellStyle name="_Blend plan as of 27-December-05_Usulan Blend Plan BMO 11-03-08_Wadi-Qinfa" xfId="4364"/>
    <cellStyle name="_Blend plan as of 27-December-05_Usulan Blend Plan BMO 25-03-08" xfId="4365"/>
    <cellStyle name="_Blend plan as of 27-December-05_Usulan Blend Plan BMO 25-03-08 2" xfId="4366"/>
    <cellStyle name="_Blend plan as of 27-December-05_Usulan Blend Plan BMO 25-03-08_Wadi-Qinfa" xfId="4367"/>
    <cellStyle name="_Blend plan as of 27-December-05_Usulan Blending 27 Mei 2008" xfId="4368"/>
    <cellStyle name="_Blend plan as of 27-December-05_Usulan Blending 27 Mei 2008 2" xfId="4369"/>
    <cellStyle name="_Blend plan as of 27-December-05_Usulan Blending 27 Mei 2008_Wadi-Qinfa" xfId="4370"/>
    <cellStyle name="_Blend plan as of 27-December-05_Usulan Blending Plan 10 jun (2)" xfId="4371"/>
    <cellStyle name="_Blend plan as of 27-December-05_Usulan Blending Plan 10 jun (2) 2" xfId="4372"/>
    <cellStyle name="_Blend plan as of 27-December-05_Usulan Blending Plan 10 jun (2)_Wadi-Qinfa" xfId="4373"/>
    <cellStyle name="_Blend plan as of 27-December-05_Usulan Blending Plan 17 jun (2)" xfId="4374"/>
    <cellStyle name="_Blend plan as of 27-December-05_Usulan Blending Plan 17 jun (2) 2" xfId="4375"/>
    <cellStyle name="_Blend plan as of 27-December-05_Usulan Blending Plan 17 jun (2)_Wadi-Qinfa" xfId="4376"/>
    <cellStyle name="_Blend plan as of 27-December-05_Usulan blending plan 21_05_08" xfId="4377"/>
    <cellStyle name="_Blend plan as of 27-December-05_Usulan blending plan 21_05_08 2" xfId="4378"/>
    <cellStyle name="_Blend plan as of 27-December-05_Usulan blending plan 21_05_08_Wadi-Qinfa" xfId="4379"/>
    <cellStyle name="_Blend plan as of 27-December-05_Usulan blending PlaN 27-05-08" xfId="4380"/>
    <cellStyle name="_Blend plan as of 27-December-05_Usulan blending PlaN 27-05-08 2" xfId="4381"/>
    <cellStyle name="_Blend plan as of 27-December-05_Usulan blending PlaN 27-05-08_Wadi-Qinfa" xfId="4382"/>
    <cellStyle name="_Blend plan as of 27-December-05_Usulan Blending Plan_13 Feb 2008_awl" xfId="4383"/>
    <cellStyle name="_Blend plan as of 27-December-05_Usulan Blending Plan_13 Feb 2008_awl 2" xfId="4384"/>
    <cellStyle name="_Blend plan as of 27-December-05_Usulan Blending Plan_13 Feb 2008_awl_Wadi-Qinfa" xfId="4385"/>
    <cellStyle name="_Blend plan as of 27-December-05_Wadi-Qinfa" xfId="4386"/>
    <cellStyle name="_Blend plan as of 27-February-2007" xfId="4387"/>
    <cellStyle name="_Blend plan as of 27-February-2007 2" xfId="4388"/>
    <cellStyle name="_Blend plan as of 27-February-2007_01  Usulan Blend Plan BMO_220408 (2)" xfId="4389"/>
    <cellStyle name="_Blend plan as of 27-February-2007_01  Usulan Blend Plan BMO_220408 (2) 2" xfId="4390"/>
    <cellStyle name="_Blend plan as of 27-February-2007_01  Usulan Blend Plan BMO_220408 (2)_Wadi-Qinfa" xfId="4391"/>
    <cellStyle name="_Blend plan as of 27-February-2007_Stock Status Jul 29, 2008" xfId="4392"/>
    <cellStyle name="_Blend plan as of 27-February-2007_Stock Status Jul 29, 2008 2" xfId="4393"/>
    <cellStyle name="_Blend plan as of 27-February-2007_Stock Status Jul 29, 2008_Wadi-Qinfa" xfId="4394"/>
    <cellStyle name="_Blend plan as of 27-February-2007_Usulan Blend Plan BMO 11-03-08" xfId="4395"/>
    <cellStyle name="_Blend plan as of 27-February-2007_Usulan Blend Plan BMO 11-03-08 2" xfId="4396"/>
    <cellStyle name="_Blend plan as of 27-February-2007_Usulan Blend Plan BMO 11-03-08_Wadi-Qinfa" xfId="4397"/>
    <cellStyle name="_Blend plan as of 27-February-2007_Usulan Blend Plan BMO 25-03-08" xfId="4398"/>
    <cellStyle name="_Blend plan as of 27-February-2007_Usulan Blend Plan BMO 25-03-08 2" xfId="4399"/>
    <cellStyle name="_Blend plan as of 27-February-2007_Usulan Blend Plan BMO 25-03-08_Wadi-Qinfa" xfId="4400"/>
    <cellStyle name="_Blend plan as of 27-February-2007_Usulan Blending 27 Mei 2008" xfId="4401"/>
    <cellStyle name="_Blend plan as of 27-February-2007_Usulan Blending 27 Mei 2008 2" xfId="4402"/>
    <cellStyle name="_Blend plan as of 27-February-2007_Usulan Blending 27 Mei 2008_Wadi-Qinfa" xfId="4403"/>
    <cellStyle name="_Blend plan as of 27-February-2007_Usulan Blending Plan 10 jun (2)" xfId="4404"/>
    <cellStyle name="_Blend plan as of 27-February-2007_Usulan Blending Plan 10 jun (2) 2" xfId="4405"/>
    <cellStyle name="_Blend plan as of 27-February-2007_Usulan Blending Plan 10 jun (2)_Wadi-Qinfa" xfId="4406"/>
    <cellStyle name="_Blend plan as of 27-February-2007_Usulan Blending Plan 17 jun (2)" xfId="4407"/>
    <cellStyle name="_Blend plan as of 27-February-2007_Usulan Blending Plan 17 jun (2) 2" xfId="4408"/>
    <cellStyle name="_Blend plan as of 27-February-2007_Usulan Blending Plan 17 jun (2)_Wadi-Qinfa" xfId="4409"/>
    <cellStyle name="_Blend plan as of 27-February-2007_Usulan blending plan 21_05_08" xfId="4410"/>
    <cellStyle name="_Blend plan as of 27-February-2007_Usulan blending plan 21_05_08 2" xfId="4411"/>
    <cellStyle name="_Blend plan as of 27-February-2007_Usulan blending plan 21_05_08_Wadi-Qinfa" xfId="4412"/>
    <cellStyle name="_Blend plan as of 27-February-2007_Usulan blending PlaN 27-05-08" xfId="4413"/>
    <cellStyle name="_Blend plan as of 27-February-2007_Usulan blending PlaN 27-05-08 2" xfId="4414"/>
    <cellStyle name="_Blend plan as of 27-February-2007_Usulan blending PlaN 27-05-08_Wadi-Qinfa" xfId="4415"/>
    <cellStyle name="_Blend plan as of 27-February-2007_Usulan Blending Plan_13 Feb 2008_awl" xfId="4416"/>
    <cellStyle name="_Blend plan as of 27-February-2007_Usulan Blending Plan_13 Feb 2008_awl 2" xfId="4417"/>
    <cellStyle name="_Blend plan as of 27-February-2007_Usulan Blending Plan_13 Feb 2008_awl_Wadi-Qinfa" xfId="4418"/>
    <cellStyle name="_Blend plan as of 27-February-2007_Wadi-Qinfa" xfId="4419"/>
    <cellStyle name="_Blend plan as of 27-June-06" xfId="4420"/>
    <cellStyle name="_Blend plan as of 27-June-06 2" xfId="4421"/>
    <cellStyle name="_Blend plan as of 27-June-06_01  Usulan Blend Plan BMO_220408 (2)" xfId="4422"/>
    <cellStyle name="_Blend plan as of 27-June-06_01  Usulan Blend Plan BMO_220408 (2) 2" xfId="4423"/>
    <cellStyle name="_Blend plan as of 27-June-06_01  Usulan Blend Plan BMO_220408 (2)_Wadi-Qinfa" xfId="4424"/>
    <cellStyle name="_Blend plan as of 27-June-06_Stock Status Jul 29, 2008" xfId="4425"/>
    <cellStyle name="_Blend plan as of 27-June-06_Stock Status Jul 29, 2008 2" xfId="4426"/>
    <cellStyle name="_Blend plan as of 27-June-06_Stock Status Jul 29, 2008_Wadi-Qinfa" xfId="4427"/>
    <cellStyle name="_Blend plan as of 27-June-06_Usulan Blend Plan BMO 11-03-08" xfId="4428"/>
    <cellStyle name="_Blend plan as of 27-June-06_Usulan Blend Plan BMO 11-03-08 2" xfId="4429"/>
    <cellStyle name="_Blend plan as of 27-June-06_Usulan Blend Plan BMO 11-03-08_Wadi-Qinfa" xfId="4430"/>
    <cellStyle name="_Blend plan as of 27-June-06_Usulan Blend Plan BMO 25-03-08" xfId="4431"/>
    <cellStyle name="_Blend plan as of 27-June-06_Usulan Blend Plan BMO 25-03-08 2" xfId="4432"/>
    <cellStyle name="_Blend plan as of 27-June-06_Usulan Blend Plan BMO 25-03-08_Wadi-Qinfa" xfId="4433"/>
    <cellStyle name="_Blend plan as of 27-June-06_Usulan Blending 27 Mei 2008" xfId="4434"/>
    <cellStyle name="_Blend plan as of 27-June-06_Usulan Blending 27 Mei 2008 2" xfId="4435"/>
    <cellStyle name="_Blend plan as of 27-June-06_Usulan Blending 27 Mei 2008_Wadi-Qinfa" xfId="4436"/>
    <cellStyle name="_Blend plan as of 27-June-06_Usulan Blending Plan 10 jun (2)" xfId="4437"/>
    <cellStyle name="_Blend plan as of 27-June-06_Usulan Blending Plan 10 jun (2) 2" xfId="4438"/>
    <cellStyle name="_Blend plan as of 27-June-06_Usulan Blending Plan 10 jun (2)_Wadi-Qinfa" xfId="4439"/>
    <cellStyle name="_Blend plan as of 27-June-06_Usulan Blending Plan 17 jun (2)" xfId="4440"/>
    <cellStyle name="_Blend plan as of 27-June-06_Usulan Blending Plan 17 jun (2) 2" xfId="4441"/>
    <cellStyle name="_Blend plan as of 27-June-06_Usulan Blending Plan 17 jun (2)_Wadi-Qinfa" xfId="4442"/>
    <cellStyle name="_Blend plan as of 27-June-06_Usulan blending plan 21_05_08" xfId="4443"/>
    <cellStyle name="_Blend plan as of 27-June-06_Usulan blending plan 21_05_08 2" xfId="4444"/>
    <cellStyle name="_Blend plan as of 27-June-06_Usulan blending plan 21_05_08_Wadi-Qinfa" xfId="4445"/>
    <cellStyle name="_Blend plan as of 27-June-06_Usulan blending PlaN 27-05-08" xfId="4446"/>
    <cellStyle name="_Blend plan as of 27-June-06_Usulan blending PlaN 27-05-08 2" xfId="4447"/>
    <cellStyle name="_Blend plan as of 27-June-06_Usulan blending PlaN 27-05-08_Wadi-Qinfa" xfId="4448"/>
    <cellStyle name="_Blend plan as of 27-June-06_Usulan Blending Plan_13 Feb 2008_awl" xfId="4449"/>
    <cellStyle name="_Blend plan as of 27-June-06_Usulan Blending Plan_13 Feb 2008_awl 2" xfId="4450"/>
    <cellStyle name="_Blend plan as of 27-June-06_Usulan Blending Plan_13 Feb 2008_awl_Wadi-Qinfa" xfId="4451"/>
    <cellStyle name="_Blend plan as of 27-June-06_Wadi-Qinfa" xfId="4452"/>
    <cellStyle name="_Blend plan as of 27-Maret-2007" xfId="4453"/>
    <cellStyle name="_Blend plan as of 27-Maret-2007 2" xfId="4454"/>
    <cellStyle name="_Blend plan as of 27-Maret-2007_01  Usulan Blend Plan BMO_220408 (2)" xfId="4455"/>
    <cellStyle name="_Blend plan as of 27-Maret-2007_01  Usulan Blend Plan BMO_220408 (2) 2" xfId="4456"/>
    <cellStyle name="_Blend plan as of 27-Maret-2007_01  Usulan Blend Plan BMO_220408 (2)_Wadi-Qinfa" xfId="4457"/>
    <cellStyle name="_Blend plan as of 27-Maret-2007_Stock Status Jul 29, 2008" xfId="4458"/>
    <cellStyle name="_Blend plan as of 27-Maret-2007_Stock Status Jul 29, 2008 2" xfId="4459"/>
    <cellStyle name="_Blend plan as of 27-Maret-2007_Stock Status Jul 29, 2008_Wadi-Qinfa" xfId="4460"/>
    <cellStyle name="_Blend plan as of 27-Maret-2007_Usulan Blend Plan BMO 11-03-08" xfId="4461"/>
    <cellStyle name="_Blend plan as of 27-Maret-2007_Usulan Blend Plan BMO 11-03-08 2" xfId="4462"/>
    <cellStyle name="_Blend plan as of 27-Maret-2007_Usulan Blend Plan BMO 11-03-08_Wadi-Qinfa" xfId="4463"/>
    <cellStyle name="_Blend plan as of 27-Maret-2007_Usulan Blend Plan BMO 25-03-08" xfId="4464"/>
    <cellStyle name="_Blend plan as of 27-Maret-2007_Usulan Blend Plan BMO 25-03-08 2" xfId="4465"/>
    <cellStyle name="_Blend plan as of 27-Maret-2007_Usulan Blend Plan BMO 25-03-08_Wadi-Qinfa" xfId="4466"/>
    <cellStyle name="_Blend plan as of 27-Maret-2007_Usulan Blending 27 Mei 2008" xfId="4467"/>
    <cellStyle name="_Blend plan as of 27-Maret-2007_Usulan Blending 27 Mei 2008 2" xfId="4468"/>
    <cellStyle name="_Blend plan as of 27-Maret-2007_Usulan Blending 27 Mei 2008_Wadi-Qinfa" xfId="4469"/>
    <cellStyle name="_Blend plan as of 27-Maret-2007_Usulan Blending Plan 10 jun (2)" xfId="4470"/>
    <cellStyle name="_Blend plan as of 27-Maret-2007_Usulan Blending Plan 10 jun (2) 2" xfId="4471"/>
    <cellStyle name="_Blend plan as of 27-Maret-2007_Usulan Blending Plan 10 jun (2)_Wadi-Qinfa" xfId="4472"/>
    <cellStyle name="_Blend plan as of 27-Maret-2007_Usulan Blending Plan 17 jun (2)" xfId="4473"/>
    <cellStyle name="_Blend plan as of 27-Maret-2007_Usulan Blending Plan 17 jun (2) 2" xfId="4474"/>
    <cellStyle name="_Blend plan as of 27-Maret-2007_Usulan Blending Plan 17 jun (2)_Wadi-Qinfa" xfId="4475"/>
    <cellStyle name="_Blend plan as of 27-Maret-2007_Usulan blending plan 21_05_08" xfId="4476"/>
    <cellStyle name="_Blend plan as of 27-Maret-2007_Usulan blending plan 21_05_08 2" xfId="4477"/>
    <cellStyle name="_Blend plan as of 27-Maret-2007_Usulan blending plan 21_05_08_Wadi-Qinfa" xfId="4478"/>
    <cellStyle name="_Blend plan as of 27-Maret-2007_Usulan blending PlaN 27-05-08" xfId="4479"/>
    <cellStyle name="_Blend plan as of 27-Maret-2007_Usulan blending PlaN 27-05-08 2" xfId="4480"/>
    <cellStyle name="_Blend plan as of 27-Maret-2007_Usulan blending PlaN 27-05-08_Wadi-Qinfa" xfId="4481"/>
    <cellStyle name="_Blend plan as of 27-Maret-2007_Usulan Blending Plan_13 Feb 2008_awl" xfId="4482"/>
    <cellStyle name="_Blend plan as of 27-Maret-2007_Usulan Blending Plan_13 Feb 2008_awl 2" xfId="4483"/>
    <cellStyle name="_Blend plan as of 27-Maret-2007_Usulan Blending Plan_13 Feb 2008_awl_Wadi-Qinfa" xfId="4484"/>
    <cellStyle name="_Blend plan as of 27-Maret-2007_Wadi-Qinfa" xfId="4485"/>
    <cellStyle name="_Blend plan as of 27-Nov-07" xfId="4486"/>
    <cellStyle name="_Blend plan as of 27-Nov-07 2" xfId="4487"/>
    <cellStyle name="_Blend plan as of 27-Nov-07_01  Usulan Blend Plan BMO_220408 (2)" xfId="4488"/>
    <cellStyle name="_Blend plan as of 27-Nov-07_01  Usulan Blend Plan BMO_220408 (2) 2" xfId="4489"/>
    <cellStyle name="_Blend plan as of 27-Nov-07_01  Usulan Blend Plan BMO_220408 (2)_Wadi-Qinfa" xfId="4490"/>
    <cellStyle name="_Blend plan as of 27-Nov-07_Stock Status Jul 29, 2008" xfId="4491"/>
    <cellStyle name="_Blend plan as of 27-Nov-07_Stock Status Jul 29, 2008 2" xfId="4492"/>
    <cellStyle name="_Blend plan as of 27-Nov-07_Stock Status Jul 29, 2008_Wadi-Qinfa" xfId="4493"/>
    <cellStyle name="_Blend plan as of 27-Nov-07_Usulan Blend Plan BMO 11-03-08" xfId="4494"/>
    <cellStyle name="_Blend plan as of 27-Nov-07_Usulan Blend Plan BMO 11-03-08 2" xfId="4495"/>
    <cellStyle name="_Blend plan as of 27-Nov-07_Usulan Blend Plan BMO 11-03-08_Wadi-Qinfa" xfId="4496"/>
    <cellStyle name="_Blend plan as of 27-Nov-07_Usulan Blend Plan BMO 25-03-08" xfId="4497"/>
    <cellStyle name="_Blend plan as of 27-Nov-07_Usulan Blend Plan BMO 25-03-08 2" xfId="4498"/>
    <cellStyle name="_Blend plan as of 27-Nov-07_Usulan Blend Plan BMO 25-03-08_Wadi-Qinfa" xfId="4499"/>
    <cellStyle name="_Blend plan as of 27-Nov-07_Usulan Blending 27 Mei 2008" xfId="4500"/>
    <cellStyle name="_Blend plan as of 27-Nov-07_Usulan Blending 27 Mei 2008 2" xfId="4501"/>
    <cellStyle name="_Blend plan as of 27-Nov-07_Usulan Blending 27 Mei 2008_Wadi-Qinfa" xfId="4502"/>
    <cellStyle name="_Blend plan as of 27-Nov-07_Usulan Blending Plan 10 jun (2)" xfId="4503"/>
    <cellStyle name="_Blend plan as of 27-Nov-07_Usulan Blending Plan 10 jun (2) 2" xfId="4504"/>
    <cellStyle name="_Blend plan as of 27-Nov-07_Usulan Blending Plan 10 jun (2)_Wadi-Qinfa" xfId="4505"/>
    <cellStyle name="_Blend plan as of 27-Nov-07_Usulan Blending Plan 17 jun (2)" xfId="4506"/>
    <cellStyle name="_Blend plan as of 27-Nov-07_Usulan Blending Plan 17 jun (2) 2" xfId="4507"/>
    <cellStyle name="_Blend plan as of 27-Nov-07_Usulan Blending Plan 17 jun (2)_Wadi-Qinfa" xfId="4508"/>
    <cellStyle name="_Blend plan as of 27-Nov-07_Usulan blending plan 21_05_08" xfId="4509"/>
    <cellStyle name="_Blend plan as of 27-Nov-07_Usulan blending plan 21_05_08 2" xfId="4510"/>
    <cellStyle name="_Blend plan as of 27-Nov-07_Usulan blending plan 21_05_08_Wadi-Qinfa" xfId="4511"/>
    <cellStyle name="_Blend plan as of 27-Nov-07_Usulan blending PlaN 27-05-08" xfId="4512"/>
    <cellStyle name="_Blend plan as of 27-Nov-07_Usulan blending PlaN 27-05-08 2" xfId="4513"/>
    <cellStyle name="_Blend plan as of 27-Nov-07_Usulan blending PlaN 27-05-08_Wadi-Qinfa" xfId="4514"/>
    <cellStyle name="_Blend plan as of 27-Nov-07_Usulan Blending Plan_13 Feb 2008_awl" xfId="4515"/>
    <cellStyle name="_Blend plan as of 27-Nov-07_Usulan Blending Plan_13 Feb 2008_awl 2" xfId="4516"/>
    <cellStyle name="_Blend plan as of 27-Nov-07_Usulan Blending Plan_13 Feb 2008_awl_Wadi-Qinfa" xfId="4517"/>
    <cellStyle name="_Blend plan as of 27-Nov-07_Wadi-Qinfa" xfId="4518"/>
    <cellStyle name="_Blend plan as of 27-September-05" xfId="4519"/>
    <cellStyle name="_Blend plan as of 27-September-05 2" xfId="4520"/>
    <cellStyle name="_Blend plan as of 27-September-05_01  Usulan Blend Plan BMO_220408 (2)" xfId="4521"/>
    <cellStyle name="_Blend plan as of 27-September-05_01  Usulan Blend Plan BMO_220408 (2) 2" xfId="4522"/>
    <cellStyle name="_Blend plan as of 27-September-05_01  Usulan Blend Plan BMO_220408 (2)_Wadi-Qinfa" xfId="4523"/>
    <cellStyle name="_Blend plan as of 27-September-05_Stock Status Jul 29, 2008" xfId="4524"/>
    <cellStyle name="_Blend plan as of 27-September-05_Stock Status Jul 29, 2008 2" xfId="4525"/>
    <cellStyle name="_Blend plan as of 27-September-05_Stock Status Jul 29, 2008_Wadi-Qinfa" xfId="4526"/>
    <cellStyle name="_Blend plan as of 27-September-05_Usulan Blend Plan BMO 11-03-08" xfId="4527"/>
    <cellStyle name="_Blend plan as of 27-September-05_Usulan Blend Plan BMO 11-03-08 2" xfId="4528"/>
    <cellStyle name="_Blend plan as of 27-September-05_Usulan Blend Plan BMO 11-03-08_Wadi-Qinfa" xfId="4529"/>
    <cellStyle name="_Blend plan as of 27-September-05_Usulan Blend Plan BMO 25-03-08" xfId="4530"/>
    <cellStyle name="_Blend plan as of 27-September-05_Usulan Blend Plan BMO 25-03-08 2" xfId="4531"/>
    <cellStyle name="_Blend plan as of 27-September-05_Usulan Blend Plan BMO 25-03-08_Wadi-Qinfa" xfId="4532"/>
    <cellStyle name="_Blend plan as of 27-September-05_Usulan Blending 27 Mei 2008" xfId="4533"/>
    <cellStyle name="_Blend plan as of 27-September-05_Usulan Blending 27 Mei 2008 2" xfId="4534"/>
    <cellStyle name="_Blend plan as of 27-September-05_Usulan Blending 27 Mei 2008_Wadi-Qinfa" xfId="4535"/>
    <cellStyle name="_Blend plan as of 27-September-05_Usulan Blending Plan 10 jun (2)" xfId="4536"/>
    <cellStyle name="_Blend plan as of 27-September-05_Usulan Blending Plan 10 jun (2) 2" xfId="4537"/>
    <cellStyle name="_Blend plan as of 27-September-05_Usulan Blending Plan 10 jun (2)_Wadi-Qinfa" xfId="4538"/>
    <cellStyle name="_Blend plan as of 27-September-05_Usulan Blending Plan 17 jun (2)" xfId="4539"/>
    <cellStyle name="_Blend plan as of 27-September-05_Usulan Blending Plan 17 jun (2) 2" xfId="4540"/>
    <cellStyle name="_Blend plan as of 27-September-05_Usulan Blending Plan 17 jun (2)_Wadi-Qinfa" xfId="4541"/>
    <cellStyle name="_Blend plan as of 27-September-05_Usulan blending plan 21_05_08" xfId="4542"/>
    <cellStyle name="_Blend plan as of 27-September-05_Usulan blending plan 21_05_08 2" xfId="4543"/>
    <cellStyle name="_Blend plan as of 27-September-05_Usulan blending plan 21_05_08_Wadi-Qinfa" xfId="4544"/>
    <cellStyle name="_Blend plan as of 27-September-05_Usulan blending PlaN 27-05-08" xfId="4545"/>
    <cellStyle name="_Blend plan as of 27-September-05_Usulan blending PlaN 27-05-08 2" xfId="4546"/>
    <cellStyle name="_Blend plan as of 27-September-05_Usulan blending PlaN 27-05-08_Wadi-Qinfa" xfId="4547"/>
    <cellStyle name="_Blend plan as of 27-September-05_Usulan Blending Plan_13 Feb 2008_awl" xfId="4548"/>
    <cellStyle name="_Blend plan as of 27-September-05_Usulan Blending Plan_13 Feb 2008_awl 2" xfId="4549"/>
    <cellStyle name="_Blend plan as of 27-September-05_Usulan Blending Plan_13 Feb 2008_awl_Wadi-Qinfa" xfId="4550"/>
    <cellStyle name="_Blend plan as of 27-September-05_Wadi-Qinfa" xfId="4551"/>
    <cellStyle name="_Blend plan as of 28-Agustus-2007" xfId="4552"/>
    <cellStyle name="_Blend plan as of 28-Agustus-2007 2" xfId="4553"/>
    <cellStyle name="_Blend plan as of 28-Agustus-2007_01  Usulan Blend Plan BMO_220408 (2)" xfId="4554"/>
    <cellStyle name="_Blend plan as of 28-Agustus-2007_01  Usulan Blend Plan BMO_220408 (2) 2" xfId="4555"/>
    <cellStyle name="_Blend plan as of 28-Agustus-2007_01  Usulan Blend Plan BMO_220408 (2)_Wadi-Qinfa" xfId="4556"/>
    <cellStyle name="_Blend plan as of 28-Agustus-2007_Stock Status Jul 29, 2008" xfId="4557"/>
    <cellStyle name="_Blend plan as of 28-Agustus-2007_Stock Status Jul 29, 2008 2" xfId="4558"/>
    <cellStyle name="_Blend plan as of 28-Agustus-2007_Stock Status Jul 29, 2008_Wadi-Qinfa" xfId="4559"/>
    <cellStyle name="_Blend plan as of 28-Agustus-2007_Usulan Blend Plan BMO 11-03-08" xfId="4560"/>
    <cellStyle name="_Blend plan as of 28-Agustus-2007_Usulan Blend Plan BMO 11-03-08 2" xfId="4561"/>
    <cellStyle name="_Blend plan as of 28-Agustus-2007_Usulan Blend Plan BMO 11-03-08_Wadi-Qinfa" xfId="4562"/>
    <cellStyle name="_Blend plan as of 28-Agustus-2007_Usulan Blend Plan BMO 25-03-08" xfId="4563"/>
    <cellStyle name="_Blend plan as of 28-Agustus-2007_Usulan Blend Plan BMO 25-03-08 2" xfId="4564"/>
    <cellStyle name="_Blend plan as of 28-Agustus-2007_Usulan Blend Plan BMO 25-03-08_Wadi-Qinfa" xfId="4565"/>
    <cellStyle name="_Blend plan as of 28-Agustus-2007_Usulan Blending 27 Mei 2008" xfId="4566"/>
    <cellStyle name="_Blend plan as of 28-Agustus-2007_Usulan Blending 27 Mei 2008 2" xfId="4567"/>
    <cellStyle name="_Blend plan as of 28-Agustus-2007_Usulan Blending 27 Mei 2008_Wadi-Qinfa" xfId="4568"/>
    <cellStyle name="_Blend plan as of 28-Agustus-2007_Usulan Blending Plan 10 jun (2)" xfId="4569"/>
    <cellStyle name="_Blend plan as of 28-Agustus-2007_Usulan Blending Plan 10 jun (2) 2" xfId="4570"/>
    <cellStyle name="_Blend plan as of 28-Agustus-2007_Usulan Blending Plan 10 jun (2)_Wadi-Qinfa" xfId="4571"/>
    <cellStyle name="_Blend plan as of 28-Agustus-2007_Usulan Blending Plan 17 jun (2)" xfId="4572"/>
    <cellStyle name="_Blend plan as of 28-Agustus-2007_Usulan Blending Plan 17 jun (2) 2" xfId="4573"/>
    <cellStyle name="_Blend plan as of 28-Agustus-2007_Usulan Blending Plan 17 jun (2)_Wadi-Qinfa" xfId="4574"/>
    <cellStyle name="_Blend plan as of 28-Agustus-2007_Usulan blending plan 21_05_08" xfId="4575"/>
    <cellStyle name="_Blend plan as of 28-Agustus-2007_Usulan blending plan 21_05_08 2" xfId="4576"/>
    <cellStyle name="_Blend plan as of 28-Agustus-2007_Usulan blending plan 21_05_08_Wadi-Qinfa" xfId="4577"/>
    <cellStyle name="_Blend plan as of 28-Agustus-2007_Usulan blending PlaN 27-05-08" xfId="4578"/>
    <cellStyle name="_Blend plan as of 28-Agustus-2007_Usulan blending PlaN 27-05-08 2" xfId="4579"/>
    <cellStyle name="_Blend plan as of 28-Agustus-2007_Usulan blending PlaN 27-05-08_Wadi-Qinfa" xfId="4580"/>
    <cellStyle name="_Blend plan as of 28-Agustus-2007_Usulan Blending Plan_13 Feb 2008_awl" xfId="4581"/>
    <cellStyle name="_Blend plan as of 28-Agustus-2007_Usulan Blending Plan_13 Feb 2008_awl 2" xfId="4582"/>
    <cellStyle name="_Blend plan as of 28-Agustus-2007_Usulan Blending Plan_13 Feb 2008_awl_Wadi-Qinfa" xfId="4583"/>
    <cellStyle name="_Blend plan as of 28-Agustus-2007_Wadi-Qinfa" xfId="4584"/>
    <cellStyle name="_Blend plan as of 28-Dec-04" xfId="4585"/>
    <cellStyle name="_Blend plan as of 28-Dec-04 2" xfId="4586"/>
    <cellStyle name="_Blend plan as of 28-Dec-04_01  Usulan Blend Plan BMO_220408 (2)" xfId="4587"/>
    <cellStyle name="_Blend plan as of 28-Dec-04_01  Usulan Blend Plan BMO_220408 (2) 2" xfId="4588"/>
    <cellStyle name="_Blend plan as of 28-Dec-04_01  Usulan Blend Plan BMO_220408 (2)_Wadi-Qinfa" xfId="4589"/>
    <cellStyle name="_Blend plan as of 28-Dec-04_Stock Status Jul 29, 2008" xfId="4590"/>
    <cellStyle name="_Blend plan as of 28-Dec-04_Stock Status Jul 29, 2008 2" xfId="4591"/>
    <cellStyle name="_Blend plan as of 28-Dec-04_Stock Status Jul 29, 2008_Wadi-Qinfa" xfId="4592"/>
    <cellStyle name="_Blend plan as of 28-Dec-04_Usulan Blend Plan BMO 11-03-08" xfId="4593"/>
    <cellStyle name="_Blend plan as of 28-Dec-04_Usulan Blend Plan BMO 11-03-08 2" xfId="4594"/>
    <cellStyle name="_Blend plan as of 28-Dec-04_Usulan Blend Plan BMO 11-03-08_Wadi-Qinfa" xfId="4595"/>
    <cellStyle name="_Blend plan as of 28-Dec-04_Usulan Blend Plan BMO 25-03-08" xfId="4596"/>
    <cellStyle name="_Blend plan as of 28-Dec-04_Usulan Blend Plan BMO 25-03-08 2" xfId="4597"/>
    <cellStyle name="_Blend plan as of 28-Dec-04_Usulan Blend Plan BMO 25-03-08_Wadi-Qinfa" xfId="4598"/>
    <cellStyle name="_Blend plan as of 28-Dec-04_Usulan Blending 27 Mei 2008" xfId="4599"/>
    <cellStyle name="_Blend plan as of 28-Dec-04_Usulan Blending 27 Mei 2008 2" xfId="4600"/>
    <cellStyle name="_Blend plan as of 28-Dec-04_Usulan Blending 27 Mei 2008_Wadi-Qinfa" xfId="4601"/>
    <cellStyle name="_Blend plan as of 28-Dec-04_Usulan Blending Plan 10 jun (2)" xfId="4602"/>
    <cellStyle name="_Blend plan as of 28-Dec-04_Usulan Blending Plan 10 jun (2) 2" xfId="4603"/>
    <cellStyle name="_Blend plan as of 28-Dec-04_Usulan Blending Plan 10 jun (2)_Wadi-Qinfa" xfId="4604"/>
    <cellStyle name="_Blend plan as of 28-Dec-04_Usulan Blending Plan 17 jun (2)" xfId="4605"/>
    <cellStyle name="_Blend plan as of 28-Dec-04_Usulan Blending Plan 17 jun (2) 2" xfId="4606"/>
    <cellStyle name="_Blend plan as of 28-Dec-04_Usulan Blending Plan 17 jun (2)_Wadi-Qinfa" xfId="4607"/>
    <cellStyle name="_Blend plan as of 28-Dec-04_Usulan blending plan 21_05_08" xfId="4608"/>
    <cellStyle name="_Blend plan as of 28-Dec-04_Usulan blending plan 21_05_08 2" xfId="4609"/>
    <cellStyle name="_Blend plan as of 28-Dec-04_Usulan blending plan 21_05_08_Wadi-Qinfa" xfId="4610"/>
    <cellStyle name="_Blend plan as of 28-Dec-04_Usulan blending PlaN 27-05-08" xfId="4611"/>
    <cellStyle name="_Blend plan as of 28-Dec-04_Usulan blending PlaN 27-05-08 2" xfId="4612"/>
    <cellStyle name="_Blend plan as of 28-Dec-04_Usulan blending PlaN 27-05-08_Wadi-Qinfa" xfId="4613"/>
    <cellStyle name="_Blend plan as of 28-Dec-04_Usulan Blending Plan_13 Feb 2008_awl" xfId="4614"/>
    <cellStyle name="_Blend plan as of 28-Dec-04_Usulan Blending Plan_13 Feb 2008_awl 2" xfId="4615"/>
    <cellStyle name="_Blend plan as of 28-Dec-04_Usulan Blending Plan_13 Feb 2008_awl_Wadi-Qinfa" xfId="4616"/>
    <cellStyle name="_Blend plan as of 28-Dec-04_Wadi-Qinfa" xfId="4617"/>
    <cellStyle name="_Blend plan as of 28-February-06" xfId="4618"/>
    <cellStyle name="_Blend plan as of 28-February-06 2" xfId="4619"/>
    <cellStyle name="_Blend plan as of 28-February-06_01  Usulan Blend Plan BMO_220408 (2)" xfId="4620"/>
    <cellStyle name="_Blend plan as of 28-February-06_01  Usulan Blend Plan BMO_220408 (2) 2" xfId="4621"/>
    <cellStyle name="_Blend plan as of 28-February-06_01  Usulan Blend Plan BMO_220408 (2)_Wadi-Qinfa" xfId="4622"/>
    <cellStyle name="_Blend plan as of 28-February-06_Stock Status Jul 29, 2008" xfId="4623"/>
    <cellStyle name="_Blend plan as of 28-February-06_Stock Status Jul 29, 2008 2" xfId="4624"/>
    <cellStyle name="_Blend plan as of 28-February-06_Stock Status Jul 29, 2008_Wadi-Qinfa" xfId="4625"/>
    <cellStyle name="_Blend plan as of 28-February-06_Usulan Blend Plan BMO 11-03-08" xfId="4626"/>
    <cellStyle name="_Blend plan as of 28-February-06_Usulan Blend Plan BMO 11-03-08 2" xfId="4627"/>
    <cellStyle name="_Blend plan as of 28-February-06_Usulan Blend Plan BMO 11-03-08_Wadi-Qinfa" xfId="4628"/>
    <cellStyle name="_Blend plan as of 28-February-06_Usulan Blend Plan BMO 25-03-08" xfId="4629"/>
    <cellStyle name="_Blend plan as of 28-February-06_Usulan Blend Plan BMO 25-03-08 2" xfId="4630"/>
    <cellStyle name="_Blend plan as of 28-February-06_Usulan Blend Plan BMO 25-03-08_Wadi-Qinfa" xfId="4631"/>
    <cellStyle name="_Blend plan as of 28-February-06_Usulan Blending 27 Mei 2008" xfId="4632"/>
    <cellStyle name="_Blend plan as of 28-February-06_Usulan Blending 27 Mei 2008 2" xfId="4633"/>
    <cellStyle name="_Blend plan as of 28-February-06_Usulan Blending 27 Mei 2008_Wadi-Qinfa" xfId="4634"/>
    <cellStyle name="_Blend plan as of 28-February-06_Usulan Blending Plan 10 jun (2)" xfId="4635"/>
    <cellStyle name="_Blend plan as of 28-February-06_Usulan Blending Plan 10 jun (2) 2" xfId="4636"/>
    <cellStyle name="_Blend plan as of 28-February-06_Usulan Blending Plan 10 jun (2)_Wadi-Qinfa" xfId="4637"/>
    <cellStyle name="_Blend plan as of 28-February-06_Usulan Blending Plan 17 jun (2)" xfId="4638"/>
    <cellStyle name="_Blend plan as of 28-February-06_Usulan Blending Plan 17 jun (2) 2" xfId="4639"/>
    <cellStyle name="_Blend plan as of 28-February-06_Usulan Blending Plan 17 jun (2)_Wadi-Qinfa" xfId="4640"/>
    <cellStyle name="_Blend plan as of 28-February-06_Usulan blending plan 21_05_08" xfId="4641"/>
    <cellStyle name="_Blend plan as of 28-February-06_Usulan blending plan 21_05_08 2" xfId="4642"/>
    <cellStyle name="_Blend plan as of 28-February-06_Usulan blending plan 21_05_08_Wadi-Qinfa" xfId="4643"/>
    <cellStyle name="_Blend plan as of 28-February-06_Usulan blending PlaN 27-05-08" xfId="4644"/>
    <cellStyle name="_Blend plan as of 28-February-06_Usulan blending PlaN 27-05-08 2" xfId="4645"/>
    <cellStyle name="_Blend plan as of 28-February-06_Usulan blending PlaN 27-05-08_Wadi-Qinfa" xfId="4646"/>
    <cellStyle name="_Blend plan as of 28-February-06_Usulan Blending Plan_13 Feb 2008_awl" xfId="4647"/>
    <cellStyle name="_Blend plan as of 28-February-06_Usulan Blending Plan_13 Feb 2008_awl 2" xfId="4648"/>
    <cellStyle name="_Blend plan as of 28-February-06_Usulan Blending Plan_13 Feb 2008_awl_Wadi-Qinfa" xfId="4649"/>
    <cellStyle name="_Blend plan as of 28-February-06_Wadi-Qinfa" xfId="4650"/>
    <cellStyle name="_Blend plan as of 28-Jun-05fix" xfId="4651"/>
    <cellStyle name="_Blend plan as of 28-Jun-05fix 2" xfId="4652"/>
    <cellStyle name="_Blend plan as of 28-Jun-05fix_01  Usulan Blend Plan BMO_220408 (2)" xfId="4653"/>
    <cellStyle name="_Blend plan as of 28-Jun-05fix_01  Usulan Blend Plan BMO_220408 (2) 2" xfId="4654"/>
    <cellStyle name="_Blend plan as of 28-Jun-05fix_01  Usulan Blend Plan BMO_220408 (2)_Wadi-Qinfa" xfId="4655"/>
    <cellStyle name="_Blend plan as of 28-Jun-05fix_Stock Status Jul 29, 2008" xfId="4656"/>
    <cellStyle name="_Blend plan as of 28-Jun-05fix_Stock Status Jul 29, 2008 2" xfId="4657"/>
    <cellStyle name="_Blend plan as of 28-Jun-05fix_Stock Status Jul 29, 2008_Wadi-Qinfa" xfId="4658"/>
    <cellStyle name="_Blend plan as of 28-Jun-05fix_Usulan Blend Plan BMO 11-03-08" xfId="4659"/>
    <cellStyle name="_Blend plan as of 28-Jun-05fix_Usulan Blend Plan BMO 11-03-08 2" xfId="4660"/>
    <cellStyle name="_Blend plan as of 28-Jun-05fix_Usulan Blend Plan BMO 11-03-08_Wadi-Qinfa" xfId="4661"/>
    <cellStyle name="_Blend plan as of 28-Jun-05fix_Usulan Blend Plan BMO 25-03-08" xfId="4662"/>
    <cellStyle name="_Blend plan as of 28-Jun-05fix_Usulan Blend Plan BMO 25-03-08 2" xfId="4663"/>
    <cellStyle name="_Blend plan as of 28-Jun-05fix_Usulan Blend Plan BMO 25-03-08_Wadi-Qinfa" xfId="4664"/>
    <cellStyle name="_Blend plan as of 28-Jun-05fix_Usulan Blending 27 Mei 2008" xfId="4665"/>
    <cellStyle name="_Blend plan as of 28-Jun-05fix_Usulan Blending 27 Mei 2008 2" xfId="4666"/>
    <cellStyle name="_Blend plan as of 28-Jun-05fix_Usulan Blending 27 Mei 2008_Wadi-Qinfa" xfId="4667"/>
    <cellStyle name="_Blend plan as of 28-Jun-05fix_Usulan Blending Plan 10 jun (2)" xfId="4668"/>
    <cellStyle name="_Blend plan as of 28-Jun-05fix_Usulan Blending Plan 10 jun (2) 2" xfId="4669"/>
    <cellStyle name="_Blend plan as of 28-Jun-05fix_Usulan Blending Plan 10 jun (2)_Wadi-Qinfa" xfId="4670"/>
    <cellStyle name="_Blend plan as of 28-Jun-05fix_Usulan Blending Plan 17 jun (2)" xfId="4671"/>
    <cellStyle name="_Blend plan as of 28-Jun-05fix_Usulan Blending Plan 17 jun (2) 2" xfId="4672"/>
    <cellStyle name="_Blend plan as of 28-Jun-05fix_Usulan Blending Plan 17 jun (2)_Wadi-Qinfa" xfId="4673"/>
    <cellStyle name="_Blend plan as of 28-Jun-05fix_Usulan blending plan 21_05_08" xfId="4674"/>
    <cellStyle name="_Blend plan as of 28-Jun-05fix_Usulan blending plan 21_05_08 2" xfId="4675"/>
    <cellStyle name="_Blend plan as of 28-Jun-05fix_Usulan blending plan 21_05_08_Wadi-Qinfa" xfId="4676"/>
    <cellStyle name="_Blend plan as of 28-Jun-05fix_Usulan blending PlaN 27-05-08" xfId="4677"/>
    <cellStyle name="_Blend plan as of 28-Jun-05fix_Usulan blending PlaN 27-05-08 2" xfId="4678"/>
    <cellStyle name="_Blend plan as of 28-Jun-05fix_Usulan blending PlaN 27-05-08_Wadi-Qinfa" xfId="4679"/>
    <cellStyle name="_Blend plan as of 28-Jun-05fix_Usulan Blending Plan_13 Feb 2008_awl" xfId="4680"/>
    <cellStyle name="_Blend plan as of 28-Jun-05fix_Usulan Blending Plan_13 Feb 2008_awl 2" xfId="4681"/>
    <cellStyle name="_Blend plan as of 28-Jun-05fix_Usulan Blending Plan_13 Feb 2008_awl_Wadi-Qinfa" xfId="4682"/>
    <cellStyle name="_Blend plan as of 28-Jun-05fix_Wadi-Qinfa" xfId="4683"/>
    <cellStyle name="_Blend plan as of 28-March-06" xfId="4684"/>
    <cellStyle name="_Blend plan as of 28-March-06 2" xfId="4685"/>
    <cellStyle name="_Blend plan as of 28-March-06_01  Usulan Blend Plan BMO_220408 (2)" xfId="4686"/>
    <cellStyle name="_Blend plan as of 28-March-06_01  Usulan Blend Plan BMO_220408 (2) 2" xfId="4687"/>
    <cellStyle name="_Blend plan as of 28-March-06_01  Usulan Blend Plan BMO_220408 (2)_Wadi-Qinfa" xfId="4688"/>
    <cellStyle name="_Blend plan as of 28-March-06_Stock Status Jul 29, 2008" xfId="4689"/>
    <cellStyle name="_Blend plan as of 28-March-06_Stock Status Jul 29, 2008 2" xfId="4690"/>
    <cellStyle name="_Blend plan as of 28-March-06_Stock Status Jul 29, 2008_Wadi-Qinfa" xfId="4691"/>
    <cellStyle name="_Blend plan as of 28-March-06_Usulan Blend Plan BMO 11-03-08" xfId="4692"/>
    <cellStyle name="_Blend plan as of 28-March-06_Usulan Blend Plan BMO 11-03-08 2" xfId="4693"/>
    <cellStyle name="_Blend plan as of 28-March-06_Usulan Blend Plan BMO 11-03-08_Wadi-Qinfa" xfId="4694"/>
    <cellStyle name="_Blend plan as of 28-March-06_Usulan Blend Plan BMO 25-03-08" xfId="4695"/>
    <cellStyle name="_Blend plan as of 28-March-06_Usulan Blend Plan BMO 25-03-08 2" xfId="4696"/>
    <cellStyle name="_Blend plan as of 28-March-06_Usulan Blend Plan BMO 25-03-08_Wadi-Qinfa" xfId="4697"/>
    <cellStyle name="_Blend plan as of 28-March-06_Usulan Blending 27 Mei 2008" xfId="4698"/>
    <cellStyle name="_Blend plan as of 28-March-06_Usulan Blending 27 Mei 2008 2" xfId="4699"/>
    <cellStyle name="_Blend plan as of 28-March-06_Usulan Blending 27 Mei 2008_Wadi-Qinfa" xfId="4700"/>
    <cellStyle name="_Blend plan as of 28-March-06_Usulan Blending Plan 10 jun (2)" xfId="4701"/>
    <cellStyle name="_Blend plan as of 28-March-06_Usulan Blending Plan 10 jun (2) 2" xfId="4702"/>
    <cellStyle name="_Blend plan as of 28-March-06_Usulan Blending Plan 10 jun (2)_Wadi-Qinfa" xfId="4703"/>
    <cellStyle name="_Blend plan as of 28-March-06_Usulan Blending Plan 17 jun (2)" xfId="4704"/>
    <cellStyle name="_Blend plan as of 28-March-06_Usulan Blending Plan 17 jun (2) 2" xfId="4705"/>
    <cellStyle name="_Blend plan as of 28-March-06_Usulan Blending Plan 17 jun (2)_Wadi-Qinfa" xfId="4706"/>
    <cellStyle name="_Blend plan as of 28-March-06_Usulan blending plan 21_05_08" xfId="4707"/>
    <cellStyle name="_Blend plan as of 28-March-06_Usulan blending plan 21_05_08 2" xfId="4708"/>
    <cellStyle name="_Blend plan as of 28-March-06_Usulan blending plan 21_05_08_Wadi-Qinfa" xfId="4709"/>
    <cellStyle name="_Blend plan as of 28-March-06_Usulan blending PlaN 27-05-08" xfId="4710"/>
    <cellStyle name="_Blend plan as of 28-March-06_Usulan blending PlaN 27-05-08 2" xfId="4711"/>
    <cellStyle name="_Blend plan as of 28-March-06_Usulan blending PlaN 27-05-08_Wadi-Qinfa" xfId="4712"/>
    <cellStyle name="_Blend plan as of 28-March-06_Usulan Blending Plan_13 Feb 2008_awl" xfId="4713"/>
    <cellStyle name="_Blend plan as of 28-March-06_Usulan Blending Plan_13 Feb 2008_awl 2" xfId="4714"/>
    <cellStyle name="_Blend plan as of 28-March-06_Usulan Blending Plan_13 Feb 2008_awl_Wadi-Qinfa" xfId="4715"/>
    <cellStyle name="_Blend plan as of 28-March-06_Wadi-Qinfa" xfId="4716"/>
    <cellStyle name="_Blend plan as of 28-Nopember-05" xfId="4717"/>
    <cellStyle name="_Blend plan as of 28-Nopember-05 2" xfId="4718"/>
    <cellStyle name="_Blend plan as of 28-Nopember-05_01  Usulan Blend Plan BMO_220408 (2)" xfId="4719"/>
    <cellStyle name="_Blend plan as of 28-Nopember-05_01  Usulan Blend Plan BMO_220408 (2) 2" xfId="4720"/>
    <cellStyle name="_Blend plan as of 28-Nopember-05_01  Usulan Blend Plan BMO_220408 (2)_Wadi-Qinfa" xfId="4721"/>
    <cellStyle name="_Blend plan as of 28-Nopember-05_Stock Status Jul 29, 2008" xfId="4722"/>
    <cellStyle name="_Blend plan as of 28-Nopember-05_Stock Status Jul 29, 2008 2" xfId="4723"/>
    <cellStyle name="_Blend plan as of 28-Nopember-05_Stock Status Jul 29, 2008_Wadi-Qinfa" xfId="4724"/>
    <cellStyle name="_Blend plan as of 28-Nopember-05_Usulan Blend Plan BMO 11-03-08" xfId="4725"/>
    <cellStyle name="_Blend plan as of 28-Nopember-05_Usulan Blend Plan BMO 11-03-08 2" xfId="4726"/>
    <cellStyle name="_Blend plan as of 28-Nopember-05_Usulan Blend Plan BMO 11-03-08_Wadi-Qinfa" xfId="4727"/>
    <cellStyle name="_Blend plan as of 28-Nopember-05_Usulan Blend Plan BMO 25-03-08" xfId="4728"/>
    <cellStyle name="_Blend plan as of 28-Nopember-05_Usulan Blend Plan BMO 25-03-08 2" xfId="4729"/>
    <cellStyle name="_Blend plan as of 28-Nopember-05_Usulan Blend Plan BMO 25-03-08_Wadi-Qinfa" xfId="4730"/>
    <cellStyle name="_Blend plan as of 28-Nopember-05_Usulan Blending 27 Mei 2008" xfId="4731"/>
    <cellStyle name="_Blend plan as of 28-Nopember-05_Usulan Blending 27 Mei 2008 2" xfId="4732"/>
    <cellStyle name="_Blend plan as of 28-Nopember-05_Usulan Blending 27 Mei 2008_Wadi-Qinfa" xfId="4733"/>
    <cellStyle name="_Blend plan as of 28-Nopember-05_Usulan Blending Plan 10 jun (2)" xfId="4734"/>
    <cellStyle name="_Blend plan as of 28-Nopember-05_Usulan Blending Plan 10 jun (2) 2" xfId="4735"/>
    <cellStyle name="_Blend plan as of 28-Nopember-05_Usulan Blending Plan 10 jun (2)_Wadi-Qinfa" xfId="4736"/>
    <cellStyle name="_Blend plan as of 28-Nopember-05_Usulan Blending Plan 17 jun (2)" xfId="4737"/>
    <cellStyle name="_Blend plan as of 28-Nopember-05_Usulan Blending Plan 17 jun (2) 2" xfId="4738"/>
    <cellStyle name="_Blend plan as of 28-Nopember-05_Usulan Blending Plan 17 jun (2)_Wadi-Qinfa" xfId="4739"/>
    <cellStyle name="_Blend plan as of 28-Nopember-05_Usulan blending plan 21_05_08" xfId="4740"/>
    <cellStyle name="_Blend plan as of 28-Nopember-05_Usulan blending plan 21_05_08 2" xfId="4741"/>
    <cellStyle name="_Blend plan as of 28-Nopember-05_Usulan blending plan 21_05_08_Wadi-Qinfa" xfId="4742"/>
    <cellStyle name="_Blend plan as of 28-Nopember-05_Usulan blending PlaN 27-05-08" xfId="4743"/>
    <cellStyle name="_Blend plan as of 28-Nopember-05_Usulan blending PlaN 27-05-08 2" xfId="4744"/>
    <cellStyle name="_Blend plan as of 28-Nopember-05_Usulan blending PlaN 27-05-08_Wadi-Qinfa" xfId="4745"/>
    <cellStyle name="_Blend plan as of 28-Nopember-05_Usulan Blending Plan_13 Feb 2008_awl" xfId="4746"/>
    <cellStyle name="_Blend plan as of 28-Nopember-05_Usulan Blending Plan_13 Feb 2008_awl 2" xfId="4747"/>
    <cellStyle name="_Blend plan as of 28-Nopember-05_Usulan Blending Plan_13 Feb 2008_awl_Wadi-Qinfa" xfId="4748"/>
    <cellStyle name="_Blend plan as of 28-Nopember-05_Wadi-Qinfa" xfId="4749"/>
    <cellStyle name="_Blend plan as of 28-November-06" xfId="4750"/>
    <cellStyle name="_Blend plan as of 28-November-06 2" xfId="4751"/>
    <cellStyle name="_Blend plan as of 28-November-06_01  Usulan Blend Plan BMO_220408 (2)" xfId="4752"/>
    <cellStyle name="_Blend plan as of 28-November-06_01  Usulan Blend Plan BMO_220408 (2) 2" xfId="4753"/>
    <cellStyle name="_Blend plan as of 28-November-06_01  Usulan Blend Plan BMO_220408 (2)_Wadi-Qinfa" xfId="4754"/>
    <cellStyle name="_Blend plan as of 28-November-06_Stock Status Jul 29, 2008" xfId="4755"/>
    <cellStyle name="_Blend plan as of 28-November-06_Stock Status Jul 29, 2008 2" xfId="4756"/>
    <cellStyle name="_Blend plan as of 28-November-06_Stock Status Jul 29, 2008_Wadi-Qinfa" xfId="4757"/>
    <cellStyle name="_Blend plan as of 28-November-06_Usulan Blend Plan BMO 11-03-08" xfId="4758"/>
    <cellStyle name="_Blend plan as of 28-November-06_Usulan Blend Plan BMO 11-03-08 2" xfId="4759"/>
    <cellStyle name="_Blend plan as of 28-November-06_Usulan Blend Plan BMO 11-03-08_Wadi-Qinfa" xfId="4760"/>
    <cellStyle name="_Blend plan as of 28-November-06_Usulan Blend Plan BMO 25-03-08" xfId="4761"/>
    <cellStyle name="_Blend plan as of 28-November-06_Usulan Blend Plan BMO 25-03-08 2" xfId="4762"/>
    <cellStyle name="_Blend plan as of 28-November-06_Usulan Blend Plan BMO 25-03-08_Wadi-Qinfa" xfId="4763"/>
    <cellStyle name="_Blend plan as of 28-November-06_Usulan Blending 27 Mei 2008" xfId="4764"/>
    <cellStyle name="_Blend plan as of 28-November-06_Usulan Blending 27 Mei 2008 2" xfId="4765"/>
    <cellStyle name="_Blend plan as of 28-November-06_Usulan Blending 27 Mei 2008_Wadi-Qinfa" xfId="4766"/>
    <cellStyle name="_Blend plan as of 28-November-06_Usulan Blending Plan 10 jun (2)" xfId="4767"/>
    <cellStyle name="_Blend plan as of 28-November-06_Usulan Blending Plan 10 jun (2) 2" xfId="4768"/>
    <cellStyle name="_Blend plan as of 28-November-06_Usulan Blending Plan 10 jun (2)_Wadi-Qinfa" xfId="4769"/>
    <cellStyle name="_Blend plan as of 28-November-06_Usulan Blending Plan 17 jun (2)" xfId="4770"/>
    <cellStyle name="_Blend plan as of 28-November-06_Usulan Blending Plan 17 jun (2) 2" xfId="4771"/>
    <cellStyle name="_Blend plan as of 28-November-06_Usulan Blending Plan 17 jun (2)_Wadi-Qinfa" xfId="4772"/>
    <cellStyle name="_Blend plan as of 28-November-06_Usulan blending plan 21_05_08" xfId="4773"/>
    <cellStyle name="_Blend plan as of 28-November-06_Usulan blending plan 21_05_08 2" xfId="4774"/>
    <cellStyle name="_Blend plan as of 28-November-06_Usulan blending plan 21_05_08_Wadi-Qinfa" xfId="4775"/>
    <cellStyle name="_Blend plan as of 28-November-06_Usulan blending PlaN 27-05-08" xfId="4776"/>
    <cellStyle name="_Blend plan as of 28-November-06_Usulan blending PlaN 27-05-08 2" xfId="4777"/>
    <cellStyle name="_Blend plan as of 28-November-06_Usulan blending PlaN 27-05-08_Wadi-Qinfa" xfId="4778"/>
    <cellStyle name="_Blend plan as of 28-November-06_Usulan Blending Plan_13 Feb 2008_awl" xfId="4779"/>
    <cellStyle name="_Blend plan as of 28-November-06_Usulan Blending Plan_13 Feb 2008_awl 2" xfId="4780"/>
    <cellStyle name="_Blend plan as of 28-November-06_Usulan Blending Plan_13 Feb 2008_awl_Wadi-Qinfa" xfId="4781"/>
    <cellStyle name="_Blend plan as of 28-November-06_Wadi-Qinfa" xfId="4782"/>
    <cellStyle name="_Blend plan as of 29-August-06" xfId="4783"/>
    <cellStyle name="_Blend plan as of 29-August-06 2" xfId="4784"/>
    <cellStyle name="_Blend plan as of 29-August-06_01  Usulan Blend Plan BMO_220408 (2)" xfId="4785"/>
    <cellStyle name="_Blend plan as of 29-August-06_01  Usulan Blend Plan BMO_220408 (2) 2" xfId="4786"/>
    <cellStyle name="_Blend plan as of 29-August-06_01  Usulan Blend Plan BMO_220408 (2)_Wadi-Qinfa" xfId="4787"/>
    <cellStyle name="_Blend plan as of 29-August-06_Stock Status Jul 29, 2008" xfId="4788"/>
    <cellStyle name="_Blend plan as of 29-August-06_Stock Status Jul 29, 2008 2" xfId="4789"/>
    <cellStyle name="_Blend plan as of 29-August-06_Stock Status Jul 29, 2008_Wadi-Qinfa" xfId="4790"/>
    <cellStyle name="_Blend plan as of 29-August-06_Usulan Blend Plan BMO 11-03-08" xfId="4791"/>
    <cellStyle name="_Blend plan as of 29-August-06_Usulan Blend Plan BMO 11-03-08 2" xfId="4792"/>
    <cellStyle name="_Blend plan as of 29-August-06_Usulan Blend Plan BMO 11-03-08_Wadi-Qinfa" xfId="4793"/>
    <cellStyle name="_Blend plan as of 29-August-06_Usulan Blend Plan BMO 25-03-08" xfId="4794"/>
    <cellStyle name="_Blend plan as of 29-August-06_Usulan Blend Plan BMO 25-03-08 2" xfId="4795"/>
    <cellStyle name="_Blend plan as of 29-August-06_Usulan Blend Plan BMO 25-03-08_Wadi-Qinfa" xfId="4796"/>
    <cellStyle name="_Blend plan as of 29-August-06_Usulan Blending 27 Mei 2008" xfId="4797"/>
    <cellStyle name="_Blend plan as of 29-August-06_Usulan Blending 27 Mei 2008 2" xfId="4798"/>
    <cellStyle name="_Blend plan as of 29-August-06_Usulan Blending 27 Mei 2008_Wadi-Qinfa" xfId="4799"/>
    <cellStyle name="_Blend plan as of 29-August-06_Usulan Blending Plan 10 jun (2)" xfId="4800"/>
    <cellStyle name="_Blend plan as of 29-August-06_Usulan Blending Plan 10 jun (2) 2" xfId="4801"/>
    <cellStyle name="_Blend plan as of 29-August-06_Usulan Blending Plan 10 jun (2)_Wadi-Qinfa" xfId="4802"/>
    <cellStyle name="_Blend plan as of 29-August-06_Usulan Blending Plan 17 jun (2)" xfId="4803"/>
    <cellStyle name="_Blend plan as of 29-August-06_Usulan Blending Plan 17 jun (2) 2" xfId="4804"/>
    <cellStyle name="_Blend plan as of 29-August-06_Usulan Blending Plan 17 jun (2)_Wadi-Qinfa" xfId="4805"/>
    <cellStyle name="_Blend plan as of 29-August-06_Usulan blending plan 21_05_08" xfId="4806"/>
    <cellStyle name="_Blend plan as of 29-August-06_Usulan blending plan 21_05_08 2" xfId="4807"/>
    <cellStyle name="_Blend plan as of 29-August-06_Usulan blending plan 21_05_08_Wadi-Qinfa" xfId="4808"/>
    <cellStyle name="_Blend plan as of 29-August-06_Usulan blending PlaN 27-05-08" xfId="4809"/>
    <cellStyle name="_Blend plan as of 29-August-06_Usulan blending PlaN 27-05-08 2" xfId="4810"/>
    <cellStyle name="_Blend plan as of 29-August-06_Usulan blending PlaN 27-05-08_Wadi-Qinfa" xfId="4811"/>
    <cellStyle name="_Blend plan as of 29-August-06_Usulan Blending Plan_13 Feb 2008_awl" xfId="4812"/>
    <cellStyle name="_Blend plan as of 29-August-06_Usulan Blending Plan_13 Feb 2008_awl 2" xfId="4813"/>
    <cellStyle name="_Blend plan as of 29-August-06_Usulan Blending Plan_13 Feb 2008_awl_Wadi-Qinfa" xfId="4814"/>
    <cellStyle name="_Blend plan as of 29-August-06_Wadi-Qinfa" xfId="4815"/>
    <cellStyle name="_Blend plan as of 29-Mar-05" xfId="4816"/>
    <cellStyle name="_Blend plan as of 29-Mar-05 2" xfId="4817"/>
    <cellStyle name="_Blend plan as of 29-Mar-05_01  Usulan Blend Plan BMO_220408 (2)" xfId="4818"/>
    <cellStyle name="_Blend plan as of 29-Mar-05_01  Usulan Blend Plan BMO_220408 (2) 2" xfId="4819"/>
    <cellStyle name="_Blend plan as of 29-Mar-05_01  Usulan Blend Plan BMO_220408 (2)_Wadi-Qinfa" xfId="4820"/>
    <cellStyle name="_Blend plan as of 29-Mar-05_Stock Status Jul 29, 2008" xfId="4821"/>
    <cellStyle name="_Blend plan as of 29-Mar-05_Stock Status Jul 29, 2008 2" xfId="4822"/>
    <cellStyle name="_Blend plan as of 29-Mar-05_Stock Status Jul 29, 2008_Wadi-Qinfa" xfId="4823"/>
    <cellStyle name="_Blend plan as of 29-Mar-05_Usulan Blend Plan BMO 11-03-08" xfId="4824"/>
    <cellStyle name="_Blend plan as of 29-Mar-05_Usulan Blend Plan BMO 11-03-08 2" xfId="4825"/>
    <cellStyle name="_Blend plan as of 29-Mar-05_Usulan Blend Plan BMO 11-03-08_Wadi-Qinfa" xfId="4826"/>
    <cellStyle name="_Blend plan as of 29-Mar-05_Usulan Blend Plan BMO 25-03-08" xfId="4827"/>
    <cellStyle name="_Blend plan as of 29-Mar-05_Usulan Blend Plan BMO 25-03-08 2" xfId="4828"/>
    <cellStyle name="_Blend plan as of 29-Mar-05_Usulan Blend Plan BMO 25-03-08_Wadi-Qinfa" xfId="4829"/>
    <cellStyle name="_Blend plan as of 29-Mar-05_Usulan Blending 27 Mei 2008" xfId="4830"/>
    <cellStyle name="_Blend plan as of 29-Mar-05_Usulan Blending 27 Mei 2008 2" xfId="4831"/>
    <cellStyle name="_Blend plan as of 29-Mar-05_Usulan Blending 27 Mei 2008_Wadi-Qinfa" xfId="4832"/>
    <cellStyle name="_Blend plan as of 29-Mar-05_Usulan Blending Plan 10 jun (2)" xfId="4833"/>
    <cellStyle name="_Blend plan as of 29-Mar-05_Usulan Blending Plan 10 jun (2) 2" xfId="4834"/>
    <cellStyle name="_Blend plan as of 29-Mar-05_Usulan Blending Plan 10 jun (2)_Wadi-Qinfa" xfId="4835"/>
    <cellStyle name="_Blend plan as of 29-Mar-05_Usulan Blending Plan 17 jun (2)" xfId="4836"/>
    <cellStyle name="_Blend plan as of 29-Mar-05_Usulan Blending Plan 17 jun (2) 2" xfId="4837"/>
    <cellStyle name="_Blend plan as of 29-Mar-05_Usulan Blending Plan 17 jun (2)_Wadi-Qinfa" xfId="4838"/>
    <cellStyle name="_Blend plan as of 29-Mar-05_Usulan blending plan 21_05_08" xfId="4839"/>
    <cellStyle name="_Blend plan as of 29-Mar-05_Usulan blending plan 21_05_08 2" xfId="4840"/>
    <cellStyle name="_Blend plan as of 29-Mar-05_Usulan blending plan 21_05_08_Wadi-Qinfa" xfId="4841"/>
    <cellStyle name="_Blend plan as of 29-Mar-05_Usulan blending PlaN 27-05-08" xfId="4842"/>
    <cellStyle name="_Blend plan as of 29-Mar-05_Usulan blending PlaN 27-05-08 2" xfId="4843"/>
    <cellStyle name="_Blend plan as of 29-Mar-05_Usulan blending PlaN 27-05-08_Wadi-Qinfa" xfId="4844"/>
    <cellStyle name="_Blend plan as of 29-Mar-05_Usulan Blending Plan_13 Feb 2008_awl" xfId="4845"/>
    <cellStyle name="_Blend plan as of 29-Mar-05_Usulan Blending Plan_13 Feb 2008_awl 2" xfId="4846"/>
    <cellStyle name="_Blend plan as of 29-Mar-05_Usulan Blending Plan_13 Feb 2008_awl_Wadi-Qinfa" xfId="4847"/>
    <cellStyle name="_Blend plan as of 29-Mar-05_Wadi-Qinfa" xfId="4848"/>
    <cellStyle name="_Blend plan as of 29-May-2007" xfId="4849"/>
    <cellStyle name="_Blend plan as of 29-May-2007 2" xfId="4850"/>
    <cellStyle name="_Blend plan as of 29-May-2007_01  Usulan Blend Plan BMO_220408 (2)" xfId="4851"/>
    <cellStyle name="_Blend plan as of 29-May-2007_01  Usulan Blend Plan BMO_220408 (2) 2" xfId="4852"/>
    <cellStyle name="_Blend plan as of 29-May-2007_01  Usulan Blend Plan BMO_220408 (2)_Wadi-Qinfa" xfId="4853"/>
    <cellStyle name="_Blend plan as of 29-May-2007_Stock Status Jul 29, 2008" xfId="4854"/>
    <cellStyle name="_Blend plan as of 29-May-2007_Stock Status Jul 29, 2008 2" xfId="4855"/>
    <cellStyle name="_Blend plan as of 29-May-2007_Stock Status Jul 29, 2008_Wadi-Qinfa" xfId="4856"/>
    <cellStyle name="_Blend plan as of 29-May-2007_Usulan Blend Plan BMO 11-03-08" xfId="4857"/>
    <cellStyle name="_Blend plan as of 29-May-2007_Usulan Blend Plan BMO 11-03-08 2" xfId="4858"/>
    <cellStyle name="_Blend plan as of 29-May-2007_Usulan Blend Plan BMO 11-03-08_Wadi-Qinfa" xfId="4859"/>
    <cellStyle name="_Blend plan as of 29-May-2007_Usulan Blend Plan BMO 25-03-08" xfId="4860"/>
    <cellStyle name="_Blend plan as of 29-May-2007_Usulan Blend Plan BMO 25-03-08 2" xfId="4861"/>
    <cellStyle name="_Blend plan as of 29-May-2007_Usulan Blend Plan BMO 25-03-08_Wadi-Qinfa" xfId="4862"/>
    <cellStyle name="_Blend plan as of 29-May-2007_Usulan Blending 27 Mei 2008" xfId="4863"/>
    <cellStyle name="_Blend plan as of 29-May-2007_Usulan Blending 27 Mei 2008 2" xfId="4864"/>
    <cellStyle name="_Blend plan as of 29-May-2007_Usulan Blending 27 Mei 2008_Wadi-Qinfa" xfId="4865"/>
    <cellStyle name="_Blend plan as of 29-May-2007_Usulan Blending Plan 10 jun (2)" xfId="4866"/>
    <cellStyle name="_Blend plan as of 29-May-2007_Usulan Blending Plan 10 jun (2) 2" xfId="4867"/>
    <cellStyle name="_Blend plan as of 29-May-2007_Usulan Blending Plan 10 jun (2)_Wadi-Qinfa" xfId="4868"/>
    <cellStyle name="_Blend plan as of 29-May-2007_Usulan Blending Plan 17 jun (2)" xfId="4869"/>
    <cellStyle name="_Blend plan as of 29-May-2007_Usulan Blending Plan 17 jun (2) 2" xfId="4870"/>
    <cellStyle name="_Blend plan as of 29-May-2007_Usulan Blending Plan 17 jun (2)_Wadi-Qinfa" xfId="4871"/>
    <cellStyle name="_Blend plan as of 29-May-2007_Usulan blending plan 21_05_08" xfId="4872"/>
    <cellStyle name="_Blend plan as of 29-May-2007_Usulan blending plan 21_05_08 2" xfId="4873"/>
    <cellStyle name="_Blend plan as of 29-May-2007_Usulan blending plan 21_05_08_Wadi-Qinfa" xfId="4874"/>
    <cellStyle name="_Blend plan as of 29-May-2007_Usulan blending PlaN 27-05-08" xfId="4875"/>
    <cellStyle name="_Blend plan as of 29-May-2007_Usulan blending PlaN 27-05-08 2" xfId="4876"/>
    <cellStyle name="_Blend plan as of 29-May-2007_Usulan blending PlaN 27-05-08_Wadi-Qinfa" xfId="4877"/>
    <cellStyle name="_Blend plan as of 29-May-2007_Usulan Blending Plan_13 Feb 2008_awl" xfId="4878"/>
    <cellStyle name="_Blend plan as of 29-May-2007_Usulan Blending Plan_13 Feb 2008_awl 2" xfId="4879"/>
    <cellStyle name="_Blend plan as of 29-May-2007_Usulan Blending Plan_13 Feb 2008_awl_Wadi-Qinfa" xfId="4880"/>
    <cellStyle name="_Blend plan as of 29-May-2007_Wadi-Qinfa" xfId="4881"/>
    <cellStyle name="_Blend plan as of 30-august-05" xfId="4882"/>
    <cellStyle name="_Blend plan as of 30-august-05 2" xfId="4883"/>
    <cellStyle name="_Blend plan as of 30-august-05_01  Usulan Blend Plan BMO_220408 (2)" xfId="4884"/>
    <cellStyle name="_Blend plan as of 30-august-05_01  Usulan Blend Plan BMO_220408 (2) 2" xfId="4885"/>
    <cellStyle name="_Blend plan as of 30-august-05_01  Usulan Blend Plan BMO_220408 (2)_Wadi-Qinfa" xfId="4886"/>
    <cellStyle name="_Blend plan as of 30-august-05_Stock Status Jul 29, 2008" xfId="4887"/>
    <cellStyle name="_Blend plan as of 30-august-05_Stock Status Jul 29, 2008 2" xfId="4888"/>
    <cellStyle name="_Blend plan as of 30-august-05_Stock Status Jul 29, 2008_Wadi-Qinfa" xfId="4889"/>
    <cellStyle name="_Blend plan as of 30-august-05_Usulan Blend Plan BMO 11-03-08" xfId="4890"/>
    <cellStyle name="_Blend plan as of 30-august-05_Usulan Blend Plan BMO 11-03-08 2" xfId="4891"/>
    <cellStyle name="_Blend plan as of 30-august-05_Usulan Blend Plan BMO 11-03-08_Wadi-Qinfa" xfId="4892"/>
    <cellStyle name="_Blend plan as of 30-august-05_Usulan Blend Plan BMO 25-03-08" xfId="4893"/>
    <cellStyle name="_Blend plan as of 30-august-05_Usulan Blend Plan BMO 25-03-08 2" xfId="4894"/>
    <cellStyle name="_Blend plan as of 30-august-05_Usulan Blend Plan BMO 25-03-08_Wadi-Qinfa" xfId="4895"/>
    <cellStyle name="_Blend plan as of 30-august-05_Usulan Blending 27 Mei 2008" xfId="4896"/>
    <cellStyle name="_Blend plan as of 30-august-05_Usulan Blending 27 Mei 2008 2" xfId="4897"/>
    <cellStyle name="_Blend plan as of 30-august-05_Usulan Blending 27 Mei 2008_Wadi-Qinfa" xfId="4898"/>
    <cellStyle name="_Blend plan as of 30-august-05_Usulan Blending Plan 10 jun (2)" xfId="4899"/>
    <cellStyle name="_Blend plan as of 30-august-05_Usulan Blending Plan 10 jun (2) 2" xfId="4900"/>
    <cellStyle name="_Blend plan as of 30-august-05_Usulan Blending Plan 10 jun (2)_Wadi-Qinfa" xfId="4901"/>
    <cellStyle name="_Blend plan as of 30-august-05_Usulan Blending Plan 17 jun (2)" xfId="4902"/>
    <cellStyle name="_Blend plan as of 30-august-05_Usulan Blending Plan 17 jun (2) 2" xfId="4903"/>
    <cellStyle name="_Blend plan as of 30-august-05_Usulan Blending Plan 17 jun (2)_Wadi-Qinfa" xfId="4904"/>
    <cellStyle name="_Blend plan as of 30-august-05_Usulan blending plan 21_05_08" xfId="4905"/>
    <cellStyle name="_Blend plan as of 30-august-05_Usulan blending plan 21_05_08 2" xfId="4906"/>
    <cellStyle name="_Blend plan as of 30-august-05_Usulan blending plan 21_05_08_Wadi-Qinfa" xfId="4907"/>
    <cellStyle name="_Blend plan as of 30-august-05_Usulan blending PlaN 27-05-08" xfId="4908"/>
    <cellStyle name="_Blend plan as of 30-august-05_Usulan blending PlaN 27-05-08 2" xfId="4909"/>
    <cellStyle name="_Blend plan as of 30-august-05_Usulan blending PlaN 27-05-08_Wadi-Qinfa" xfId="4910"/>
    <cellStyle name="_Blend plan as of 30-august-05_Usulan Blending Plan_13 Feb 2008_awl" xfId="4911"/>
    <cellStyle name="_Blend plan as of 30-august-05_Usulan Blending Plan_13 Feb 2008_awl 2" xfId="4912"/>
    <cellStyle name="_Blend plan as of 30-august-05_Usulan Blending Plan_13 Feb 2008_awl_Wadi-Qinfa" xfId="4913"/>
    <cellStyle name="_Blend plan as of 30-august-05_Wadi-Qinfa" xfId="4914"/>
    <cellStyle name="_Blend plan as of 30-January-2007" xfId="4915"/>
    <cellStyle name="_Blend plan as of 30-January-2007 2" xfId="4916"/>
    <cellStyle name="_Blend plan as of 30-January-2007_01  Usulan Blend Plan BMO_220408 (2)" xfId="4917"/>
    <cellStyle name="_Blend plan as of 30-January-2007_01  Usulan Blend Plan BMO_220408 (2) 2" xfId="4918"/>
    <cellStyle name="_Blend plan as of 30-January-2007_01  Usulan Blend Plan BMO_220408 (2)_Wadi-Qinfa" xfId="4919"/>
    <cellStyle name="_Blend plan as of 30-January-2007_Stock Status Jul 29, 2008" xfId="4920"/>
    <cellStyle name="_Blend plan as of 30-January-2007_Stock Status Jul 29, 2008 2" xfId="4921"/>
    <cellStyle name="_Blend plan as of 30-January-2007_Stock Status Jul 29, 2008_Wadi-Qinfa" xfId="4922"/>
    <cellStyle name="_Blend plan as of 30-January-2007_Usulan Blend Plan BMO 11-03-08" xfId="4923"/>
    <cellStyle name="_Blend plan as of 30-January-2007_Usulan Blend Plan BMO 11-03-08 2" xfId="4924"/>
    <cellStyle name="_Blend plan as of 30-January-2007_Usulan Blend Plan BMO 11-03-08_Wadi-Qinfa" xfId="4925"/>
    <cellStyle name="_Blend plan as of 30-January-2007_Usulan Blend Plan BMO 25-03-08" xfId="4926"/>
    <cellStyle name="_Blend plan as of 30-January-2007_Usulan Blend Plan BMO 25-03-08 2" xfId="4927"/>
    <cellStyle name="_Blend plan as of 30-January-2007_Usulan Blend Plan BMO 25-03-08_Wadi-Qinfa" xfId="4928"/>
    <cellStyle name="_Blend plan as of 30-January-2007_Usulan Blending 27 Mei 2008" xfId="4929"/>
    <cellStyle name="_Blend plan as of 30-January-2007_Usulan Blending 27 Mei 2008 2" xfId="4930"/>
    <cellStyle name="_Blend plan as of 30-January-2007_Usulan Blending 27 Mei 2008_Wadi-Qinfa" xfId="4931"/>
    <cellStyle name="_Blend plan as of 30-January-2007_Usulan Blending Plan 10 jun (2)" xfId="4932"/>
    <cellStyle name="_Blend plan as of 30-January-2007_Usulan Blending Plan 10 jun (2) 2" xfId="4933"/>
    <cellStyle name="_Blend plan as of 30-January-2007_Usulan Blending Plan 10 jun (2)_Wadi-Qinfa" xfId="4934"/>
    <cellStyle name="_Blend plan as of 30-January-2007_Usulan Blending Plan 17 jun (2)" xfId="4935"/>
    <cellStyle name="_Blend plan as of 30-January-2007_Usulan Blending Plan 17 jun (2) 2" xfId="4936"/>
    <cellStyle name="_Blend plan as of 30-January-2007_Usulan Blending Plan 17 jun (2)_Wadi-Qinfa" xfId="4937"/>
    <cellStyle name="_Blend plan as of 30-January-2007_Usulan blending plan 21_05_08" xfId="4938"/>
    <cellStyle name="_Blend plan as of 30-January-2007_Usulan blending plan 21_05_08 2" xfId="4939"/>
    <cellStyle name="_Blend plan as of 30-January-2007_Usulan blending plan 21_05_08_Wadi-Qinfa" xfId="4940"/>
    <cellStyle name="_Blend plan as of 30-January-2007_Usulan blending PlaN 27-05-08" xfId="4941"/>
    <cellStyle name="_Blend plan as of 30-January-2007_Usulan blending PlaN 27-05-08 2" xfId="4942"/>
    <cellStyle name="_Blend plan as of 30-January-2007_Usulan blending PlaN 27-05-08_Wadi-Qinfa" xfId="4943"/>
    <cellStyle name="_Blend plan as of 30-January-2007_Usulan Blending Plan_13 Feb 2008_awl" xfId="4944"/>
    <cellStyle name="_Blend plan as of 30-January-2007_Usulan Blending Plan_13 Feb 2008_awl 2" xfId="4945"/>
    <cellStyle name="_Blend plan as of 30-January-2007_Usulan Blending Plan_13 Feb 2008_awl_Wadi-Qinfa" xfId="4946"/>
    <cellStyle name="_Blend plan as of 30-January-2007_Wadi-Qinfa" xfId="4947"/>
    <cellStyle name="_Blend plan as of 30-May-06" xfId="4948"/>
    <cellStyle name="_Blend plan as of 30-May-06 2" xfId="4949"/>
    <cellStyle name="_Blend plan as of 30-May-06_01  Usulan Blend Plan BMO_220408 (2)" xfId="4950"/>
    <cellStyle name="_Blend plan as of 30-May-06_01  Usulan Blend Plan BMO_220408 (2) 2" xfId="4951"/>
    <cellStyle name="_Blend plan as of 30-May-06_01  Usulan Blend Plan BMO_220408 (2)_Wadi-Qinfa" xfId="4952"/>
    <cellStyle name="_Blend plan as of 30-May-06_Stock Status Jul 29, 2008" xfId="4953"/>
    <cellStyle name="_Blend plan as of 30-May-06_Stock Status Jul 29, 2008 2" xfId="4954"/>
    <cellStyle name="_Blend plan as of 30-May-06_Stock Status Jul 29, 2008_Wadi-Qinfa" xfId="4955"/>
    <cellStyle name="_Blend plan as of 30-May-06_Usulan Blend Plan BMO 11-03-08" xfId="4956"/>
    <cellStyle name="_Blend plan as of 30-May-06_Usulan Blend Plan BMO 11-03-08 2" xfId="4957"/>
    <cellStyle name="_Blend plan as of 30-May-06_Usulan Blend Plan BMO 11-03-08_Wadi-Qinfa" xfId="4958"/>
    <cellStyle name="_Blend plan as of 30-May-06_Usulan Blend Plan BMO 25-03-08" xfId="4959"/>
    <cellStyle name="_Blend plan as of 30-May-06_Usulan Blend Plan BMO 25-03-08 2" xfId="4960"/>
    <cellStyle name="_Blend plan as of 30-May-06_Usulan Blend Plan BMO 25-03-08_Wadi-Qinfa" xfId="4961"/>
    <cellStyle name="_Blend plan as of 30-May-06_Usulan Blending 27 Mei 2008" xfId="4962"/>
    <cellStyle name="_Blend plan as of 30-May-06_Usulan Blending 27 Mei 2008 2" xfId="4963"/>
    <cellStyle name="_Blend plan as of 30-May-06_Usulan Blending 27 Mei 2008_Wadi-Qinfa" xfId="4964"/>
    <cellStyle name="_Blend plan as of 30-May-06_Usulan Blending Plan 10 jun (2)" xfId="4965"/>
    <cellStyle name="_Blend plan as of 30-May-06_Usulan Blending Plan 10 jun (2) 2" xfId="4966"/>
    <cellStyle name="_Blend plan as of 30-May-06_Usulan Blending Plan 10 jun (2)_Wadi-Qinfa" xfId="4967"/>
    <cellStyle name="_Blend plan as of 30-May-06_Usulan Blending Plan 17 jun (2)" xfId="4968"/>
    <cellStyle name="_Blend plan as of 30-May-06_Usulan Blending Plan 17 jun (2) 2" xfId="4969"/>
    <cellStyle name="_Blend plan as of 30-May-06_Usulan Blending Plan 17 jun (2)_Wadi-Qinfa" xfId="4970"/>
    <cellStyle name="_Blend plan as of 30-May-06_Usulan blending plan 21_05_08" xfId="4971"/>
    <cellStyle name="_Blend plan as of 30-May-06_Usulan blending plan 21_05_08 2" xfId="4972"/>
    <cellStyle name="_Blend plan as of 30-May-06_Usulan blending plan 21_05_08_Wadi-Qinfa" xfId="4973"/>
    <cellStyle name="_Blend plan as of 30-May-06_Usulan blending PlaN 27-05-08" xfId="4974"/>
    <cellStyle name="_Blend plan as of 30-May-06_Usulan blending PlaN 27-05-08 2" xfId="4975"/>
    <cellStyle name="_Blend plan as of 30-May-06_Usulan blending PlaN 27-05-08_Wadi-Qinfa" xfId="4976"/>
    <cellStyle name="_Blend plan as of 30-May-06_Usulan Blending Plan_13 Feb 2008_awl" xfId="4977"/>
    <cellStyle name="_Blend plan as of 30-May-06_Usulan Blending Plan_13 Feb 2008_awl 2" xfId="4978"/>
    <cellStyle name="_Blend plan as of 30-May-06_Usulan Blending Plan_13 Feb 2008_awl_Wadi-Qinfa" xfId="4979"/>
    <cellStyle name="_Blend plan as of 30-May-06_Wadi-Qinfa" xfId="4980"/>
    <cellStyle name="_Blend plan as of 30-Nov-04" xfId="4981"/>
    <cellStyle name="_Blend plan as of 30-Nov-04 2" xfId="4982"/>
    <cellStyle name="_Blend plan as of 30-Nov-04_01  Usulan Blend Plan BMO_220408 (2)" xfId="4983"/>
    <cellStyle name="_Blend plan as of 30-Nov-04_01  Usulan Blend Plan BMO_220408 (2) 2" xfId="4984"/>
    <cellStyle name="_Blend plan as of 30-Nov-04_01  Usulan Blend Plan BMO_220408 (2)_Wadi-Qinfa" xfId="4985"/>
    <cellStyle name="_Blend plan as of 30-Nov-04_Stock Status Jul 29, 2008" xfId="4986"/>
    <cellStyle name="_Blend plan as of 30-Nov-04_Stock Status Jul 29, 2008 2" xfId="4987"/>
    <cellStyle name="_Blend plan as of 30-Nov-04_Stock Status Jul 29, 2008_Wadi-Qinfa" xfId="4988"/>
    <cellStyle name="_Blend plan as of 30-Nov-04_Usulan Blend Plan BMO 11-03-08" xfId="4989"/>
    <cellStyle name="_Blend plan as of 30-Nov-04_Usulan Blend Plan BMO 11-03-08 2" xfId="4990"/>
    <cellStyle name="_Blend plan as of 30-Nov-04_Usulan Blend Plan BMO 11-03-08_Wadi-Qinfa" xfId="4991"/>
    <cellStyle name="_Blend plan as of 30-Nov-04_Usulan Blend Plan BMO 25-03-08" xfId="4992"/>
    <cellStyle name="_Blend plan as of 30-Nov-04_Usulan Blend Plan BMO 25-03-08 2" xfId="4993"/>
    <cellStyle name="_Blend plan as of 30-Nov-04_Usulan Blend Plan BMO 25-03-08_Wadi-Qinfa" xfId="4994"/>
    <cellStyle name="_Blend plan as of 30-Nov-04_Usulan Blending 27 Mei 2008" xfId="4995"/>
    <cellStyle name="_Blend plan as of 30-Nov-04_Usulan Blending 27 Mei 2008 2" xfId="4996"/>
    <cellStyle name="_Blend plan as of 30-Nov-04_Usulan Blending 27 Mei 2008_Wadi-Qinfa" xfId="4997"/>
    <cellStyle name="_Blend plan as of 30-Nov-04_Usulan Blending Plan 10 jun (2)" xfId="4998"/>
    <cellStyle name="_Blend plan as of 30-Nov-04_Usulan Blending Plan 10 jun (2) 2" xfId="4999"/>
    <cellStyle name="_Blend plan as of 30-Nov-04_Usulan Blending Plan 10 jun (2)_Wadi-Qinfa" xfId="5000"/>
    <cellStyle name="_Blend plan as of 30-Nov-04_Usulan Blending Plan 17 jun (2)" xfId="5001"/>
    <cellStyle name="_Blend plan as of 30-Nov-04_Usulan Blending Plan 17 jun (2) 2" xfId="5002"/>
    <cellStyle name="_Blend plan as of 30-Nov-04_Usulan Blending Plan 17 jun (2)_Wadi-Qinfa" xfId="5003"/>
    <cellStyle name="_Blend plan as of 30-Nov-04_Usulan blending plan 21_05_08" xfId="5004"/>
    <cellStyle name="_Blend plan as of 30-Nov-04_Usulan blending plan 21_05_08 2" xfId="5005"/>
    <cellStyle name="_Blend plan as of 30-Nov-04_Usulan blending plan 21_05_08_Wadi-Qinfa" xfId="5006"/>
    <cellStyle name="_Blend plan as of 30-Nov-04_Usulan blending PlaN 27-05-08" xfId="5007"/>
    <cellStyle name="_Blend plan as of 30-Nov-04_Usulan blending PlaN 27-05-08 2" xfId="5008"/>
    <cellStyle name="_Blend plan as of 30-Nov-04_Usulan blending PlaN 27-05-08_Wadi-Qinfa" xfId="5009"/>
    <cellStyle name="_Blend plan as of 30-Nov-04_Usulan Blending Plan_13 Feb 2008_awl" xfId="5010"/>
    <cellStyle name="_Blend plan as of 30-Nov-04_Usulan Blending Plan_13 Feb 2008_awl 2" xfId="5011"/>
    <cellStyle name="_Blend plan as of 30-Nov-04_Usulan Blending Plan_13 Feb 2008_awl_Wadi-Qinfa" xfId="5012"/>
    <cellStyle name="_Blend plan as of 30-Nov-04_Wadi-Qinfa" xfId="5013"/>
    <cellStyle name="_Blend plan as of 31-Juli-2007" xfId="5014"/>
    <cellStyle name="_Blend plan as of 31-Juli-2007 2" xfId="5015"/>
    <cellStyle name="_Blend plan as of 31-Juli-2007_01  Usulan Blend Plan BMO_220408 (2)" xfId="5016"/>
    <cellStyle name="_Blend plan as of 31-Juli-2007_01  Usulan Blend Plan BMO_220408 (2) 2" xfId="5017"/>
    <cellStyle name="_Blend plan as of 31-Juli-2007_01  Usulan Blend Plan BMO_220408 (2)_Wadi-Qinfa" xfId="5018"/>
    <cellStyle name="_Blend plan as of 31-Juli-2007_Stock Status Jul 29, 2008" xfId="5019"/>
    <cellStyle name="_Blend plan as of 31-Juli-2007_Stock Status Jul 29, 2008 2" xfId="5020"/>
    <cellStyle name="_Blend plan as of 31-Juli-2007_Stock Status Jul 29, 2008_Wadi-Qinfa" xfId="5021"/>
    <cellStyle name="_Blend plan as of 31-Juli-2007_Usulan Blend Plan BMO 11-03-08" xfId="5022"/>
    <cellStyle name="_Blend plan as of 31-Juli-2007_Usulan Blend Plan BMO 11-03-08 2" xfId="5023"/>
    <cellStyle name="_Blend plan as of 31-Juli-2007_Usulan Blend Plan BMO 11-03-08_Wadi-Qinfa" xfId="5024"/>
    <cellStyle name="_Blend plan as of 31-Juli-2007_Usulan Blend Plan BMO 25-03-08" xfId="5025"/>
    <cellStyle name="_Blend plan as of 31-Juli-2007_Usulan Blend Plan BMO 25-03-08 2" xfId="5026"/>
    <cellStyle name="_Blend plan as of 31-Juli-2007_Usulan Blend Plan BMO 25-03-08_Wadi-Qinfa" xfId="5027"/>
    <cellStyle name="_Blend plan as of 31-Juli-2007_Usulan Blending 27 Mei 2008" xfId="5028"/>
    <cellStyle name="_Blend plan as of 31-Juli-2007_Usulan Blending 27 Mei 2008 2" xfId="5029"/>
    <cellStyle name="_Blend plan as of 31-Juli-2007_Usulan Blending 27 Mei 2008_Wadi-Qinfa" xfId="5030"/>
    <cellStyle name="_Blend plan as of 31-Juli-2007_Usulan Blending Plan 10 jun (2)" xfId="5031"/>
    <cellStyle name="_Blend plan as of 31-Juli-2007_Usulan Blending Plan 10 jun (2) 2" xfId="5032"/>
    <cellStyle name="_Blend plan as of 31-Juli-2007_Usulan Blending Plan 10 jun (2)_Wadi-Qinfa" xfId="5033"/>
    <cellStyle name="_Blend plan as of 31-Juli-2007_Usulan Blending Plan 17 jun (2)" xfId="5034"/>
    <cellStyle name="_Blend plan as of 31-Juli-2007_Usulan Blending Plan 17 jun (2) 2" xfId="5035"/>
    <cellStyle name="_Blend plan as of 31-Juli-2007_Usulan Blending Plan 17 jun (2)_Wadi-Qinfa" xfId="5036"/>
    <cellStyle name="_Blend plan as of 31-Juli-2007_Usulan blending plan 21_05_08" xfId="5037"/>
    <cellStyle name="_Blend plan as of 31-Juli-2007_Usulan blending plan 21_05_08 2" xfId="5038"/>
    <cellStyle name="_Blend plan as of 31-Juli-2007_Usulan blending plan 21_05_08_Wadi-Qinfa" xfId="5039"/>
    <cellStyle name="_Blend plan as of 31-Juli-2007_Usulan blending PlaN 27-05-08" xfId="5040"/>
    <cellStyle name="_Blend plan as of 31-Juli-2007_Usulan blending PlaN 27-05-08 2" xfId="5041"/>
    <cellStyle name="_Blend plan as of 31-Juli-2007_Usulan blending PlaN 27-05-08_Wadi-Qinfa" xfId="5042"/>
    <cellStyle name="_Blend plan as of 31-Juli-2007_Usulan Blending Plan_13 Feb 2008_awl" xfId="5043"/>
    <cellStyle name="_Blend plan as of 31-Juli-2007_Usulan Blending Plan_13 Feb 2008_awl 2" xfId="5044"/>
    <cellStyle name="_Blend plan as of 31-Juli-2007_Usulan Blending Plan_13 Feb 2008_awl_Wadi-Qinfa" xfId="5045"/>
    <cellStyle name="_Blend plan as of 31-Juli-2007_Wadi-Qinfa" xfId="5046"/>
    <cellStyle name="_Blend plan as of 31-May-05" xfId="5047"/>
    <cellStyle name="_Blend plan as of 31-May-05 2" xfId="5048"/>
    <cellStyle name="_Blend plan as of 31-May-05_01  Usulan Blend Plan BMO_220408 (2)" xfId="5049"/>
    <cellStyle name="_Blend plan as of 31-May-05_01  Usulan Blend Plan BMO_220408 (2) 2" xfId="5050"/>
    <cellStyle name="_Blend plan as of 31-May-05_01  Usulan Blend Plan BMO_220408 (2)_Wadi-Qinfa" xfId="5051"/>
    <cellStyle name="_Blend plan as of 31-May-05_Stock Status Jul 29, 2008" xfId="5052"/>
    <cellStyle name="_Blend plan as of 31-May-05_Stock Status Jul 29, 2008 2" xfId="5053"/>
    <cellStyle name="_Blend plan as of 31-May-05_Stock Status Jul 29, 2008_Wadi-Qinfa" xfId="5054"/>
    <cellStyle name="_Blend plan as of 31-May-05_Usulan Blend Plan BMO 11-03-08" xfId="5055"/>
    <cellStyle name="_Blend plan as of 31-May-05_Usulan Blend Plan BMO 11-03-08 2" xfId="5056"/>
    <cellStyle name="_Blend plan as of 31-May-05_Usulan Blend Plan BMO 11-03-08_Wadi-Qinfa" xfId="5057"/>
    <cellStyle name="_Blend plan as of 31-May-05_Usulan Blend Plan BMO 25-03-08" xfId="5058"/>
    <cellStyle name="_Blend plan as of 31-May-05_Usulan Blend Plan BMO 25-03-08 2" xfId="5059"/>
    <cellStyle name="_Blend plan as of 31-May-05_Usulan Blend Plan BMO 25-03-08_Wadi-Qinfa" xfId="5060"/>
    <cellStyle name="_Blend plan as of 31-May-05_Usulan Blending 27 Mei 2008" xfId="5061"/>
    <cellStyle name="_Blend plan as of 31-May-05_Usulan Blending 27 Mei 2008 2" xfId="5062"/>
    <cellStyle name="_Blend plan as of 31-May-05_Usulan Blending 27 Mei 2008_Wadi-Qinfa" xfId="5063"/>
    <cellStyle name="_Blend plan as of 31-May-05_Usulan Blending Plan 10 jun (2)" xfId="5064"/>
    <cellStyle name="_Blend plan as of 31-May-05_Usulan Blending Plan 10 jun (2) 2" xfId="5065"/>
    <cellStyle name="_Blend plan as of 31-May-05_Usulan Blending Plan 10 jun (2)_Wadi-Qinfa" xfId="5066"/>
    <cellStyle name="_Blend plan as of 31-May-05_Usulan Blending Plan 17 jun (2)" xfId="5067"/>
    <cellStyle name="_Blend plan as of 31-May-05_Usulan Blending Plan 17 jun (2) 2" xfId="5068"/>
    <cellStyle name="_Blend plan as of 31-May-05_Usulan Blending Plan 17 jun (2)_Wadi-Qinfa" xfId="5069"/>
    <cellStyle name="_Blend plan as of 31-May-05_Usulan blending plan 21_05_08" xfId="5070"/>
    <cellStyle name="_Blend plan as of 31-May-05_Usulan blending plan 21_05_08 2" xfId="5071"/>
    <cellStyle name="_Blend plan as of 31-May-05_Usulan blending plan 21_05_08_Wadi-Qinfa" xfId="5072"/>
    <cellStyle name="_Blend plan as of 31-May-05_Usulan blending PlaN 27-05-08" xfId="5073"/>
    <cellStyle name="_Blend plan as of 31-May-05_Usulan blending PlaN 27-05-08 2" xfId="5074"/>
    <cellStyle name="_Blend plan as of 31-May-05_Usulan blending PlaN 27-05-08_Wadi-Qinfa" xfId="5075"/>
    <cellStyle name="_Blend plan as of 31-May-05_Usulan Blending Plan_13 Feb 2008_awl" xfId="5076"/>
    <cellStyle name="_Blend plan as of 31-May-05_Usulan Blending Plan_13 Feb 2008_awl 2" xfId="5077"/>
    <cellStyle name="_Blend plan as of 31-May-05_Usulan Blending Plan_13 Feb 2008_awl_Wadi-Qinfa" xfId="5078"/>
    <cellStyle name="_Blend plan as of 31-May-05_Wadi-Qinfa" xfId="5079"/>
    <cellStyle name="_Blend plan as of 31-October-06" xfId="5080"/>
    <cellStyle name="_Blend plan as of 31-October-06 2" xfId="5081"/>
    <cellStyle name="_Blend plan as of 31-October-06_01  Usulan Blend Plan BMO_220408 (2)" xfId="5082"/>
    <cellStyle name="_Blend plan as of 31-October-06_01  Usulan Blend Plan BMO_220408 (2) 2" xfId="5083"/>
    <cellStyle name="_Blend plan as of 31-October-06_01  Usulan Blend Plan BMO_220408 (2)_Wadi-Qinfa" xfId="5084"/>
    <cellStyle name="_Blend plan as of 31-October-06_Stock Status Jul 29, 2008" xfId="5085"/>
    <cellStyle name="_Blend plan as of 31-October-06_Stock Status Jul 29, 2008 2" xfId="5086"/>
    <cellStyle name="_Blend plan as of 31-October-06_Stock Status Jul 29, 2008_Wadi-Qinfa" xfId="5087"/>
    <cellStyle name="_Blend plan as of 31-October-06_Usulan Blend Plan BMO 11-03-08" xfId="5088"/>
    <cellStyle name="_Blend plan as of 31-October-06_Usulan Blend Plan BMO 11-03-08 2" xfId="5089"/>
    <cellStyle name="_Blend plan as of 31-October-06_Usulan Blend Plan BMO 11-03-08_Wadi-Qinfa" xfId="5090"/>
    <cellStyle name="_Blend plan as of 31-October-06_Usulan Blend Plan BMO 25-03-08" xfId="5091"/>
    <cellStyle name="_Blend plan as of 31-October-06_Usulan Blend Plan BMO 25-03-08 2" xfId="5092"/>
    <cellStyle name="_Blend plan as of 31-October-06_Usulan Blend Plan BMO 25-03-08_Wadi-Qinfa" xfId="5093"/>
    <cellStyle name="_Blend plan as of 31-October-06_Usulan Blending 27 Mei 2008" xfId="5094"/>
    <cellStyle name="_Blend plan as of 31-October-06_Usulan Blending 27 Mei 2008 2" xfId="5095"/>
    <cellStyle name="_Blend plan as of 31-October-06_Usulan Blending 27 Mei 2008_Wadi-Qinfa" xfId="5096"/>
    <cellStyle name="_Blend plan as of 31-October-06_Usulan Blending Plan 10 jun (2)" xfId="5097"/>
    <cellStyle name="_Blend plan as of 31-October-06_Usulan Blending Plan 10 jun (2) 2" xfId="5098"/>
    <cellStyle name="_Blend plan as of 31-October-06_Usulan Blending Plan 10 jun (2)_Wadi-Qinfa" xfId="5099"/>
    <cellStyle name="_Blend plan as of 31-October-06_Usulan Blending Plan 17 jun (2)" xfId="5100"/>
    <cellStyle name="_Blend plan as of 31-October-06_Usulan Blending Plan 17 jun (2) 2" xfId="5101"/>
    <cellStyle name="_Blend plan as of 31-October-06_Usulan Blending Plan 17 jun (2)_Wadi-Qinfa" xfId="5102"/>
    <cellStyle name="_Blend plan as of 31-October-06_Usulan blending plan 21_05_08" xfId="5103"/>
    <cellStyle name="_Blend plan as of 31-October-06_Usulan blending plan 21_05_08 2" xfId="5104"/>
    <cellStyle name="_Blend plan as of 31-October-06_Usulan blending plan 21_05_08_Wadi-Qinfa" xfId="5105"/>
    <cellStyle name="_Blend plan as of 31-October-06_Usulan blending PlaN 27-05-08" xfId="5106"/>
    <cellStyle name="_Blend plan as of 31-October-06_Usulan blending PlaN 27-05-08 2" xfId="5107"/>
    <cellStyle name="_Blend plan as of 31-October-06_Usulan blending PlaN 27-05-08_Wadi-Qinfa" xfId="5108"/>
    <cellStyle name="_Blend plan as of 31-October-06_Usulan Blending Plan_13 Feb 2008_awl" xfId="5109"/>
    <cellStyle name="_Blend plan as of 31-October-06_Usulan Blending Plan_13 Feb 2008_awl 2" xfId="5110"/>
    <cellStyle name="_Blend plan as of 31-October-06_Usulan Blending Plan_13 Feb 2008_awl_Wadi-Qinfa" xfId="5111"/>
    <cellStyle name="_Blend plan as of 31-October-06_Wadi-Qinfa" xfId="5112"/>
    <cellStyle name="_Blend plan as of 4-September-2007" xfId="5113"/>
    <cellStyle name="_Blend plan as of 4-September-2007 2" xfId="5114"/>
    <cellStyle name="_Blend plan as of 4-September-2007_01  Usulan Blend Plan BMO_220408 (2)" xfId="5115"/>
    <cellStyle name="_Blend plan as of 4-September-2007_01  Usulan Blend Plan BMO_220408 (2) 2" xfId="5116"/>
    <cellStyle name="_Blend plan as of 4-September-2007_01  Usulan Blend Plan BMO_220408 (2)_Wadi-Qinfa" xfId="5117"/>
    <cellStyle name="_Blend plan as of 4-September-2007_Stock Status Jul 29, 2008" xfId="5118"/>
    <cellStyle name="_Blend plan as of 4-September-2007_Stock Status Jul 29, 2008 2" xfId="5119"/>
    <cellStyle name="_Blend plan as of 4-September-2007_Stock Status Jul 29, 2008_Wadi-Qinfa" xfId="5120"/>
    <cellStyle name="_Blend plan as of 4-September-2007_Usulan Blend Plan BMO 11-03-08" xfId="5121"/>
    <cellStyle name="_Blend plan as of 4-September-2007_Usulan Blend Plan BMO 11-03-08 2" xfId="5122"/>
    <cellStyle name="_Blend plan as of 4-September-2007_Usulan Blend Plan BMO 11-03-08_Wadi-Qinfa" xfId="5123"/>
    <cellStyle name="_Blend plan as of 4-September-2007_Usulan Blend Plan BMO 25-03-08" xfId="5124"/>
    <cellStyle name="_Blend plan as of 4-September-2007_Usulan Blend Plan BMO 25-03-08 2" xfId="5125"/>
    <cellStyle name="_Blend plan as of 4-September-2007_Usulan Blend Plan BMO 25-03-08_Wadi-Qinfa" xfId="5126"/>
    <cellStyle name="_Blend plan as of 4-September-2007_Usulan Blending 27 Mei 2008" xfId="5127"/>
    <cellStyle name="_Blend plan as of 4-September-2007_Usulan Blending 27 Mei 2008 2" xfId="5128"/>
    <cellStyle name="_Blend plan as of 4-September-2007_Usulan Blending 27 Mei 2008_Wadi-Qinfa" xfId="5129"/>
    <cellStyle name="_Blend plan as of 4-September-2007_Usulan Blending Plan 10 jun (2)" xfId="5130"/>
    <cellStyle name="_Blend plan as of 4-September-2007_Usulan Blending Plan 10 jun (2) 2" xfId="5131"/>
    <cellStyle name="_Blend plan as of 4-September-2007_Usulan Blending Plan 10 jun (2)_Wadi-Qinfa" xfId="5132"/>
    <cellStyle name="_Blend plan as of 4-September-2007_Usulan Blending Plan 17 jun (2)" xfId="5133"/>
    <cellStyle name="_Blend plan as of 4-September-2007_Usulan Blending Plan 17 jun (2) 2" xfId="5134"/>
    <cellStyle name="_Blend plan as of 4-September-2007_Usulan Blending Plan 17 jun (2)_Wadi-Qinfa" xfId="5135"/>
    <cellStyle name="_Blend plan as of 4-September-2007_Usulan blending plan 21_05_08" xfId="5136"/>
    <cellStyle name="_Blend plan as of 4-September-2007_Usulan blending plan 21_05_08 2" xfId="5137"/>
    <cellStyle name="_Blend plan as of 4-September-2007_Usulan blending plan 21_05_08_Wadi-Qinfa" xfId="5138"/>
    <cellStyle name="_Blend plan as of 4-September-2007_Usulan blending PlaN 27-05-08" xfId="5139"/>
    <cellStyle name="_Blend plan as of 4-September-2007_Usulan blending PlaN 27-05-08 2" xfId="5140"/>
    <cellStyle name="_Blend plan as of 4-September-2007_Usulan blending PlaN 27-05-08_Wadi-Qinfa" xfId="5141"/>
    <cellStyle name="_Blend plan as of 4-September-2007_Usulan Blending Plan_13 Feb 2008_awl" xfId="5142"/>
    <cellStyle name="_Blend plan as of 4-September-2007_Usulan Blending Plan_13 Feb 2008_awl 2" xfId="5143"/>
    <cellStyle name="_Blend plan as of 4-September-2007_Usulan Blending Plan_13 Feb 2008_awl_Wadi-Qinfa" xfId="5144"/>
    <cellStyle name="_Blend plan as of 4-September-2007_Wadi-Qinfa" xfId="5145"/>
    <cellStyle name="_Blend plan as of 8-May-2007" xfId="5146"/>
    <cellStyle name="_Blend plan as of 8-May-2007 2" xfId="5147"/>
    <cellStyle name="_Blend plan as of 8-May-2007_01  Usulan Blend Plan BMO_220408 (2)" xfId="5148"/>
    <cellStyle name="_Blend plan as of 8-May-2007_01  Usulan Blend Plan BMO_220408 (2) 2" xfId="5149"/>
    <cellStyle name="_Blend plan as of 8-May-2007_01  Usulan Blend Plan BMO_220408 (2)_Wadi-Qinfa" xfId="5150"/>
    <cellStyle name="_Blend plan as of 8-May-2007_Stock Status Jul 29, 2008" xfId="5151"/>
    <cellStyle name="_Blend plan as of 8-May-2007_Stock Status Jul 29, 2008 2" xfId="5152"/>
    <cellStyle name="_Blend plan as of 8-May-2007_Stock Status Jul 29, 2008_Wadi-Qinfa" xfId="5153"/>
    <cellStyle name="_Blend plan as of 8-May-2007_Usulan Blend Plan BMO 11-03-08" xfId="5154"/>
    <cellStyle name="_Blend plan as of 8-May-2007_Usulan Blend Plan BMO 11-03-08 2" xfId="5155"/>
    <cellStyle name="_Blend plan as of 8-May-2007_Usulan Blend Plan BMO 11-03-08_Wadi-Qinfa" xfId="5156"/>
    <cellStyle name="_Blend plan as of 8-May-2007_Usulan Blend Plan BMO 25-03-08" xfId="5157"/>
    <cellStyle name="_Blend plan as of 8-May-2007_Usulan Blend Plan BMO 25-03-08 2" xfId="5158"/>
    <cellStyle name="_Blend plan as of 8-May-2007_Usulan Blend Plan BMO 25-03-08_Wadi-Qinfa" xfId="5159"/>
    <cellStyle name="_Blend plan as of 8-May-2007_Usulan Blending 27 Mei 2008" xfId="5160"/>
    <cellStyle name="_Blend plan as of 8-May-2007_Usulan Blending 27 Mei 2008 2" xfId="5161"/>
    <cellStyle name="_Blend plan as of 8-May-2007_Usulan Blending 27 Mei 2008_Wadi-Qinfa" xfId="5162"/>
    <cellStyle name="_Blend plan as of 8-May-2007_Usulan Blending Plan 10 jun (2)" xfId="5163"/>
    <cellStyle name="_Blend plan as of 8-May-2007_Usulan Blending Plan 10 jun (2) 2" xfId="5164"/>
    <cellStyle name="_Blend plan as of 8-May-2007_Usulan Blending Plan 10 jun (2)_Wadi-Qinfa" xfId="5165"/>
    <cellStyle name="_Blend plan as of 8-May-2007_Usulan Blending Plan 17 jun (2)" xfId="5166"/>
    <cellStyle name="_Blend plan as of 8-May-2007_Usulan Blending Plan 17 jun (2) 2" xfId="5167"/>
    <cellStyle name="_Blend plan as of 8-May-2007_Usulan Blending Plan 17 jun (2)_Wadi-Qinfa" xfId="5168"/>
    <cellStyle name="_Blend plan as of 8-May-2007_Usulan blending plan 21_05_08" xfId="5169"/>
    <cellStyle name="_Blend plan as of 8-May-2007_Usulan blending plan 21_05_08 2" xfId="5170"/>
    <cellStyle name="_Blend plan as of 8-May-2007_Usulan blending plan 21_05_08_Wadi-Qinfa" xfId="5171"/>
    <cellStyle name="_Blend plan as of 8-May-2007_Usulan blending PlaN 27-05-08" xfId="5172"/>
    <cellStyle name="_Blend plan as of 8-May-2007_Usulan blending PlaN 27-05-08 2" xfId="5173"/>
    <cellStyle name="_Blend plan as of 8-May-2007_Usulan blending PlaN 27-05-08_Wadi-Qinfa" xfId="5174"/>
    <cellStyle name="_Blend plan as of 8-May-2007_Usulan Blending Plan_13 Feb 2008_awl" xfId="5175"/>
    <cellStyle name="_Blend plan as of 8-May-2007_Usulan Blending Plan_13 Feb 2008_awl 2" xfId="5176"/>
    <cellStyle name="_Blend plan as of 8-May-2007_Usulan Blending Plan_13 Feb 2008_awl_Wadi-Qinfa" xfId="5177"/>
    <cellStyle name="_Blend plan as of 8-May-2007_Wadi-Qinfa" xfId="5178"/>
    <cellStyle name="_Blending Plan 2006" xfId="5179"/>
    <cellStyle name="_Blending Plan 2006 2" xfId="5180"/>
    <cellStyle name="_Blending Plan 2006_01  Usulan Blend Plan BMO_220408 (2)" xfId="5181"/>
    <cellStyle name="_Blending Plan 2006_01  Usulan Blend Plan BMO_220408 (2) 2" xfId="5182"/>
    <cellStyle name="_Blending Plan 2006_01  Usulan Blend Plan BMO_220408 (2)_Wadi-Qinfa" xfId="5183"/>
    <cellStyle name="_Blending Plan 2006_Stock Status Jul 29, 2008" xfId="5184"/>
    <cellStyle name="_Blending Plan 2006_Stock Status Jul 29, 2008 2" xfId="5185"/>
    <cellStyle name="_Blending Plan 2006_Stock Status Jul 29, 2008_Wadi-Qinfa" xfId="5186"/>
    <cellStyle name="_Blending Plan 2006_Usulan Blend Plan BMO 11-03-08" xfId="5187"/>
    <cellStyle name="_Blending Plan 2006_Usulan Blend Plan BMO 11-03-08 2" xfId="5188"/>
    <cellStyle name="_Blending Plan 2006_Usulan Blend Plan BMO 11-03-08_Wadi-Qinfa" xfId="5189"/>
    <cellStyle name="_Blending Plan 2006_Usulan Blend Plan BMO 25-03-08" xfId="5190"/>
    <cellStyle name="_Blending Plan 2006_Usulan Blend Plan BMO 25-03-08 2" xfId="5191"/>
    <cellStyle name="_Blending Plan 2006_Usulan Blend Plan BMO 25-03-08_Wadi-Qinfa" xfId="5192"/>
    <cellStyle name="_Blending Plan 2006_Usulan Blending 27 Mei 2008" xfId="5193"/>
    <cellStyle name="_Blending Plan 2006_Usulan Blending 27 Mei 2008 2" xfId="5194"/>
    <cellStyle name="_Blending Plan 2006_Usulan Blending 27 Mei 2008_Wadi-Qinfa" xfId="5195"/>
    <cellStyle name="_Blending Plan 2006_Usulan Blending Plan 10 jun (2)" xfId="5196"/>
    <cellStyle name="_Blending Plan 2006_Usulan Blending Plan 10 jun (2) 2" xfId="5197"/>
    <cellStyle name="_Blending Plan 2006_Usulan Blending Plan 10 jun (2)_Wadi-Qinfa" xfId="5198"/>
    <cellStyle name="_Blending Plan 2006_Usulan Blending Plan 17 jun (2)" xfId="5199"/>
    <cellStyle name="_Blending Plan 2006_Usulan Blending Plan 17 jun (2) 2" xfId="5200"/>
    <cellStyle name="_Blending Plan 2006_Usulan Blending Plan 17 jun (2)_Wadi-Qinfa" xfId="5201"/>
    <cellStyle name="_Blending Plan 2006_Usulan blending plan 21_05_08" xfId="5202"/>
    <cellStyle name="_Blending Plan 2006_Usulan blending plan 21_05_08 2" xfId="5203"/>
    <cellStyle name="_Blending Plan 2006_Usulan blending plan 21_05_08_Wadi-Qinfa" xfId="5204"/>
    <cellStyle name="_Blending Plan 2006_Usulan blending PlaN 27-05-08" xfId="5205"/>
    <cellStyle name="_Blending Plan 2006_Usulan blending PlaN 27-05-08 2" xfId="5206"/>
    <cellStyle name="_Blending Plan 2006_Usulan blending PlaN 27-05-08_Wadi-Qinfa" xfId="5207"/>
    <cellStyle name="_Blending Plan 2006_Usulan Blending Plan_13 Feb 2008_awl" xfId="5208"/>
    <cellStyle name="_Blending Plan 2006_Usulan Blending Plan_13 Feb 2008_awl 2" xfId="5209"/>
    <cellStyle name="_Blending Plan 2006_Usulan Blending Plan_13 Feb 2008_awl_Wadi-Qinfa" xfId="5210"/>
    <cellStyle name="_Blending Plan 2006_Wadi-Qinfa" xfId="5211"/>
    <cellStyle name="_Blending Plan MV  Xin Zhejiang - Komipo Agathis" xfId="5212"/>
    <cellStyle name="_Blending Plan MV  Xin Zhejiang - Komipo Agathis 2" xfId="5213"/>
    <cellStyle name="_Blending Plan MV  Xin Zhejiang - Komipo Agathis_01  Usulan Blend Plan BMO_220408 (2)" xfId="5214"/>
    <cellStyle name="_Blending Plan MV  Xin Zhejiang - Komipo Agathis_01  Usulan Blend Plan BMO_220408 (2) 2" xfId="5215"/>
    <cellStyle name="_Blending Plan MV  Xin Zhejiang - Komipo Agathis_01  Usulan Blend Plan BMO_220408 (2)_Wadi-Qinfa" xfId="5216"/>
    <cellStyle name="_Blending Plan MV  Xin Zhejiang - Komipo Agathis_Stock Status Jul 29, 2008" xfId="5217"/>
    <cellStyle name="_Blending Plan MV  Xin Zhejiang - Komipo Agathis_Stock Status Jul 29, 2008 2" xfId="5218"/>
    <cellStyle name="_Blending Plan MV  Xin Zhejiang - Komipo Agathis_Stock Status Jul 29, 2008_Wadi-Qinfa" xfId="5219"/>
    <cellStyle name="_Blending Plan MV  Xin Zhejiang - Komipo Agathis_Usulan Blend Plan BMO 11-03-08" xfId="5220"/>
    <cellStyle name="_Blending Plan MV  Xin Zhejiang - Komipo Agathis_Usulan Blend Plan BMO 11-03-08 2" xfId="5221"/>
    <cellStyle name="_Blending Plan MV  Xin Zhejiang - Komipo Agathis_Usulan Blend Plan BMO 11-03-08_Wadi-Qinfa" xfId="5222"/>
    <cellStyle name="_Blending Plan MV  Xin Zhejiang - Komipo Agathis_Usulan Blend Plan BMO 25-03-08" xfId="5223"/>
    <cellStyle name="_Blending Plan MV  Xin Zhejiang - Komipo Agathis_Usulan Blend Plan BMO 25-03-08 2" xfId="5224"/>
    <cellStyle name="_Blending Plan MV  Xin Zhejiang - Komipo Agathis_Usulan Blend Plan BMO 25-03-08_Wadi-Qinfa" xfId="5225"/>
    <cellStyle name="_Blending Plan MV  Xin Zhejiang - Komipo Agathis_Usulan Blending 27 Mei 2008" xfId="5226"/>
    <cellStyle name="_Blending Plan MV  Xin Zhejiang - Komipo Agathis_Usulan Blending 27 Mei 2008 2" xfId="5227"/>
    <cellStyle name="_Blending Plan MV  Xin Zhejiang - Komipo Agathis_Usulan Blending 27 Mei 2008_Wadi-Qinfa" xfId="5228"/>
    <cellStyle name="_Blending Plan MV  Xin Zhejiang - Komipo Agathis_Usulan Blending Plan 10 jun (2)" xfId="5229"/>
    <cellStyle name="_Blending Plan MV  Xin Zhejiang - Komipo Agathis_Usulan Blending Plan 10 jun (2) 2" xfId="5230"/>
    <cellStyle name="_Blending Plan MV  Xin Zhejiang - Komipo Agathis_Usulan Blending Plan 10 jun (2)_Wadi-Qinfa" xfId="5231"/>
    <cellStyle name="_Blending Plan MV  Xin Zhejiang - Komipo Agathis_Usulan Blending Plan 17 jun (2)" xfId="5232"/>
    <cellStyle name="_Blending Plan MV  Xin Zhejiang - Komipo Agathis_Usulan Blending Plan 17 jun (2) 2" xfId="5233"/>
    <cellStyle name="_Blending Plan MV  Xin Zhejiang - Komipo Agathis_Usulan Blending Plan 17 jun (2)_Wadi-Qinfa" xfId="5234"/>
    <cellStyle name="_Blending Plan MV  Xin Zhejiang - Komipo Agathis_Usulan blending plan 21_05_08" xfId="5235"/>
    <cellStyle name="_Blending Plan MV  Xin Zhejiang - Komipo Agathis_Usulan blending plan 21_05_08 2" xfId="5236"/>
    <cellStyle name="_Blending Plan MV  Xin Zhejiang - Komipo Agathis_Usulan blending plan 21_05_08_Wadi-Qinfa" xfId="5237"/>
    <cellStyle name="_Blending Plan MV  Xin Zhejiang - Komipo Agathis_Usulan blending PlaN 27-05-08" xfId="5238"/>
    <cellStyle name="_Blending Plan MV  Xin Zhejiang - Komipo Agathis_Usulan blending PlaN 27-05-08 2" xfId="5239"/>
    <cellStyle name="_Blending Plan MV  Xin Zhejiang - Komipo Agathis_Usulan blending PlaN 27-05-08_Wadi-Qinfa" xfId="5240"/>
    <cellStyle name="_Blending Plan MV  Xin Zhejiang - Komipo Agathis_Usulan Blending Plan_13 Feb 2008_awl" xfId="5241"/>
    <cellStyle name="_Blending Plan MV  Xin Zhejiang - Komipo Agathis_Usulan Blending Plan_13 Feb 2008_awl 2" xfId="5242"/>
    <cellStyle name="_Blending Plan MV  Xin Zhejiang - Komipo Agathis_Usulan Blending Plan_13 Feb 2008_awl_Wadi-Qinfa" xfId="5243"/>
    <cellStyle name="_Blending Plan MV  Xin Zhejiang - Komipo Agathis_Wadi-Qinfa" xfId="5244"/>
    <cellStyle name="_Book1" xfId="5245"/>
    <cellStyle name="_Book2" xfId="5246"/>
    <cellStyle name="_Book2 2" xfId="5247"/>
    <cellStyle name="_Book2_Listing LV" xfId="5248"/>
    <cellStyle name="_Book2_Master-Monitoring CIP 08-JAN.FINALxls" xfId="5249"/>
    <cellStyle name="_Book2_Master-Monitoring CIP 08-JAN.FINALxls 2" xfId="5250"/>
    <cellStyle name="_Book2_Master-Monitoring CIP 08-JAN.FINALxls_analisis variance" xfId="5251"/>
    <cellStyle name="_Book2_Master-Monitoring CIP 08-JAN.FINALxls_analisis variance 2" xfId="5252"/>
    <cellStyle name="_Book2_Master-Monitoring CIP 08-JAN.FINALxls_CIP_0208" xfId="5253"/>
    <cellStyle name="_Book2_Master-Monitoring CIP 08-JAN.FINALxls_CIP_0208 2" xfId="5254"/>
    <cellStyle name="_Book2_Master-Monitoring CIP 08-JAN.FINALxls_CIP-INVESTASI-0208-4YHU" xfId="5255"/>
    <cellStyle name="_Book2_Master-Monitoring CIP 08-JAN.FINALxls_CIP-INVESTASI-0208-4YHU 2" xfId="5256"/>
    <cellStyle name="_Book2_REPORT CIP+NONCIP_JAN08-YHU.-Lengkap" xfId="5257"/>
    <cellStyle name="_Book2_REPORT CIP+NONCIP_JAN08-YHU.-Lengkap 2" xfId="5258"/>
    <cellStyle name="_Book2_REPORT CIP+NONCIP_JAN08-YHU.-Lengkap_1" xfId="5259"/>
    <cellStyle name="_Book2_REPORT CIP+NONCIP_JAN08-YHU.-Lengkap_1 2" xfId="5260"/>
    <cellStyle name="_Book2_REPORT CIP+NONCIP_JAN08-YHU.-Lengkap_analisis variance" xfId="5261"/>
    <cellStyle name="_Book2_REPORT CIP+NONCIP_JAN08-YHU.-Lengkap_analisis variance 2" xfId="5262"/>
    <cellStyle name="_Book2_REPORT CIP+NONCIP_JAN08-YHU.-Lengkap_CIP_0208" xfId="5263"/>
    <cellStyle name="_Book2_REPORT CIP+NONCIP_JAN08-YHU.-Lengkap_CIP_0208 2" xfId="5264"/>
    <cellStyle name="_Book2_REPORT CIP+NONCIP_JAN08-YHU.-Lengkap_CIP-INVESTASI-0208-4YHU" xfId="5265"/>
    <cellStyle name="_Book2_REPORT CIP+NONCIP_JAN08-YHU.-Lengkap_CIP-INVESTASI-0208-4YHU 2" xfId="5266"/>
    <cellStyle name="_Book3" xfId="5267"/>
    <cellStyle name="_Book3 2" xfId="5268"/>
    <cellStyle name="_Book3_Listing LV" xfId="5269"/>
    <cellStyle name="_Book3_Master-Monitoring CIP 08-JAN.FINALxls" xfId="5270"/>
    <cellStyle name="_Book3_Master-Monitoring CIP 08-JAN.FINALxls 2" xfId="5271"/>
    <cellStyle name="_Book3_Master-Monitoring CIP 08-JAN.FINALxls_analisis variance" xfId="5272"/>
    <cellStyle name="_Book3_Master-Monitoring CIP 08-JAN.FINALxls_analisis variance 2" xfId="5273"/>
    <cellStyle name="_Book3_Master-Monitoring CIP 08-JAN.FINALxls_CIP_0208" xfId="5274"/>
    <cellStyle name="_Book3_Master-Monitoring CIP 08-JAN.FINALxls_CIP_0208 2" xfId="5275"/>
    <cellStyle name="_Book3_Master-Monitoring CIP 08-JAN.FINALxls_CIP-INVESTASI-0208-4YHU" xfId="5276"/>
    <cellStyle name="_Book3_Master-Monitoring CIP 08-JAN.FINALxls_CIP-INVESTASI-0208-4YHU 2" xfId="5277"/>
    <cellStyle name="_Book3_REPORT CIP+NONCIP_JAN08-YHU.-Lengkap" xfId="5278"/>
    <cellStyle name="_Book3_REPORT CIP+NONCIP_JAN08-YHU.-Lengkap 2" xfId="5279"/>
    <cellStyle name="_Book3_REPORT CIP+NONCIP_JAN08-YHU.-Lengkap_1" xfId="5280"/>
    <cellStyle name="_Book3_REPORT CIP+NONCIP_JAN08-YHU.-Lengkap_1 2" xfId="5281"/>
    <cellStyle name="_Book3_REPORT CIP+NONCIP_JAN08-YHU.-Lengkap_analisis variance" xfId="5282"/>
    <cellStyle name="_Book3_REPORT CIP+NONCIP_JAN08-YHU.-Lengkap_analisis variance 2" xfId="5283"/>
    <cellStyle name="_Book3_REPORT CIP+NONCIP_JAN08-YHU.-Lengkap_CIP_0208" xfId="5284"/>
    <cellStyle name="_Book3_REPORT CIP+NONCIP_JAN08-YHU.-Lengkap_CIP_0208 2" xfId="5285"/>
    <cellStyle name="_Book3_REPORT CIP+NONCIP_JAN08-YHU.-Lengkap_CIP-INVESTASI-0208-4YHU" xfId="5286"/>
    <cellStyle name="_Book3_REPORT CIP+NONCIP_JAN08-YHU.-Lengkap_CIP-INVESTASI-0208-4YHU 2" xfId="5287"/>
    <cellStyle name="_Book5" xfId="5288"/>
    <cellStyle name="_Book6" xfId="5289"/>
    <cellStyle name="_BTEL Network Services PMO Dashboard 4 JAN 08 9PM" xfId="5290"/>
    <cellStyle name="_Cashflow KB" xfId="5291"/>
    <cellStyle name="_Cashflow KB_~1262710" xfId="5292"/>
    <cellStyle name="_Cashflow KB_Fixed Assets Sept 2009 revised" xfId="5293"/>
    <cellStyle name="_Cashflow KB_LS_intercompany" xfId="5294"/>
    <cellStyle name="_Cashflow KB_Rental Received in Advance Dec 09" xfId="5295"/>
    <cellStyle name="_Coal Getting _w-44 (rev 3) &amp; w-45" xfId="5296"/>
    <cellStyle name="_Coal Getting _w-44 (rev 3) &amp; w-45 2" xfId="5297"/>
    <cellStyle name="_Coal Getting _w-44 (rev 3) &amp; w-45_01  Usulan Blend Plan BMO_220408 (2)" xfId="5298"/>
    <cellStyle name="_Coal Getting _w-44 (rev 3) &amp; w-45_01  Usulan Blend Plan BMO_220408 (2) 2" xfId="5299"/>
    <cellStyle name="_Coal Getting _w-44 (rev 3) &amp; w-45_01  Usulan Blend Plan BMO_220408 (2)_Wadi-Qinfa" xfId="5300"/>
    <cellStyle name="_Coal Getting _w-44 (rev 3) &amp; w-45_Stock Status Jul 29, 2008" xfId="5301"/>
    <cellStyle name="_Coal Getting _w-44 (rev 3) &amp; w-45_Stock Status Jul 29, 2008 2" xfId="5302"/>
    <cellStyle name="_Coal Getting _w-44 (rev 3) &amp; w-45_Stock Status Jul 29, 2008_Wadi-Qinfa" xfId="5303"/>
    <cellStyle name="_Coal Getting _w-44 (rev 3) &amp; w-45_Usulan Blend Plan BMO 11-03-08" xfId="5304"/>
    <cellStyle name="_Coal Getting _w-44 (rev 3) &amp; w-45_Usulan Blend Plan BMO 11-03-08 2" xfId="5305"/>
    <cellStyle name="_Coal Getting _w-44 (rev 3) &amp; w-45_Usulan Blend Plan BMO 11-03-08_Wadi-Qinfa" xfId="5306"/>
    <cellStyle name="_Coal Getting _w-44 (rev 3) &amp; w-45_Usulan Blend Plan BMO 25-03-08" xfId="5307"/>
    <cellStyle name="_Coal Getting _w-44 (rev 3) &amp; w-45_Usulan Blend Plan BMO 25-03-08 2" xfId="5308"/>
    <cellStyle name="_Coal Getting _w-44 (rev 3) &amp; w-45_Usulan Blend Plan BMO 25-03-08_Wadi-Qinfa" xfId="5309"/>
    <cellStyle name="_Coal Getting _w-44 (rev 3) &amp; w-45_Usulan Blending 27 Mei 2008" xfId="5310"/>
    <cellStyle name="_Coal Getting _w-44 (rev 3) &amp; w-45_Usulan Blending 27 Mei 2008 2" xfId="5311"/>
    <cellStyle name="_Coal Getting _w-44 (rev 3) &amp; w-45_Usulan Blending 27 Mei 2008_Wadi-Qinfa" xfId="5312"/>
    <cellStyle name="_Coal Getting _w-44 (rev 3) &amp; w-45_Usulan Blending Plan 10 jun (2)" xfId="5313"/>
    <cellStyle name="_Coal Getting _w-44 (rev 3) &amp; w-45_Usulan Blending Plan 10 jun (2) 2" xfId="5314"/>
    <cellStyle name="_Coal Getting _w-44 (rev 3) &amp; w-45_Usulan Blending Plan 10 jun (2)_Wadi-Qinfa" xfId="5315"/>
    <cellStyle name="_Coal Getting _w-44 (rev 3) &amp; w-45_Usulan Blending Plan 17 jun (2)" xfId="5316"/>
    <cellStyle name="_Coal Getting _w-44 (rev 3) &amp; w-45_Usulan Blending Plan 17 jun (2) 2" xfId="5317"/>
    <cellStyle name="_Coal Getting _w-44 (rev 3) &amp; w-45_Usulan Blending Plan 17 jun (2)_Wadi-Qinfa" xfId="5318"/>
    <cellStyle name="_Coal Getting _w-44 (rev 3) &amp; w-45_Usulan blending plan 21_05_08" xfId="5319"/>
    <cellStyle name="_Coal Getting _w-44 (rev 3) &amp; w-45_Usulan blending plan 21_05_08 2" xfId="5320"/>
    <cellStyle name="_Coal Getting _w-44 (rev 3) &amp; w-45_Usulan blending plan 21_05_08_Wadi-Qinfa" xfId="5321"/>
    <cellStyle name="_Coal Getting _w-44 (rev 3) &amp; w-45_Usulan blending PlaN 27-05-08" xfId="5322"/>
    <cellStyle name="_Coal Getting _w-44 (rev 3) &amp; w-45_Usulan blending PlaN 27-05-08 2" xfId="5323"/>
    <cellStyle name="_Coal Getting _w-44 (rev 3) &amp; w-45_Usulan blending PlaN 27-05-08_Wadi-Qinfa" xfId="5324"/>
    <cellStyle name="_Coal Getting _w-44 (rev 3) &amp; w-45_Usulan Blending Plan_13 Feb 2008_awl" xfId="5325"/>
    <cellStyle name="_Coal Getting _w-44 (rev 3) &amp; w-45_Usulan Blending Plan_13 Feb 2008_awl 2" xfId="5326"/>
    <cellStyle name="_Coal Getting _w-44 (rev 3) &amp; w-45_Usulan Blending Plan_13 Feb 2008_awl_Wadi-Qinfa" xfId="5327"/>
    <cellStyle name="_Coal Getting _w-44 (rev 3) &amp; w-45_Wadi-Qinfa" xfId="5328"/>
    <cellStyle name="_COP September 2010" xfId="5329"/>
    <cellStyle name="_COP September 2010 2" xfId="5330"/>
    <cellStyle name="_COP September 2010 3" xfId="5331"/>
    <cellStyle name="_COP September 2010 3 2" xfId="5332"/>
    <cellStyle name="_COP September 2010 4" xfId="5333"/>
    <cellStyle name="_COP September 2010 5" xfId="5334"/>
    <cellStyle name="_COP September 2010 6" xfId="5335"/>
    <cellStyle name="_Copy of Monitoring Shipment January 2007" xfId="5336"/>
    <cellStyle name="_Copy of Monitoring Shipment January 2007 2" xfId="5337"/>
    <cellStyle name="_Copy of Monitoring Shipment January 2007_01  Usulan Blend Plan BMO_220408 (2)" xfId="5338"/>
    <cellStyle name="_Copy of Monitoring Shipment January 2007_01  Usulan Blend Plan BMO_220408 (2) 2" xfId="5339"/>
    <cellStyle name="_Copy of Monitoring Shipment January 2007_01  Usulan Blend Plan BMO_220408 (2)_Wadi-Qinfa" xfId="5340"/>
    <cellStyle name="_Copy of Monitoring Shipment January 2007_Stock Status Jul 29, 2008" xfId="5341"/>
    <cellStyle name="_Copy of Monitoring Shipment January 2007_Stock Status Jul 29, 2008 2" xfId="5342"/>
    <cellStyle name="_Copy of Monitoring Shipment January 2007_Stock Status Jul 29, 2008_Wadi-Qinfa" xfId="5343"/>
    <cellStyle name="_Copy of Monitoring Shipment January 2007_Usulan Blend Plan BMO 11-03-08" xfId="5344"/>
    <cellStyle name="_Copy of Monitoring Shipment January 2007_Usulan Blend Plan BMO 11-03-08 2" xfId="5345"/>
    <cellStyle name="_Copy of Monitoring Shipment January 2007_Usulan Blend Plan BMO 11-03-08_Wadi-Qinfa" xfId="5346"/>
    <cellStyle name="_Copy of Monitoring Shipment January 2007_Usulan Blend Plan BMO 25-03-08" xfId="5347"/>
    <cellStyle name="_Copy of Monitoring Shipment January 2007_Usulan Blend Plan BMO 25-03-08 2" xfId="5348"/>
    <cellStyle name="_Copy of Monitoring Shipment January 2007_Usulan Blend Plan BMO 25-03-08_Wadi-Qinfa" xfId="5349"/>
    <cellStyle name="_Copy of Monitoring Shipment January 2007_Usulan Blending 27 Mei 2008" xfId="5350"/>
    <cellStyle name="_Copy of Monitoring Shipment January 2007_Usulan Blending 27 Mei 2008 2" xfId="5351"/>
    <cellStyle name="_Copy of Monitoring Shipment January 2007_Usulan Blending 27 Mei 2008_Wadi-Qinfa" xfId="5352"/>
    <cellStyle name="_Copy of Monitoring Shipment January 2007_Usulan Blending Plan 10 jun (2)" xfId="5353"/>
    <cellStyle name="_Copy of Monitoring Shipment January 2007_Usulan Blending Plan 10 jun (2) 2" xfId="5354"/>
    <cellStyle name="_Copy of Monitoring Shipment January 2007_Usulan Blending Plan 10 jun (2)_Wadi-Qinfa" xfId="5355"/>
    <cellStyle name="_Copy of Monitoring Shipment January 2007_Usulan Blending Plan 17 jun (2)" xfId="5356"/>
    <cellStyle name="_Copy of Monitoring Shipment January 2007_Usulan Blending Plan 17 jun (2) 2" xfId="5357"/>
    <cellStyle name="_Copy of Monitoring Shipment January 2007_Usulan Blending Plan 17 jun (2)_Wadi-Qinfa" xfId="5358"/>
    <cellStyle name="_Copy of Monitoring Shipment January 2007_Usulan blending plan 21_05_08" xfId="5359"/>
    <cellStyle name="_Copy of Monitoring Shipment January 2007_Usulan blending plan 21_05_08 2" xfId="5360"/>
    <cellStyle name="_Copy of Monitoring Shipment January 2007_Usulan blending plan 21_05_08_Wadi-Qinfa" xfId="5361"/>
    <cellStyle name="_Copy of Monitoring Shipment January 2007_Usulan blending PlaN 27-05-08" xfId="5362"/>
    <cellStyle name="_Copy of Monitoring Shipment January 2007_Usulan blending PlaN 27-05-08 2" xfId="5363"/>
    <cellStyle name="_Copy of Monitoring Shipment January 2007_Usulan blending PlaN 27-05-08_Wadi-Qinfa" xfId="5364"/>
    <cellStyle name="_Copy of Monitoring Shipment January 2007_Usulan Blending Plan_13 Feb 2008_awl" xfId="5365"/>
    <cellStyle name="_Copy of Monitoring Shipment January 2007_Usulan Blending Plan_13 Feb 2008_awl 2" xfId="5366"/>
    <cellStyle name="_Copy of Monitoring Shipment January 2007_Usulan Blending Plan_13 Feb 2008_awl_Wadi-Qinfa" xfId="5367"/>
    <cellStyle name="_Copy of Monitoring Shipment January 2007_Wadi-Qinfa" xfId="5368"/>
    <cellStyle name="_Cost per mt 2004-2011" xfId="5369"/>
    <cellStyle name="_FA - 2007 Final" xfId="5370"/>
    <cellStyle name="_FA PT CIP" xfId="5371"/>
    <cellStyle name="_FA PT CIP_BS  PL format audit June10 Hendro Ver300810 10AM FINAL" xfId="5372"/>
    <cellStyle name="_FA PT CIP_BS  PL format audit June10 Hendro Ver300810 10AM FINAL 2" xfId="5373"/>
    <cellStyle name="_FA PT CIP_BS  PL format audit June10 Hendro Ver300810 10AM FINAL 3" xfId="5374"/>
    <cellStyle name="_FA PT CIP_BS  PL format audit June10 Hendro Ver300810 10AM FINAL 4" xfId="5375"/>
    <cellStyle name="_FA PT CIP_BS  PL format audit June10 Hendro Ver300810 10AM FINAL 4 2" xfId="5376"/>
    <cellStyle name="_FA PT CIP_BS  PL format audit June10 Hendro Ver300810 10AM FINAL 5" xfId="5377"/>
    <cellStyle name="_FA PT CIP_BS  PL format audit June10 Hendro Ver300810 10AM FINAL 6" xfId="5378"/>
    <cellStyle name="_FA PT CIP_BS  PL format audit June10 Hendro Ver300810 10AM FINAL 7" xfId="5379"/>
    <cellStyle name="_Final LRAC price@4.30revMAR13.07" xfId="5380"/>
    <cellStyle name="_Final LRAC price@4.30revMAR13.07 2" xfId="5381"/>
    <cellStyle name="_Finmod Bgt_OL 2007" xfId="5382"/>
    <cellStyle name="_FS-NOTES-COMP-08'06" xfId="5383"/>
    <cellStyle name="_FS-NOTES-COMP-08'06 2" xfId="5384"/>
    <cellStyle name="_FS-NOTES-COMP-08'06_Listing LV" xfId="5385"/>
    <cellStyle name="_FS-NOTES-COMP-08'06_Master-Monitoring CIP 08-JAN.FINALxls" xfId="5386"/>
    <cellStyle name="_FS-NOTES-COMP-08'06_Master-Monitoring CIP 08-JAN.FINALxls 2" xfId="5387"/>
    <cellStyle name="_FS-NOTES-COMP-08'06_Master-Monitoring CIP 08-JAN.FINALxls_analisis variance" xfId="5388"/>
    <cellStyle name="_FS-NOTES-COMP-08'06_Master-Monitoring CIP 08-JAN.FINALxls_analisis variance 2" xfId="5389"/>
    <cellStyle name="_FS-NOTES-COMP-08'06_Master-Monitoring CIP 08-JAN.FINALxls_CIP_0208" xfId="5390"/>
    <cellStyle name="_FS-NOTES-COMP-08'06_Master-Monitoring CIP 08-JAN.FINALxls_CIP_0208 2" xfId="5391"/>
    <cellStyle name="_FS-NOTES-COMP-08'06_Master-Monitoring CIP 08-JAN.FINALxls_CIP-INVESTASI-0208-4YHU" xfId="5392"/>
    <cellStyle name="_FS-NOTES-COMP-08'06_Master-Monitoring CIP 08-JAN.FINALxls_CIP-INVESTASI-0208-4YHU 2" xfId="5393"/>
    <cellStyle name="_FS-NOTES-COMP-08'06_REPORT CIP+NONCIP_JAN08-YHU.-Lengkap" xfId="5394"/>
    <cellStyle name="_FS-NOTES-COMP-08'06_REPORT CIP+NONCIP_JAN08-YHU.-Lengkap 2" xfId="5395"/>
    <cellStyle name="_FS-NOTES-COMP-08'06_REPORT CIP+NONCIP_JAN08-YHU.-Lengkap_1" xfId="5396"/>
    <cellStyle name="_FS-NOTES-COMP-08'06_REPORT CIP+NONCIP_JAN08-YHU.-Lengkap_1 2" xfId="5397"/>
    <cellStyle name="_FS-NOTES-COMP-08'06_REPORT CIP+NONCIP_JAN08-YHU.-Lengkap_analisis variance" xfId="5398"/>
    <cellStyle name="_FS-NOTES-COMP-08'06_REPORT CIP+NONCIP_JAN08-YHU.-Lengkap_analisis variance 2" xfId="5399"/>
    <cellStyle name="_FS-NOTES-COMP-08'06_REPORT CIP+NONCIP_JAN08-YHU.-Lengkap_CIP_0208" xfId="5400"/>
    <cellStyle name="_FS-NOTES-COMP-08'06_REPORT CIP+NONCIP_JAN08-YHU.-Lengkap_CIP_0208 2" xfId="5401"/>
    <cellStyle name="_FS-NOTES-COMP-08'06_REPORT CIP+NONCIP_JAN08-YHU.-Lengkap_CIP-INVESTASI-0208-4YHU" xfId="5402"/>
    <cellStyle name="_FS-NOTES-COMP-08'06_REPORT CIP+NONCIP_JAN08-YHU.-Lengkap_CIP-INVESTASI-0208-4YHU 2" xfId="5403"/>
    <cellStyle name="_Heading" xfId="5404"/>
    <cellStyle name="_Loan 75 Mn - Monitoring Sheet" xfId="5405"/>
    <cellStyle name="_meeting mingguan April 06" xfId="5406"/>
    <cellStyle name="_meeting mingguan April 06 2" xfId="5407"/>
    <cellStyle name="_meeting mingguan April 06_01  Usulan Blend Plan BMO_220408 (2)" xfId="5408"/>
    <cellStyle name="_meeting mingguan April 06_01  Usulan Blend Plan BMO_220408 (2) 2" xfId="5409"/>
    <cellStyle name="_meeting mingguan April 06_01  Usulan Blend Plan BMO_220408 (2)_Wadi-Qinfa" xfId="5410"/>
    <cellStyle name="_meeting mingguan April 06_Stock Status Jul 29, 2008" xfId="5411"/>
    <cellStyle name="_meeting mingguan April 06_Stock Status Jul 29, 2008 2" xfId="5412"/>
    <cellStyle name="_meeting mingguan April 06_Stock Status Jul 29, 2008_Wadi-Qinfa" xfId="5413"/>
    <cellStyle name="_meeting mingguan April 06_Usulan Blend Plan BMO 11-03-08" xfId="5414"/>
    <cellStyle name="_meeting mingguan April 06_Usulan Blend Plan BMO 11-03-08 2" xfId="5415"/>
    <cellStyle name="_meeting mingguan April 06_Usulan Blend Plan BMO 11-03-08_Wadi-Qinfa" xfId="5416"/>
    <cellStyle name="_meeting mingguan April 06_Usulan Blend Plan BMO 25-03-08" xfId="5417"/>
    <cellStyle name="_meeting mingguan April 06_Usulan Blend Plan BMO 25-03-08 2" xfId="5418"/>
    <cellStyle name="_meeting mingguan April 06_Usulan Blend Plan BMO 25-03-08_Wadi-Qinfa" xfId="5419"/>
    <cellStyle name="_meeting mingguan April 06_Usulan Blending 27 Mei 2008" xfId="5420"/>
    <cellStyle name="_meeting mingguan April 06_Usulan Blending 27 Mei 2008 2" xfId="5421"/>
    <cellStyle name="_meeting mingguan April 06_Usulan Blending 27 Mei 2008_Wadi-Qinfa" xfId="5422"/>
    <cellStyle name="_meeting mingguan April 06_Usulan Blending Plan 10 jun (2)" xfId="5423"/>
    <cellStyle name="_meeting mingguan April 06_Usulan Blending Plan 10 jun (2) 2" xfId="5424"/>
    <cellStyle name="_meeting mingguan April 06_Usulan Blending Plan 10 jun (2)_Wadi-Qinfa" xfId="5425"/>
    <cellStyle name="_meeting mingguan April 06_Usulan Blending Plan 17 jun (2)" xfId="5426"/>
    <cellStyle name="_meeting mingguan April 06_Usulan Blending Plan 17 jun (2) 2" xfId="5427"/>
    <cellStyle name="_meeting mingguan April 06_Usulan Blending Plan 17 jun (2)_Wadi-Qinfa" xfId="5428"/>
    <cellStyle name="_meeting mingguan April 06_Usulan blending plan 21_05_08" xfId="5429"/>
    <cellStyle name="_meeting mingguan April 06_Usulan blending plan 21_05_08 2" xfId="5430"/>
    <cellStyle name="_meeting mingguan April 06_Usulan blending plan 21_05_08_Wadi-Qinfa" xfId="5431"/>
    <cellStyle name="_meeting mingguan April 06_Usulan blending PlaN 27-05-08" xfId="5432"/>
    <cellStyle name="_meeting mingguan April 06_Usulan blending PlaN 27-05-08 2" xfId="5433"/>
    <cellStyle name="_meeting mingguan April 06_Usulan blending PlaN 27-05-08_Wadi-Qinfa" xfId="5434"/>
    <cellStyle name="_meeting mingguan April 06_Usulan Blending Plan_13 Feb 2008_awl" xfId="5435"/>
    <cellStyle name="_meeting mingguan April 06_Usulan Blending Plan_13 Feb 2008_awl 2" xfId="5436"/>
    <cellStyle name="_meeting mingguan April 06_Usulan Blending Plan_13 Feb 2008_awl_Wadi-Qinfa" xfId="5437"/>
    <cellStyle name="_meeting mingguan April 06_Wadi-Qinfa" xfId="5438"/>
    <cellStyle name="_meeting mingguan june 06" xfId="5439"/>
    <cellStyle name="_meeting mingguan june 06 2" xfId="5440"/>
    <cellStyle name="_meeting mingguan june 06_01  Usulan Blend Plan BMO_220408 (2)" xfId="5441"/>
    <cellStyle name="_meeting mingguan june 06_01  Usulan Blend Plan BMO_220408 (2) 2" xfId="5442"/>
    <cellStyle name="_meeting mingguan june 06_01  Usulan Blend Plan BMO_220408 (2)_Wadi-Qinfa" xfId="5443"/>
    <cellStyle name="_meeting mingguan june 06_Stock Status Jul 29, 2008" xfId="5444"/>
    <cellStyle name="_meeting mingguan june 06_Stock Status Jul 29, 2008 2" xfId="5445"/>
    <cellStyle name="_meeting mingguan june 06_Stock Status Jul 29, 2008_Wadi-Qinfa" xfId="5446"/>
    <cellStyle name="_meeting mingguan june 06_Usulan Blend Plan BMO 11-03-08" xfId="5447"/>
    <cellStyle name="_meeting mingguan june 06_Usulan Blend Plan BMO 11-03-08 2" xfId="5448"/>
    <cellStyle name="_meeting mingguan june 06_Usulan Blend Plan BMO 11-03-08_Wadi-Qinfa" xfId="5449"/>
    <cellStyle name="_meeting mingguan june 06_Usulan Blend Plan BMO 25-03-08" xfId="5450"/>
    <cellStyle name="_meeting mingguan june 06_Usulan Blend Plan BMO 25-03-08 2" xfId="5451"/>
    <cellStyle name="_meeting mingguan june 06_Usulan Blend Plan BMO 25-03-08_Wadi-Qinfa" xfId="5452"/>
    <cellStyle name="_meeting mingguan june 06_Usulan Blending 27 Mei 2008" xfId="5453"/>
    <cellStyle name="_meeting mingguan june 06_Usulan Blending 27 Mei 2008 2" xfId="5454"/>
    <cellStyle name="_meeting mingguan june 06_Usulan Blending 27 Mei 2008_Wadi-Qinfa" xfId="5455"/>
    <cellStyle name="_meeting mingguan june 06_Usulan Blending Plan 10 jun (2)" xfId="5456"/>
    <cellStyle name="_meeting mingguan june 06_Usulan Blending Plan 10 jun (2) 2" xfId="5457"/>
    <cellStyle name="_meeting mingguan june 06_Usulan Blending Plan 10 jun (2)_Wadi-Qinfa" xfId="5458"/>
    <cellStyle name="_meeting mingguan june 06_Usulan Blending Plan 17 jun (2)" xfId="5459"/>
    <cellStyle name="_meeting mingguan june 06_Usulan Blending Plan 17 jun (2) 2" xfId="5460"/>
    <cellStyle name="_meeting mingguan june 06_Usulan Blending Plan 17 jun (2)_Wadi-Qinfa" xfId="5461"/>
    <cellStyle name="_meeting mingguan june 06_Usulan blending plan 21_05_08" xfId="5462"/>
    <cellStyle name="_meeting mingguan june 06_Usulan blending plan 21_05_08 2" xfId="5463"/>
    <cellStyle name="_meeting mingguan june 06_Usulan blending plan 21_05_08_Wadi-Qinfa" xfId="5464"/>
    <cellStyle name="_meeting mingguan june 06_Usulan blending PlaN 27-05-08" xfId="5465"/>
    <cellStyle name="_meeting mingguan june 06_Usulan blending PlaN 27-05-08 2" xfId="5466"/>
    <cellStyle name="_meeting mingguan june 06_Usulan blending PlaN 27-05-08_Wadi-Qinfa" xfId="5467"/>
    <cellStyle name="_meeting mingguan june 06_Usulan Blending Plan_13 Feb 2008_awl" xfId="5468"/>
    <cellStyle name="_meeting mingguan june 06_Usulan Blending Plan_13 Feb 2008_awl 2" xfId="5469"/>
    <cellStyle name="_meeting mingguan june 06_Usulan Blending Plan_13 Feb 2008_awl_Wadi-Qinfa" xfId="5470"/>
    <cellStyle name="_meeting mingguan june 06_Wadi-Qinfa" xfId="5471"/>
    <cellStyle name="_meeting mingguan Nov 061" xfId="5472"/>
    <cellStyle name="_meeting mingguan Nov 061 2" xfId="5473"/>
    <cellStyle name="_meeting mingguan Nov 061_01  Usulan Blend Plan BMO_220408 (2)" xfId="5474"/>
    <cellStyle name="_meeting mingguan Nov 061_01  Usulan Blend Plan BMO_220408 (2) 2" xfId="5475"/>
    <cellStyle name="_meeting mingguan Nov 061_01  Usulan Blend Plan BMO_220408 (2)_Wadi-Qinfa" xfId="5476"/>
    <cellStyle name="_meeting mingguan Nov 061_Stock Status Jul 29, 2008" xfId="5477"/>
    <cellStyle name="_meeting mingguan Nov 061_Stock Status Jul 29, 2008 2" xfId="5478"/>
    <cellStyle name="_meeting mingguan Nov 061_Stock Status Jul 29, 2008_Wadi-Qinfa" xfId="5479"/>
    <cellStyle name="_meeting mingguan Nov 061_Usulan Blend Plan BMO 11-03-08" xfId="5480"/>
    <cellStyle name="_meeting mingguan Nov 061_Usulan Blend Plan BMO 11-03-08 2" xfId="5481"/>
    <cellStyle name="_meeting mingguan Nov 061_Usulan Blend Plan BMO 11-03-08_Wadi-Qinfa" xfId="5482"/>
    <cellStyle name="_meeting mingguan Nov 061_Usulan Blend Plan BMO 25-03-08" xfId="5483"/>
    <cellStyle name="_meeting mingguan Nov 061_Usulan Blend Plan BMO 25-03-08 2" xfId="5484"/>
    <cellStyle name="_meeting mingguan Nov 061_Usulan Blend Plan BMO 25-03-08_Wadi-Qinfa" xfId="5485"/>
    <cellStyle name="_meeting mingguan Nov 061_Usulan Blending 27 Mei 2008" xfId="5486"/>
    <cellStyle name="_meeting mingguan Nov 061_Usulan Blending 27 Mei 2008 2" xfId="5487"/>
    <cellStyle name="_meeting mingguan Nov 061_Usulan Blending 27 Mei 2008_Wadi-Qinfa" xfId="5488"/>
    <cellStyle name="_meeting mingguan Nov 061_Usulan Blending Plan 10 jun (2)" xfId="5489"/>
    <cellStyle name="_meeting mingguan Nov 061_Usulan Blending Plan 10 jun (2) 2" xfId="5490"/>
    <cellStyle name="_meeting mingguan Nov 061_Usulan Blending Plan 10 jun (2)_Wadi-Qinfa" xfId="5491"/>
    <cellStyle name="_meeting mingguan Nov 061_Usulan Blending Plan 17 jun (2)" xfId="5492"/>
    <cellStyle name="_meeting mingguan Nov 061_Usulan Blending Plan 17 jun (2) 2" xfId="5493"/>
    <cellStyle name="_meeting mingguan Nov 061_Usulan Blending Plan 17 jun (2)_Wadi-Qinfa" xfId="5494"/>
    <cellStyle name="_meeting mingguan Nov 061_Usulan blending plan 21_05_08" xfId="5495"/>
    <cellStyle name="_meeting mingguan Nov 061_Usulan blending plan 21_05_08 2" xfId="5496"/>
    <cellStyle name="_meeting mingguan Nov 061_Usulan blending plan 21_05_08_Wadi-Qinfa" xfId="5497"/>
    <cellStyle name="_meeting mingguan Nov 061_Usulan blending PlaN 27-05-08" xfId="5498"/>
    <cellStyle name="_meeting mingguan Nov 061_Usulan blending PlaN 27-05-08 2" xfId="5499"/>
    <cellStyle name="_meeting mingguan Nov 061_Usulan blending PlaN 27-05-08_Wadi-Qinfa" xfId="5500"/>
    <cellStyle name="_meeting mingguan Nov 061_Usulan Blending Plan_13 Feb 2008_awl" xfId="5501"/>
    <cellStyle name="_meeting mingguan Nov 061_Usulan Blending Plan_13 Feb 2008_awl 2" xfId="5502"/>
    <cellStyle name="_meeting mingguan Nov 061_Usulan Blending Plan_13 Feb 2008_awl_Wadi-Qinfa" xfId="5503"/>
    <cellStyle name="_meeting mingguan Nov 061_Wadi-Qinfa" xfId="5504"/>
    <cellStyle name="_Monitoring Shipment 24 April 2007" xfId="5505"/>
    <cellStyle name="_Monitoring Shipment 24 April 2007 2" xfId="5506"/>
    <cellStyle name="_Monitoring Shipment 24 April 2007_01  Usulan Blend Plan BMO_220408 (2)" xfId="5507"/>
    <cellStyle name="_Monitoring Shipment 24 April 2007_01  Usulan Blend Plan BMO_220408 (2) 2" xfId="5508"/>
    <cellStyle name="_Monitoring Shipment 24 April 2007_01  Usulan Blend Plan BMO_220408 (2)_Wadi-Qinfa" xfId="5509"/>
    <cellStyle name="_Monitoring Shipment 24 April 2007_Stock Status Jul 29, 2008" xfId="5510"/>
    <cellStyle name="_Monitoring Shipment 24 April 2007_Stock Status Jul 29, 2008 2" xfId="5511"/>
    <cellStyle name="_Monitoring Shipment 24 April 2007_Stock Status Jul 29, 2008_Wadi-Qinfa" xfId="5512"/>
    <cellStyle name="_Monitoring Shipment 24 April 2007_Usulan Blend Plan BMO 11-03-08" xfId="5513"/>
    <cellStyle name="_Monitoring Shipment 24 April 2007_Usulan Blend Plan BMO 11-03-08 2" xfId="5514"/>
    <cellStyle name="_Monitoring Shipment 24 April 2007_Usulan Blend Plan BMO 11-03-08_Wadi-Qinfa" xfId="5515"/>
    <cellStyle name="_Monitoring Shipment 24 April 2007_Usulan Blend Plan BMO 25-03-08" xfId="5516"/>
    <cellStyle name="_Monitoring Shipment 24 April 2007_Usulan Blend Plan BMO 25-03-08 2" xfId="5517"/>
    <cellStyle name="_Monitoring Shipment 24 April 2007_Usulan Blend Plan BMO 25-03-08_Wadi-Qinfa" xfId="5518"/>
    <cellStyle name="_Monitoring Shipment 24 April 2007_Usulan Blending 27 Mei 2008" xfId="5519"/>
    <cellStyle name="_Monitoring Shipment 24 April 2007_Usulan Blending 27 Mei 2008 2" xfId="5520"/>
    <cellStyle name="_Monitoring Shipment 24 April 2007_Usulan Blending 27 Mei 2008_Wadi-Qinfa" xfId="5521"/>
    <cellStyle name="_Monitoring Shipment 24 April 2007_Usulan Blending Plan 10 jun (2)" xfId="5522"/>
    <cellStyle name="_Monitoring Shipment 24 April 2007_Usulan Blending Plan 10 jun (2) 2" xfId="5523"/>
    <cellStyle name="_Monitoring Shipment 24 April 2007_Usulan Blending Plan 10 jun (2)_Wadi-Qinfa" xfId="5524"/>
    <cellStyle name="_Monitoring Shipment 24 April 2007_Usulan Blending Plan 17 jun (2)" xfId="5525"/>
    <cellStyle name="_Monitoring Shipment 24 April 2007_Usulan Blending Plan 17 jun (2) 2" xfId="5526"/>
    <cellStyle name="_Monitoring Shipment 24 April 2007_Usulan Blending Plan 17 jun (2)_Wadi-Qinfa" xfId="5527"/>
    <cellStyle name="_Monitoring Shipment 24 April 2007_Usulan blending plan 21_05_08" xfId="5528"/>
    <cellStyle name="_Monitoring Shipment 24 April 2007_Usulan blending plan 21_05_08 2" xfId="5529"/>
    <cellStyle name="_Monitoring Shipment 24 April 2007_Usulan blending plan 21_05_08_Wadi-Qinfa" xfId="5530"/>
    <cellStyle name="_Monitoring Shipment 24 April 2007_Usulan blending PlaN 27-05-08" xfId="5531"/>
    <cellStyle name="_Monitoring Shipment 24 April 2007_Usulan blending PlaN 27-05-08 2" xfId="5532"/>
    <cellStyle name="_Monitoring Shipment 24 April 2007_Usulan blending PlaN 27-05-08_Wadi-Qinfa" xfId="5533"/>
    <cellStyle name="_Monitoring Shipment 24 April 2007_Usulan Blending Plan_13 Feb 2008_awl" xfId="5534"/>
    <cellStyle name="_Monitoring Shipment 24 April 2007_Usulan Blending Plan_13 Feb 2008_awl 2" xfId="5535"/>
    <cellStyle name="_Monitoring Shipment 24 April 2007_Usulan Blending Plan_13 Feb 2008_awl_Wadi-Qinfa" xfId="5536"/>
    <cellStyle name="_Monitoring Shipment 24 April 2007_Wadi-Qinfa" xfId="5537"/>
    <cellStyle name="_Monitoring Shipment April 05." xfId="5538"/>
    <cellStyle name="_Monitoring Shipment April 05. 2" xfId="5539"/>
    <cellStyle name="_Monitoring Shipment April 05._01  Usulan Blend Plan BMO_220408 (2)" xfId="5540"/>
    <cellStyle name="_Monitoring Shipment April 05._01  Usulan Blend Plan BMO_220408 (2) 2" xfId="5541"/>
    <cellStyle name="_Monitoring Shipment April 05._01  Usulan Blend Plan BMO_220408 (2)_Wadi-Qinfa" xfId="5542"/>
    <cellStyle name="_Monitoring Shipment April 05._Stock Status Jul 29, 2008" xfId="5543"/>
    <cellStyle name="_Monitoring Shipment April 05._Stock Status Jul 29, 2008 2" xfId="5544"/>
    <cellStyle name="_Monitoring Shipment April 05._Stock Status Jul 29, 2008_Wadi-Qinfa" xfId="5545"/>
    <cellStyle name="_Monitoring Shipment April 05._Usulan Blend Plan BMO 11-03-08" xfId="5546"/>
    <cellStyle name="_Monitoring Shipment April 05._Usulan Blend Plan BMO 11-03-08 2" xfId="5547"/>
    <cellStyle name="_Monitoring Shipment April 05._Usulan Blend Plan BMO 11-03-08_Wadi-Qinfa" xfId="5548"/>
    <cellStyle name="_Monitoring Shipment April 05._Usulan Blend Plan BMO 25-03-08" xfId="5549"/>
    <cellStyle name="_Monitoring Shipment April 05._Usulan Blend Plan BMO 25-03-08 2" xfId="5550"/>
    <cellStyle name="_Monitoring Shipment April 05._Usulan Blend Plan BMO 25-03-08_Wadi-Qinfa" xfId="5551"/>
    <cellStyle name="_Monitoring Shipment April 05._Usulan Blending 27 Mei 2008" xfId="5552"/>
    <cellStyle name="_Monitoring Shipment April 05._Usulan Blending 27 Mei 2008 2" xfId="5553"/>
    <cellStyle name="_Monitoring Shipment April 05._Usulan Blending 27 Mei 2008_Wadi-Qinfa" xfId="5554"/>
    <cellStyle name="_Monitoring Shipment April 05._Usulan Blending Plan 10 jun (2)" xfId="5555"/>
    <cellStyle name="_Monitoring Shipment April 05._Usulan Blending Plan 10 jun (2) 2" xfId="5556"/>
    <cellStyle name="_Monitoring Shipment April 05._Usulan Blending Plan 10 jun (2)_Wadi-Qinfa" xfId="5557"/>
    <cellStyle name="_Monitoring Shipment April 05._Usulan Blending Plan 17 jun (2)" xfId="5558"/>
    <cellStyle name="_Monitoring Shipment April 05._Usulan Blending Plan 17 jun (2) 2" xfId="5559"/>
    <cellStyle name="_Monitoring Shipment April 05._Usulan Blending Plan 17 jun (2)_Wadi-Qinfa" xfId="5560"/>
    <cellStyle name="_Monitoring Shipment April 05._Usulan blending plan 21_05_08" xfId="5561"/>
    <cellStyle name="_Monitoring Shipment April 05._Usulan blending plan 21_05_08 2" xfId="5562"/>
    <cellStyle name="_Monitoring Shipment April 05._Usulan blending plan 21_05_08_Wadi-Qinfa" xfId="5563"/>
    <cellStyle name="_Monitoring Shipment April 05._Usulan blending PlaN 27-05-08" xfId="5564"/>
    <cellStyle name="_Monitoring Shipment April 05._Usulan blending PlaN 27-05-08 2" xfId="5565"/>
    <cellStyle name="_Monitoring Shipment April 05._Usulan blending PlaN 27-05-08_Wadi-Qinfa" xfId="5566"/>
    <cellStyle name="_Monitoring Shipment April 05._Usulan Blending Plan_13 Feb 2008_awl" xfId="5567"/>
    <cellStyle name="_Monitoring Shipment April 05._Usulan Blending Plan_13 Feb 2008_awl 2" xfId="5568"/>
    <cellStyle name="_Monitoring Shipment April 05._Usulan Blending Plan_13 Feb 2008_awl_Wadi-Qinfa" xfId="5569"/>
    <cellStyle name="_Monitoring Shipment April 05._Wadi-Qinfa" xfId="5570"/>
    <cellStyle name="_Monitoring Shipment April 2006" xfId="5571"/>
    <cellStyle name="_Monitoring Shipment April 2006 2" xfId="5572"/>
    <cellStyle name="_Monitoring Shipment April 2006_01  Usulan Blend Plan BMO_220408 (2)" xfId="5573"/>
    <cellStyle name="_Monitoring Shipment April 2006_01  Usulan Blend Plan BMO_220408 (2) 2" xfId="5574"/>
    <cellStyle name="_Monitoring Shipment April 2006_01  Usulan Blend Plan BMO_220408 (2)_Wadi-Qinfa" xfId="5575"/>
    <cellStyle name="_Monitoring Shipment April 2006_Stock Status Jul 29, 2008" xfId="5576"/>
    <cellStyle name="_Monitoring Shipment April 2006_Stock Status Jul 29, 2008 2" xfId="5577"/>
    <cellStyle name="_Monitoring Shipment April 2006_Stock Status Jul 29, 2008_Wadi-Qinfa" xfId="5578"/>
    <cellStyle name="_Monitoring Shipment April 2006_Usulan Blend Plan BMO 11-03-08" xfId="5579"/>
    <cellStyle name="_Monitoring Shipment April 2006_Usulan Blend Plan BMO 11-03-08 2" xfId="5580"/>
    <cellStyle name="_Monitoring Shipment April 2006_Usulan Blend Plan BMO 11-03-08_Wadi-Qinfa" xfId="5581"/>
    <cellStyle name="_Monitoring Shipment April 2006_Usulan Blend Plan BMO 25-03-08" xfId="5582"/>
    <cellStyle name="_Monitoring Shipment April 2006_Usulan Blend Plan BMO 25-03-08 2" xfId="5583"/>
    <cellStyle name="_Monitoring Shipment April 2006_Usulan Blend Plan BMO 25-03-08_Wadi-Qinfa" xfId="5584"/>
    <cellStyle name="_Monitoring Shipment April 2006_Usulan Blending 27 Mei 2008" xfId="5585"/>
    <cellStyle name="_Monitoring Shipment April 2006_Usulan Blending 27 Mei 2008 2" xfId="5586"/>
    <cellStyle name="_Monitoring Shipment April 2006_Usulan Blending 27 Mei 2008_Wadi-Qinfa" xfId="5587"/>
    <cellStyle name="_Monitoring Shipment April 2006_Usulan Blending Plan 10 jun (2)" xfId="5588"/>
    <cellStyle name="_Monitoring Shipment April 2006_Usulan Blending Plan 10 jun (2) 2" xfId="5589"/>
    <cellStyle name="_Monitoring Shipment April 2006_Usulan Blending Plan 10 jun (2)_Wadi-Qinfa" xfId="5590"/>
    <cellStyle name="_Monitoring Shipment April 2006_Usulan Blending Plan 17 jun (2)" xfId="5591"/>
    <cellStyle name="_Monitoring Shipment April 2006_Usulan Blending Plan 17 jun (2) 2" xfId="5592"/>
    <cellStyle name="_Monitoring Shipment April 2006_Usulan Blending Plan 17 jun (2)_Wadi-Qinfa" xfId="5593"/>
    <cellStyle name="_Monitoring Shipment April 2006_Usulan blending plan 21_05_08" xfId="5594"/>
    <cellStyle name="_Monitoring Shipment April 2006_Usulan blending plan 21_05_08 2" xfId="5595"/>
    <cellStyle name="_Monitoring Shipment April 2006_Usulan blending plan 21_05_08_Wadi-Qinfa" xfId="5596"/>
    <cellStyle name="_Monitoring Shipment April 2006_Usulan blending PlaN 27-05-08" xfId="5597"/>
    <cellStyle name="_Monitoring Shipment April 2006_Usulan blending PlaN 27-05-08 2" xfId="5598"/>
    <cellStyle name="_Monitoring Shipment April 2006_Usulan blending PlaN 27-05-08_Wadi-Qinfa" xfId="5599"/>
    <cellStyle name="_Monitoring Shipment April 2006_Usulan Blending Plan_13 Feb 2008_awl" xfId="5600"/>
    <cellStyle name="_Monitoring Shipment April 2006_Usulan Blending Plan_13 Feb 2008_awl 2" xfId="5601"/>
    <cellStyle name="_Monitoring Shipment April 2006_Usulan Blending Plan_13 Feb 2008_awl_Wadi-Qinfa" xfId="5602"/>
    <cellStyle name="_Monitoring Shipment April 2006_Wadi-Qinfa" xfId="5603"/>
    <cellStyle name="_Monitoring Shipment April 2007" xfId="5604"/>
    <cellStyle name="_Monitoring Shipment April 2007 2" xfId="5605"/>
    <cellStyle name="_Monitoring Shipment April 2007_01  Usulan Blend Plan BMO_220408 (2)" xfId="5606"/>
    <cellStyle name="_Monitoring Shipment April 2007_01  Usulan Blend Plan BMO_220408 (2) 2" xfId="5607"/>
    <cellStyle name="_Monitoring Shipment April 2007_01  Usulan Blend Plan BMO_220408 (2)_Wadi-Qinfa" xfId="5608"/>
    <cellStyle name="_Monitoring Shipment April 2007_Stock Status Jul 29, 2008" xfId="5609"/>
    <cellStyle name="_Monitoring Shipment April 2007_Stock Status Jul 29, 2008 2" xfId="5610"/>
    <cellStyle name="_Monitoring Shipment April 2007_Stock Status Jul 29, 2008_Wadi-Qinfa" xfId="5611"/>
    <cellStyle name="_Monitoring Shipment April 2007_Usulan Blend Plan BMO 11-03-08" xfId="5612"/>
    <cellStyle name="_Monitoring Shipment April 2007_Usulan Blend Plan BMO 11-03-08 2" xfId="5613"/>
    <cellStyle name="_Monitoring Shipment April 2007_Usulan Blend Plan BMO 11-03-08_Wadi-Qinfa" xfId="5614"/>
    <cellStyle name="_Monitoring Shipment April 2007_Usulan Blend Plan BMO 25-03-08" xfId="5615"/>
    <cellStyle name="_Monitoring Shipment April 2007_Usulan Blend Plan BMO 25-03-08 2" xfId="5616"/>
    <cellStyle name="_Monitoring Shipment April 2007_Usulan Blend Plan BMO 25-03-08_Wadi-Qinfa" xfId="5617"/>
    <cellStyle name="_Monitoring Shipment April 2007_Usulan Blending 27 Mei 2008" xfId="5618"/>
    <cellStyle name="_Monitoring Shipment April 2007_Usulan Blending 27 Mei 2008 2" xfId="5619"/>
    <cellStyle name="_Monitoring Shipment April 2007_Usulan Blending 27 Mei 2008_Wadi-Qinfa" xfId="5620"/>
    <cellStyle name="_Monitoring Shipment April 2007_Usulan Blending Plan 10 jun (2)" xfId="5621"/>
    <cellStyle name="_Monitoring Shipment April 2007_Usulan Blending Plan 10 jun (2) 2" xfId="5622"/>
    <cellStyle name="_Monitoring Shipment April 2007_Usulan Blending Plan 10 jun (2)_Wadi-Qinfa" xfId="5623"/>
    <cellStyle name="_Monitoring Shipment April 2007_Usulan Blending Plan 17 jun (2)" xfId="5624"/>
    <cellStyle name="_Monitoring Shipment April 2007_Usulan Blending Plan 17 jun (2) 2" xfId="5625"/>
    <cellStyle name="_Monitoring Shipment April 2007_Usulan Blending Plan 17 jun (2)_Wadi-Qinfa" xfId="5626"/>
    <cellStyle name="_Monitoring Shipment April 2007_Usulan blending plan 21_05_08" xfId="5627"/>
    <cellStyle name="_Monitoring Shipment April 2007_Usulan blending plan 21_05_08 2" xfId="5628"/>
    <cellStyle name="_Monitoring Shipment April 2007_Usulan blending plan 21_05_08_Wadi-Qinfa" xfId="5629"/>
    <cellStyle name="_Monitoring Shipment April 2007_Usulan blending PlaN 27-05-08" xfId="5630"/>
    <cellStyle name="_Monitoring Shipment April 2007_Usulan blending PlaN 27-05-08 2" xfId="5631"/>
    <cellStyle name="_Monitoring Shipment April 2007_Usulan blending PlaN 27-05-08_Wadi-Qinfa" xfId="5632"/>
    <cellStyle name="_Monitoring Shipment April 2007_Usulan Blending Plan_13 Feb 2008_awl" xfId="5633"/>
    <cellStyle name="_Monitoring Shipment April 2007_Usulan Blending Plan_13 Feb 2008_awl 2" xfId="5634"/>
    <cellStyle name="_Monitoring Shipment April 2007_Usulan Blending Plan_13 Feb 2008_awl_Wadi-Qinfa" xfId="5635"/>
    <cellStyle name="_Monitoring Shipment April 2007_Wadi-Qinfa" xfId="5636"/>
    <cellStyle name="_Monitoring Shipment August 2006" xfId="5637"/>
    <cellStyle name="_Monitoring Shipment August 2006 2" xfId="5638"/>
    <cellStyle name="_Monitoring Shipment August 2006_01  Usulan Blend Plan BMO_220408 (2)" xfId="5639"/>
    <cellStyle name="_Monitoring Shipment August 2006_01  Usulan Blend Plan BMO_220408 (2) 2" xfId="5640"/>
    <cellStyle name="_Monitoring Shipment August 2006_01  Usulan Blend Plan BMO_220408 (2)_Wadi-Qinfa" xfId="5641"/>
    <cellStyle name="_Monitoring Shipment August 2006_Stock Status Jul 29, 2008" xfId="5642"/>
    <cellStyle name="_Monitoring Shipment August 2006_Stock Status Jul 29, 2008 2" xfId="5643"/>
    <cellStyle name="_Monitoring Shipment August 2006_Stock Status Jul 29, 2008_Wadi-Qinfa" xfId="5644"/>
    <cellStyle name="_Monitoring Shipment August 2006_Usulan Blend Plan BMO 11-03-08" xfId="5645"/>
    <cellStyle name="_Monitoring Shipment August 2006_Usulan Blend Plan BMO 11-03-08 2" xfId="5646"/>
    <cellStyle name="_Monitoring Shipment August 2006_Usulan Blend Plan BMO 11-03-08_Wadi-Qinfa" xfId="5647"/>
    <cellStyle name="_Monitoring Shipment August 2006_Usulan Blend Plan BMO 25-03-08" xfId="5648"/>
    <cellStyle name="_Monitoring Shipment August 2006_Usulan Blend Plan BMO 25-03-08 2" xfId="5649"/>
    <cellStyle name="_Monitoring Shipment August 2006_Usulan Blend Plan BMO 25-03-08_Wadi-Qinfa" xfId="5650"/>
    <cellStyle name="_Monitoring Shipment August 2006_Usulan Blending 27 Mei 2008" xfId="5651"/>
    <cellStyle name="_Monitoring Shipment August 2006_Usulan Blending 27 Mei 2008 2" xfId="5652"/>
    <cellStyle name="_Monitoring Shipment August 2006_Usulan Blending 27 Mei 2008_Wadi-Qinfa" xfId="5653"/>
    <cellStyle name="_Monitoring Shipment August 2006_Usulan Blending Plan 10 jun (2)" xfId="5654"/>
    <cellStyle name="_Monitoring Shipment August 2006_Usulan Blending Plan 10 jun (2) 2" xfId="5655"/>
    <cellStyle name="_Monitoring Shipment August 2006_Usulan Blending Plan 10 jun (2)_Wadi-Qinfa" xfId="5656"/>
    <cellStyle name="_Monitoring Shipment August 2006_Usulan Blending Plan 17 jun (2)" xfId="5657"/>
    <cellStyle name="_Monitoring Shipment August 2006_Usulan Blending Plan 17 jun (2) 2" xfId="5658"/>
    <cellStyle name="_Monitoring Shipment August 2006_Usulan Blending Plan 17 jun (2)_Wadi-Qinfa" xfId="5659"/>
    <cellStyle name="_Monitoring Shipment August 2006_Usulan blending plan 21_05_08" xfId="5660"/>
    <cellStyle name="_Monitoring Shipment August 2006_Usulan blending plan 21_05_08 2" xfId="5661"/>
    <cellStyle name="_Monitoring Shipment August 2006_Usulan blending plan 21_05_08_Wadi-Qinfa" xfId="5662"/>
    <cellStyle name="_Monitoring Shipment August 2006_Usulan blending PlaN 27-05-08" xfId="5663"/>
    <cellStyle name="_Monitoring Shipment August 2006_Usulan blending PlaN 27-05-08 2" xfId="5664"/>
    <cellStyle name="_Monitoring Shipment August 2006_Usulan blending PlaN 27-05-08_Wadi-Qinfa" xfId="5665"/>
    <cellStyle name="_Monitoring Shipment August 2006_Usulan Blending Plan_13 Feb 2008_awl" xfId="5666"/>
    <cellStyle name="_Monitoring Shipment August 2006_Usulan Blending Plan_13 Feb 2008_awl 2" xfId="5667"/>
    <cellStyle name="_Monitoring Shipment August 2006_Usulan Blending Plan_13 Feb 2008_awl_Wadi-Qinfa" xfId="5668"/>
    <cellStyle name="_Monitoring Shipment August 2006_Wadi-Qinfa" xfId="5669"/>
    <cellStyle name="_Monitoring Shipment December 2006" xfId="5670"/>
    <cellStyle name="_Monitoring Shipment December 2006 2" xfId="5671"/>
    <cellStyle name="_Monitoring Shipment December 2006_01  Usulan Blend Plan BMO_220408 (2)" xfId="5672"/>
    <cellStyle name="_Monitoring Shipment December 2006_01  Usulan Blend Plan BMO_220408 (2) 2" xfId="5673"/>
    <cellStyle name="_Monitoring Shipment December 2006_01  Usulan Blend Plan BMO_220408 (2)_Wadi-Qinfa" xfId="5674"/>
    <cellStyle name="_Monitoring Shipment December 2006_Stock Status Jul 29, 2008" xfId="5675"/>
    <cellStyle name="_Monitoring Shipment December 2006_Stock Status Jul 29, 2008 2" xfId="5676"/>
    <cellStyle name="_Monitoring Shipment December 2006_Stock Status Jul 29, 2008_Wadi-Qinfa" xfId="5677"/>
    <cellStyle name="_Monitoring Shipment December 2006_Usulan Blend Plan BMO 11-03-08" xfId="5678"/>
    <cellStyle name="_Monitoring Shipment December 2006_Usulan Blend Plan BMO 11-03-08 2" xfId="5679"/>
    <cellStyle name="_Monitoring Shipment December 2006_Usulan Blend Plan BMO 11-03-08_Wadi-Qinfa" xfId="5680"/>
    <cellStyle name="_Monitoring Shipment December 2006_Usulan Blend Plan BMO 25-03-08" xfId="5681"/>
    <cellStyle name="_Monitoring Shipment December 2006_Usulan Blend Plan BMO 25-03-08 2" xfId="5682"/>
    <cellStyle name="_Monitoring Shipment December 2006_Usulan Blend Plan BMO 25-03-08_Wadi-Qinfa" xfId="5683"/>
    <cellStyle name="_Monitoring Shipment December 2006_Usulan Blending 27 Mei 2008" xfId="5684"/>
    <cellStyle name="_Monitoring Shipment December 2006_Usulan Blending 27 Mei 2008 2" xfId="5685"/>
    <cellStyle name="_Monitoring Shipment December 2006_Usulan Blending 27 Mei 2008_Wadi-Qinfa" xfId="5686"/>
    <cellStyle name="_Monitoring Shipment December 2006_Usulan Blending Plan 10 jun (2)" xfId="5687"/>
    <cellStyle name="_Monitoring Shipment December 2006_Usulan Blending Plan 10 jun (2) 2" xfId="5688"/>
    <cellStyle name="_Monitoring Shipment December 2006_Usulan Blending Plan 10 jun (2)_Wadi-Qinfa" xfId="5689"/>
    <cellStyle name="_Monitoring Shipment December 2006_Usulan Blending Plan 17 jun (2)" xfId="5690"/>
    <cellStyle name="_Monitoring Shipment December 2006_Usulan Blending Plan 17 jun (2) 2" xfId="5691"/>
    <cellStyle name="_Monitoring Shipment December 2006_Usulan Blending Plan 17 jun (2)_Wadi-Qinfa" xfId="5692"/>
    <cellStyle name="_Monitoring Shipment December 2006_Usulan blending plan 21_05_08" xfId="5693"/>
    <cellStyle name="_Monitoring Shipment December 2006_Usulan blending plan 21_05_08 2" xfId="5694"/>
    <cellStyle name="_Monitoring Shipment December 2006_Usulan blending plan 21_05_08_Wadi-Qinfa" xfId="5695"/>
    <cellStyle name="_Monitoring Shipment December 2006_Usulan blending PlaN 27-05-08" xfId="5696"/>
    <cellStyle name="_Monitoring Shipment December 2006_Usulan blending PlaN 27-05-08 2" xfId="5697"/>
    <cellStyle name="_Monitoring Shipment December 2006_Usulan blending PlaN 27-05-08_Wadi-Qinfa" xfId="5698"/>
    <cellStyle name="_Monitoring Shipment December 2006_Usulan Blending Plan_13 Feb 2008_awl" xfId="5699"/>
    <cellStyle name="_Monitoring Shipment December 2006_Usulan Blending Plan_13 Feb 2008_awl 2" xfId="5700"/>
    <cellStyle name="_Monitoring Shipment December 2006_Usulan Blending Plan_13 Feb 2008_awl_Wadi-Qinfa" xfId="5701"/>
    <cellStyle name="_Monitoring Shipment December 2006_Wadi-Qinfa" xfId="5702"/>
    <cellStyle name="_Monitoring Shipment Desember 2007" xfId="5703"/>
    <cellStyle name="_Monitoring Shipment Desember 2007 2" xfId="5704"/>
    <cellStyle name="_Monitoring Shipment Desember 2007_01  Usulan Blend Plan BMO_220408 (2)" xfId="5705"/>
    <cellStyle name="_Monitoring Shipment Desember 2007_01  Usulan Blend Plan BMO_220408 (2) 2" xfId="5706"/>
    <cellStyle name="_Monitoring Shipment Desember 2007_01  Usulan Blend Plan BMO_220408 (2)_Wadi-Qinfa" xfId="5707"/>
    <cellStyle name="_Monitoring Shipment Desember 2007_Stock Status Jul 29, 2008" xfId="5708"/>
    <cellStyle name="_Monitoring Shipment Desember 2007_Stock Status Jul 29, 2008 2" xfId="5709"/>
    <cellStyle name="_Monitoring Shipment Desember 2007_Stock Status Jul 29, 2008_Wadi-Qinfa" xfId="5710"/>
    <cellStyle name="_Monitoring Shipment Desember 2007_Usulan Blend Plan BMO 11-03-08" xfId="5711"/>
    <cellStyle name="_Monitoring Shipment Desember 2007_Usulan Blend Plan BMO 11-03-08 2" xfId="5712"/>
    <cellStyle name="_Monitoring Shipment Desember 2007_Usulan Blend Plan BMO 11-03-08_Wadi-Qinfa" xfId="5713"/>
    <cellStyle name="_Monitoring Shipment Desember 2007_Usulan Blend Plan BMO 25-03-08" xfId="5714"/>
    <cellStyle name="_Monitoring Shipment Desember 2007_Usulan Blend Plan BMO 25-03-08 2" xfId="5715"/>
    <cellStyle name="_Monitoring Shipment Desember 2007_Usulan Blend Plan BMO 25-03-08_Wadi-Qinfa" xfId="5716"/>
    <cellStyle name="_Monitoring Shipment Desember 2007_Usulan Blending 27 Mei 2008" xfId="5717"/>
    <cellStyle name="_Monitoring Shipment Desember 2007_Usulan Blending 27 Mei 2008 2" xfId="5718"/>
    <cellStyle name="_Monitoring Shipment Desember 2007_Usulan Blending 27 Mei 2008_Wadi-Qinfa" xfId="5719"/>
    <cellStyle name="_Monitoring Shipment Desember 2007_Usulan Blending Plan 10 jun (2)" xfId="5720"/>
    <cellStyle name="_Monitoring Shipment Desember 2007_Usulan Blending Plan 10 jun (2) 2" xfId="5721"/>
    <cellStyle name="_Monitoring Shipment Desember 2007_Usulan Blending Plan 10 jun (2)_Wadi-Qinfa" xfId="5722"/>
    <cellStyle name="_Monitoring Shipment Desember 2007_Usulan Blending Plan 17 jun (2)" xfId="5723"/>
    <cellStyle name="_Monitoring Shipment Desember 2007_Usulan Blending Plan 17 jun (2) 2" xfId="5724"/>
    <cellStyle name="_Monitoring Shipment Desember 2007_Usulan Blending Plan 17 jun (2)_Wadi-Qinfa" xfId="5725"/>
    <cellStyle name="_Monitoring Shipment Desember 2007_Usulan blending plan 21_05_08" xfId="5726"/>
    <cellStyle name="_Monitoring Shipment Desember 2007_Usulan blending plan 21_05_08 2" xfId="5727"/>
    <cellStyle name="_Monitoring Shipment Desember 2007_Usulan blending plan 21_05_08_Wadi-Qinfa" xfId="5728"/>
    <cellStyle name="_Monitoring Shipment Desember 2007_Usulan blending PlaN 27-05-08" xfId="5729"/>
    <cellStyle name="_Monitoring Shipment Desember 2007_Usulan blending PlaN 27-05-08 2" xfId="5730"/>
    <cellStyle name="_Monitoring Shipment Desember 2007_Usulan blending PlaN 27-05-08_Wadi-Qinfa" xfId="5731"/>
    <cellStyle name="_Monitoring Shipment Desember 2007_Usulan Blending Plan_13 Feb 2008_awl" xfId="5732"/>
    <cellStyle name="_Monitoring Shipment Desember 2007_Usulan Blending Plan_13 Feb 2008_awl 2" xfId="5733"/>
    <cellStyle name="_Monitoring Shipment Desember 2007_Usulan Blending Plan_13 Feb 2008_awl_Wadi-Qinfa" xfId="5734"/>
    <cellStyle name="_Monitoring Shipment Desember 2007_Wadi-Qinfa" xfId="5735"/>
    <cellStyle name="_Monitoring Shipment February 2006" xfId="5736"/>
    <cellStyle name="_Monitoring Shipment February 2006 2" xfId="5737"/>
    <cellStyle name="_Monitoring Shipment February 2006_01  Usulan Blend Plan BMO_220408 (2)" xfId="5738"/>
    <cellStyle name="_Monitoring Shipment February 2006_01  Usulan Blend Plan BMO_220408 (2) 2" xfId="5739"/>
    <cellStyle name="_Monitoring Shipment February 2006_01  Usulan Blend Plan BMO_220408 (2)_Wadi-Qinfa" xfId="5740"/>
    <cellStyle name="_Monitoring Shipment February 2006_Stock Status Jul 29, 2008" xfId="5741"/>
    <cellStyle name="_Monitoring Shipment February 2006_Stock Status Jul 29, 2008 2" xfId="5742"/>
    <cellStyle name="_Monitoring Shipment February 2006_Stock Status Jul 29, 2008_Wadi-Qinfa" xfId="5743"/>
    <cellStyle name="_Monitoring Shipment February 2006_Usulan Blend Plan BMO 11-03-08" xfId="5744"/>
    <cellStyle name="_Monitoring Shipment February 2006_Usulan Blend Plan BMO 11-03-08 2" xfId="5745"/>
    <cellStyle name="_Monitoring Shipment February 2006_Usulan Blend Plan BMO 11-03-08_Wadi-Qinfa" xfId="5746"/>
    <cellStyle name="_Monitoring Shipment February 2006_Usulan Blend Plan BMO 25-03-08" xfId="5747"/>
    <cellStyle name="_Monitoring Shipment February 2006_Usulan Blend Plan BMO 25-03-08 2" xfId="5748"/>
    <cellStyle name="_Monitoring Shipment February 2006_Usulan Blend Plan BMO 25-03-08_Wadi-Qinfa" xfId="5749"/>
    <cellStyle name="_Monitoring Shipment February 2006_Usulan Blending 27 Mei 2008" xfId="5750"/>
    <cellStyle name="_Monitoring Shipment February 2006_Usulan Blending 27 Mei 2008 2" xfId="5751"/>
    <cellStyle name="_Monitoring Shipment February 2006_Usulan Blending 27 Mei 2008_Wadi-Qinfa" xfId="5752"/>
    <cellStyle name="_Monitoring Shipment February 2006_Usulan Blending Plan 10 jun (2)" xfId="5753"/>
    <cellStyle name="_Monitoring Shipment February 2006_Usulan Blending Plan 10 jun (2) 2" xfId="5754"/>
    <cellStyle name="_Monitoring Shipment February 2006_Usulan Blending Plan 10 jun (2)_Wadi-Qinfa" xfId="5755"/>
    <cellStyle name="_Monitoring Shipment February 2006_Usulan Blending Plan 17 jun (2)" xfId="5756"/>
    <cellStyle name="_Monitoring Shipment February 2006_Usulan Blending Plan 17 jun (2) 2" xfId="5757"/>
    <cellStyle name="_Monitoring Shipment February 2006_Usulan Blending Plan 17 jun (2)_Wadi-Qinfa" xfId="5758"/>
    <cellStyle name="_Monitoring Shipment February 2006_Usulan blending plan 21_05_08" xfId="5759"/>
    <cellStyle name="_Monitoring Shipment February 2006_Usulan blending plan 21_05_08 2" xfId="5760"/>
    <cellStyle name="_Monitoring Shipment February 2006_Usulan blending plan 21_05_08_Wadi-Qinfa" xfId="5761"/>
    <cellStyle name="_Monitoring Shipment February 2006_Usulan blending PlaN 27-05-08" xfId="5762"/>
    <cellStyle name="_Monitoring Shipment February 2006_Usulan blending PlaN 27-05-08 2" xfId="5763"/>
    <cellStyle name="_Monitoring Shipment February 2006_Usulan blending PlaN 27-05-08_Wadi-Qinfa" xfId="5764"/>
    <cellStyle name="_Monitoring Shipment February 2006_Usulan Blending Plan_13 Feb 2008_awl" xfId="5765"/>
    <cellStyle name="_Monitoring Shipment February 2006_Usulan Blending Plan_13 Feb 2008_awl 2" xfId="5766"/>
    <cellStyle name="_Monitoring Shipment February 2006_Usulan Blending Plan_13 Feb 2008_awl_Wadi-Qinfa" xfId="5767"/>
    <cellStyle name="_Monitoring Shipment February 2006_Wadi-Qinfa" xfId="5768"/>
    <cellStyle name="_Monitoring Shipment January 05" xfId="5769"/>
    <cellStyle name="_Monitoring Shipment January 05 2" xfId="5770"/>
    <cellStyle name="_Monitoring Shipment January 05_01  Usulan Blend Plan BMO_220408 (2)" xfId="5771"/>
    <cellStyle name="_Monitoring Shipment January 05_01  Usulan Blend Plan BMO_220408 (2) 2" xfId="5772"/>
    <cellStyle name="_Monitoring Shipment January 05_01  Usulan Blend Plan BMO_220408 (2)_Wadi-Qinfa" xfId="5773"/>
    <cellStyle name="_Monitoring Shipment January 05_Stock Status Jul 29, 2008" xfId="5774"/>
    <cellStyle name="_Monitoring Shipment January 05_Stock Status Jul 29, 2008 2" xfId="5775"/>
    <cellStyle name="_Monitoring Shipment January 05_Stock Status Jul 29, 2008_Wadi-Qinfa" xfId="5776"/>
    <cellStyle name="_Monitoring Shipment January 05_Usulan Blend Plan BMO 11-03-08" xfId="5777"/>
    <cellStyle name="_Monitoring Shipment January 05_Usulan Blend Plan BMO 11-03-08 2" xfId="5778"/>
    <cellStyle name="_Monitoring Shipment January 05_Usulan Blend Plan BMO 11-03-08_Wadi-Qinfa" xfId="5779"/>
    <cellStyle name="_Monitoring Shipment January 05_Usulan Blend Plan BMO 25-03-08" xfId="5780"/>
    <cellStyle name="_Monitoring Shipment January 05_Usulan Blend Plan BMO 25-03-08 2" xfId="5781"/>
    <cellStyle name="_Monitoring Shipment January 05_Usulan Blend Plan BMO 25-03-08_Wadi-Qinfa" xfId="5782"/>
    <cellStyle name="_Monitoring Shipment January 05_Usulan Blending 27 Mei 2008" xfId="5783"/>
    <cellStyle name="_Monitoring Shipment January 05_Usulan Blending 27 Mei 2008 2" xfId="5784"/>
    <cellStyle name="_Monitoring Shipment January 05_Usulan Blending 27 Mei 2008_Wadi-Qinfa" xfId="5785"/>
    <cellStyle name="_Monitoring Shipment January 05_Usulan Blending Plan 10 jun (2)" xfId="5786"/>
    <cellStyle name="_Monitoring Shipment January 05_Usulan Blending Plan 10 jun (2) 2" xfId="5787"/>
    <cellStyle name="_Monitoring Shipment January 05_Usulan Blending Plan 10 jun (2)_Wadi-Qinfa" xfId="5788"/>
    <cellStyle name="_Monitoring Shipment January 05_Usulan Blending Plan 17 jun (2)" xfId="5789"/>
    <cellStyle name="_Monitoring Shipment January 05_Usulan Blending Plan 17 jun (2) 2" xfId="5790"/>
    <cellStyle name="_Monitoring Shipment January 05_Usulan Blending Plan 17 jun (2)_Wadi-Qinfa" xfId="5791"/>
    <cellStyle name="_Monitoring Shipment January 05_Usulan blending plan 21_05_08" xfId="5792"/>
    <cellStyle name="_Monitoring Shipment January 05_Usulan blending plan 21_05_08 2" xfId="5793"/>
    <cellStyle name="_Monitoring Shipment January 05_Usulan blending plan 21_05_08_Wadi-Qinfa" xfId="5794"/>
    <cellStyle name="_Monitoring Shipment January 05_Usulan blending PlaN 27-05-08" xfId="5795"/>
    <cellStyle name="_Monitoring Shipment January 05_Usulan blending PlaN 27-05-08 2" xfId="5796"/>
    <cellStyle name="_Monitoring Shipment January 05_Usulan blending PlaN 27-05-08_Wadi-Qinfa" xfId="5797"/>
    <cellStyle name="_Monitoring Shipment January 05_Usulan Blending Plan_13 Feb 2008_awl" xfId="5798"/>
    <cellStyle name="_Monitoring Shipment January 05_Usulan Blending Plan_13 Feb 2008_awl 2" xfId="5799"/>
    <cellStyle name="_Monitoring Shipment January 05_Usulan Blending Plan_13 Feb 2008_awl_Wadi-Qinfa" xfId="5800"/>
    <cellStyle name="_Monitoring Shipment January 05_Wadi-Qinfa" xfId="5801"/>
    <cellStyle name="_Monitoring Shipment January 2006" xfId="5802"/>
    <cellStyle name="_Monitoring Shipment January 2006 2" xfId="5803"/>
    <cellStyle name="_Monitoring Shipment January 2006_01  Usulan Blend Plan BMO_220408 (2)" xfId="5804"/>
    <cellStyle name="_Monitoring Shipment January 2006_01  Usulan Blend Plan BMO_220408 (2) 2" xfId="5805"/>
    <cellStyle name="_Monitoring Shipment January 2006_01  Usulan Blend Plan BMO_220408 (2)_Wadi-Qinfa" xfId="5806"/>
    <cellStyle name="_Monitoring Shipment January 2006_Stock Status Jul 29, 2008" xfId="5807"/>
    <cellStyle name="_Monitoring Shipment January 2006_Stock Status Jul 29, 2008 2" xfId="5808"/>
    <cellStyle name="_Monitoring Shipment January 2006_Stock Status Jul 29, 2008_Wadi-Qinfa" xfId="5809"/>
    <cellStyle name="_Monitoring Shipment January 2006_Usulan Blend Plan BMO 11-03-08" xfId="5810"/>
    <cellStyle name="_Monitoring Shipment January 2006_Usulan Blend Plan BMO 11-03-08 2" xfId="5811"/>
    <cellStyle name="_Monitoring Shipment January 2006_Usulan Blend Plan BMO 11-03-08_Wadi-Qinfa" xfId="5812"/>
    <cellStyle name="_Monitoring Shipment January 2006_Usulan Blend Plan BMO 25-03-08" xfId="5813"/>
    <cellStyle name="_Monitoring Shipment January 2006_Usulan Blend Plan BMO 25-03-08 2" xfId="5814"/>
    <cellStyle name="_Monitoring Shipment January 2006_Usulan Blend Plan BMO 25-03-08_Wadi-Qinfa" xfId="5815"/>
    <cellStyle name="_Monitoring Shipment January 2006_Usulan Blending 27 Mei 2008" xfId="5816"/>
    <cellStyle name="_Monitoring Shipment January 2006_Usulan Blending 27 Mei 2008 2" xfId="5817"/>
    <cellStyle name="_Monitoring Shipment January 2006_Usulan Blending 27 Mei 2008_Wadi-Qinfa" xfId="5818"/>
    <cellStyle name="_Monitoring Shipment January 2006_Usulan Blending Plan 10 jun (2)" xfId="5819"/>
    <cellStyle name="_Monitoring Shipment January 2006_Usulan Blending Plan 10 jun (2) 2" xfId="5820"/>
    <cellStyle name="_Monitoring Shipment January 2006_Usulan Blending Plan 10 jun (2)_Wadi-Qinfa" xfId="5821"/>
    <cellStyle name="_Monitoring Shipment January 2006_Usulan Blending Plan 17 jun (2)" xfId="5822"/>
    <cellStyle name="_Monitoring Shipment January 2006_Usulan Blending Plan 17 jun (2) 2" xfId="5823"/>
    <cellStyle name="_Monitoring Shipment January 2006_Usulan Blending Plan 17 jun (2)_Wadi-Qinfa" xfId="5824"/>
    <cellStyle name="_Monitoring Shipment January 2006_Usulan blending plan 21_05_08" xfId="5825"/>
    <cellStyle name="_Monitoring Shipment January 2006_Usulan blending plan 21_05_08 2" xfId="5826"/>
    <cellStyle name="_Monitoring Shipment January 2006_Usulan blending plan 21_05_08_Wadi-Qinfa" xfId="5827"/>
    <cellStyle name="_Monitoring Shipment January 2006_Usulan blending PlaN 27-05-08" xfId="5828"/>
    <cellStyle name="_Monitoring Shipment January 2006_Usulan blending PlaN 27-05-08 2" xfId="5829"/>
    <cellStyle name="_Monitoring Shipment January 2006_Usulan blending PlaN 27-05-08_Wadi-Qinfa" xfId="5830"/>
    <cellStyle name="_Monitoring Shipment January 2006_Usulan Blending Plan_13 Feb 2008_awl" xfId="5831"/>
    <cellStyle name="_Monitoring Shipment January 2006_Usulan Blending Plan_13 Feb 2008_awl 2" xfId="5832"/>
    <cellStyle name="_Monitoring Shipment January 2006_Usulan Blending Plan_13 Feb 2008_awl_Wadi-Qinfa" xfId="5833"/>
    <cellStyle name="_Monitoring Shipment January 2006_Wadi-Qinfa" xfId="5834"/>
    <cellStyle name="_Monitoring Shipment January 2007" xfId="5835"/>
    <cellStyle name="_Monitoring Shipment January 2007 2" xfId="5836"/>
    <cellStyle name="_Monitoring Shipment January 2007_01  Usulan Blend Plan BMO_220408 (2)" xfId="5837"/>
    <cellStyle name="_Monitoring Shipment January 2007_01  Usulan Blend Plan BMO_220408 (2) 2" xfId="5838"/>
    <cellStyle name="_Monitoring Shipment January 2007_01  Usulan Blend Plan BMO_220408 (2)_Wadi-Qinfa" xfId="5839"/>
    <cellStyle name="_Monitoring Shipment January 2007_Stock Status Jul 29, 2008" xfId="5840"/>
    <cellStyle name="_Monitoring Shipment January 2007_Stock Status Jul 29, 2008 2" xfId="5841"/>
    <cellStyle name="_Monitoring Shipment January 2007_Stock Status Jul 29, 2008_Wadi-Qinfa" xfId="5842"/>
    <cellStyle name="_Monitoring Shipment January 2007_Usulan Blend Plan BMO 11-03-08" xfId="5843"/>
    <cellStyle name="_Monitoring Shipment January 2007_Usulan Blend Plan BMO 11-03-08 2" xfId="5844"/>
    <cellStyle name="_Monitoring Shipment January 2007_Usulan Blend Plan BMO 11-03-08_Wadi-Qinfa" xfId="5845"/>
    <cellStyle name="_Monitoring Shipment January 2007_Usulan Blend Plan BMO 25-03-08" xfId="5846"/>
    <cellStyle name="_Monitoring Shipment January 2007_Usulan Blend Plan BMO 25-03-08 2" xfId="5847"/>
    <cellStyle name="_Monitoring Shipment January 2007_Usulan Blend Plan BMO 25-03-08_Wadi-Qinfa" xfId="5848"/>
    <cellStyle name="_Monitoring Shipment January 2007_Usulan Blending 27 Mei 2008" xfId="5849"/>
    <cellStyle name="_Monitoring Shipment January 2007_Usulan Blending 27 Mei 2008 2" xfId="5850"/>
    <cellStyle name="_Monitoring Shipment January 2007_Usulan Blending 27 Mei 2008_Wadi-Qinfa" xfId="5851"/>
    <cellStyle name="_Monitoring Shipment January 2007_Usulan Blending Plan 10 jun (2)" xfId="5852"/>
    <cellStyle name="_Monitoring Shipment January 2007_Usulan Blending Plan 10 jun (2) 2" xfId="5853"/>
    <cellStyle name="_Monitoring Shipment January 2007_Usulan Blending Plan 10 jun (2)_Wadi-Qinfa" xfId="5854"/>
    <cellStyle name="_Monitoring Shipment January 2007_Usulan Blending Plan 17 jun (2)" xfId="5855"/>
    <cellStyle name="_Monitoring Shipment January 2007_Usulan Blending Plan 17 jun (2) 2" xfId="5856"/>
    <cellStyle name="_Monitoring Shipment January 2007_Usulan Blending Plan 17 jun (2)_Wadi-Qinfa" xfId="5857"/>
    <cellStyle name="_Monitoring Shipment January 2007_Usulan blending plan 21_05_08" xfId="5858"/>
    <cellStyle name="_Monitoring Shipment January 2007_Usulan blending plan 21_05_08 2" xfId="5859"/>
    <cellStyle name="_Monitoring Shipment January 2007_Usulan blending plan 21_05_08_Wadi-Qinfa" xfId="5860"/>
    <cellStyle name="_Monitoring Shipment January 2007_Usulan blending PlaN 27-05-08" xfId="5861"/>
    <cellStyle name="_Monitoring Shipment January 2007_Usulan blending PlaN 27-05-08 2" xfId="5862"/>
    <cellStyle name="_Monitoring Shipment January 2007_Usulan blending PlaN 27-05-08_Wadi-Qinfa" xfId="5863"/>
    <cellStyle name="_Monitoring Shipment January 2007_Usulan Blending Plan_13 Feb 2008_awl" xfId="5864"/>
    <cellStyle name="_Monitoring Shipment January 2007_Usulan Blending Plan_13 Feb 2008_awl 2" xfId="5865"/>
    <cellStyle name="_Monitoring Shipment January 2007_Usulan Blending Plan_13 Feb 2008_awl_Wadi-Qinfa" xfId="5866"/>
    <cellStyle name="_Monitoring Shipment January 2007_Wadi-Qinfa" xfId="5867"/>
    <cellStyle name="_Monitoring Shipment Juli 2005" xfId="5868"/>
    <cellStyle name="_Monitoring Shipment Juli 2005 2" xfId="5869"/>
    <cellStyle name="_Monitoring Shipment Juli 2005_01  Usulan Blend Plan BMO_220408 (2)" xfId="5870"/>
    <cellStyle name="_Monitoring Shipment Juli 2005_01  Usulan Blend Plan BMO_220408 (2) 2" xfId="5871"/>
    <cellStyle name="_Monitoring Shipment Juli 2005_01  Usulan Blend Plan BMO_220408 (2)_Wadi-Qinfa" xfId="5872"/>
    <cellStyle name="_Monitoring Shipment Juli 2005_Stock Status Jul 29, 2008" xfId="5873"/>
    <cellStyle name="_Monitoring Shipment Juli 2005_Stock Status Jul 29, 2008 2" xfId="5874"/>
    <cellStyle name="_Monitoring Shipment Juli 2005_Stock Status Jul 29, 2008_Wadi-Qinfa" xfId="5875"/>
    <cellStyle name="_Monitoring Shipment Juli 2005_Usulan Blend Plan BMO 11-03-08" xfId="5876"/>
    <cellStyle name="_Monitoring Shipment Juli 2005_Usulan Blend Plan BMO 11-03-08 2" xfId="5877"/>
    <cellStyle name="_Monitoring Shipment Juli 2005_Usulan Blend Plan BMO 11-03-08_Wadi-Qinfa" xfId="5878"/>
    <cellStyle name="_Monitoring Shipment Juli 2005_Usulan Blend Plan BMO 25-03-08" xfId="5879"/>
    <cellStyle name="_Monitoring Shipment Juli 2005_Usulan Blend Plan BMO 25-03-08 2" xfId="5880"/>
    <cellStyle name="_Monitoring Shipment Juli 2005_Usulan Blend Plan BMO 25-03-08_Wadi-Qinfa" xfId="5881"/>
    <cellStyle name="_Monitoring Shipment Juli 2005_Usulan Blending 27 Mei 2008" xfId="5882"/>
    <cellStyle name="_Monitoring Shipment Juli 2005_Usulan Blending 27 Mei 2008 2" xfId="5883"/>
    <cellStyle name="_Monitoring Shipment Juli 2005_Usulan Blending 27 Mei 2008_Wadi-Qinfa" xfId="5884"/>
    <cellStyle name="_Monitoring Shipment Juli 2005_Usulan Blending Plan 10 jun (2)" xfId="5885"/>
    <cellStyle name="_Monitoring Shipment Juli 2005_Usulan Blending Plan 10 jun (2) 2" xfId="5886"/>
    <cellStyle name="_Monitoring Shipment Juli 2005_Usulan Blending Plan 10 jun (2)_Wadi-Qinfa" xfId="5887"/>
    <cellStyle name="_Monitoring Shipment Juli 2005_Usulan Blending Plan 17 jun (2)" xfId="5888"/>
    <cellStyle name="_Monitoring Shipment Juli 2005_Usulan Blending Plan 17 jun (2) 2" xfId="5889"/>
    <cellStyle name="_Monitoring Shipment Juli 2005_Usulan Blending Plan 17 jun (2)_Wadi-Qinfa" xfId="5890"/>
    <cellStyle name="_Monitoring Shipment Juli 2005_Usulan blending plan 21_05_08" xfId="5891"/>
    <cellStyle name="_Monitoring Shipment Juli 2005_Usulan blending plan 21_05_08 2" xfId="5892"/>
    <cellStyle name="_Monitoring Shipment Juli 2005_Usulan blending plan 21_05_08_Wadi-Qinfa" xfId="5893"/>
    <cellStyle name="_Monitoring Shipment Juli 2005_Usulan blending PlaN 27-05-08" xfId="5894"/>
    <cellStyle name="_Monitoring Shipment Juli 2005_Usulan blending PlaN 27-05-08 2" xfId="5895"/>
    <cellStyle name="_Monitoring Shipment Juli 2005_Usulan blending PlaN 27-05-08_Wadi-Qinfa" xfId="5896"/>
    <cellStyle name="_Monitoring Shipment Juli 2005_Usulan Blending Plan_13 Feb 2008_awl" xfId="5897"/>
    <cellStyle name="_Monitoring Shipment Juli 2005_Usulan Blending Plan_13 Feb 2008_awl 2" xfId="5898"/>
    <cellStyle name="_Monitoring Shipment Juli 2005_Usulan Blending Plan_13 Feb 2008_awl_Wadi-Qinfa" xfId="5899"/>
    <cellStyle name="_Monitoring Shipment Juli 2005_Wadi-Qinfa" xfId="5900"/>
    <cellStyle name="_Monitoring Shipment Juli 2007" xfId="5901"/>
    <cellStyle name="_Monitoring Shipment Juli 2007 2" xfId="5902"/>
    <cellStyle name="_Monitoring Shipment Juli 2007_01  Usulan Blend Plan BMO_220408 (2)" xfId="5903"/>
    <cellStyle name="_Monitoring Shipment Juli 2007_01  Usulan Blend Plan BMO_220408 (2) 2" xfId="5904"/>
    <cellStyle name="_Monitoring Shipment Juli 2007_01  Usulan Blend Plan BMO_220408 (2)_Wadi-Qinfa" xfId="5905"/>
    <cellStyle name="_Monitoring Shipment Juli 2007_Stock Status Jul 29, 2008" xfId="5906"/>
    <cellStyle name="_Monitoring Shipment Juli 2007_Stock Status Jul 29, 2008 2" xfId="5907"/>
    <cellStyle name="_Monitoring Shipment Juli 2007_Stock Status Jul 29, 2008_Wadi-Qinfa" xfId="5908"/>
    <cellStyle name="_Monitoring Shipment Juli 2007_Usulan Blend Plan BMO 11-03-08" xfId="5909"/>
    <cellStyle name="_Monitoring Shipment Juli 2007_Usulan Blend Plan BMO 11-03-08 2" xfId="5910"/>
    <cellStyle name="_Monitoring Shipment Juli 2007_Usulan Blend Plan BMO 11-03-08_Wadi-Qinfa" xfId="5911"/>
    <cellStyle name="_Monitoring Shipment Juli 2007_Usulan Blend Plan BMO 25-03-08" xfId="5912"/>
    <cellStyle name="_Monitoring Shipment Juli 2007_Usulan Blend Plan BMO 25-03-08 2" xfId="5913"/>
    <cellStyle name="_Monitoring Shipment Juli 2007_Usulan Blend Plan BMO 25-03-08_Wadi-Qinfa" xfId="5914"/>
    <cellStyle name="_Monitoring Shipment Juli 2007_Usulan Blending 27 Mei 2008" xfId="5915"/>
    <cellStyle name="_Monitoring Shipment Juli 2007_Usulan Blending 27 Mei 2008 2" xfId="5916"/>
    <cellStyle name="_Monitoring Shipment Juli 2007_Usulan Blending 27 Mei 2008_Wadi-Qinfa" xfId="5917"/>
    <cellStyle name="_Monitoring Shipment Juli 2007_Usulan Blending Plan 10 jun (2)" xfId="5918"/>
    <cellStyle name="_Monitoring Shipment Juli 2007_Usulan Blending Plan 10 jun (2) 2" xfId="5919"/>
    <cellStyle name="_Monitoring Shipment Juli 2007_Usulan Blending Plan 10 jun (2)_Wadi-Qinfa" xfId="5920"/>
    <cellStyle name="_Monitoring Shipment Juli 2007_Usulan Blending Plan 17 jun (2)" xfId="5921"/>
    <cellStyle name="_Monitoring Shipment Juli 2007_Usulan Blending Plan 17 jun (2) 2" xfId="5922"/>
    <cellStyle name="_Monitoring Shipment Juli 2007_Usulan Blending Plan 17 jun (2)_Wadi-Qinfa" xfId="5923"/>
    <cellStyle name="_Monitoring Shipment Juli 2007_Usulan blending plan 21_05_08" xfId="5924"/>
    <cellStyle name="_Monitoring Shipment Juli 2007_Usulan blending plan 21_05_08 2" xfId="5925"/>
    <cellStyle name="_Monitoring Shipment Juli 2007_Usulan blending plan 21_05_08_Wadi-Qinfa" xfId="5926"/>
    <cellStyle name="_Monitoring Shipment Juli 2007_Usulan blending PlaN 27-05-08" xfId="5927"/>
    <cellStyle name="_Monitoring Shipment Juli 2007_Usulan blending PlaN 27-05-08 2" xfId="5928"/>
    <cellStyle name="_Monitoring Shipment Juli 2007_Usulan blending PlaN 27-05-08_Wadi-Qinfa" xfId="5929"/>
    <cellStyle name="_Monitoring Shipment Juli 2007_Usulan Blending Plan_13 Feb 2008_awl" xfId="5930"/>
    <cellStyle name="_Monitoring Shipment Juli 2007_Usulan Blending Plan_13 Feb 2008_awl 2" xfId="5931"/>
    <cellStyle name="_Monitoring Shipment Juli 2007_Usulan Blending Plan_13 Feb 2008_awl_Wadi-Qinfa" xfId="5932"/>
    <cellStyle name="_Monitoring Shipment Juli 2007_Wadi-Qinfa" xfId="5933"/>
    <cellStyle name="_Monitoring Shipment July 2006" xfId="5934"/>
    <cellStyle name="_Monitoring Shipment July 2006 2" xfId="5935"/>
    <cellStyle name="_Monitoring Shipment July 2006_01  Usulan Blend Plan BMO_220408 (2)" xfId="5936"/>
    <cellStyle name="_Monitoring Shipment July 2006_01  Usulan Blend Plan BMO_220408 (2) 2" xfId="5937"/>
    <cellStyle name="_Monitoring Shipment July 2006_01  Usulan Blend Plan BMO_220408 (2)_Wadi-Qinfa" xfId="5938"/>
    <cellStyle name="_Monitoring Shipment July 2006_Stock Status Jul 29, 2008" xfId="5939"/>
    <cellStyle name="_Monitoring Shipment July 2006_Stock Status Jul 29, 2008 2" xfId="5940"/>
    <cellStyle name="_Monitoring Shipment July 2006_Stock Status Jul 29, 2008_Wadi-Qinfa" xfId="5941"/>
    <cellStyle name="_Monitoring Shipment July 2006_Usulan Blend Plan BMO 11-03-08" xfId="5942"/>
    <cellStyle name="_Monitoring Shipment July 2006_Usulan Blend Plan BMO 11-03-08 2" xfId="5943"/>
    <cellStyle name="_Monitoring Shipment July 2006_Usulan Blend Plan BMO 11-03-08_Wadi-Qinfa" xfId="5944"/>
    <cellStyle name="_Monitoring Shipment July 2006_Usulan Blend Plan BMO 25-03-08" xfId="5945"/>
    <cellStyle name="_Monitoring Shipment July 2006_Usulan Blend Plan BMO 25-03-08 2" xfId="5946"/>
    <cellStyle name="_Monitoring Shipment July 2006_Usulan Blend Plan BMO 25-03-08_Wadi-Qinfa" xfId="5947"/>
    <cellStyle name="_Monitoring Shipment July 2006_Usulan Blending 27 Mei 2008" xfId="5948"/>
    <cellStyle name="_Monitoring Shipment July 2006_Usulan Blending 27 Mei 2008 2" xfId="5949"/>
    <cellStyle name="_Monitoring Shipment July 2006_Usulan Blending 27 Mei 2008_Wadi-Qinfa" xfId="5950"/>
    <cellStyle name="_Monitoring Shipment July 2006_Usulan Blending Plan 10 jun (2)" xfId="5951"/>
    <cellStyle name="_Monitoring Shipment July 2006_Usulan Blending Plan 10 jun (2) 2" xfId="5952"/>
    <cellStyle name="_Monitoring Shipment July 2006_Usulan Blending Plan 10 jun (2)_Wadi-Qinfa" xfId="5953"/>
    <cellStyle name="_Monitoring Shipment July 2006_Usulan Blending Plan 17 jun (2)" xfId="5954"/>
    <cellStyle name="_Monitoring Shipment July 2006_Usulan Blending Plan 17 jun (2) 2" xfId="5955"/>
    <cellStyle name="_Monitoring Shipment July 2006_Usulan Blending Plan 17 jun (2)_Wadi-Qinfa" xfId="5956"/>
    <cellStyle name="_Monitoring Shipment July 2006_Usulan blending plan 21_05_08" xfId="5957"/>
    <cellStyle name="_Monitoring Shipment July 2006_Usulan blending plan 21_05_08 2" xfId="5958"/>
    <cellStyle name="_Monitoring Shipment July 2006_Usulan blending plan 21_05_08_Wadi-Qinfa" xfId="5959"/>
    <cellStyle name="_Monitoring Shipment July 2006_Usulan blending PlaN 27-05-08" xfId="5960"/>
    <cellStyle name="_Monitoring Shipment July 2006_Usulan blending PlaN 27-05-08 2" xfId="5961"/>
    <cellStyle name="_Monitoring Shipment July 2006_Usulan blending PlaN 27-05-08_Wadi-Qinfa" xfId="5962"/>
    <cellStyle name="_Monitoring Shipment July 2006_Usulan Blending Plan_13 Feb 2008_awl" xfId="5963"/>
    <cellStyle name="_Monitoring Shipment July 2006_Usulan Blending Plan_13 Feb 2008_awl 2" xfId="5964"/>
    <cellStyle name="_Monitoring Shipment July 2006_Usulan Blending Plan_13 Feb 2008_awl_Wadi-Qinfa" xfId="5965"/>
    <cellStyle name="_Monitoring Shipment July 2006_Wadi-Qinfa" xfId="5966"/>
    <cellStyle name="_Monitoring Shipment June 05" xfId="5967"/>
    <cellStyle name="_Monitoring Shipment June 05 2" xfId="5968"/>
    <cellStyle name="_Monitoring Shipment June 05_01  Usulan Blend Plan BMO_220408 (2)" xfId="5969"/>
    <cellStyle name="_Monitoring Shipment June 05_01  Usulan Blend Plan BMO_220408 (2) 2" xfId="5970"/>
    <cellStyle name="_Monitoring Shipment June 05_01  Usulan Blend Plan BMO_220408 (2)_Wadi-Qinfa" xfId="5971"/>
    <cellStyle name="_Monitoring Shipment June 05_Stock Status Jul 29, 2008" xfId="5972"/>
    <cellStyle name="_Monitoring Shipment June 05_Stock Status Jul 29, 2008 2" xfId="5973"/>
    <cellStyle name="_Monitoring Shipment June 05_Stock Status Jul 29, 2008_Wadi-Qinfa" xfId="5974"/>
    <cellStyle name="_Monitoring Shipment June 05_Usulan Blend Plan BMO 11-03-08" xfId="5975"/>
    <cellStyle name="_Monitoring Shipment June 05_Usulan Blend Plan BMO 11-03-08 2" xfId="5976"/>
    <cellStyle name="_Monitoring Shipment June 05_Usulan Blend Plan BMO 11-03-08_Wadi-Qinfa" xfId="5977"/>
    <cellStyle name="_Monitoring Shipment June 05_Usulan Blend Plan BMO 25-03-08" xfId="5978"/>
    <cellStyle name="_Monitoring Shipment June 05_Usulan Blend Plan BMO 25-03-08 2" xfId="5979"/>
    <cellStyle name="_Monitoring Shipment June 05_Usulan Blend Plan BMO 25-03-08_Wadi-Qinfa" xfId="5980"/>
    <cellStyle name="_Monitoring Shipment June 05_Usulan Blending 27 Mei 2008" xfId="5981"/>
    <cellStyle name="_Monitoring Shipment June 05_Usulan Blending 27 Mei 2008 2" xfId="5982"/>
    <cellStyle name="_Monitoring Shipment June 05_Usulan Blending 27 Mei 2008_Wadi-Qinfa" xfId="5983"/>
    <cellStyle name="_Monitoring Shipment June 05_Usulan Blending Plan 10 jun (2)" xfId="5984"/>
    <cellStyle name="_Monitoring Shipment June 05_Usulan Blending Plan 10 jun (2) 2" xfId="5985"/>
    <cellStyle name="_Monitoring Shipment June 05_Usulan Blending Plan 10 jun (2)_Wadi-Qinfa" xfId="5986"/>
    <cellStyle name="_Monitoring Shipment June 05_Usulan Blending Plan 17 jun (2)" xfId="5987"/>
    <cellStyle name="_Monitoring Shipment June 05_Usulan Blending Plan 17 jun (2) 2" xfId="5988"/>
    <cellStyle name="_Monitoring Shipment June 05_Usulan Blending Plan 17 jun (2)_Wadi-Qinfa" xfId="5989"/>
    <cellStyle name="_Monitoring Shipment June 05_Usulan blending plan 21_05_08" xfId="5990"/>
    <cellStyle name="_Monitoring Shipment June 05_Usulan blending plan 21_05_08 2" xfId="5991"/>
    <cellStyle name="_Monitoring Shipment June 05_Usulan blending plan 21_05_08_Wadi-Qinfa" xfId="5992"/>
    <cellStyle name="_Monitoring Shipment June 05_Usulan blending PlaN 27-05-08" xfId="5993"/>
    <cellStyle name="_Monitoring Shipment June 05_Usulan blending PlaN 27-05-08 2" xfId="5994"/>
    <cellStyle name="_Monitoring Shipment June 05_Usulan blending PlaN 27-05-08_Wadi-Qinfa" xfId="5995"/>
    <cellStyle name="_Monitoring Shipment June 05_Usulan Blending Plan_13 Feb 2008_awl" xfId="5996"/>
    <cellStyle name="_Monitoring Shipment June 05_Usulan Blending Plan_13 Feb 2008_awl 2" xfId="5997"/>
    <cellStyle name="_Monitoring Shipment June 05_Usulan Blending Plan_13 Feb 2008_awl_Wadi-Qinfa" xfId="5998"/>
    <cellStyle name="_Monitoring Shipment June 05_Wadi-Qinfa" xfId="5999"/>
    <cellStyle name="_Monitoring Shipment March 05" xfId="6000"/>
    <cellStyle name="_Monitoring Shipment March 05 2" xfId="6001"/>
    <cellStyle name="_Monitoring Shipment March 05_01  Usulan Blend Plan BMO_220408 (2)" xfId="6002"/>
    <cellStyle name="_Monitoring Shipment March 05_01  Usulan Blend Plan BMO_220408 (2) 2" xfId="6003"/>
    <cellStyle name="_Monitoring Shipment March 05_01  Usulan Blend Plan BMO_220408 (2)_Wadi-Qinfa" xfId="6004"/>
    <cellStyle name="_Monitoring Shipment March 05_Stock Status Jul 29, 2008" xfId="6005"/>
    <cellStyle name="_Monitoring Shipment March 05_Stock Status Jul 29, 2008 2" xfId="6006"/>
    <cellStyle name="_Monitoring Shipment March 05_Stock Status Jul 29, 2008_Wadi-Qinfa" xfId="6007"/>
    <cellStyle name="_Monitoring Shipment March 05_Usulan Blend Plan BMO 11-03-08" xfId="6008"/>
    <cellStyle name="_Monitoring Shipment March 05_Usulan Blend Plan BMO 11-03-08 2" xfId="6009"/>
    <cellStyle name="_Monitoring Shipment March 05_Usulan Blend Plan BMO 11-03-08 2_Sheet1" xfId="6010"/>
    <cellStyle name="_Monitoring Shipment March 05_Usulan Blend Plan BMO 11-03-08_Wadi-Qinfa" xfId="6011"/>
    <cellStyle name="_Monitoring Shipment March 05_Usulan Blend Plan BMO 25-03-08" xfId="6012"/>
    <cellStyle name="_Monitoring Shipment March 05_Usulan Blend Plan BMO 25-03-08 2" xfId="6013"/>
    <cellStyle name="_Monitoring Shipment March 05_Usulan Blend Plan BMO 25-03-08 2_Sheet1" xfId="6014"/>
    <cellStyle name="_Monitoring Shipment March 05_Usulan Blend Plan BMO 25-03-08_Sheet1" xfId="6015"/>
    <cellStyle name="_Monitoring Shipment March 05_Usulan Blend Plan BMO 25-03-08_Wadi-Qinfa" xfId="6016"/>
    <cellStyle name="_Monitoring Shipment March 05_Usulan Blending 27 Mei 2008" xfId="6017"/>
    <cellStyle name="_Monitoring Shipment March 05_Usulan Blending 27 Mei 2008 2" xfId="6018"/>
    <cellStyle name="_Monitoring Shipment March 05_Usulan Blending 27 Mei 2008 2_Sheet1" xfId="6019"/>
    <cellStyle name="_Monitoring Shipment March 05_Usulan Blending 27 Mei 2008_Sheet1" xfId="6020"/>
    <cellStyle name="_Monitoring Shipment March 05_Usulan Blending 27 Mei 2008_Wadi-Qinfa" xfId="6021"/>
    <cellStyle name="_Monitoring Shipment March 05_Usulan Blending Plan 10 jun (2)" xfId="6022"/>
    <cellStyle name="_Monitoring Shipment March 05_Usulan Blending Plan 10 jun (2) 2" xfId="6023"/>
    <cellStyle name="_Monitoring Shipment March 05_Usulan Blending Plan 10 jun (2) 2_Sheet1" xfId="6024"/>
    <cellStyle name="_Monitoring Shipment March 05_Usulan Blending Plan 10 jun (2)_Sheet1" xfId="6025"/>
    <cellStyle name="_Monitoring Shipment March 05_Usulan Blending Plan 10 jun (2)_Wadi-Qinfa" xfId="6026"/>
    <cellStyle name="_Monitoring Shipment March 05_Usulan Blending Plan 17 jun (2)" xfId="6027"/>
    <cellStyle name="_Monitoring Shipment March 05_Usulan Blending Plan 17 jun (2) 2" xfId="6028"/>
    <cellStyle name="_Monitoring Shipment March 05_Usulan Blending Plan 17 jun (2) 2_Sheet1" xfId="6029"/>
    <cellStyle name="_Monitoring Shipment March 05_Usulan Blending Plan 17 jun (2)_Sheet1" xfId="6030"/>
    <cellStyle name="_Monitoring Shipment March 05_Usulan Blending Plan 17 jun (2)_Wadi-Qinfa" xfId="6031"/>
    <cellStyle name="_Monitoring Shipment March 05_Usulan blending plan 21_05_08" xfId="6032"/>
    <cellStyle name="_Monitoring Shipment March 05_Usulan blending plan 21_05_08 2" xfId="6033"/>
    <cellStyle name="_Monitoring Shipment March 05_Usulan blending plan 21_05_08 2_Sheet1" xfId="6034"/>
    <cellStyle name="_Monitoring Shipment March 05_Usulan blending plan 21_05_08_Sheet1" xfId="6035"/>
    <cellStyle name="_Monitoring Shipment March 05_Usulan blending plan 21_05_08_Wadi-Qinfa" xfId="6036"/>
    <cellStyle name="_Monitoring Shipment March 05_Usulan blending PlaN 27-05-08" xfId="6037"/>
    <cellStyle name="_Monitoring Shipment March 05_Usulan blending PlaN 27-05-08 2" xfId="6038"/>
    <cellStyle name="_Monitoring Shipment March 05_Usulan blending PlaN 27-05-08 2_Sheet1" xfId="6039"/>
    <cellStyle name="_Monitoring Shipment March 05_Usulan blending PlaN 27-05-08_Sheet1" xfId="6040"/>
    <cellStyle name="_Monitoring Shipment March 05_Usulan blending PlaN 27-05-08_Wadi-Qinfa" xfId="6041"/>
    <cellStyle name="_Monitoring Shipment March 05_Usulan Blending Plan_13 Feb 2008_awl" xfId="6042"/>
    <cellStyle name="_Monitoring Shipment March 05_Usulan Blending Plan_13 Feb 2008_awl 2" xfId="6043"/>
    <cellStyle name="_Monitoring Shipment March 05_Usulan Blending Plan_13 Feb 2008_awl 2_Sheet1" xfId="6044"/>
    <cellStyle name="_Monitoring Shipment March 05_Usulan Blending Plan_13 Feb 2008_awl_Sheet1" xfId="6045"/>
    <cellStyle name="_Monitoring Shipment March 05_Usulan Blending Plan_13 Feb 2008_awl_Wadi-Qinfa" xfId="6046"/>
    <cellStyle name="_Monitoring Shipment March 05_Wadi-Qinfa" xfId="6047"/>
    <cellStyle name="_Monitoring Shipment November 2006" xfId="6048"/>
    <cellStyle name="_Monitoring Shipment November 2006 2" xfId="6049"/>
    <cellStyle name="_Monitoring Shipment November 2006 2_Sheet1" xfId="6050"/>
    <cellStyle name="_Monitoring Shipment November 2006_01  Usulan Blend Plan BMO_220408 (2)" xfId="6051"/>
    <cellStyle name="_Monitoring Shipment November 2006_01  Usulan Blend Plan BMO_220408 (2) 2" xfId="6052"/>
    <cellStyle name="_Monitoring Shipment November 2006_01  Usulan Blend Plan BMO_220408 (2) 2_Sheet1" xfId="6053"/>
    <cellStyle name="_Monitoring Shipment November 2006_01  Usulan Blend Plan BMO_220408 (2)_Sheet1" xfId="6054"/>
    <cellStyle name="_Monitoring Shipment November 2006_01  Usulan Blend Plan BMO_220408 (2)_Wadi-Qinfa" xfId="6055"/>
    <cellStyle name="_Monitoring Shipment November 2006_Sheet1" xfId="6056"/>
    <cellStyle name="_Monitoring Shipment November 2006_Stock Status Jul 29, 2008" xfId="6057"/>
    <cellStyle name="_Monitoring Shipment November 2006_Stock Status Jul 29, 2008 2" xfId="6058"/>
    <cellStyle name="_Monitoring Shipment November 2006_Stock Status Jul 29, 2008 2_Sheet1" xfId="6059"/>
    <cellStyle name="_Monitoring Shipment November 2006_Stock Status Jul 29, 2008_Sheet1" xfId="6060"/>
    <cellStyle name="_Monitoring Shipment November 2006_Stock Status Jul 29, 2008_Wadi-Qinfa" xfId="6061"/>
    <cellStyle name="_Monitoring Shipment November 2006_Usulan Blend Plan BMO 11-03-08" xfId="6062"/>
    <cellStyle name="_Monitoring Shipment November 2006_Usulan Blend Plan BMO 11-03-08 2" xfId="6063"/>
    <cellStyle name="_Monitoring Shipment November 2006_Usulan Blend Plan BMO 11-03-08 2_Sheet1" xfId="6064"/>
    <cellStyle name="_Monitoring Shipment November 2006_Usulan Blend Plan BMO 11-03-08_Sheet1" xfId="6065"/>
    <cellStyle name="_Monitoring Shipment November 2006_Usulan Blend Plan BMO 11-03-08_Wadi-Qinfa" xfId="6066"/>
    <cellStyle name="_Monitoring Shipment November 2006_Usulan Blend Plan BMO 25-03-08" xfId="6067"/>
    <cellStyle name="_Monitoring Shipment November 2006_Usulan Blend Plan BMO 25-03-08 2" xfId="6068"/>
    <cellStyle name="_Monitoring Shipment November 2006_Usulan Blend Plan BMO 25-03-08 2_Sheet1" xfId="6069"/>
    <cellStyle name="_Monitoring Shipment November 2006_Usulan Blend Plan BMO 25-03-08_Sheet1" xfId="6070"/>
    <cellStyle name="_Monitoring Shipment November 2006_Usulan Blend Plan BMO 25-03-08_Wadi-Qinfa" xfId="6071"/>
    <cellStyle name="_Monitoring Shipment November 2006_Usulan Blending 27 Mei 2008" xfId="6072"/>
    <cellStyle name="_Monitoring Shipment November 2006_Usulan Blending 27 Mei 2008 2" xfId="6073"/>
    <cellStyle name="_Monitoring Shipment November 2006_Usulan Blending 27 Mei 2008 2_Sheet1" xfId="6074"/>
    <cellStyle name="_Monitoring Shipment November 2006_Usulan Blending 27 Mei 2008_Sheet1" xfId="6075"/>
    <cellStyle name="_Monitoring Shipment November 2006_Usulan Blending 27 Mei 2008_Wadi-Qinfa" xfId="6076"/>
    <cellStyle name="_Monitoring Shipment November 2006_Usulan Blending Plan 10 jun (2)" xfId="6077"/>
    <cellStyle name="_Monitoring Shipment November 2006_Usulan Blending Plan 10 jun (2) 2" xfId="6078"/>
    <cellStyle name="_Monitoring Shipment November 2006_Usulan Blending Plan 10 jun (2) 2_Sheet1" xfId="6079"/>
    <cellStyle name="_Monitoring Shipment November 2006_Usulan Blending Plan 10 jun (2)_Sheet1" xfId="6080"/>
    <cellStyle name="_Monitoring Shipment November 2006_Usulan Blending Plan 10 jun (2)_Wadi-Qinfa" xfId="6081"/>
    <cellStyle name="_Monitoring Shipment November 2006_Usulan Blending Plan 17 jun (2)" xfId="6082"/>
    <cellStyle name="_Monitoring Shipment November 2006_Usulan Blending Plan 17 jun (2) 2" xfId="6083"/>
    <cellStyle name="_Monitoring Shipment November 2006_Usulan Blending Plan 17 jun (2) 2_Sheet1" xfId="6084"/>
    <cellStyle name="_Monitoring Shipment November 2006_Usulan Blending Plan 17 jun (2)_Sheet1" xfId="6085"/>
    <cellStyle name="_Monitoring Shipment November 2006_Usulan Blending Plan 17 jun (2)_Wadi-Qinfa" xfId="6086"/>
    <cellStyle name="_Monitoring Shipment November 2006_Usulan blending plan 21_05_08" xfId="6087"/>
    <cellStyle name="_Monitoring Shipment November 2006_Usulan blending plan 21_05_08 2" xfId="6088"/>
    <cellStyle name="_Monitoring Shipment November 2006_Usulan blending plan 21_05_08 2_Sheet1" xfId="6089"/>
    <cellStyle name="_Monitoring Shipment November 2006_Usulan blending plan 21_05_08_Sheet1" xfId="6090"/>
    <cellStyle name="_Monitoring Shipment November 2006_Usulan blending plan 21_05_08_Wadi-Qinfa" xfId="6091"/>
    <cellStyle name="_Monitoring Shipment November 2006_Usulan blending PlaN 27-05-08" xfId="6092"/>
    <cellStyle name="_Monitoring Shipment November 2006_Usulan blending PlaN 27-05-08 2" xfId="6093"/>
    <cellStyle name="_Monitoring Shipment November 2006_Usulan blending PlaN 27-05-08 2_Sheet1" xfId="6094"/>
    <cellStyle name="_Monitoring Shipment November 2006_Usulan blending PlaN 27-05-08_Sheet1" xfId="6095"/>
    <cellStyle name="_Monitoring Shipment November 2006_Usulan blending PlaN 27-05-08_Wadi-Qinfa" xfId="6096"/>
    <cellStyle name="_Monitoring Shipment November 2006_Usulan Blending Plan_13 Feb 2008_awl" xfId="6097"/>
    <cellStyle name="_Monitoring Shipment November 2006_Usulan Blending Plan_13 Feb 2008_awl 2" xfId="6098"/>
    <cellStyle name="_Monitoring Shipment November 2006_Usulan Blending Plan_13 Feb 2008_awl 2_Sheet1" xfId="6099"/>
    <cellStyle name="_Monitoring Shipment November 2006_Usulan Blending Plan_13 Feb 2008_awl_Sheet1" xfId="6100"/>
    <cellStyle name="_Monitoring Shipment November 2006_Usulan Blending Plan_13 Feb 2008_awl_Wadi-Qinfa" xfId="6101"/>
    <cellStyle name="_Monitoring Shipment November 2006_Wadi-Qinfa" xfId="6102"/>
    <cellStyle name="_Monitoring Shipment November 2007" xfId="6103"/>
    <cellStyle name="_Monitoring Shipment November 2007 2" xfId="6104"/>
    <cellStyle name="_Monitoring Shipment November 2007 2_Sheet1" xfId="6105"/>
    <cellStyle name="_Monitoring Shipment November 2007_01  Usulan Blend Plan BMO_220408 (2)" xfId="6106"/>
    <cellStyle name="_Monitoring Shipment November 2007_01  Usulan Blend Plan BMO_220408 (2) 2" xfId="6107"/>
    <cellStyle name="_Monitoring Shipment November 2007_01  Usulan Blend Plan BMO_220408 (2) 2_Sheet1" xfId="6108"/>
    <cellStyle name="_Monitoring Shipment November 2007_01  Usulan Blend Plan BMO_220408 (2)_Sheet1" xfId="6109"/>
    <cellStyle name="_Monitoring Shipment November 2007_01  Usulan Blend Plan BMO_220408 (2)_Wadi-Qinfa" xfId="6110"/>
    <cellStyle name="_Monitoring Shipment November 2007_Sheet1" xfId="6111"/>
    <cellStyle name="_Monitoring Shipment November 2007_Stock Status Jul 29, 2008" xfId="6112"/>
    <cellStyle name="_Monitoring Shipment November 2007_Stock Status Jul 29, 2008 2" xfId="6113"/>
    <cellStyle name="_Monitoring Shipment November 2007_Stock Status Jul 29, 2008 2_Sheet1" xfId="6114"/>
    <cellStyle name="_Monitoring Shipment November 2007_Stock Status Jul 29, 2008_Sheet1" xfId="6115"/>
    <cellStyle name="_Monitoring Shipment November 2007_Stock Status Jul 29, 2008_Wadi-Qinfa" xfId="6116"/>
    <cellStyle name="_Monitoring Shipment November 2007_Usulan Blend Plan BMO 11-03-08" xfId="6117"/>
    <cellStyle name="_Monitoring Shipment November 2007_Usulan Blend Plan BMO 11-03-08 2" xfId="6118"/>
    <cellStyle name="_Monitoring Shipment November 2007_Usulan Blend Plan BMO 11-03-08 2_Sheet1" xfId="6119"/>
    <cellStyle name="_Monitoring Shipment November 2007_Usulan Blend Plan BMO 11-03-08_Sheet1" xfId="6120"/>
    <cellStyle name="_Monitoring Shipment November 2007_Usulan Blend Plan BMO 11-03-08_Wadi-Qinfa" xfId="6121"/>
    <cellStyle name="_Monitoring Shipment November 2007_Usulan Blend Plan BMO 25-03-08" xfId="6122"/>
    <cellStyle name="_Monitoring Shipment November 2007_Usulan Blend Plan BMO 25-03-08 2" xfId="6123"/>
    <cellStyle name="_Monitoring Shipment November 2007_Usulan Blend Plan BMO 25-03-08 2_Sheet1" xfId="6124"/>
    <cellStyle name="_Monitoring Shipment November 2007_Usulan Blend Plan BMO 25-03-08_Sheet1" xfId="6125"/>
    <cellStyle name="_Monitoring Shipment November 2007_Usulan Blend Plan BMO 25-03-08_Wadi-Qinfa" xfId="6126"/>
    <cellStyle name="_Monitoring Shipment November 2007_Usulan Blending 27 Mei 2008" xfId="6127"/>
    <cellStyle name="_Monitoring Shipment November 2007_Usulan Blending 27 Mei 2008 2" xfId="6128"/>
    <cellStyle name="_Monitoring Shipment November 2007_Usulan Blending 27 Mei 2008 2_Sheet1" xfId="6129"/>
    <cellStyle name="_Monitoring Shipment November 2007_Usulan Blending 27 Mei 2008_Sheet1" xfId="6130"/>
    <cellStyle name="_Monitoring Shipment November 2007_Usulan Blending 27 Mei 2008_Wadi-Qinfa" xfId="6131"/>
    <cellStyle name="_Monitoring Shipment November 2007_Usulan Blending Plan 10 jun (2)" xfId="6132"/>
    <cellStyle name="_Monitoring Shipment November 2007_Usulan Blending Plan 10 jun (2) 2" xfId="6133"/>
    <cellStyle name="_Monitoring Shipment November 2007_Usulan Blending Plan 10 jun (2) 2_Sheet1" xfId="6134"/>
    <cellStyle name="_Monitoring Shipment November 2007_Usulan Blending Plan 10 jun (2)_Sheet1" xfId="6135"/>
    <cellStyle name="_Monitoring Shipment November 2007_Usulan Blending Plan 10 jun (2)_Wadi-Qinfa" xfId="6136"/>
    <cellStyle name="_Monitoring Shipment November 2007_Usulan Blending Plan 17 jun (2)" xfId="6137"/>
    <cellStyle name="_Monitoring Shipment November 2007_Usulan Blending Plan 17 jun (2) 2" xfId="6138"/>
    <cellStyle name="_Monitoring Shipment November 2007_Usulan Blending Plan 17 jun (2) 2_Sheet1" xfId="6139"/>
    <cellStyle name="_Monitoring Shipment November 2007_Usulan Blending Plan 17 jun (2)_Sheet1" xfId="6140"/>
    <cellStyle name="_Monitoring Shipment November 2007_Usulan Blending Plan 17 jun (2)_Wadi-Qinfa" xfId="6141"/>
    <cellStyle name="_Monitoring Shipment November 2007_Usulan blending plan 21_05_08" xfId="6142"/>
    <cellStyle name="_Monitoring Shipment November 2007_Usulan blending plan 21_05_08 2" xfId="6143"/>
    <cellStyle name="_Monitoring Shipment November 2007_Usulan blending plan 21_05_08 2_Sheet1" xfId="6144"/>
    <cellStyle name="_Monitoring Shipment November 2007_Usulan blending plan 21_05_08_Sheet1" xfId="6145"/>
    <cellStyle name="_Monitoring Shipment November 2007_Usulan blending plan 21_05_08_Wadi-Qinfa" xfId="6146"/>
    <cellStyle name="_Monitoring Shipment November 2007_Usulan blending PlaN 27-05-08" xfId="6147"/>
    <cellStyle name="_Monitoring Shipment November 2007_Usulan blending PlaN 27-05-08 2" xfId="6148"/>
    <cellStyle name="_Monitoring Shipment November 2007_Usulan blending PlaN 27-05-08 2_Sheet1" xfId="6149"/>
    <cellStyle name="_Monitoring Shipment November 2007_Usulan blending PlaN 27-05-08_Sheet1" xfId="6150"/>
    <cellStyle name="_Monitoring Shipment November 2007_Usulan blending PlaN 27-05-08_Wadi-Qinfa" xfId="6151"/>
    <cellStyle name="_Monitoring Shipment November 2007_Usulan Blending Plan_13 Feb 2008_awl" xfId="6152"/>
    <cellStyle name="_Monitoring Shipment November 2007_Usulan Blending Plan_13 Feb 2008_awl 2" xfId="6153"/>
    <cellStyle name="_Monitoring Shipment November 2007_Usulan Blending Plan_13 Feb 2008_awl 2_Sheet1" xfId="6154"/>
    <cellStyle name="_Monitoring Shipment November 2007_Usulan Blending Plan_13 Feb 2008_awl_Sheet1" xfId="6155"/>
    <cellStyle name="_Monitoring Shipment November 2007_Usulan Blending Plan_13 Feb 2008_awl_Wadi-Qinfa" xfId="6156"/>
    <cellStyle name="_Monitoring Shipment November 2007_Wadi-Qinfa" xfId="6157"/>
    <cellStyle name="_Monitoring Shipment October 2006" xfId="6158"/>
    <cellStyle name="_Monitoring Shipment October 2006 2" xfId="6159"/>
    <cellStyle name="_Monitoring Shipment October 2006 2_Sheet1" xfId="6160"/>
    <cellStyle name="_Monitoring Shipment October 2006_01  Usulan Blend Plan BMO_220408 (2)" xfId="6161"/>
    <cellStyle name="_Monitoring Shipment October 2006_01  Usulan Blend Plan BMO_220408 (2) 2" xfId="6162"/>
    <cellStyle name="_Monitoring Shipment October 2006_01  Usulan Blend Plan BMO_220408 (2) 2_Sheet1" xfId="6163"/>
    <cellStyle name="_Monitoring Shipment October 2006_01  Usulan Blend Plan BMO_220408 (2)_Sheet1" xfId="6164"/>
    <cellStyle name="_Monitoring Shipment October 2006_01  Usulan Blend Plan BMO_220408 (2)_Wadi-Qinfa" xfId="6165"/>
    <cellStyle name="_Monitoring Shipment October 2006_Sheet1" xfId="6166"/>
    <cellStyle name="_Monitoring Shipment October 2006_Stock Status Jul 29, 2008" xfId="6167"/>
    <cellStyle name="_Monitoring Shipment October 2006_Stock Status Jul 29, 2008 2" xfId="6168"/>
    <cellStyle name="_Monitoring Shipment October 2006_Stock Status Jul 29, 2008 2_Sheet1" xfId="6169"/>
    <cellStyle name="_Monitoring Shipment October 2006_Stock Status Jul 29, 2008_Sheet1" xfId="6170"/>
    <cellStyle name="_Monitoring Shipment October 2006_Stock Status Jul 29, 2008_Wadi-Qinfa" xfId="6171"/>
    <cellStyle name="_Monitoring Shipment October 2006_Usulan Blend Plan BMO 11-03-08" xfId="6172"/>
    <cellStyle name="_Monitoring Shipment October 2006_Usulan Blend Plan BMO 11-03-08 2" xfId="6173"/>
    <cellStyle name="_Monitoring Shipment October 2006_Usulan Blend Plan BMO 11-03-08 2_Sheet1" xfId="6174"/>
    <cellStyle name="_Monitoring Shipment October 2006_Usulan Blend Plan BMO 11-03-08_Sheet1" xfId="6175"/>
    <cellStyle name="_Monitoring Shipment October 2006_Usulan Blend Plan BMO 11-03-08_Wadi-Qinfa" xfId="6176"/>
    <cellStyle name="_Monitoring Shipment October 2006_Usulan Blend Plan BMO 25-03-08" xfId="6177"/>
    <cellStyle name="_Monitoring Shipment October 2006_Usulan Blend Plan BMO 25-03-08 2" xfId="6178"/>
    <cellStyle name="_Monitoring Shipment October 2006_Usulan Blend Plan BMO 25-03-08 2_Sheet1" xfId="6179"/>
    <cellStyle name="_Monitoring Shipment October 2006_Usulan Blend Plan BMO 25-03-08_Sheet1" xfId="6180"/>
    <cellStyle name="_Monitoring Shipment October 2006_Usulan Blend Plan BMO 25-03-08_Wadi-Qinfa" xfId="6181"/>
    <cellStyle name="_Monitoring Shipment October 2006_Usulan Blending 27 Mei 2008" xfId="6182"/>
    <cellStyle name="_Monitoring Shipment October 2006_Usulan Blending 27 Mei 2008 2" xfId="6183"/>
    <cellStyle name="_Monitoring Shipment October 2006_Usulan Blending 27 Mei 2008 2_Sheet1" xfId="6184"/>
    <cellStyle name="_Monitoring Shipment October 2006_Usulan Blending 27 Mei 2008_Sheet1" xfId="6185"/>
    <cellStyle name="_Monitoring Shipment October 2006_Usulan Blending 27 Mei 2008_Wadi-Qinfa" xfId="6186"/>
    <cellStyle name="_Monitoring Shipment October 2006_Usulan Blending Plan 10 jun (2)" xfId="6187"/>
    <cellStyle name="_Monitoring Shipment October 2006_Usulan Blending Plan 10 jun (2) 2" xfId="6188"/>
    <cellStyle name="_Monitoring Shipment October 2006_Usulan Blending Plan 10 jun (2) 2_Sheet1" xfId="6189"/>
    <cellStyle name="_Monitoring Shipment October 2006_Usulan Blending Plan 10 jun (2)_Sheet1" xfId="6190"/>
    <cellStyle name="_Monitoring Shipment October 2006_Usulan Blending Plan 10 jun (2)_Wadi-Qinfa" xfId="6191"/>
    <cellStyle name="_Monitoring Shipment October 2006_Usulan Blending Plan 17 jun (2)" xfId="6192"/>
    <cellStyle name="_Monitoring Shipment October 2006_Usulan Blending Plan 17 jun (2) 2" xfId="6193"/>
    <cellStyle name="_Monitoring Shipment October 2006_Usulan Blending Plan 17 jun (2) 2_Sheet1" xfId="6194"/>
    <cellStyle name="_Monitoring Shipment October 2006_Usulan Blending Plan 17 jun (2)_Sheet1" xfId="6195"/>
    <cellStyle name="_Monitoring Shipment October 2006_Usulan Blending Plan 17 jun (2)_Wadi-Qinfa" xfId="6196"/>
    <cellStyle name="_Monitoring Shipment October 2006_Usulan blending plan 21_05_08" xfId="6197"/>
    <cellStyle name="_Monitoring Shipment October 2006_Usulan blending plan 21_05_08 2" xfId="6198"/>
    <cellStyle name="_Monitoring Shipment October 2006_Usulan blending plan 21_05_08 2_Sheet1" xfId="6199"/>
    <cellStyle name="_Monitoring Shipment October 2006_Usulan blending plan 21_05_08_Sheet1" xfId="6200"/>
    <cellStyle name="_Monitoring Shipment October 2006_Usulan blending plan 21_05_08_Wadi-Qinfa" xfId="6201"/>
    <cellStyle name="_Monitoring Shipment October 2006_Usulan blending PlaN 27-05-08" xfId="6202"/>
    <cellStyle name="_Monitoring Shipment October 2006_Usulan blending PlaN 27-05-08 2" xfId="6203"/>
    <cellStyle name="_Monitoring Shipment October 2006_Usulan blending PlaN 27-05-08 2_Sheet1" xfId="6204"/>
    <cellStyle name="_Monitoring Shipment October 2006_Usulan blending PlaN 27-05-08_Sheet1" xfId="6205"/>
    <cellStyle name="_Monitoring Shipment October 2006_Usulan blending PlaN 27-05-08_Wadi-Qinfa" xfId="6206"/>
    <cellStyle name="_Monitoring Shipment October 2006_Usulan Blending Plan_13 Feb 2008_awl" xfId="6207"/>
    <cellStyle name="_Monitoring Shipment October 2006_Usulan Blending Plan_13 Feb 2008_awl 2" xfId="6208"/>
    <cellStyle name="_Monitoring Shipment October 2006_Usulan Blending Plan_13 Feb 2008_awl 2_Sheet1" xfId="6209"/>
    <cellStyle name="_Monitoring Shipment October 2006_Usulan Blending Plan_13 Feb 2008_awl_Sheet1" xfId="6210"/>
    <cellStyle name="_Monitoring Shipment October 2006_Usulan Blending Plan_13 Feb 2008_awl_Wadi-Qinfa" xfId="6211"/>
    <cellStyle name="_Monitoring Shipment October 2006_Wadi-Qinfa" xfId="6212"/>
    <cellStyle name="_Monitoring Shipment September 2006" xfId="6213"/>
    <cellStyle name="_Monitoring Shipment September 2006 2" xfId="6214"/>
    <cellStyle name="_Monitoring Shipment September 2006 2_Sheet1" xfId="6215"/>
    <cellStyle name="_Monitoring Shipment September 2006_01  Usulan Blend Plan BMO_220408 (2)" xfId="6216"/>
    <cellStyle name="_Monitoring Shipment September 2006_01  Usulan Blend Plan BMO_220408 (2) 2" xfId="6217"/>
    <cellStyle name="_Monitoring Shipment September 2006_01  Usulan Blend Plan BMO_220408 (2) 2_Sheet1" xfId="6218"/>
    <cellStyle name="_Monitoring Shipment September 2006_01  Usulan Blend Plan BMO_220408 (2)_Sheet1" xfId="6219"/>
    <cellStyle name="_Monitoring Shipment September 2006_01  Usulan Blend Plan BMO_220408 (2)_Wadi-Qinfa" xfId="6220"/>
    <cellStyle name="_Monitoring Shipment September 2006_Sheet1" xfId="6221"/>
    <cellStyle name="_Monitoring Shipment September 2006_Stock Status Jul 29, 2008" xfId="6222"/>
    <cellStyle name="_Monitoring Shipment September 2006_Stock Status Jul 29, 2008 2" xfId="6223"/>
    <cellStyle name="_Monitoring Shipment September 2006_Stock Status Jul 29, 2008 2_Sheet1" xfId="6224"/>
    <cellStyle name="_Monitoring Shipment September 2006_Stock Status Jul 29, 2008_Sheet1" xfId="6225"/>
    <cellStyle name="_Monitoring Shipment September 2006_Stock Status Jul 29, 2008_Wadi-Qinfa" xfId="6226"/>
    <cellStyle name="_Monitoring Shipment September 2006_Usulan Blend Plan BMO 11-03-08" xfId="6227"/>
    <cellStyle name="_Monitoring Shipment September 2006_Usulan Blend Plan BMO 11-03-08 2" xfId="6228"/>
    <cellStyle name="_Monitoring Shipment September 2006_Usulan Blend Plan BMO 11-03-08 2_Sheet1" xfId="6229"/>
    <cellStyle name="_Monitoring Shipment September 2006_Usulan Blend Plan BMO 11-03-08_Sheet1" xfId="6230"/>
    <cellStyle name="_Monitoring Shipment September 2006_Usulan Blend Plan BMO 11-03-08_Wadi-Qinfa" xfId="6231"/>
    <cellStyle name="_Monitoring Shipment September 2006_Usulan Blend Plan BMO 25-03-08" xfId="6232"/>
    <cellStyle name="_Monitoring Shipment September 2006_Usulan Blend Plan BMO 25-03-08 2" xfId="6233"/>
    <cellStyle name="_Monitoring Shipment September 2006_Usulan Blend Plan BMO 25-03-08 2_Sheet1" xfId="6234"/>
    <cellStyle name="_Monitoring Shipment September 2006_Usulan Blend Plan BMO 25-03-08_Sheet1" xfId="6235"/>
    <cellStyle name="_Monitoring Shipment September 2006_Usulan Blend Plan BMO 25-03-08_Wadi-Qinfa" xfId="6236"/>
    <cellStyle name="_Monitoring Shipment September 2006_Usulan Blending 27 Mei 2008" xfId="6237"/>
    <cellStyle name="_Monitoring Shipment September 2006_Usulan Blending 27 Mei 2008 2" xfId="6238"/>
    <cellStyle name="_Monitoring Shipment September 2006_Usulan Blending 27 Mei 2008 2_Sheet1" xfId="6239"/>
    <cellStyle name="_Monitoring Shipment September 2006_Usulan Blending 27 Mei 2008_Sheet1" xfId="6240"/>
    <cellStyle name="_Monitoring Shipment September 2006_Usulan Blending 27 Mei 2008_Wadi-Qinfa" xfId="6241"/>
    <cellStyle name="_Monitoring Shipment September 2006_Usulan Blending Plan 10 jun (2)" xfId="6242"/>
    <cellStyle name="_Monitoring Shipment September 2006_Usulan Blending Plan 10 jun (2) 2" xfId="6243"/>
    <cellStyle name="_Monitoring Shipment September 2006_Usulan Blending Plan 10 jun (2) 2_Sheet1" xfId="6244"/>
    <cellStyle name="_Monitoring Shipment September 2006_Usulan Blending Plan 10 jun (2)_Sheet1" xfId="6245"/>
    <cellStyle name="_Monitoring Shipment September 2006_Usulan Blending Plan 10 jun (2)_Wadi-Qinfa" xfId="6246"/>
    <cellStyle name="_Monitoring Shipment September 2006_Usulan Blending Plan 17 jun (2)" xfId="6247"/>
    <cellStyle name="_Monitoring Shipment September 2006_Usulan Blending Plan 17 jun (2) 2" xfId="6248"/>
    <cellStyle name="_Monitoring Shipment September 2006_Usulan Blending Plan 17 jun (2) 2_Sheet1" xfId="6249"/>
    <cellStyle name="_Monitoring Shipment September 2006_Usulan Blending Plan 17 jun (2)_Sheet1" xfId="6250"/>
    <cellStyle name="_Monitoring Shipment September 2006_Usulan Blending Plan 17 jun (2)_Wadi-Qinfa" xfId="6251"/>
    <cellStyle name="_Monitoring Shipment September 2006_Usulan blending plan 21_05_08" xfId="6252"/>
    <cellStyle name="_Monitoring Shipment September 2006_Usulan blending plan 21_05_08 2" xfId="6253"/>
    <cellStyle name="_Monitoring Shipment September 2006_Usulan blending plan 21_05_08 2_Sheet1" xfId="6254"/>
    <cellStyle name="_Monitoring Shipment September 2006_Usulan blending plan 21_05_08_Sheet1" xfId="6255"/>
    <cellStyle name="_Monitoring Shipment September 2006_Usulan blending plan 21_05_08_Wadi-Qinfa" xfId="6256"/>
    <cellStyle name="_Monitoring Shipment September 2006_Usulan blending PlaN 27-05-08" xfId="6257"/>
    <cellStyle name="_Monitoring Shipment September 2006_Usulan blending PlaN 27-05-08 2" xfId="6258"/>
    <cellStyle name="_Monitoring Shipment September 2006_Usulan blending PlaN 27-05-08 2_Sheet1" xfId="6259"/>
    <cellStyle name="_Monitoring Shipment September 2006_Usulan blending PlaN 27-05-08_Sheet1" xfId="6260"/>
    <cellStyle name="_Monitoring Shipment September 2006_Usulan blending PlaN 27-05-08_Wadi-Qinfa" xfId="6261"/>
    <cellStyle name="_Monitoring Shipment September 2006_Usulan Blending Plan_13 Feb 2008_awl" xfId="6262"/>
    <cellStyle name="_Monitoring Shipment September 2006_Usulan Blending Plan_13 Feb 2008_awl 2" xfId="6263"/>
    <cellStyle name="_Monitoring Shipment September 2006_Usulan Blending Plan_13 Feb 2008_awl 2_Sheet1" xfId="6264"/>
    <cellStyle name="_Monitoring Shipment September 2006_Usulan Blending Plan_13 Feb 2008_awl_Sheet1" xfId="6265"/>
    <cellStyle name="_Monitoring Shipment September 2006_Usulan Blending Plan_13 Feb 2008_awl_Wadi-Qinfa" xfId="6266"/>
    <cellStyle name="_Monitoring Shipment September 2006_Wadi-Qinfa" xfId="6267"/>
    <cellStyle name="_Monitoring Shipment September 2007" xfId="6268"/>
    <cellStyle name="_Monitoring Shipment September 2007 2" xfId="6269"/>
    <cellStyle name="_Monitoring Shipment September 2007 2_Sheet1" xfId="6270"/>
    <cellStyle name="_Monitoring Shipment September 2007_01  Usulan Blend Plan BMO_220408 (2)" xfId="6271"/>
    <cellStyle name="_Monitoring Shipment September 2007_01  Usulan Blend Plan BMO_220408 (2) 2" xfId="6272"/>
    <cellStyle name="_Monitoring Shipment September 2007_01  Usulan Blend Plan BMO_220408 (2) 2_Sheet1" xfId="6273"/>
    <cellStyle name="_Monitoring Shipment September 2007_01  Usulan Blend Plan BMO_220408 (2)_Sheet1" xfId="6274"/>
    <cellStyle name="_Monitoring Shipment September 2007_01  Usulan Blend Plan BMO_220408 (2)_Wadi-Qinfa" xfId="6275"/>
    <cellStyle name="_Monitoring Shipment September 2007_Sheet1" xfId="6276"/>
    <cellStyle name="_Monitoring Shipment September 2007_Stock Status Jul 29, 2008" xfId="6277"/>
    <cellStyle name="_Monitoring Shipment September 2007_Stock Status Jul 29, 2008 2" xfId="6278"/>
    <cellStyle name="_Monitoring Shipment September 2007_Stock Status Jul 29, 2008 2_Sheet1" xfId="6279"/>
    <cellStyle name="_Monitoring Shipment September 2007_Stock Status Jul 29, 2008_Sheet1" xfId="6280"/>
    <cellStyle name="_Monitoring Shipment September 2007_Stock Status Jul 29, 2008_Wadi-Qinfa" xfId="6281"/>
    <cellStyle name="_Monitoring Shipment September 2007_Usulan Blend Plan BMO 11-03-08" xfId="6282"/>
    <cellStyle name="_Monitoring Shipment September 2007_Usulan Blend Plan BMO 11-03-08 2" xfId="6283"/>
    <cellStyle name="_Monitoring Shipment September 2007_Usulan Blend Plan BMO 11-03-08 2_Sheet1" xfId="6284"/>
    <cellStyle name="_Monitoring Shipment September 2007_Usulan Blend Plan BMO 11-03-08_Sheet1" xfId="6285"/>
    <cellStyle name="_Monitoring Shipment September 2007_Usulan Blend Plan BMO 11-03-08_Wadi-Qinfa" xfId="6286"/>
    <cellStyle name="_Monitoring Shipment September 2007_Usulan Blend Plan BMO 25-03-08" xfId="6287"/>
    <cellStyle name="_Monitoring Shipment September 2007_Usulan Blend Plan BMO 25-03-08 2" xfId="6288"/>
    <cellStyle name="_Monitoring Shipment September 2007_Usulan Blend Plan BMO 25-03-08 2_Sheet1" xfId="6289"/>
    <cellStyle name="_Monitoring Shipment September 2007_Usulan Blend Plan BMO 25-03-08_Sheet1" xfId="6290"/>
    <cellStyle name="_Monitoring Shipment September 2007_Usulan Blend Plan BMO 25-03-08_Wadi-Qinfa" xfId="6291"/>
    <cellStyle name="_Monitoring Shipment September 2007_Usulan Blending 27 Mei 2008" xfId="6292"/>
    <cellStyle name="_Monitoring Shipment September 2007_Usulan Blending 27 Mei 2008 2" xfId="6293"/>
    <cellStyle name="_Monitoring Shipment September 2007_Usulan Blending 27 Mei 2008 2_Sheet1" xfId="6294"/>
    <cellStyle name="_Monitoring Shipment September 2007_Usulan Blending 27 Mei 2008_Sheet1" xfId="6295"/>
    <cellStyle name="_Monitoring Shipment September 2007_Usulan Blending 27 Mei 2008_Wadi-Qinfa" xfId="6296"/>
    <cellStyle name="_Monitoring Shipment September 2007_Usulan Blending Plan 10 jun (2)" xfId="6297"/>
    <cellStyle name="_Monitoring Shipment September 2007_Usulan Blending Plan 10 jun (2) 2" xfId="6298"/>
    <cellStyle name="_Monitoring Shipment September 2007_Usulan Blending Plan 10 jun (2) 2_Sheet1" xfId="6299"/>
    <cellStyle name="_Monitoring Shipment September 2007_Usulan Blending Plan 10 jun (2)_Sheet1" xfId="6300"/>
    <cellStyle name="_Monitoring Shipment September 2007_Usulan Blending Plan 10 jun (2)_Wadi-Qinfa" xfId="6301"/>
    <cellStyle name="_Monitoring Shipment September 2007_Usulan Blending Plan 17 jun (2)" xfId="6302"/>
    <cellStyle name="_Monitoring Shipment September 2007_Usulan Blending Plan 17 jun (2) 2" xfId="6303"/>
    <cellStyle name="_Monitoring Shipment September 2007_Usulan Blending Plan 17 jun (2) 2_Sheet1" xfId="6304"/>
    <cellStyle name="_Monitoring Shipment September 2007_Usulan Blending Plan 17 jun (2)_Sheet1" xfId="6305"/>
    <cellStyle name="_Monitoring Shipment September 2007_Usulan Blending Plan 17 jun (2)_Wadi-Qinfa" xfId="6306"/>
    <cellStyle name="_Monitoring Shipment September 2007_Usulan blending plan 21_05_08" xfId="6307"/>
    <cellStyle name="_Monitoring Shipment September 2007_Usulan blending plan 21_05_08 2" xfId="6308"/>
    <cellStyle name="_Monitoring Shipment September 2007_Usulan blending plan 21_05_08 2_Sheet1" xfId="6309"/>
    <cellStyle name="_Monitoring Shipment September 2007_Usulan blending plan 21_05_08_Sheet1" xfId="6310"/>
    <cellStyle name="_Monitoring Shipment September 2007_Usulan blending plan 21_05_08_Wadi-Qinfa" xfId="6311"/>
    <cellStyle name="_Monitoring Shipment September 2007_Usulan blending PlaN 27-05-08" xfId="6312"/>
    <cellStyle name="_Monitoring Shipment September 2007_Usulan blending PlaN 27-05-08 2" xfId="6313"/>
    <cellStyle name="_Monitoring Shipment September 2007_Usulan blending PlaN 27-05-08 2_Sheet1" xfId="6314"/>
    <cellStyle name="_Monitoring Shipment September 2007_Usulan blending PlaN 27-05-08_Sheet1" xfId="6315"/>
    <cellStyle name="_Monitoring Shipment September 2007_Usulan blending PlaN 27-05-08_Wadi-Qinfa" xfId="6316"/>
    <cellStyle name="_Monitoring Shipment September 2007_Usulan Blending Plan_13 Feb 2008_awl" xfId="6317"/>
    <cellStyle name="_Monitoring Shipment September 2007_Usulan Blending Plan_13 Feb 2008_awl 2" xfId="6318"/>
    <cellStyle name="_Monitoring Shipment September 2007_Usulan Blending Plan_13 Feb 2008_awl 2_Sheet1" xfId="6319"/>
    <cellStyle name="_Monitoring Shipment September 2007_Usulan Blending Plan_13 Feb 2008_awl_Sheet1" xfId="6320"/>
    <cellStyle name="_Monitoring Shipment September 2007_Usulan Blending Plan_13 Feb 2008_awl_Wadi-Qinfa" xfId="6321"/>
    <cellStyle name="_Monitoring Shipment September 2007_Wadi-Qinfa" xfId="6322"/>
    <cellStyle name="_Multiple" xfId="6323"/>
    <cellStyle name="_Multiple_Sheet1" xfId="6324"/>
    <cellStyle name="_MultipleSpace" xfId="6325"/>
    <cellStyle name="_MultipleSpace_Sheet1" xfId="6326"/>
    <cellStyle name="_Non-Opex_final" xfId="6327"/>
    <cellStyle name="_OUT IDR  USD Prd Agutus 2009" xfId="6328"/>
    <cellStyle name="_OUT IDR  USD Prd Agutus 2009_BS  PL format audit June10 Hendro Ver300810 10AM FINAL" xfId="6329"/>
    <cellStyle name="_OUT IDR  USD Prd Agutus 2009_BS  PL format audit June10 Hendro Ver300810 10AM FINAL 2" xfId="6330"/>
    <cellStyle name="_OUT IDR  USD Prd Agutus 2009_BS  PL format audit June10 Hendro Ver300810 10AM FINAL 2_Sheet1" xfId="6331"/>
    <cellStyle name="_OUT IDR  USD Prd Agutus 2009_BS  PL format audit June10 Hendro Ver300810 10AM FINAL 3" xfId="6332"/>
    <cellStyle name="_OUT IDR  USD Prd Agutus 2009_BS  PL format audit June10 Hendro Ver300810 10AM FINAL 3_Sheet1" xfId="6333"/>
    <cellStyle name="_OUT IDR  USD Prd Agutus 2009_BS  PL format audit June10 Hendro Ver300810 10AM FINAL 4" xfId="6334"/>
    <cellStyle name="_OUT IDR  USD Prd Agutus 2009_BS  PL format audit June10 Hendro Ver300810 10AM FINAL 4 2" xfId="6335"/>
    <cellStyle name="_OUT IDR  USD Prd Agutus 2009_BS  PL format audit June10 Hendro Ver300810 10AM FINAL 4 2_Sheet1" xfId="6336"/>
    <cellStyle name="_OUT IDR  USD Prd Agutus 2009_BS  PL format audit June10 Hendro Ver300810 10AM FINAL 4_Sheet1" xfId="6337"/>
    <cellStyle name="_OUT IDR  USD Prd Agutus 2009_BS  PL format audit June10 Hendro Ver300810 10AM FINAL 5" xfId="6338"/>
    <cellStyle name="_OUT IDR  USD Prd Agutus 2009_BS  PL format audit June10 Hendro Ver300810 10AM FINAL 5_Sheet1" xfId="6339"/>
    <cellStyle name="_OUT IDR  USD Prd Agutus 2009_BS  PL format audit June10 Hendro Ver300810 10AM FINAL 6" xfId="6340"/>
    <cellStyle name="_OUT IDR  USD Prd Agutus 2009_BS  PL format audit June10 Hendro Ver300810 10AM FINAL 6_Sheet1" xfId="6341"/>
    <cellStyle name="_OUT IDR  USD Prd Agutus 2009_BS  PL format audit June10 Hendro Ver300810 10AM FINAL 7" xfId="6342"/>
    <cellStyle name="_OUT IDR  USD Prd Agutus 2009_BS  PL format audit June10 Hendro Ver300810 10AM FINAL 7_Sheet1" xfId="6343"/>
    <cellStyle name="_OUT IDR  USD Prd Agutus 2009_BS  PL format audit June10 Hendro Ver300810 10AM FINAL_Sheet1" xfId="6344"/>
    <cellStyle name="_OUT IDR  USD Prd Agutus 2009_Sheet1" xfId="6345"/>
    <cellStyle name="_PO.312-PO-EST-V-2006-CIP" xfId="6346"/>
    <cellStyle name="_PO.312-PO-EST-V-2006-CIP_Sheet1" xfId="6347"/>
    <cellStyle name="_prx" xfId="6348"/>
    <cellStyle name="_prx 2" xfId="6349"/>
    <cellStyle name="_prx 2_Sheet1" xfId="6350"/>
    <cellStyle name="_prx_LMO-2008-03-Okt-07" xfId="6351"/>
    <cellStyle name="_prx_LMO-2008-03-Okt-07 2" xfId="6352"/>
    <cellStyle name="_prx_LMO-2008-03-Okt-07 2_Sheet1" xfId="6353"/>
    <cellStyle name="_prx_LMO-2008-03-Okt-07_Sheet1" xfId="6354"/>
    <cellStyle name="_prx_LMO-2008-03-Okt-07_Wadi-Qinfa" xfId="6355"/>
    <cellStyle name="_prx_Production Plan 2008 - up to 15 M MT" xfId="6356"/>
    <cellStyle name="_prx_Production Plan 2008 - up to 15 M MT 2" xfId="6357"/>
    <cellStyle name="_prx_Production Plan 2008 - up to 15 M MT 2_Sheet1" xfId="6358"/>
    <cellStyle name="_prx_Production Plan 2008 - up to 15 M MT_Sheet1" xfId="6359"/>
    <cellStyle name="_prx_Production Plan 2008 - up to 15 M MT_Wadi-Qinfa" xfId="6360"/>
    <cellStyle name="_prx_Sheet1" xfId="6361"/>
    <cellStyle name="_prx_SMO 2008 - 02-Okt-07" xfId="6362"/>
    <cellStyle name="_prx_SMO 2008 - 02-Okt-07 2" xfId="6363"/>
    <cellStyle name="_prx_SMO 2008 - 02-Okt-07 2_Sheet1" xfId="6364"/>
    <cellStyle name="_prx_SMO 2008 - 02-Okt-07_Sheet1" xfId="6365"/>
    <cellStyle name="_prx_SMO 2008 - 02-Okt-07_Wadi-Qinfa" xfId="6366"/>
    <cellStyle name="_prx_Wadi-Qinfa" xfId="6367"/>
    <cellStyle name="_Record SO_2006" xfId="6368"/>
    <cellStyle name="_Record SO_2006 2" xfId="6369"/>
    <cellStyle name="_Record SO_2006 2_Sheet1" xfId="6370"/>
    <cellStyle name="_Record SO_2006_01  Usulan Blend Plan BMO_220408 (2)" xfId="6371"/>
    <cellStyle name="_Record SO_2006_01  Usulan Blend Plan BMO_220408 (2) 2" xfId="6372"/>
    <cellStyle name="_Record SO_2006_01  Usulan Blend Plan BMO_220408 (2) 2_Sheet1" xfId="6373"/>
    <cellStyle name="_Record SO_2006_01  Usulan Blend Plan BMO_220408 (2)_Sheet1" xfId="6374"/>
    <cellStyle name="_Record SO_2006_01  Usulan Blend Plan BMO_220408 (2)_Wadi-Qinfa" xfId="6375"/>
    <cellStyle name="_Record SO_2006_Sheet1" xfId="6376"/>
    <cellStyle name="_Record SO_2006_Stock Status Jul 29, 2008" xfId="6377"/>
    <cellStyle name="_Record SO_2006_Stock Status Jul 29, 2008 2" xfId="6378"/>
    <cellStyle name="_Record SO_2006_Stock Status Jul 29, 2008 2_Sheet1" xfId="6379"/>
    <cellStyle name="_Record SO_2006_Stock Status Jul 29, 2008_Sheet1" xfId="6380"/>
    <cellStyle name="_Record SO_2006_Stock Status Jul 29, 2008_Wadi-Qinfa" xfId="6381"/>
    <cellStyle name="_Record SO_2006_Usulan Blend Plan BMO 11-03-08" xfId="6382"/>
    <cellStyle name="_Record SO_2006_Usulan Blend Plan BMO 11-03-08 2" xfId="6383"/>
    <cellStyle name="_Record SO_2006_Usulan Blend Plan BMO 11-03-08 2_Sheet1" xfId="6384"/>
    <cellStyle name="_Record SO_2006_Usulan Blend Plan BMO 11-03-08_Sheet1" xfId="6385"/>
    <cellStyle name="_Record SO_2006_Usulan Blend Plan BMO 11-03-08_Wadi-Qinfa" xfId="6386"/>
    <cellStyle name="_Record SO_2006_Usulan Blend Plan BMO 25-03-08" xfId="6387"/>
    <cellStyle name="_Record SO_2006_Usulan Blend Plan BMO 25-03-08 2" xfId="6388"/>
    <cellStyle name="_Record SO_2006_Usulan Blend Plan BMO 25-03-08 2_Sheet1" xfId="6389"/>
    <cellStyle name="_Record SO_2006_Usulan Blend Plan BMO 25-03-08_Sheet1" xfId="6390"/>
    <cellStyle name="_Record SO_2006_Usulan Blend Plan BMO 25-03-08_Wadi-Qinfa" xfId="6391"/>
    <cellStyle name="_Record SO_2006_Usulan Blending 27 Mei 2008" xfId="6392"/>
    <cellStyle name="_Record SO_2006_Usulan Blending 27 Mei 2008 2" xfId="6393"/>
    <cellStyle name="_Record SO_2006_Usulan Blending 27 Mei 2008 2_Sheet1" xfId="6394"/>
    <cellStyle name="_Record SO_2006_Usulan Blending 27 Mei 2008_Sheet1" xfId="6395"/>
    <cellStyle name="_Record SO_2006_Usulan Blending 27 Mei 2008_Wadi-Qinfa" xfId="6396"/>
    <cellStyle name="_Record SO_2006_Usulan Blending Plan 10 jun (2)" xfId="6397"/>
    <cellStyle name="_Record SO_2006_Usulan Blending Plan 10 jun (2) 2" xfId="6398"/>
    <cellStyle name="_Record SO_2006_Usulan Blending Plan 10 jun (2) 2_Sheet1" xfId="6399"/>
    <cellStyle name="_Record SO_2006_Usulan Blending Plan 10 jun (2)_Sheet1" xfId="6400"/>
    <cellStyle name="_Record SO_2006_Usulan Blending Plan 10 jun (2)_Wadi-Qinfa" xfId="6401"/>
    <cellStyle name="_Record SO_2006_Usulan Blending Plan 17 jun (2)" xfId="6402"/>
    <cellStyle name="_Record SO_2006_Usulan Blending Plan 17 jun (2) 2" xfId="6403"/>
    <cellStyle name="_Record SO_2006_Usulan Blending Plan 17 jun (2) 2_Sheet1" xfId="6404"/>
    <cellStyle name="_Record SO_2006_Usulan Blending Plan 17 jun (2)_Sheet1" xfId="6405"/>
    <cellStyle name="_Record SO_2006_Usulan Blending Plan 17 jun (2)_Wadi-Qinfa" xfId="6406"/>
    <cellStyle name="_Record SO_2006_Usulan blending plan 21_05_08" xfId="6407"/>
    <cellStyle name="_Record SO_2006_Usulan blending plan 21_05_08 2" xfId="6408"/>
    <cellStyle name="_Record SO_2006_Usulan blending plan 21_05_08 2_Sheet1" xfId="6409"/>
    <cellStyle name="_Record SO_2006_Usulan blending plan 21_05_08_Sheet1" xfId="6410"/>
    <cellStyle name="_Record SO_2006_Usulan blending plan 21_05_08_Wadi-Qinfa" xfId="6411"/>
    <cellStyle name="_Record SO_2006_Usulan blending PlaN 27-05-08" xfId="6412"/>
    <cellStyle name="_Record SO_2006_Usulan blending PlaN 27-05-08 2" xfId="6413"/>
    <cellStyle name="_Record SO_2006_Usulan blending PlaN 27-05-08 2_Sheet1" xfId="6414"/>
    <cellStyle name="_Record SO_2006_Usulan blending PlaN 27-05-08_Sheet1" xfId="6415"/>
    <cellStyle name="_Record SO_2006_Usulan blending PlaN 27-05-08_Wadi-Qinfa" xfId="6416"/>
    <cellStyle name="_Record SO_2006_Usulan Blending Plan_13 Feb 2008_awl" xfId="6417"/>
    <cellStyle name="_Record SO_2006_Usulan Blending Plan_13 Feb 2008_awl 2" xfId="6418"/>
    <cellStyle name="_Record SO_2006_Usulan Blending Plan_13 Feb 2008_awl 2_Sheet1" xfId="6419"/>
    <cellStyle name="_Record SO_2006_Usulan Blending Plan_13 Feb 2008_awl_Sheet1" xfId="6420"/>
    <cellStyle name="_Record SO_2006_Usulan Blending Plan_13 Feb 2008_awl_Wadi-Qinfa" xfId="6421"/>
    <cellStyle name="_Record SO_2006_Wadi-Qinfa" xfId="6422"/>
    <cellStyle name="_Record SO_2007" xfId="6423"/>
    <cellStyle name="_Record SO_2007 2" xfId="6424"/>
    <cellStyle name="_Record SO_2007 2_Sheet1" xfId="6425"/>
    <cellStyle name="_Record SO_2007_01  Usulan Blend Plan BMO_220408 (2)" xfId="6426"/>
    <cellStyle name="_Record SO_2007_01  Usulan Blend Plan BMO_220408 (2) 2" xfId="6427"/>
    <cellStyle name="_Record SO_2007_01  Usulan Blend Plan BMO_220408 (2) 2_Sheet1" xfId="6428"/>
    <cellStyle name="_Record SO_2007_01  Usulan Blend Plan BMO_220408 (2)_Sheet1" xfId="6429"/>
    <cellStyle name="_Record SO_2007_01  Usulan Blend Plan BMO_220408 (2)_Wadi-Qinfa" xfId="6430"/>
    <cellStyle name="_Record SO_2007_Sheet1" xfId="6431"/>
    <cellStyle name="_Record SO_2007_Stock Status Jul 29, 2008" xfId="6432"/>
    <cellStyle name="_Record SO_2007_Stock Status Jul 29, 2008 2" xfId="6433"/>
    <cellStyle name="_Record SO_2007_Stock Status Jul 29, 2008 2_Sheet1" xfId="6434"/>
    <cellStyle name="_Record SO_2007_Stock Status Jul 29, 2008_Sheet1" xfId="6435"/>
    <cellStyle name="_Record SO_2007_Stock Status Jul 29, 2008_Wadi-Qinfa" xfId="6436"/>
    <cellStyle name="_Record SO_2007_Usulan Blend Plan BMO 11-03-08" xfId="6437"/>
    <cellStyle name="_Record SO_2007_Usulan Blend Plan BMO 11-03-08 2" xfId="6438"/>
    <cellStyle name="_Record SO_2007_Usulan Blend Plan BMO 11-03-08 2_Sheet1" xfId="6439"/>
    <cellStyle name="_Record SO_2007_Usulan Blend Plan BMO 11-03-08_Sheet1" xfId="6440"/>
    <cellStyle name="_Record SO_2007_Usulan Blend Plan BMO 11-03-08_Wadi-Qinfa" xfId="6441"/>
    <cellStyle name="_Record SO_2007_Usulan Blend Plan BMO 25-03-08" xfId="6442"/>
    <cellStyle name="_Record SO_2007_Usulan Blend Plan BMO 25-03-08 2" xfId="6443"/>
    <cellStyle name="_Record SO_2007_Usulan Blend Plan BMO 25-03-08 2_Sheet1" xfId="6444"/>
    <cellStyle name="_Record SO_2007_Usulan Blend Plan BMO 25-03-08_Sheet1" xfId="6445"/>
    <cellStyle name="_Record SO_2007_Usulan Blend Plan BMO 25-03-08_Wadi-Qinfa" xfId="6446"/>
    <cellStyle name="_Record SO_2007_Usulan Blending 27 Mei 2008" xfId="6447"/>
    <cellStyle name="_Record SO_2007_Usulan Blending 27 Mei 2008 2" xfId="6448"/>
    <cellStyle name="_Record SO_2007_Usulan Blending 27 Mei 2008 2_Sheet1" xfId="6449"/>
    <cellStyle name="_Record SO_2007_Usulan Blending 27 Mei 2008_Sheet1" xfId="6450"/>
    <cellStyle name="_Record SO_2007_Usulan Blending 27 Mei 2008_Wadi-Qinfa" xfId="6451"/>
    <cellStyle name="_Record SO_2007_Usulan Blending Plan 10 jun (2)" xfId="6452"/>
    <cellStyle name="_Record SO_2007_Usulan Blending Plan 10 jun (2) 2" xfId="6453"/>
    <cellStyle name="_Record SO_2007_Usulan Blending Plan 10 jun (2) 2_Sheet1" xfId="6454"/>
    <cellStyle name="_Record SO_2007_Usulan Blending Plan 10 jun (2)_Sheet1" xfId="6455"/>
    <cellStyle name="_Record SO_2007_Usulan Blending Plan 10 jun (2)_Wadi-Qinfa" xfId="6456"/>
    <cellStyle name="_Record SO_2007_Usulan Blending Plan 17 jun (2)" xfId="6457"/>
    <cellStyle name="_Record SO_2007_Usulan Blending Plan 17 jun (2) 2" xfId="6458"/>
    <cellStyle name="_Record SO_2007_Usulan Blending Plan 17 jun (2) 2_Sheet1" xfId="6459"/>
    <cellStyle name="_Record SO_2007_Usulan Blending Plan 17 jun (2)_Sheet1" xfId="6460"/>
    <cellStyle name="_Record SO_2007_Usulan Blending Plan 17 jun (2)_Wadi-Qinfa" xfId="6461"/>
    <cellStyle name="_Record SO_2007_Usulan blending plan 21_05_08" xfId="6462"/>
    <cellStyle name="_Record SO_2007_Usulan blending plan 21_05_08 2" xfId="6463"/>
    <cellStyle name="_Record SO_2007_Usulan blending plan 21_05_08 2_Sheet1" xfId="6464"/>
    <cellStyle name="_Record SO_2007_Usulan blending plan 21_05_08_Sheet1" xfId="6465"/>
    <cellStyle name="_Record SO_2007_Usulan blending plan 21_05_08_Wadi-Qinfa" xfId="6466"/>
    <cellStyle name="_Record SO_2007_Usulan blending PlaN 27-05-08" xfId="6467"/>
    <cellStyle name="_Record SO_2007_Usulan blending PlaN 27-05-08 2" xfId="6468"/>
    <cellStyle name="_Record SO_2007_Usulan blending PlaN 27-05-08 2_Sheet1" xfId="6469"/>
    <cellStyle name="_Record SO_2007_Usulan blending PlaN 27-05-08_Sheet1" xfId="6470"/>
    <cellStyle name="_Record SO_2007_Usulan blending PlaN 27-05-08_Wadi-Qinfa" xfId="6471"/>
    <cellStyle name="_Record SO_2007_Usulan Blending Plan_13 Feb 2008_awl" xfId="6472"/>
    <cellStyle name="_Record SO_2007_Usulan Blending Plan_13 Feb 2008_awl 2" xfId="6473"/>
    <cellStyle name="_Record SO_2007_Usulan Blending Plan_13 Feb 2008_awl 2_Sheet1" xfId="6474"/>
    <cellStyle name="_Record SO_2007_Usulan Blending Plan_13 Feb 2008_awl_Sheet1" xfId="6475"/>
    <cellStyle name="_Record SO_2007_Usulan Blending Plan_13 Feb 2008_awl_Wadi-Qinfa" xfId="6476"/>
    <cellStyle name="_Record SO_2007_Wadi-Qinfa" xfId="6477"/>
    <cellStyle name="_Rekap PO CIP 2006 (Non Operation)" xfId="6478"/>
    <cellStyle name="_Rekap PO CIP 2006 (Non Operation)_Sheet1" xfId="6479"/>
    <cellStyle name="_Rekap PO CIP 2006 (Operation) (2)" xfId="6480"/>
    <cellStyle name="_Rekap PO CIP 2006 (Operation) (2)_Sheet1" xfId="6481"/>
    <cellStyle name="_Rekap PO CIP 2007 (Non Operation)" xfId="6482"/>
    <cellStyle name="_Rekap PO CIP 2007 (Non Operation)_Sheet1" xfId="6483"/>
    <cellStyle name="_Rekap PO CIP 2007 (Operation) (3)" xfId="6484"/>
    <cellStyle name="_Rekap PO CIP 2007 (Operation) (3)_Sheet1" xfId="6485"/>
    <cellStyle name="_REV AUG 2010" xfId="6486"/>
    <cellStyle name="_REV AUG 2010_Sheet1" xfId="6487"/>
    <cellStyle name="_REV JUL 2010" xfId="6488"/>
    <cellStyle name="_REV JUL 2010_Sheet1" xfId="6489"/>
    <cellStyle name="_REV SEPT 2010" xfId="6490"/>
    <cellStyle name="_REV SEPT 2010_Sheet1" xfId="6491"/>
    <cellStyle name="_Revenue By Product Sept 2010_Accounting" xfId="6492"/>
    <cellStyle name="_Revenue By Product Sept 2010_Accounting_Sheet1" xfId="6493"/>
    <cellStyle name="_Review-0707" xfId="6494"/>
    <cellStyle name="_Review-0707_Sheet1" xfId="6495"/>
    <cellStyle name="_Review-1205 closing3 26-05-2006 trial" xfId="6496"/>
    <cellStyle name="_Review-1205 closing3 26-05-2006 trial_Sheet1" xfId="6497"/>
    <cellStyle name="_Sheet1" xfId="6498"/>
    <cellStyle name="_Sheet1 10" xfId="6499"/>
    <cellStyle name="_Sheet1 10 2" xfId="6500"/>
    <cellStyle name="_Sheet1 11" xfId="6501"/>
    <cellStyle name="_Sheet1 11 2" xfId="6502"/>
    <cellStyle name="_Sheet1 12" xfId="6503"/>
    <cellStyle name="_Sheet1 12 2" xfId="6504"/>
    <cellStyle name="_Sheet1 13" xfId="6505"/>
    <cellStyle name="_Sheet1 13 2" xfId="6506"/>
    <cellStyle name="_Sheet1 14" xfId="6507"/>
    <cellStyle name="_Sheet1 14 2" xfId="6508"/>
    <cellStyle name="_Sheet1 15" xfId="6509"/>
    <cellStyle name="_Sheet1 15 2" xfId="6510"/>
    <cellStyle name="_Sheet1 16" xfId="6511"/>
    <cellStyle name="_Sheet1 16 2" xfId="6512"/>
    <cellStyle name="_Sheet1 17" xfId="6513"/>
    <cellStyle name="_Sheet1 17 2" xfId="6514"/>
    <cellStyle name="_Sheet1 18" xfId="6515"/>
    <cellStyle name="_Sheet1 19" xfId="6516"/>
    <cellStyle name="_Sheet1 2" xfId="6517"/>
    <cellStyle name="_Sheet1 2 2" xfId="6518"/>
    <cellStyle name="_Sheet1 2 3" xfId="6519"/>
    <cellStyle name="_Sheet1 2 4" xfId="6520"/>
    <cellStyle name="_Sheet1 2 5" xfId="6521"/>
    <cellStyle name="_Sheet1 2 6" xfId="6522"/>
    <cellStyle name="_Sheet1 2 7" xfId="6523"/>
    <cellStyle name="_Sheet1 2 8" xfId="6524"/>
    <cellStyle name="_Sheet1 2 9" xfId="6525"/>
    <cellStyle name="_Sheet1 2_Sheet1" xfId="6526"/>
    <cellStyle name="_Sheet1 20" xfId="6527"/>
    <cellStyle name="_Sheet1 21" xfId="6528"/>
    <cellStyle name="_Sheet1 22" xfId="6529"/>
    <cellStyle name="_Sheet1 23" xfId="6530"/>
    <cellStyle name="_Sheet1 24" xfId="6531"/>
    <cellStyle name="_Sheet1 25" xfId="6532"/>
    <cellStyle name="_Sheet1 26" xfId="6533"/>
    <cellStyle name="_Sheet1 3" xfId="6534"/>
    <cellStyle name="_Sheet1 3 2" xfId="6535"/>
    <cellStyle name="_Sheet1 3 3" xfId="6536"/>
    <cellStyle name="_Sheet1 3 4" xfId="6537"/>
    <cellStyle name="_Sheet1 3 5" xfId="6538"/>
    <cellStyle name="_Sheet1 3 6" xfId="6539"/>
    <cellStyle name="_Sheet1 3 7" xfId="6540"/>
    <cellStyle name="_Sheet1 4" xfId="6541"/>
    <cellStyle name="_Sheet1 4 2" xfId="6542"/>
    <cellStyle name="_Sheet1 4 3" xfId="6543"/>
    <cellStyle name="_Sheet1 4 4" xfId="6544"/>
    <cellStyle name="_Sheet1 4 5" xfId="6545"/>
    <cellStyle name="_Sheet1 4 6" xfId="6546"/>
    <cellStyle name="_Sheet1 4 7" xfId="6547"/>
    <cellStyle name="_Sheet1 5" xfId="6548"/>
    <cellStyle name="_Sheet1 5 2" xfId="6549"/>
    <cellStyle name="_Sheet1 5 3" xfId="6550"/>
    <cellStyle name="_Sheet1 5 4" xfId="6551"/>
    <cellStyle name="_Sheet1 5 5" xfId="6552"/>
    <cellStyle name="_Sheet1 6" xfId="6553"/>
    <cellStyle name="_Sheet1 6 2" xfId="6554"/>
    <cellStyle name="_Sheet1 6 3" xfId="6555"/>
    <cellStyle name="_Sheet1 6 4" xfId="6556"/>
    <cellStyle name="_Sheet1 7" xfId="6557"/>
    <cellStyle name="_Sheet1 7 2" xfId="6558"/>
    <cellStyle name="_Sheet1 7 3" xfId="6559"/>
    <cellStyle name="_Sheet1 8" xfId="6560"/>
    <cellStyle name="_Sheet1 8 2" xfId="6561"/>
    <cellStyle name="_Sheet1 9" xfId="6562"/>
    <cellStyle name="_Sheet1 9 2" xfId="6563"/>
    <cellStyle name="_Sheet1_01  Usulan Blend Plan BMO_220408 (2)" xfId="6564"/>
    <cellStyle name="_Sheet1_01  Usulan Blend Plan BMO_220408 (2) 2" xfId="6565"/>
    <cellStyle name="_Sheet1_01  Usulan Blend Plan BMO_220408 (2) 2_Sheet1" xfId="6566"/>
    <cellStyle name="_Sheet1_01  Usulan Blend Plan BMO_220408 (2)_Sheet1" xfId="6567"/>
    <cellStyle name="_Sheet1_01  Usulan Blend Plan BMO_220408 (2)_Wadi-Qinfa" xfId="6568"/>
    <cellStyle name="_Sheet1_CLS-STP 09.September-2008" xfId="6569"/>
    <cellStyle name="_Sheet1_Production Plan 2008 - up to 15 M MT" xfId="6570"/>
    <cellStyle name="_Sheet1_Production Plan 2008 - up to 15 M MT 2" xfId="6571"/>
    <cellStyle name="_Sheet1_Production Plan 2008 - up to 15 M MT 2_Sheet1" xfId="6572"/>
    <cellStyle name="_Sheet1_Production Plan 2008 - up to 15 M MT_Sheet1" xfId="6573"/>
    <cellStyle name="_Sheet1_Production Plan 2008 - up to 15 M MT_Wadi-Qinfa" xfId="6574"/>
    <cellStyle name="_Sheet1_Sheet1" xfId="6575"/>
    <cellStyle name="_Sheet1_SMO 2008 - 02-Okt-07" xfId="6576"/>
    <cellStyle name="_Sheet1_SMO 2008 - 02-Okt-07 2" xfId="6577"/>
    <cellStyle name="_Sheet1_SMO 2008 - 02-Okt-07 2_Sheet1" xfId="6578"/>
    <cellStyle name="_Sheet1_SMO 2008 - 02-Okt-07_Sheet1" xfId="6579"/>
    <cellStyle name="_Sheet1_SMO 2008 - 02-Okt-07_Wadi-Qinfa" xfId="6580"/>
    <cellStyle name="_Sheet1_Stock Status Jul 29, 2008" xfId="6581"/>
    <cellStyle name="_Sheet1_Stock Status Jul 29, 2008 2" xfId="6582"/>
    <cellStyle name="_Sheet1_Stock Status Jul 29, 2008 2_Sheet1" xfId="6583"/>
    <cellStyle name="_Sheet1_Stock Status Jul 29, 2008_Sheet1" xfId="6584"/>
    <cellStyle name="_Sheet1_Stock Status Jul 29, 2008_Wadi-Qinfa" xfId="6585"/>
    <cellStyle name="_Sheet1_Usulan Blend Plan BMO 11-03-08" xfId="6586"/>
    <cellStyle name="_Sheet1_Usulan Blend Plan BMO 11-03-08 2" xfId="6587"/>
    <cellStyle name="_Sheet1_Usulan Blend Plan BMO 11-03-08 2_Sheet1" xfId="6588"/>
    <cellStyle name="_Sheet1_Usulan Blend Plan BMO 11-03-08_Sheet1" xfId="6589"/>
    <cellStyle name="_Sheet1_Usulan Blend Plan BMO 11-03-08_Wadi-Qinfa" xfId="6590"/>
    <cellStyle name="_Sheet1_Usulan Blend Plan BMO 25-03-08" xfId="6591"/>
    <cellStyle name="_Sheet1_Usulan Blend Plan BMO 25-03-08 2" xfId="6592"/>
    <cellStyle name="_Sheet1_Usulan Blend Plan BMO 25-03-08 2_Sheet1" xfId="6593"/>
    <cellStyle name="_Sheet1_Usulan Blend Plan BMO 25-03-08_Sheet1" xfId="6594"/>
    <cellStyle name="_Sheet1_Usulan Blend Plan BMO 25-03-08_Wadi-Qinfa" xfId="6595"/>
    <cellStyle name="_Sheet1_Usulan Blending 27 Mei 2008" xfId="6596"/>
    <cellStyle name="_Sheet1_Usulan Blending 27 Mei 2008 2" xfId="6597"/>
    <cellStyle name="_Sheet1_Usulan Blending 27 Mei 2008 2_Sheet1" xfId="6598"/>
    <cellStyle name="_Sheet1_Usulan Blending 27 Mei 2008_Sheet1" xfId="6599"/>
    <cellStyle name="_Sheet1_Usulan Blending 27 Mei 2008_Wadi-Qinfa" xfId="6600"/>
    <cellStyle name="_Sheet1_Usulan Blending Plan 10 jun (2)" xfId="6601"/>
    <cellStyle name="_Sheet1_Usulan Blending Plan 10 jun (2) 2" xfId="6602"/>
    <cellStyle name="_Sheet1_Usulan Blending Plan 10 jun (2) 2_Sheet1" xfId="6603"/>
    <cellStyle name="_Sheet1_Usulan Blending Plan 10 jun (2)_Sheet1" xfId="6604"/>
    <cellStyle name="_Sheet1_Usulan Blending Plan 10 jun (2)_Wadi-Qinfa" xfId="6605"/>
    <cellStyle name="_Sheet1_Usulan Blending Plan 17 jun (2)" xfId="6606"/>
    <cellStyle name="_Sheet1_Usulan Blending Plan 17 jun (2) 2" xfId="6607"/>
    <cellStyle name="_Sheet1_Usulan Blending Plan 17 jun (2) 2_Sheet1" xfId="6608"/>
    <cellStyle name="_Sheet1_Usulan Blending Plan 17 jun (2)_Sheet1" xfId="6609"/>
    <cellStyle name="_Sheet1_Usulan Blending Plan 17 jun (2)_Wadi-Qinfa" xfId="6610"/>
    <cellStyle name="_Sheet1_Usulan blending plan 21_05_08" xfId="6611"/>
    <cellStyle name="_Sheet1_Usulan blending plan 21_05_08 2" xfId="6612"/>
    <cellStyle name="_Sheet1_Usulan blending plan 21_05_08 2_Sheet1" xfId="6613"/>
    <cellStyle name="_Sheet1_Usulan blending plan 21_05_08_Sheet1" xfId="6614"/>
    <cellStyle name="_Sheet1_Usulan blending plan 21_05_08_Wadi-Qinfa" xfId="6615"/>
    <cellStyle name="_Sheet1_Usulan blending PlaN 27-05-08" xfId="6616"/>
    <cellStyle name="_Sheet1_Usulan blending PlaN 27-05-08 2" xfId="6617"/>
    <cellStyle name="_Sheet1_Usulan blending PlaN 27-05-08 2_Sheet1" xfId="6618"/>
    <cellStyle name="_Sheet1_Usulan blending PlaN 27-05-08_Sheet1" xfId="6619"/>
    <cellStyle name="_Sheet1_Usulan blending PlaN 27-05-08_Wadi-Qinfa" xfId="6620"/>
    <cellStyle name="_Sheet1_Usulan Blending Plan_13 Feb 2008_awl" xfId="6621"/>
    <cellStyle name="_Sheet1_Usulan Blending Plan_13 Feb 2008_awl 2" xfId="6622"/>
    <cellStyle name="_Sheet1_Usulan Blending Plan_13 Feb 2008_awl 2_Sheet1" xfId="6623"/>
    <cellStyle name="_Sheet1_Usulan Blending Plan_13 Feb 2008_awl_Sheet1" xfId="6624"/>
    <cellStyle name="_Sheet1_Usulan Blending Plan_13 Feb 2008_awl_Wadi-Qinfa" xfId="6625"/>
    <cellStyle name="_Sheet1_Wadi-Qinfa" xfId="6626"/>
    <cellStyle name="_Sheet10" xfId="6627"/>
    <cellStyle name="_Sheet10 2" xfId="6628"/>
    <cellStyle name="_Sheet10 2_Sheet1" xfId="6629"/>
    <cellStyle name="_Sheet10_01  Usulan Blend Plan BMO_220408 (2)" xfId="6630"/>
    <cellStyle name="_Sheet10_01  Usulan Blend Plan BMO_220408 (2) 2" xfId="6631"/>
    <cellStyle name="_Sheet10_01  Usulan Blend Plan BMO_220408 (2) 2_Sheet1" xfId="6632"/>
    <cellStyle name="_Sheet10_01  Usulan Blend Plan BMO_220408 (2)_Sheet1" xfId="6633"/>
    <cellStyle name="_Sheet10_01  Usulan Blend Plan BMO_220408 (2)_Wadi-Qinfa" xfId="6634"/>
    <cellStyle name="_Sheet10_Production Plan 2008 - up to 15 M MT" xfId="6635"/>
    <cellStyle name="_Sheet10_Production Plan 2008 - up to 15 M MT 2" xfId="6636"/>
    <cellStyle name="_Sheet10_Production Plan 2008 - up to 15 M MT 2_Sheet1" xfId="6637"/>
    <cellStyle name="_Sheet10_Production Plan 2008 - up to 15 M MT_Sheet1" xfId="6638"/>
    <cellStyle name="_Sheet10_Production Plan 2008 - up to 15 M MT_Wadi-Qinfa" xfId="6639"/>
    <cellStyle name="_Sheet10_Sheet1" xfId="6640"/>
    <cellStyle name="_Sheet10_SMO 2007 - 28-Sept-06" xfId="6641"/>
    <cellStyle name="_Sheet10_SMO 2007 - 28-Sept-06 2" xfId="6642"/>
    <cellStyle name="_Sheet10_SMO 2007 - 28-Sept-06 2_Sheet1" xfId="6643"/>
    <cellStyle name="_Sheet10_SMO 2007 - 28-Sept-06_Sheet1" xfId="6644"/>
    <cellStyle name="_Sheet10_SMO 2007 - 28-Sept-06_Wadi-Qinfa" xfId="6645"/>
    <cellStyle name="_Sheet10_SMO 2008 - 02-Okt-07" xfId="6646"/>
    <cellStyle name="_Sheet10_SMO 2008 - 02-Okt-07 2" xfId="6647"/>
    <cellStyle name="_Sheet10_SMO 2008 - 02-Okt-07 2_Sheet1" xfId="6648"/>
    <cellStyle name="_Sheet10_SMO 2008 - 02-Okt-07_Sheet1" xfId="6649"/>
    <cellStyle name="_Sheet10_SMO 2008 - 02-Okt-07_Wadi-Qinfa" xfId="6650"/>
    <cellStyle name="_Sheet10_Stock Status Jul 29, 2008" xfId="6651"/>
    <cellStyle name="_Sheet10_Stock Status Jul 29, 2008 2" xfId="6652"/>
    <cellStyle name="_Sheet10_Stock Status Jul 29, 2008 2_Sheet1" xfId="6653"/>
    <cellStyle name="_Sheet10_Stock Status Jul 29, 2008_Sheet1" xfId="6654"/>
    <cellStyle name="_Sheet10_Stock Status Jul 29, 2008_Wadi-Qinfa" xfId="6655"/>
    <cellStyle name="_Sheet10_Usulan Blend Plan BMO 11-03-08" xfId="6656"/>
    <cellStyle name="_Sheet10_Usulan Blend Plan BMO 11-03-08 2" xfId="6657"/>
    <cellStyle name="_Sheet10_Usulan Blend Plan BMO 11-03-08 2_Sheet1" xfId="6658"/>
    <cellStyle name="_Sheet10_Usulan Blend Plan BMO 11-03-08_Sheet1" xfId="6659"/>
    <cellStyle name="_Sheet10_Usulan Blend Plan BMO 11-03-08_Wadi-Qinfa" xfId="6660"/>
    <cellStyle name="_Sheet10_Usulan Blend Plan BMO 25-03-08" xfId="6661"/>
    <cellStyle name="_Sheet10_Usulan Blend Plan BMO 25-03-08 2" xfId="6662"/>
    <cellStyle name="_Sheet10_Usulan Blend Plan BMO 25-03-08 2_Sheet1" xfId="6663"/>
    <cellStyle name="_Sheet10_Usulan Blend Plan BMO 25-03-08_Sheet1" xfId="6664"/>
    <cellStyle name="_Sheet10_Usulan Blend Plan BMO 25-03-08_Wadi-Qinfa" xfId="6665"/>
    <cellStyle name="_Sheet10_Usulan Blending 27 Mei 2008" xfId="6666"/>
    <cellStyle name="_Sheet10_Usulan Blending 27 Mei 2008 2" xfId="6667"/>
    <cellStyle name="_Sheet10_Usulan Blending 27 Mei 2008 2_Sheet1" xfId="6668"/>
    <cellStyle name="_Sheet10_Usulan Blending 27 Mei 2008_Sheet1" xfId="6669"/>
    <cellStyle name="_Sheet10_Usulan Blending 27 Mei 2008_Wadi-Qinfa" xfId="6670"/>
    <cellStyle name="_Sheet10_Usulan Blending Plan 10 jun (2)" xfId="6671"/>
    <cellStyle name="_Sheet10_Usulan Blending Plan 10 jun (2) 2" xfId="6672"/>
    <cellStyle name="_Sheet10_Usulan Blending Plan 10 jun (2) 2_Sheet1" xfId="6673"/>
    <cellStyle name="_Sheet10_Usulan Blending Plan 10 jun (2)_Sheet1" xfId="6674"/>
    <cellStyle name="_Sheet10_Usulan Blending Plan 10 jun (2)_Wadi-Qinfa" xfId="6675"/>
    <cellStyle name="_Sheet10_Usulan Blending Plan 17 jun (2)" xfId="6676"/>
    <cellStyle name="_Sheet10_Usulan Blending Plan 17 jun (2) 2" xfId="6677"/>
    <cellStyle name="_Sheet10_Usulan Blending Plan 17 jun (2) 2_Sheet1" xfId="6678"/>
    <cellStyle name="_Sheet10_Usulan Blending Plan 17 jun (2)_Sheet1" xfId="6679"/>
    <cellStyle name="_Sheet10_Usulan Blending Plan 17 jun (2)_Wadi-Qinfa" xfId="6680"/>
    <cellStyle name="_Sheet10_Usulan blending plan 21_05_08" xfId="6681"/>
    <cellStyle name="_Sheet10_Usulan blending plan 21_05_08 2" xfId="6682"/>
    <cellStyle name="_Sheet10_Usulan blending plan 21_05_08 2_Sheet1" xfId="6683"/>
    <cellStyle name="_Sheet10_Usulan blending plan 21_05_08_Sheet1" xfId="6684"/>
    <cellStyle name="_Sheet10_Usulan blending plan 21_05_08_Wadi-Qinfa" xfId="6685"/>
    <cellStyle name="_Sheet10_Usulan blending PlaN 27-05-08" xfId="6686"/>
    <cellStyle name="_Sheet10_Usulan blending PlaN 27-05-08 2" xfId="6687"/>
    <cellStyle name="_Sheet10_Usulan blending PlaN 27-05-08 2_Sheet1" xfId="6688"/>
    <cellStyle name="_Sheet10_Usulan blending PlaN 27-05-08_Sheet1" xfId="6689"/>
    <cellStyle name="_Sheet10_Usulan blending PlaN 27-05-08_Wadi-Qinfa" xfId="6690"/>
    <cellStyle name="_Sheet10_Usulan Blending Plan_13 Feb 2008_awl" xfId="6691"/>
    <cellStyle name="_Sheet10_Usulan Blending Plan_13 Feb 2008_awl 2" xfId="6692"/>
    <cellStyle name="_Sheet10_Usulan Blending Plan_13 Feb 2008_awl 2_Sheet1" xfId="6693"/>
    <cellStyle name="_Sheet10_Usulan Blending Plan_13 Feb 2008_awl_Sheet1" xfId="6694"/>
    <cellStyle name="_Sheet10_Usulan Blending Plan_13 Feb 2008_awl_Wadi-Qinfa" xfId="6695"/>
    <cellStyle name="_Sheet10_Wadi-Qinfa" xfId="6696"/>
    <cellStyle name="_Sheet11" xfId="6697"/>
    <cellStyle name="_Sheet11 2" xfId="6698"/>
    <cellStyle name="_Sheet11 2_Sheet1" xfId="6699"/>
    <cellStyle name="_Sheet11_01  Usulan Blend Plan BMO_220408 (2)" xfId="6700"/>
    <cellStyle name="_Sheet11_01  Usulan Blend Plan BMO_220408 (2) 2" xfId="6701"/>
    <cellStyle name="_Sheet11_01  Usulan Blend Plan BMO_220408 (2) 2_Sheet1" xfId="6702"/>
    <cellStyle name="_Sheet11_01  Usulan Blend Plan BMO_220408 (2)_Sheet1" xfId="6703"/>
    <cellStyle name="_Sheet11_01  Usulan Blend Plan BMO_220408 (2)_Wadi-Qinfa" xfId="6704"/>
    <cellStyle name="_Sheet11_Production Plan 2008 - up to 15 M MT" xfId="6705"/>
    <cellStyle name="_Sheet11_Production Plan 2008 - up to 15 M MT 2" xfId="6706"/>
    <cellStyle name="_Sheet11_Production Plan 2008 - up to 15 M MT 2_Sheet1" xfId="6707"/>
    <cellStyle name="_Sheet11_Production Plan 2008 - up to 15 M MT_Sheet1" xfId="6708"/>
    <cellStyle name="_Sheet11_Production Plan 2008 - up to 15 M MT_Wadi-Qinfa" xfId="6709"/>
    <cellStyle name="_Sheet11_Sheet1" xfId="6710"/>
    <cellStyle name="_Sheet11_SMO 2007 - 28-Sept-06" xfId="6711"/>
    <cellStyle name="_Sheet11_SMO 2007 - 28-Sept-06 2" xfId="6712"/>
    <cellStyle name="_Sheet11_SMO 2007 - 28-Sept-06 2_Sheet1" xfId="6713"/>
    <cellStyle name="_Sheet11_SMO 2007 - 28-Sept-06_Sheet1" xfId="6714"/>
    <cellStyle name="_Sheet11_SMO 2007 - 28-Sept-06_Wadi-Qinfa" xfId="6715"/>
    <cellStyle name="_Sheet11_SMO 2008 - 02-Okt-07" xfId="6716"/>
    <cellStyle name="_Sheet11_SMO 2008 - 02-Okt-07 2" xfId="6717"/>
    <cellStyle name="_Sheet11_SMO 2008 - 02-Okt-07 2_Sheet1" xfId="6718"/>
    <cellStyle name="_Sheet11_SMO 2008 - 02-Okt-07_Sheet1" xfId="6719"/>
    <cellStyle name="_Sheet11_SMO 2008 - 02-Okt-07_Wadi-Qinfa" xfId="6720"/>
    <cellStyle name="_Sheet11_Stock Status Jul 29, 2008" xfId="6721"/>
    <cellStyle name="_Sheet11_Stock Status Jul 29, 2008 2" xfId="6722"/>
    <cellStyle name="_Sheet11_Stock Status Jul 29, 2008 2_Sheet1" xfId="6723"/>
    <cellStyle name="_Sheet11_Stock Status Jul 29, 2008_Sheet1" xfId="6724"/>
    <cellStyle name="_Sheet11_Stock Status Jul 29, 2008_Wadi-Qinfa" xfId="6725"/>
    <cellStyle name="_Sheet11_Usulan Blend Plan BMO 11-03-08" xfId="6726"/>
    <cellStyle name="_Sheet11_Usulan Blend Plan BMO 11-03-08 2" xfId="6727"/>
    <cellStyle name="_Sheet11_Usulan Blend Plan BMO 11-03-08 2_Sheet1" xfId="6728"/>
    <cellStyle name="_Sheet11_Usulan Blend Plan BMO 11-03-08_Sheet1" xfId="6729"/>
    <cellStyle name="_Sheet11_Usulan Blend Plan BMO 11-03-08_Wadi-Qinfa" xfId="6730"/>
    <cellStyle name="_Sheet11_Usulan Blend Plan BMO 25-03-08" xfId="6731"/>
    <cellStyle name="_Sheet11_Usulan Blend Plan BMO 25-03-08 2" xfId="6732"/>
    <cellStyle name="_Sheet11_Usulan Blend Plan BMO 25-03-08 2_Sheet1" xfId="6733"/>
    <cellStyle name="_Sheet11_Usulan Blend Plan BMO 25-03-08_Sheet1" xfId="6734"/>
    <cellStyle name="_Sheet11_Usulan Blend Plan BMO 25-03-08_Wadi-Qinfa" xfId="6735"/>
    <cellStyle name="_Sheet11_Usulan Blending 27 Mei 2008" xfId="6736"/>
    <cellStyle name="_Sheet11_Usulan Blending 27 Mei 2008 2" xfId="6737"/>
    <cellStyle name="_Sheet11_Usulan Blending 27 Mei 2008 2_Sheet1" xfId="6738"/>
    <cellStyle name="_Sheet11_Usulan Blending 27 Mei 2008_Sheet1" xfId="6739"/>
    <cellStyle name="_Sheet11_Usulan Blending 27 Mei 2008_Wadi-Qinfa" xfId="6740"/>
    <cellStyle name="_Sheet11_Usulan Blending Plan 10 jun (2)" xfId="6741"/>
    <cellStyle name="_Sheet11_Usulan Blending Plan 10 jun (2) 2" xfId="6742"/>
    <cellStyle name="_Sheet11_Usulan Blending Plan 10 jun (2) 2_Sheet1" xfId="6743"/>
    <cellStyle name="_Sheet11_Usulan Blending Plan 10 jun (2)_Sheet1" xfId="6744"/>
    <cellStyle name="_Sheet11_Usulan Blending Plan 10 jun (2)_Wadi-Qinfa" xfId="6745"/>
    <cellStyle name="_Sheet11_Usulan Blending Plan 17 jun (2)" xfId="6746"/>
    <cellStyle name="_Sheet11_Usulan Blending Plan 17 jun (2) 2" xfId="6747"/>
    <cellStyle name="_Sheet11_Usulan Blending Plan 17 jun (2) 2_Sheet1" xfId="6748"/>
    <cellStyle name="_Sheet11_Usulan Blending Plan 17 jun (2)_Sheet1" xfId="6749"/>
    <cellStyle name="_Sheet11_Usulan Blending Plan 17 jun (2)_Wadi-Qinfa" xfId="6750"/>
    <cellStyle name="_Sheet11_Usulan blending plan 21_05_08" xfId="6751"/>
    <cellStyle name="_Sheet11_Usulan blending plan 21_05_08 2" xfId="6752"/>
    <cellStyle name="_Sheet11_Usulan blending plan 21_05_08 2_Sheet1" xfId="6753"/>
    <cellStyle name="_Sheet11_Usulan blending plan 21_05_08_Sheet1" xfId="6754"/>
    <cellStyle name="_Sheet11_Usulan blending plan 21_05_08_Wadi-Qinfa" xfId="6755"/>
    <cellStyle name="_Sheet11_Usulan blending PlaN 27-05-08" xfId="6756"/>
    <cellStyle name="_Sheet11_Usulan blending PlaN 27-05-08 2" xfId="6757"/>
    <cellStyle name="_Sheet11_Usulan blending PlaN 27-05-08 2_Sheet1" xfId="6758"/>
    <cellStyle name="_Sheet11_Usulan blending PlaN 27-05-08_Sheet1" xfId="6759"/>
    <cellStyle name="_Sheet11_Usulan blending PlaN 27-05-08_Wadi-Qinfa" xfId="6760"/>
    <cellStyle name="_Sheet11_Usulan Blending Plan_13 Feb 2008_awl" xfId="6761"/>
    <cellStyle name="_Sheet11_Usulan Blending Plan_13 Feb 2008_awl 2" xfId="6762"/>
    <cellStyle name="_Sheet11_Usulan Blending Plan_13 Feb 2008_awl 2_Sheet1" xfId="6763"/>
    <cellStyle name="_Sheet11_Usulan Blending Plan_13 Feb 2008_awl_Sheet1" xfId="6764"/>
    <cellStyle name="_Sheet11_Usulan Blending Plan_13 Feb 2008_awl_Wadi-Qinfa" xfId="6765"/>
    <cellStyle name="_Sheet11_Wadi-Qinfa" xfId="6766"/>
    <cellStyle name="_Sheet12" xfId="6767"/>
    <cellStyle name="_Sheet12 2" xfId="6768"/>
    <cellStyle name="_Sheet12 2_Sheet1" xfId="6769"/>
    <cellStyle name="_Sheet12_01  Usulan Blend Plan BMO_220408 (2)" xfId="6770"/>
    <cellStyle name="_Sheet12_01  Usulan Blend Plan BMO_220408 (2) 2" xfId="6771"/>
    <cellStyle name="_Sheet12_01  Usulan Blend Plan BMO_220408 (2) 2_Sheet1" xfId="6772"/>
    <cellStyle name="_Sheet12_01  Usulan Blend Plan BMO_220408 (2)_Sheet1" xfId="6773"/>
    <cellStyle name="_Sheet12_01  Usulan Blend Plan BMO_220408 (2)_Wadi-Qinfa" xfId="6774"/>
    <cellStyle name="_Sheet12_Production Plan 2008 - up to 15 M MT" xfId="6775"/>
    <cellStyle name="_Sheet12_Production Plan 2008 - up to 15 M MT 2" xfId="6776"/>
    <cellStyle name="_Sheet12_Production Plan 2008 - up to 15 M MT 2_Sheet1" xfId="6777"/>
    <cellStyle name="_Sheet12_Production Plan 2008 - up to 15 M MT_Sheet1" xfId="6778"/>
    <cellStyle name="_Sheet12_Production Plan 2008 - up to 15 M MT_Wadi-Qinfa" xfId="6779"/>
    <cellStyle name="_Sheet12_Sheet1" xfId="6780"/>
    <cellStyle name="_Sheet12_SMO 2007 - 28-Sept-06" xfId="6781"/>
    <cellStyle name="_Sheet12_SMO 2007 - 28-Sept-06 2" xfId="6782"/>
    <cellStyle name="_Sheet12_SMO 2007 - 28-Sept-06 2_Sheet1" xfId="6783"/>
    <cellStyle name="_Sheet12_SMO 2007 - 28-Sept-06_Sheet1" xfId="6784"/>
    <cellStyle name="_Sheet12_SMO 2007 - 28-Sept-06_Wadi-Qinfa" xfId="6785"/>
    <cellStyle name="_Sheet12_SMO 2008 - 02-Okt-07" xfId="6786"/>
    <cellStyle name="_Sheet12_SMO 2008 - 02-Okt-07 2" xfId="6787"/>
    <cellStyle name="_Sheet12_SMO 2008 - 02-Okt-07 2_Sheet1" xfId="6788"/>
    <cellStyle name="_Sheet12_SMO 2008 - 02-Okt-07_Sheet1" xfId="6789"/>
    <cellStyle name="_Sheet12_SMO 2008 - 02-Okt-07_Wadi-Qinfa" xfId="6790"/>
    <cellStyle name="_Sheet12_Stock Status Jul 29, 2008" xfId="6791"/>
    <cellStyle name="_Sheet12_Stock Status Jul 29, 2008 2" xfId="6792"/>
    <cellStyle name="_Sheet12_Stock Status Jul 29, 2008 2_Sheet1" xfId="6793"/>
    <cellStyle name="_Sheet12_Stock Status Jul 29, 2008_Sheet1" xfId="6794"/>
    <cellStyle name="_Sheet12_Stock Status Jul 29, 2008_Wadi-Qinfa" xfId="6795"/>
    <cellStyle name="_Sheet12_Usulan Blend Plan BMO 11-03-08" xfId="6796"/>
    <cellStyle name="_Sheet12_Usulan Blend Plan BMO 11-03-08 2" xfId="6797"/>
    <cellStyle name="_Sheet12_Usulan Blend Plan BMO 11-03-08 2_Sheet1" xfId="6798"/>
    <cellStyle name="_Sheet12_Usulan Blend Plan BMO 11-03-08_Sheet1" xfId="6799"/>
    <cellStyle name="_Sheet12_Usulan Blend Plan BMO 11-03-08_Wadi-Qinfa" xfId="6800"/>
    <cellStyle name="_Sheet12_Usulan Blend Plan BMO 25-03-08" xfId="6801"/>
    <cellStyle name="_Sheet12_Usulan Blend Plan BMO 25-03-08 2" xfId="6802"/>
    <cellStyle name="_Sheet12_Usulan Blend Plan BMO 25-03-08 2_Sheet1" xfId="6803"/>
    <cellStyle name="_Sheet12_Usulan Blend Plan BMO 25-03-08_Sheet1" xfId="6804"/>
    <cellStyle name="_Sheet12_Usulan Blend Plan BMO 25-03-08_Wadi-Qinfa" xfId="6805"/>
    <cellStyle name="_Sheet12_Usulan Blending 27 Mei 2008" xfId="6806"/>
    <cellStyle name="_Sheet12_Usulan Blending 27 Mei 2008 2" xfId="6807"/>
    <cellStyle name="_Sheet12_Usulan Blending 27 Mei 2008 2_Sheet1" xfId="6808"/>
    <cellStyle name="_Sheet12_Usulan Blending 27 Mei 2008_Sheet1" xfId="6809"/>
    <cellStyle name="_Sheet12_Usulan Blending 27 Mei 2008_Wadi-Qinfa" xfId="6810"/>
    <cellStyle name="_Sheet12_Usulan Blending Plan 10 jun (2)" xfId="6811"/>
    <cellStyle name="_Sheet12_Usulan Blending Plan 10 jun (2) 2" xfId="6812"/>
    <cellStyle name="_Sheet12_Usulan Blending Plan 10 jun (2) 2_Sheet1" xfId="6813"/>
    <cellStyle name="_Sheet12_Usulan Blending Plan 10 jun (2)_Sheet1" xfId="6814"/>
    <cellStyle name="_Sheet12_Usulan Blending Plan 10 jun (2)_Wadi-Qinfa" xfId="6815"/>
    <cellStyle name="_Sheet12_Usulan Blending Plan 17 jun (2)" xfId="6816"/>
    <cellStyle name="_Sheet12_Usulan Blending Plan 17 jun (2) 2" xfId="6817"/>
    <cellStyle name="_Sheet12_Usulan Blending Plan 17 jun (2) 2_Sheet1" xfId="6818"/>
    <cellStyle name="_Sheet12_Usulan Blending Plan 17 jun (2)_Sheet1" xfId="6819"/>
    <cellStyle name="_Sheet12_Usulan Blending Plan 17 jun (2)_Wadi-Qinfa" xfId="6820"/>
    <cellStyle name="_Sheet12_Usulan blending plan 21_05_08" xfId="6821"/>
    <cellStyle name="_Sheet12_Usulan blending plan 21_05_08 2" xfId="6822"/>
    <cellStyle name="_Sheet12_Usulan blending plan 21_05_08 2_Sheet1" xfId="6823"/>
    <cellStyle name="_Sheet12_Usulan blending plan 21_05_08_Sheet1" xfId="6824"/>
    <cellStyle name="_Sheet12_Usulan blending plan 21_05_08_Wadi-Qinfa" xfId="6825"/>
    <cellStyle name="_Sheet12_Usulan blending PlaN 27-05-08" xfId="6826"/>
    <cellStyle name="_Sheet12_Usulan blending PlaN 27-05-08 2" xfId="6827"/>
    <cellStyle name="_Sheet12_Usulan blending PlaN 27-05-08 2_Sheet1" xfId="6828"/>
    <cellStyle name="_Sheet12_Usulan blending PlaN 27-05-08_Sheet1" xfId="6829"/>
    <cellStyle name="_Sheet12_Usulan blending PlaN 27-05-08_Wadi-Qinfa" xfId="6830"/>
    <cellStyle name="_Sheet12_Usulan Blending Plan_13 Feb 2008_awl" xfId="6831"/>
    <cellStyle name="_Sheet12_Usulan Blending Plan_13 Feb 2008_awl 2" xfId="6832"/>
    <cellStyle name="_Sheet12_Usulan Blending Plan_13 Feb 2008_awl 2_Sheet1" xfId="6833"/>
    <cellStyle name="_Sheet12_Usulan Blending Plan_13 Feb 2008_awl_Sheet1" xfId="6834"/>
    <cellStyle name="_Sheet12_Usulan Blending Plan_13 Feb 2008_awl_Wadi-Qinfa" xfId="6835"/>
    <cellStyle name="_Sheet12_Wadi-Qinfa" xfId="6836"/>
    <cellStyle name="_Sheet2" xfId="6837"/>
    <cellStyle name="_Sheet2 2" xfId="6838"/>
    <cellStyle name="_Sheet2 2_Sheet1" xfId="6839"/>
    <cellStyle name="_Sheet2_01  Usulan Blend Plan BMO_220408 (2)" xfId="6840"/>
    <cellStyle name="_Sheet2_01  Usulan Blend Plan BMO_220408 (2) 2" xfId="6841"/>
    <cellStyle name="_Sheet2_01  Usulan Blend Plan BMO_220408 (2) 2_Sheet1" xfId="6842"/>
    <cellStyle name="_Sheet2_01  Usulan Blend Plan BMO_220408 (2)_Sheet1" xfId="6843"/>
    <cellStyle name="_Sheet2_01  Usulan Blend Plan BMO_220408 (2)_Wadi-Qinfa" xfId="6844"/>
    <cellStyle name="_Sheet2_Production Plan 2008 - up to 15 M MT" xfId="6845"/>
    <cellStyle name="_Sheet2_Production Plan 2008 - up to 15 M MT 2" xfId="6846"/>
    <cellStyle name="_Sheet2_Production Plan 2008 - up to 15 M MT 2_Sheet1" xfId="6847"/>
    <cellStyle name="_Sheet2_Production Plan 2008 - up to 15 M MT_Sheet1" xfId="6848"/>
    <cellStyle name="_Sheet2_Production Plan 2008 - up to 15 M MT_Wadi-Qinfa" xfId="6849"/>
    <cellStyle name="_Sheet2_Sheet1" xfId="6850"/>
    <cellStyle name="_Sheet2_SMO 2007 - 28-Sept-06" xfId="6851"/>
    <cellStyle name="_Sheet2_SMO 2007 - 28-Sept-06 2" xfId="6852"/>
    <cellStyle name="_Sheet2_SMO 2007 - 28-Sept-06 2_Sheet1" xfId="6853"/>
    <cellStyle name="_Sheet2_SMO 2007 - 28-Sept-06_Sheet1" xfId="6854"/>
    <cellStyle name="_Sheet2_SMO 2007 - 28-Sept-06_Wadi-Qinfa" xfId="6855"/>
    <cellStyle name="_Sheet2_SMO 2008 - 02-Okt-07" xfId="6856"/>
    <cellStyle name="_Sheet2_SMO 2008 - 02-Okt-07 2" xfId="6857"/>
    <cellStyle name="_Sheet2_SMO 2008 - 02-Okt-07 2_Sheet1" xfId="6858"/>
    <cellStyle name="_Sheet2_SMO 2008 - 02-Okt-07_Sheet1" xfId="6859"/>
    <cellStyle name="_Sheet2_SMO 2008 - 02-Okt-07_Wadi-Qinfa" xfId="6860"/>
    <cellStyle name="_Sheet2_Stock Status Jul 29, 2008" xfId="6861"/>
    <cellStyle name="_Sheet2_Stock Status Jul 29, 2008 2" xfId="6862"/>
    <cellStyle name="_Sheet2_Stock Status Jul 29, 2008 2_Sheet1" xfId="6863"/>
    <cellStyle name="_Sheet2_Stock Status Jul 29, 2008_Sheet1" xfId="6864"/>
    <cellStyle name="_Sheet2_Stock Status Jul 29, 2008_Wadi-Qinfa" xfId="6865"/>
    <cellStyle name="_Sheet2_Usulan Blend Plan BMO 11-03-08" xfId="6866"/>
    <cellStyle name="_Sheet2_Usulan Blend Plan BMO 11-03-08 2" xfId="6867"/>
    <cellStyle name="_Sheet2_Usulan Blend Plan BMO 11-03-08 2_Sheet1" xfId="6868"/>
    <cellStyle name="_Sheet2_Usulan Blend Plan BMO 11-03-08_Sheet1" xfId="6869"/>
    <cellStyle name="_Sheet2_Usulan Blend Plan BMO 11-03-08_Wadi-Qinfa" xfId="6870"/>
    <cellStyle name="_Sheet2_Usulan Blend Plan BMO 25-03-08" xfId="6871"/>
    <cellStyle name="_Sheet2_Usulan Blend Plan BMO 25-03-08 2" xfId="6872"/>
    <cellStyle name="_Sheet2_Usulan Blend Plan BMO 25-03-08 2_Sheet1" xfId="6873"/>
    <cellStyle name="_Sheet2_Usulan Blend Plan BMO 25-03-08_Sheet1" xfId="6874"/>
    <cellStyle name="_Sheet2_Usulan Blend Plan BMO 25-03-08_Wadi-Qinfa" xfId="6875"/>
    <cellStyle name="_Sheet2_Usulan Blending 27 Mei 2008" xfId="6876"/>
    <cellStyle name="_Sheet2_Usulan Blending 27 Mei 2008 2" xfId="6877"/>
    <cellStyle name="_Sheet2_Usulan Blending 27 Mei 2008 2_Sheet1" xfId="6878"/>
    <cellStyle name="_Sheet2_Usulan Blending 27 Mei 2008_Sheet1" xfId="6879"/>
    <cellStyle name="_Sheet2_Usulan Blending 27 Mei 2008_Wadi-Qinfa" xfId="6880"/>
    <cellStyle name="_Sheet2_Usulan Blending Plan 10 jun (2)" xfId="6881"/>
    <cellStyle name="_Sheet2_Usulan Blending Plan 10 jun (2) 2" xfId="6882"/>
    <cellStyle name="_Sheet2_Usulan Blending Plan 10 jun (2) 2_Sheet1" xfId="6883"/>
    <cellStyle name="_Sheet2_Usulan Blending Plan 10 jun (2)_Sheet1" xfId="6884"/>
    <cellStyle name="_Sheet2_Usulan Blending Plan 10 jun (2)_Wadi-Qinfa" xfId="6885"/>
    <cellStyle name="_Sheet2_Usulan Blending Plan 17 jun (2)" xfId="6886"/>
    <cellStyle name="_Sheet2_Usulan Blending Plan 17 jun (2) 2" xfId="6887"/>
    <cellStyle name="_Sheet2_Usulan Blending Plan 17 jun (2) 2_Sheet1" xfId="6888"/>
    <cellStyle name="_Sheet2_Usulan Blending Plan 17 jun (2)_Sheet1" xfId="6889"/>
    <cellStyle name="_Sheet2_Usulan Blending Plan 17 jun (2)_Wadi-Qinfa" xfId="6890"/>
    <cellStyle name="_Sheet2_Usulan blending plan 21_05_08" xfId="6891"/>
    <cellStyle name="_Sheet2_Usulan blending plan 21_05_08 2" xfId="6892"/>
    <cellStyle name="_Sheet2_Usulan blending plan 21_05_08 2_Sheet1" xfId="6893"/>
    <cellStyle name="_Sheet2_Usulan blending plan 21_05_08_Sheet1" xfId="6894"/>
    <cellStyle name="_Sheet2_Usulan blending plan 21_05_08_Wadi-Qinfa" xfId="6895"/>
    <cellStyle name="_Sheet2_Usulan blending PlaN 27-05-08" xfId="6896"/>
    <cellStyle name="_Sheet2_Usulan blending PlaN 27-05-08 2" xfId="6897"/>
    <cellStyle name="_Sheet2_Usulan blending PlaN 27-05-08 2_Sheet1" xfId="6898"/>
    <cellStyle name="_Sheet2_Usulan blending PlaN 27-05-08_Sheet1" xfId="6899"/>
    <cellStyle name="_Sheet2_Usulan blending PlaN 27-05-08_Wadi-Qinfa" xfId="6900"/>
    <cellStyle name="_Sheet2_Usulan Blending Plan_13 Feb 2008_awl" xfId="6901"/>
    <cellStyle name="_Sheet2_Usulan Blending Plan_13 Feb 2008_awl 2" xfId="6902"/>
    <cellStyle name="_Sheet2_Usulan Blending Plan_13 Feb 2008_awl 2_Sheet1" xfId="6903"/>
    <cellStyle name="_Sheet2_Usulan Blending Plan_13 Feb 2008_awl_Sheet1" xfId="6904"/>
    <cellStyle name="_Sheet2_Usulan Blending Plan_13 Feb 2008_awl_Wadi-Qinfa" xfId="6905"/>
    <cellStyle name="_Sheet2_Wadi-Qinfa" xfId="6906"/>
    <cellStyle name="_Sheet3" xfId="6907"/>
    <cellStyle name="_Sheet3 2" xfId="6908"/>
    <cellStyle name="_Sheet3 2_Sheet1" xfId="6909"/>
    <cellStyle name="_Sheet3_01  Usulan Blend Plan BMO_220408 (2)" xfId="6910"/>
    <cellStyle name="_Sheet3_01  Usulan Blend Plan BMO_220408 (2) 2" xfId="6911"/>
    <cellStyle name="_Sheet3_01  Usulan Blend Plan BMO_220408 (2) 2_Sheet1" xfId="6912"/>
    <cellStyle name="_Sheet3_01  Usulan Blend Plan BMO_220408 (2)_Sheet1" xfId="6913"/>
    <cellStyle name="_Sheet3_01  Usulan Blend Plan BMO_220408 (2)_Wadi-Qinfa" xfId="6914"/>
    <cellStyle name="_Sheet3_Production Plan 2008 - up to 15 M MT" xfId="6915"/>
    <cellStyle name="_Sheet3_Production Plan 2008 - up to 15 M MT 2" xfId="6916"/>
    <cellStyle name="_Sheet3_Production Plan 2008 - up to 15 M MT 2_Sheet1" xfId="6917"/>
    <cellStyle name="_Sheet3_Production Plan 2008 - up to 15 M MT_Sheet1" xfId="6918"/>
    <cellStyle name="_Sheet3_Production Plan 2008 - up to 15 M MT_Wadi-Qinfa" xfId="6919"/>
    <cellStyle name="_Sheet3_Sheet1" xfId="6920"/>
    <cellStyle name="_Sheet3_SMO 2007 - 28-Sept-06" xfId="6921"/>
    <cellStyle name="_Sheet3_SMO 2007 - 28-Sept-06 2" xfId="6922"/>
    <cellStyle name="_Sheet3_SMO 2007 - 28-Sept-06 2_Sheet1" xfId="6923"/>
    <cellStyle name="_Sheet3_SMO 2007 - 28-Sept-06_Sheet1" xfId="6924"/>
    <cellStyle name="_Sheet3_SMO 2007 - 28-Sept-06_Wadi-Qinfa" xfId="6925"/>
    <cellStyle name="_Sheet3_SMO 2008 - 02-Okt-07" xfId="6926"/>
    <cellStyle name="_Sheet3_SMO 2008 - 02-Okt-07 2" xfId="6927"/>
    <cellStyle name="_Sheet3_SMO 2008 - 02-Okt-07 2_Sheet1" xfId="6928"/>
    <cellStyle name="_Sheet3_SMO 2008 - 02-Okt-07_Sheet1" xfId="6929"/>
    <cellStyle name="_Sheet3_SMO 2008 - 02-Okt-07_Wadi-Qinfa" xfId="6930"/>
    <cellStyle name="_Sheet3_Stock Status Jul 29, 2008" xfId="6931"/>
    <cellStyle name="_Sheet3_Stock Status Jul 29, 2008 2" xfId="6932"/>
    <cellStyle name="_Sheet3_Stock Status Jul 29, 2008 2_Sheet1" xfId="6933"/>
    <cellStyle name="_Sheet3_Stock Status Jul 29, 2008_Sheet1" xfId="6934"/>
    <cellStyle name="_Sheet3_Stock Status Jul 29, 2008_Wadi-Qinfa" xfId="6935"/>
    <cellStyle name="_Sheet3_Usulan Blend Plan BMO 11-03-08" xfId="6936"/>
    <cellStyle name="_Sheet3_Usulan Blend Plan BMO 11-03-08 2" xfId="6937"/>
    <cellStyle name="_Sheet3_Usulan Blend Plan BMO 11-03-08 2_Sheet1" xfId="6938"/>
    <cellStyle name="_Sheet3_Usulan Blend Plan BMO 11-03-08_Sheet1" xfId="6939"/>
    <cellStyle name="_Sheet3_Usulan Blend Plan BMO 11-03-08_Wadi-Qinfa" xfId="6940"/>
    <cellStyle name="_Sheet3_Usulan Blend Plan BMO 25-03-08" xfId="6941"/>
    <cellStyle name="_Sheet3_Usulan Blend Plan BMO 25-03-08 2" xfId="6942"/>
    <cellStyle name="_Sheet3_Usulan Blend Plan BMO 25-03-08 2_Sheet1" xfId="6943"/>
    <cellStyle name="_Sheet3_Usulan Blend Plan BMO 25-03-08_Sheet1" xfId="6944"/>
    <cellStyle name="_Sheet3_Usulan Blend Plan BMO 25-03-08_Wadi-Qinfa" xfId="6945"/>
    <cellStyle name="_Sheet3_Usulan Blending 27 Mei 2008" xfId="6946"/>
    <cellStyle name="_Sheet3_Usulan Blending 27 Mei 2008 2" xfId="6947"/>
    <cellStyle name="_Sheet3_Usulan Blending 27 Mei 2008 2_Sheet1" xfId="6948"/>
    <cellStyle name="_Sheet3_Usulan Blending 27 Mei 2008_Sheet1" xfId="6949"/>
    <cellStyle name="_Sheet3_Usulan Blending 27 Mei 2008_Wadi-Qinfa" xfId="6950"/>
    <cellStyle name="_Sheet3_Usulan Blending Plan 10 jun (2)" xfId="6951"/>
    <cellStyle name="_Sheet3_Usulan Blending Plan 10 jun (2) 2" xfId="6952"/>
    <cellStyle name="_Sheet3_Usulan Blending Plan 10 jun (2) 2_Sheet1" xfId="6953"/>
    <cellStyle name="_Sheet3_Usulan Blending Plan 10 jun (2)_Sheet1" xfId="6954"/>
    <cellStyle name="_Sheet3_Usulan Blending Plan 10 jun (2)_Wadi-Qinfa" xfId="6955"/>
    <cellStyle name="_Sheet3_Usulan Blending Plan 17 jun (2)" xfId="6956"/>
    <cellStyle name="_Sheet3_Usulan Blending Plan 17 jun (2) 2" xfId="6957"/>
    <cellStyle name="_Sheet3_Usulan Blending Plan 17 jun (2) 2_Sheet1" xfId="6958"/>
    <cellStyle name="_Sheet3_Usulan Blending Plan 17 jun (2)_Sheet1" xfId="6959"/>
    <cellStyle name="_Sheet3_Usulan Blending Plan 17 jun (2)_Wadi-Qinfa" xfId="6960"/>
    <cellStyle name="_Sheet3_Usulan blending plan 21_05_08" xfId="6961"/>
    <cellStyle name="_Sheet3_Usulan blending plan 21_05_08 2" xfId="6962"/>
    <cellStyle name="_Sheet3_Usulan blending plan 21_05_08 2_Sheet1" xfId="6963"/>
    <cellStyle name="_Sheet3_Usulan blending plan 21_05_08_Sheet1" xfId="6964"/>
    <cellStyle name="_Sheet3_Usulan blending plan 21_05_08_Wadi-Qinfa" xfId="6965"/>
    <cellStyle name="_Sheet3_Usulan blending PlaN 27-05-08" xfId="6966"/>
    <cellStyle name="_Sheet3_Usulan blending PlaN 27-05-08 2" xfId="6967"/>
    <cellStyle name="_Sheet3_Usulan blending PlaN 27-05-08 2_Sheet1" xfId="6968"/>
    <cellStyle name="_Sheet3_Usulan blending PlaN 27-05-08_Sheet1" xfId="6969"/>
    <cellStyle name="_Sheet3_Usulan blending PlaN 27-05-08_Wadi-Qinfa" xfId="6970"/>
    <cellStyle name="_Sheet3_Usulan Blending Plan_13 Feb 2008_awl" xfId="6971"/>
    <cellStyle name="_Sheet3_Usulan Blending Plan_13 Feb 2008_awl 2" xfId="6972"/>
    <cellStyle name="_Sheet3_Usulan Blending Plan_13 Feb 2008_awl 2_Sheet1" xfId="6973"/>
    <cellStyle name="_Sheet3_Usulan Blending Plan_13 Feb 2008_awl_Sheet1" xfId="6974"/>
    <cellStyle name="_Sheet3_Usulan Blending Plan_13 Feb 2008_awl_Wadi-Qinfa" xfId="6975"/>
    <cellStyle name="_Sheet3_Wadi-Qinfa" xfId="6976"/>
    <cellStyle name="_Sheet4" xfId="6977"/>
    <cellStyle name="_Sheet4 2" xfId="6978"/>
    <cellStyle name="_Sheet4 2_Sheet1" xfId="6979"/>
    <cellStyle name="_Sheet4_01  Usulan Blend Plan BMO_220408 (2)" xfId="6980"/>
    <cellStyle name="_Sheet4_01  Usulan Blend Plan BMO_220408 (2) 2" xfId="6981"/>
    <cellStyle name="_Sheet4_01  Usulan Blend Plan BMO_220408 (2) 2_Sheet1" xfId="6982"/>
    <cellStyle name="_Sheet4_01  Usulan Blend Plan BMO_220408 (2)_Sheet1" xfId="6983"/>
    <cellStyle name="_Sheet4_01  Usulan Blend Plan BMO_220408 (2)_Wadi-Qinfa" xfId="6984"/>
    <cellStyle name="_Sheet4_Production Plan 2008 - up to 15 M MT" xfId="6985"/>
    <cellStyle name="_Sheet4_Production Plan 2008 - up to 15 M MT 2" xfId="6986"/>
    <cellStyle name="_Sheet4_Production Plan 2008 - up to 15 M MT 2_Sheet1" xfId="6987"/>
    <cellStyle name="_Sheet4_Production Plan 2008 - up to 15 M MT_Sheet1" xfId="6988"/>
    <cellStyle name="_Sheet4_Production Plan 2008 - up to 15 M MT_Wadi-Qinfa" xfId="6989"/>
    <cellStyle name="_Sheet4_Sheet1" xfId="6990"/>
    <cellStyle name="_Sheet4_SMO 2007 - 28-Sept-06" xfId="6991"/>
    <cellStyle name="_Sheet4_SMO 2007 - 28-Sept-06 2" xfId="6992"/>
    <cellStyle name="_Sheet4_SMO 2007 - 28-Sept-06 2_Sheet1" xfId="6993"/>
    <cellStyle name="_Sheet4_SMO 2007 - 28-Sept-06_Sheet1" xfId="6994"/>
    <cellStyle name="_Sheet4_SMO 2007 - 28-Sept-06_Wadi-Qinfa" xfId="6995"/>
    <cellStyle name="_Sheet4_SMO 2008 - 02-Okt-07" xfId="6996"/>
    <cellStyle name="_Sheet4_SMO 2008 - 02-Okt-07 2" xfId="6997"/>
    <cellStyle name="_Sheet4_SMO 2008 - 02-Okt-07 2_Sheet1" xfId="6998"/>
    <cellStyle name="_Sheet4_SMO 2008 - 02-Okt-07_Sheet1" xfId="6999"/>
    <cellStyle name="_Sheet4_SMO 2008 - 02-Okt-07_Wadi-Qinfa" xfId="7000"/>
    <cellStyle name="_Sheet4_Stock Status Jul 29, 2008" xfId="7001"/>
    <cellStyle name="_Sheet4_Stock Status Jul 29, 2008 2" xfId="7002"/>
    <cellStyle name="_Sheet4_Stock Status Jul 29, 2008 2_Sheet1" xfId="7003"/>
    <cellStyle name="_Sheet4_Stock Status Jul 29, 2008_Sheet1" xfId="7004"/>
    <cellStyle name="_Sheet4_Stock Status Jul 29, 2008_Wadi-Qinfa" xfId="7005"/>
    <cellStyle name="_Sheet4_Usulan Blend Plan BMO 11-03-08" xfId="7006"/>
    <cellStyle name="_Sheet4_Usulan Blend Plan BMO 11-03-08 2" xfId="7007"/>
    <cellStyle name="_Sheet4_Usulan Blend Plan BMO 11-03-08 2_Sheet1" xfId="7008"/>
    <cellStyle name="_Sheet4_Usulan Blend Plan BMO 11-03-08_Sheet1" xfId="7009"/>
    <cellStyle name="_Sheet4_Usulan Blend Plan BMO 11-03-08_Wadi-Qinfa" xfId="7010"/>
    <cellStyle name="_Sheet4_Usulan Blend Plan BMO 25-03-08" xfId="7011"/>
    <cellStyle name="_Sheet4_Usulan Blend Plan BMO 25-03-08 2" xfId="7012"/>
    <cellStyle name="_Sheet4_Usulan Blend Plan BMO 25-03-08 2_Sheet1" xfId="7013"/>
    <cellStyle name="_Sheet4_Usulan Blend Plan BMO 25-03-08_Sheet1" xfId="7014"/>
    <cellStyle name="_Sheet4_Usulan Blend Plan BMO 25-03-08_Wadi-Qinfa" xfId="7015"/>
    <cellStyle name="_Sheet4_Usulan Blending 27 Mei 2008" xfId="7016"/>
    <cellStyle name="_Sheet4_Usulan Blending 27 Mei 2008 2" xfId="7017"/>
    <cellStyle name="_Sheet4_Usulan Blending 27 Mei 2008 2_Sheet1" xfId="7018"/>
    <cellStyle name="_Sheet4_Usulan Blending 27 Mei 2008_Sheet1" xfId="7019"/>
    <cellStyle name="_Sheet4_Usulan Blending 27 Mei 2008_Wadi-Qinfa" xfId="7020"/>
    <cellStyle name="_Sheet4_Usulan Blending Plan 10 jun (2)" xfId="7021"/>
    <cellStyle name="_Sheet4_Usulan Blending Plan 10 jun (2) 2" xfId="7022"/>
    <cellStyle name="_Sheet4_Usulan Blending Plan 10 jun (2) 2_Sheet1" xfId="7023"/>
    <cellStyle name="_Sheet4_Usulan Blending Plan 10 jun (2)_Sheet1" xfId="7024"/>
    <cellStyle name="_Sheet4_Usulan Blending Plan 10 jun (2)_Wadi-Qinfa" xfId="7025"/>
    <cellStyle name="_Sheet4_Usulan Blending Plan 17 jun (2)" xfId="7026"/>
    <cellStyle name="_Sheet4_Usulan Blending Plan 17 jun (2) 2" xfId="7027"/>
    <cellStyle name="_Sheet4_Usulan Blending Plan 17 jun (2) 2_Sheet1" xfId="7028"/>
    <cellStyle name="_Sheet4_Usulan Blending Plan 17 jun (2)_Sheet1" xfId="7029"/>
    <cellStyle name="_Sheet4_Usulan Blending Plan 17 jun (2)_Wadi-Qinfa" xfId="7030"/>
    <cellStyle name="_Sheet4_Usulan blending plan 21_05_08" xfId="7031"/>
    <cellStyle name="_Sheet4_Usulan blending plan 21_05_08 2" xfId="7032"/>
    <cellStyle name="_Sheet4_Usulan blending plan 21_05_08 2_Sheet1" xfId="7033"/>
    <cellStyle name="_Sheet4_Usulan blending plan 21_05_08_Sheet1" xfId="7034"/>
    <cellStyle name="_Sheet4_Usulan blending plan 21_05_08_Wadi-Qinfa" xfId="7035"/>
    <cellStyle name="_Sheet4_Usulan blending PlaN 27-05-08" xfId="7036"/>
    <cellStyle name="_Sheet4_Usulan blending PlaN 27-05-08 2" xfId="7037"/>
    <cellStyle name="_Sheet4_Usulan blending PlaN 27-05-08 2_Sheet1" xfId="7038"/>
    <cellStyle name="_Sheet4_Usulan blending PlaN 27-05-08_Sheet1" xfId="7039"/>
    <cellStyle name="_Sheet4_Usulan blending PlaN 27-05-08_Wadi-Qinfa" xfId="7040"/>
    <cellStyle name="_Sheet4_Usulan Blending Plan_13 Feb 2008_awl" xfId="7041"/>
    <cellStyle name="_Sheet4_Usulan Blending Plan_13 Feb 2008_awl 2" xfId="7042"/>
    <cellStyle name="_Sheet4_Usulan Blending Plan_13 Feb 2008_awl 2_Sheet1" xfId="7043"/>
    <cellStyle name="_Sheet4_Usulan Blending Plan_13 Feb 2008_awl_Sheet1" xfId="7044"/>
    <cellStyle name="_Sheet4_Usulan Blending Plan_13 Feb 2008_awl_Wadi-Qinfa" xfId="7045"/>
    <cellStyle name="_Sheet4_Wadi-Qinfa" xfId="7046"/>
    <cellStyle name="_Sheet5" xfId="7047"/>
    <cellStyle name="_Sheet5 2" xfId="7048"/>
    <cellStyle name="_Sheet5 2_Sheet1" xfId="7049"/>
    <cellStyle name="_Sheet5_01  Usulan Blend Plan BMO_220408 (2)" xfId="7050"/>
    <cellStyle name="_Sheet5_01  Usulan Blend Plan BMO_220408 (2) 2" xfId="7051"/>
    <cellStyle name="_Sheet5_01  Usulan Blend Plan BMO_220408 (2) 2_Sheet1" xfId="7052"/>
    <cellStyle name="_Sheet5_01  Usulan Blend Plan BMO_220408 (2)_Sheet1" xfId="7053"/>
    <cellStyle name="_Sheet5_01  Usulan Blend Plan BMO_220408 (2)_Wadi-Qinfa" xfId="7054"/>
    <cellStyle name="_Sheet5_Production Plan 2008 - up to 15 M MT" xfId="7055"/>
    <cellStyle name="_Sheet5_Production Plan 2008 - up to 15 M MT 2" xfId="7056"/>
    <cellStyle name="_Sheet5_Production Plan 2008 - up to 15 M MT 2_Sheet1" xfId="7057"/>
    <cellStyle name="_Sheet5_Production Plan 2008 - up to 15 M MT_Sheet1" xfId="7058"/>
    <cellStyle name="_Sheet5_Production Plan 2008 - up to 15 M MT_Wadi-Qinfa" xfId="7059"/>
    <cellStyle name="_Sheet5_Sheet1" xfId="7060"/>
    <cellStyle name="_Sheet5_SMO 2007 - 28-Sept-06" xfId="7061"/>
    <cellStyle name="_Sheet5_SMO 2007 - 28-Sept-06 2" xfId="7062"/>
    <cellStyle name="_Sheet5_SMO 2007 - 28-Sept-06 2_Sheet1" xfId="7063"/>
    <cellStyle name="_Sheet5_SMO 2007 - 28-Sept-06_Sheet1" xfId="7064"/>
    <cellStyle name="_Sheet5_SMO 2007 - 28-Sept-06_Wadi-Qinfa" xfId="7065"/>
    <cellStyle name="_Sheet5_SMO 2008 - 02-Okt-07" xfId="7066"/>
    <cellStyle name="_Sheet5_SMO 2008 - 02-Okt-07 2" xfId="7067"/>
    <cellStyle name="_Sheet5_SMO 2008 - 02-Okt-07 2_Sheet1" xfId="7068"/>
    <cellStyle name="_Sheet5_SMO 2008 - 02-Okt-07_Sheet1" xfId="7069"/>
    <cellStyle name="_Sheet5_SMO 2008 - 02-Okt-07_Wadi-Qinfa" xfId="7070"/>
    <cellStyle name="_Sheet5_Stock Status Jul 29, 2008" xfId="7071"/>
    <cellStyle name="_Sheet5_Stock Status Jul 29, 2008 2" xfId="7072"/>
    <cellStyle name="_Sheet5_Stock Status Jul 29, 2008 2_Sheet1" xfId="7073"/>
    <cellStyle name="_Sheet5_Stock Status Jul 29, 2008_Sheet1" xfId="7074"/>
    <cellStyle name="_Sheet5_Stock Status Jul 29, 2008_Wadi-Qinfa" xfId="7075"/>
    <cellStyle name="_Sheet5_Usulan Blend Plan BMO 11-03-08" xfId="7076"/>
    <cellStyle name="_Sheet5_Usulan Blend Plan BMO 11-03-08 2" xfId="7077"/>
    <cellStyle name="_Sheet5_Usulan Blend Plan BMO 11-03-08 2_Sheet1" xfId="7078"/>
    <cellStyle name="_Sheet5_Usulan Blend Plan BMO 11-03-08_Sheet1" xfId="7079"/>
    <cellStyle name="_Sheet5_Usulan Blend Plan BMO 11-03-08_Wadi-Qinfa" xfId="7080"/>
    <cellStyle name="_Sheet5_Usulan Blend Plan BMO 25-03-08" xfId="7081"/>
    <cellStyle name="_Sheet5_Usulan Blend Plan BMO 25-03-08 2" xfId="7082"/>
    <cellStyle name="_Sheet5_Usulan Blend Plan BMO 25-03-08 2_Sheet1" xfId="7083"/>
    <cellStyle name="_Sheet5_Usulan Blend Plan BMO 25-03-08_Sheet1" xfId="7084"/>
    <cellStyle name="_Sheet5_Usulan Blend Plan BMO 25-03-08_Wadi-Qinfa" xfId="7085"/>
    <cellStyle name="_Sheet5_Usulan Blending 27 Mei 2008" xfId="7086"/>
    <cellStyle name="_Sheet5_Usulan Blending 27 Mei 2008 2" xfId="7087"/>
    <cellStyle name="_Sheet5_Usulan Blending 27 Mei 2008 2_Sheet1" xfId="7088"/>
    <cellStyle name="_Sheet5_Usulan Blending 27 Mei 2008_Sheet1" xfId="7089"/>
    <cellStyle name="_Sheet5_Usulan Blending 27 Mei 2008_Wadi-Qinfa" xfId="7090"/>
    <cellStyle name="_Sheet5_Usulan Blending Plan 10 jun (2)" xfId="7091"/>
    <cellStyle name="_Sheet5_Usulan Blending Plan 10 jun (2) 2" xfId="7092"/>
    <cellStyle name="_Sheet5_Usulan Blending Plan 10 jun (2) 2_Sheet1" xfId="7093"/>
    <cellStyle name="_Sheet5_Usulan Blending Plan 10 jun (2)_Sheet1" xfId="7094"/>
    <cellStyle name="_Sheet5_Usulan Blending Plan 10 jun (2)_Wadi-Qinfa" xfId="7095"/>
    <cellStyle name="_Sheet5_Usulan Blending Plan 17 jun (2)" xfId="7096"/>
    <cellStyle name="_Sheet5_Usulan Blending Plan 17 jun (2) 2" xfId="7097"/>
    <cellStyle name="_Sheet5_Usulan Blending Plan 17 jun (2) 2_Sheet1" xfId="7098"/>
    <cellStyle name="_Sheet5_Usulan Blending Plan 17 jun (2)_Sheet1" xfId="7099"/>
    <cellStyle name="_Sheet5_Usulan Blending Plan 17 jun (2)_Wadi-Qinfa" xfId="7100"/>
    <cellStyle name="_Sheet5_Usulan blending plan 21_05_08" xfId="7101"/>
    <cellStyle name="_Sheet5_Usulan blending plan 21_05_08 2" xfId="7102"/>
    <cellStyle name="_Sheet5_Usulan blending plan 21_05_08 2_Sheet1" xfId="7103"/>
    <cellStyle name="_Sheet5_Usulan blending plan 21_05_08_Sheet1" xfId="7104"/>
    <cellStyle name="_Sheet5_Usulan blending plan 21_05_08_Wadi-Qinfa" xfId="7105"/>
    <cellStyle name="_Sheet5_Usulan blending PlaN 27-05-08" xfId="7106"/>
    <cellStyle name="_Sheet5_Usulan blending PlaN 27-05-08 2" xfId="7107"/>
    <cellStyle name="_Sheet5_Usulan blending PlaN 27-05-08 2_Sheet1" xfId="7108"/>
    <cellStyle name="_Sheet5_Usulan blending PlaN 27-05-08_Sheet1" xfId="7109"/>
    <cellStyle name="_Sheet5_Usulan blending PlaN 27-05-08_Wadi-Qinfa" xfId="7110"/>
    <cellStyle name="_Sheet5_Usulan Blending Plan_13 Feb 2008_awl" xfId="7111"/>
    <cellStyle name="_Sheet5_Usulan Blending Plan_13 Feb 2008_awl 2" xfId="7112"/>
    <cellStyle name="_Sheet5_Usulan Blending Plan_13 Feb 2008_awl 2_Sheet1" xfId="7113"/>
    <cellStyle name="_Sheet5_Usulan Blending Plan_13 Feb 2008_awl_Sheet1" xfId="7114"/>
    <cellStyle name="_Sheet5_Usulan Blending Plan_13 Feb 2008_awl_Wadi-Qinfa" xfId="7115"/>
    <cellStyle name="_Sheet5_Wadi-Qinfa" xfId="7116"/>
    <cellStyle name="_Sheet6" xfId="7117"/>
    <cellStyle name="_Sheet6 2" xfId="7118"/>
    <cellStyle name="_Sheet6 2_Sheet1" xfId="7119"/>
    <cellStyle name="_Sheet6_01  Usulan Blend Plan BMO_220408 (2)" xfId="7120"/>
    <cellStyle name="_Sheet6_01  Usulan Blend Plan BMO_220408 (2) 2" xfId="7121"/>
    <cellStyle name="_Sheet6_01  Usulan Blend Plan BMO_220408 (2) 2_Sheet1" xfId="7122"/>
    <cellStyle name="_Sheet6_01  Usulan Blend Plan BMO_220408 (2)_Sheet1" xfId="7123"/>
    <cellStyle name="_Sheet6_01  Usulan Blend Plan BMO_220408 (2)_Wadi-Qinfa" xfId="7124"/>
    <cellStyle name="_Sheet6_Production Plan 2008 - up to 15 M MT" xfId="7125"/>
    <cellStyle name="_Sheet6_Production Plan 2008 - up to 15 M MT 2" xfId="7126"/>
    <cellStyle name="_Sheet6_Production Plan 2008 - up to 15 M MT 2_Sheet1" xfId="7127"/>
    <cellStyle name="_Sheet6_Production Plan 2008 - up to 15 M MT_Sheet1" xfId="7128"/>
    <cellStyle name="_Sheet6_Production Plan 2008 - up to 15 M MT_Wadi-Qinfa" xfId="7129"/>
    <cellStyle name="_Sheet6_Sheet1" xfId="7130"/>
    <cellStyle name="_Sheet6_SMO 2007 - 28-Sept-06" xfId="7131"/>
    <cellStyle name="_Sheet6_SMO 2007 - 28-Sept-06 2" xfId="7132"/>
    <cellStyle name="_Sheet6_SMO 2007 - 28-Sept-06 2_Sheet1" xfId="7133"/>
    <cellStyle name="_Sheet6_SMO 2007 - 28-Sept-06_Sheet1" xfId="7134"/>
    <cellStyle name="_Sheet6_SMO 2007 - 28-Sept-06_Wadi-Qinfa" xfId="7135"/>
    <cellStyle name="_Sheet6_SMO 2008 - 02-Okt-07" xfId="7136"/>
    <cellStyle name="_Sheet6_SMO 2008 - 02-Okt-07 2" xfId="7137"/>
    <cellStyle name="_Sheet6_SMO 2008 - 02-Okt-07 2_Sheet1" xfId="7138"/>
    <cellStyle name="_Sheet6_SMO 2008 - 02-Okt-07_Sheet1" xfId="7139"/>
    <cellStyle name="_Sheet6_SMO 2008 - 02-Okt-07_Wadi-Qinfa" xfId="7140"/>
    <cellStyle name="_Sheet6_Stock Status Jul 29, 2008" xfId="7141"/>
    <cellStyle name="_Sheet6_Stock Status Jul 29, 2008 2" xfId="7142"/>
    <cellStyle name="_Sheet6_Stock Status Jul 29, 2008 2_Sheet1" xfId="7143"/>
    <cellStyle name="_Sheet6_Stock Status Jul 29, 2008_Sheet1" xfId="7144"/>
    <cellStyle name="_Sheet6_Stock Status Jul 29, 2008_Wadi-Qinfa" xfId="7145"/>
    <cellStyle name="_Sheet6_Usulan Blend Plan BMO 11-03-08" xfId="7146"/>
    <cellStyle name="_Sheet6_Usulan Blend Plan BMO 11-03-08 2" xfId="7147"/>
    <cellStyle name="_Sheet6_Usulan Blend Plan BMO 11-03-08 2_Sheet1" xfId="7148"/>
    <cellStyle name="_Sheet6_Usulan Blend Plan BMO 11-03-08_Sheet1" xfId="7149"/>
    <cellStyle name="_Sheet6_Usulan Blend Plan BMO 11-03-08_Wadi-Qinfa" xfId="7150"/>
    <cellStyle name="_Sheet6_Usulan Blend Plan BMO 25-03-08" xfId="7151"/>
    <cellStyle name="_Sheet6_Usulan Blend Plan BMO 25-03-08 2" xfId="7152"/>
    <cellStyle name="_Sheet6_Usulan Blend Plan BMO 25-03-08 2_Sheet1" xfId="7153"/>
    <cellStyle name="_Sheet6_Usulan Blend Plan BMO 25-03-08_Sheet1" xfId="7154"/>
    <cellStyle name="_Sheet6_Usulan Blend Plan BMO 25-03-08_Wadi-Qinfa" xfId="7155"/>
    <cellStyle name="_Sheet6_Usulan Blending 27 Mei 2008" xfId="7156"/>
    <cellStyle name="_Sheet6_Usulan Blending 27 Mei 2008 2" xfId="7157"/>
    <cellStyle name="_Sheet6_Usulan Blending 27 Mei 2008 2_Sheet1" xfId="7158"/>
    <cellStyle name="_Sheet6_Usulan Blending 27 Mei 2008_Sheet1" xfId="7159"/>
    <cellStyle name="_Sheet6_Usulan Blending 27 Mei 2008_Wadi-Qinfa" xfId="7160"/>
    <cellStyle name="_Sheet6_Usulan Blending Plan 10 jun (2)" xfId="7161"/>
    <cellStyle name="_Sheet6_Usulan Blending Plan 10 jun (2) 2" xfId="7162"/>
    <cellStyle name="_Sheet6_Usulan Blending Plan 10 jun (2) 2_Sheet1" xfId="7163"/>
    <cellStyle name="_Sheet6_Usulan Blending Plan 10 jun (2)_Sheet1" xfId="7164"/>
    <cellStyle name="_Sheet6_Usulan Blending Plan 10 jun (2)_Wadi-Qinfa" xfId="7165"/>
    <cellStyle name="_Sheet6_Usulan Blending Plan 17 jun (2)" xfId="7166"/>
    <cellStyle name="_Sheet6_Usulan Blending Plan 17 jun (2) 2" xfId="7167"/>
    <cellStyle name="_Sheet6_Usulan Blending Plan 17 jun (2) 2_Sheet1" xfId="7168"/>
    <cellStyle name="_Sheet6_Usulan Blending Plan 17 jun (2)_Sheet1" xfId="7169"/>
    <cellStyle name="_Sheet6_Usulan Blending Plan 17 jun (2)_Wadi-Qinfa" xfId="7170"/>
    <cellStyle name="_Sheet6_Usulan blending plan 21_05_08" xfId="7171"/>
    <cellStyle name="_Sheet6_Usulan blending plan 21_05_08 2" xfId="7172"/>
    <cellStyle name="_Sheet6_Usulan blending plan 21_05_08 2_Sheet1" xfId="7173"/>
    <cellStyle name="_Sheet6_Usulan blending plan 21_05_08_Sheet1" xfId="7174"/>
    <cellStyle name="_Sheet6_Usulan blending plan 21_05_08_Wadi-Qinfa" xfId="7175"/>
    <cellStyle name="_Sheet6_Usulan blending PlaN 27-05-08" xfId="7176"/>
    <cellStyle name="_Sheet6_Usulan blending PlaN 27-05-08 2" xfId="7177"/>
    <cellStyle name="_Sheet6_Usulan blending PlaN 27-05-08 2_Sheet1" xfId="7178"/>
    <cellStyle name="_Sheet6_Usulan blending PlaN 27-05-08_Sheet1" xfId="7179"/>
    <cellStyle name="_Sheet6_Usulan blending PlaN 27-05-08_Wadi-Qinfa" xfId="7180"/>
    <cellStyle name="_Sheet6_Usulan Blending Plan_13 Feb 2008_awl" xfId="7181"/>
    <cellStyle name="_Sheet6_Usulan Blending Plan_13 Feb 2008_awl 2" xfId="7182"/>
    <cellStyle name="_Sheet6_Usulan Blending Plan_13 Feb 2008_awl 2_Sheet1" xfId="7183"/>
    <cellStyle name="_Sheet6_Usulan Blending Plan_13 Feb 2008_awl_Sheet1" xfId="7184"/>
    <cellStyle name="_Sheet6_Usulan Blending Plan_13 Feb 2008_awl_Wadi-Qinfa" xfId="7185"/>
    <cellStyle name="_Sheet6_Wadi-Qinfa" xfId="7186"/>
    <cellStyle name="_Sheet7" xfId="7187"/>
    <cellStyle name="_Sheet7 2" xfId="7188"/>
    <cellStyle name="_Sheet7 2_Sheet1" xfId="7189"/>
    <cellStyle name="_Sheet7_01  Usulan Blend Plan BMO_220408 (2)" xfId="7190"/>
    <cellStyle name="_Sheet7_01  Usulan Blend Plan BMO_220408 (2) 2" xfId="7191"/>
    <cellStyle name="_Sheet7_01  Usulan Blend Plan BMO_220408 (2) 2_Sheet1" xfId="7192"/>
    <cellStyle name="_Sheet7_01  Usulan Blend Plan BMO_220408 (2)_Sheet1" xfId="7193"/>
    <cellStyle name="_Sheet7_01  Usulan Blend Plan BMO_220408 (2)_Wadi-Qinfa" xfId="7194"/>
    <cellStyle name="_Sheet7_Production Plan 2008 - up to 15 M MT" xfId="7195"/>
    <cellStyle name="_Sheet7_Production Plan 2008 - up to 15 M MT 2" xfId="7196"/>
    <cellStyle name="_Sheet7_Production Plan 2008 - up to 15 M MT 2_Sheet1" xfId="7197"/>
    <cellStyle name="_Sheet7_Production Plan 2008 - up to 15 M MT_Sheet1" xfId="7198"/>
    <cellStyle name="_Sheet7_Production Plan 2008 - up to 15 M MT_Wadi-Qinfa" xfId="7199"/>
    <cellStyle name="_Sheet7_Sheet1" xfId="7200"/>
    <cellStyle name="_Sheet7_SMO 2007 - 28-Sept-06" xfId="7201"/>
    <cellStyle name="_Sheet7_SMO 2007 - 28-Sept-06 2" xfId="7202"/>
    <cellStyle name="_Sheet7_SMO 2007 - 28-Sept-06 2_Sheet1" xfId="7203"/>
    <cellStyle name="_Sheet7_SMO 2007 - 28-Sept-06_Sheet1" xfId="7204"/>
    <cellStyle name="_Sheet7_SMO 2007 - 28-Sept-06_Wadi-Qinfa" xfId="7205"/>
    <cellStyle name="_Sheet7_SMO 2008 - 02-Okt-07" xfId="7206"/>
    <cellStyle name="_Sheet7_SMO 2008 - 02-Okt-07 2" xfId="7207"/>
    <cellStyle name="_Sheet7_SMO 2008 - 02-Okt-07 2_Sheet1" xfId="7208"/>
    <cellStyle name="_Sheet7_SMO 2008 - 02-Okt-07_Sheet1" xfId="7209"/>
    <cellStyle name="_Sheet7_SMO 2008 - 02-Okt-07_Wadi-Qinfa" xfId="7210"/>
    <cellStyle name="_Sheet7_Stock Status Jul 29, 2008" xfId="7211"/>
    <cellStyle name="_Sheet7_Stock Status Jul 29, 2008 2" xfId="7212"/>
    <cellStyle name="_Sheet7_Stock Status Jul 29, 2008 2_Sheet1" xfId="7213"/>
    <cellStyle name="_Sheet7_Stock Status Jul 29, 2008_Sheet1" xfId="7214"/>
    <cellStyle name="_Sheet7_Stock Status Jul 29, 2008_Wadi-Qinfa" xfId="7215"/>
    <cellStyle name="_Sheet7_Usulan Blend Plan BMO 11-03-08" xfId="7216"/>
    <cellStyle name="_Sheet7_Usulan Blend Plan BMO 11-03-08 2" xfId="7217"/>
    <cellStyle name="_Sheet7_Usulan Blend Plan BMO 11-03-08 2_Sheet1" xfId="7218"/>
    <cellStyle name="_Sheet7_Usulan Blend Plan BMO 11-03-08_Sheet1" xfId="7219"/>
    <cellStyle name="_Sheet7_Usulan Blend Plan BMO 11-03-08_Wadi-Qinfa" xfId="7220"/>
    <cellStyle name="_Sheet7_Usulan Blend Plan BMO 25-03-08" xfId="7221"/>
    <cellStyle name="_Sheet7_Usulan Blend Plan BMO 25-03-08 2" xfId="7222"/>
    <cellStyle name="_Sheet7_Usulan Blend Plan BMO 25-03-08 2_Sheet1" xfId="7223"/>
    <cellStyle name="_Sheet7_Usulan Blend Plan BMO 25-03-08_Sheet1" xfId="7224"/>
    <cellStyle name="_Sheet7_Usulan Blend Plan BMO 25-03-08_Wadi-Qinfa" xfId="7225"/>
    <cellStyle name="_Sheet7_Usulan Blending 27 Mei 2008" xfId="7226"/>
    <cellStyle name="_Sheet7_Usulan Blending 27 Mei 2008 2" xfId="7227"/>
    <cellStyle name="_Sheet7_Usulan Blending 27 Mei 2008 2_Sheet1" xfId="7228"/>
    <cellStyle name="_Sheet7_Usulan Blending 27 Mei 2008_Sheet1" xfId="7229"/>
    <cellStyle name="_Sheet7_Usulan Blending 27 Mei 2008_Wadi-Qinfa" xfId="7230"/>
    <cellStyle name="_Sheet7_Usulan Blending Plan 10 jun (2)" xfId="7231"/>
    <cellStyle name="_Sheet7_Usulan Blending Plan 10 jun (2) 2" xfId="7232"/>
    <cellStyle name="_Sheet7_Usulan Blending Plan 10 jun (2) 2_Sheet1" xfId="7233"/>
    <cellStyle name="_Sheet7_Usulan Blending Plan 10 jun (2)_Sheet1" xfId="7234"/>
    <cellStyle name="_Sheet7_Usulan Blending Plan 10 jun (2)_Wadi-Qinfa" xfId="7235"/>
    <cellStyle name="_Sheet7_Usulan Blending Plan 17 jun (2)" xfId="7236"/>
    <cellStyle name="_Sheet7_Usulan Blending Plan 17 jun (2) 2" xfId="7237"/>
    <cellStyle name="_Sheet7_Usulan Blending Plan 17 jun (2) 2_Sheet1" xfId="7238"/>
    <cellStyle name="_Sheet7_Usulan Blending Plan 17 jun (2)_Sheet1" xfId="7239"/>
    <cellStyle name="_Sheet7_Usulan Blending Plan 17 jun (2)_Wadi-Qinfa" xfId="7240"/>
    <cellStyle name="_Sheet7_Usulan blending plan 21_05_08" xfId="7241"/>
    <cellStyle name="_Sheet7_Usulan blending plan 21_05_08 2" xfId="7242"/>
    <cellStyle name="_Sheet7_Usulan blending plan 21_05_08 2_Sheet1" xfId="7243"/>
    <cellStyle name="_Sheet7_Usulan blending plan 21_05_08_Sheet1" xfId="7244"/>
    <cellStyle name="_Sheet7_Usulan blending plan 21_05_08_Wadi-Qinfa" xfId="7245"/>
    <cellStyle name="_Sheet7_Usulan blending PlaN 27-05-08" xfId="7246"/>
    <cellStyle name="_Sheet7_Usulan blending PlaN 27-05-08 2" xfId="7247"/>
    <cellStyle name="_Sheet7_Usulan blending PlaN 27-05-08 2_Sheet1" xfId="7248"/>
    <cellStyle name="_Sheet7_Usulan blending PlaN 27-05-08_Sheet1" xfId="7249"/>
    <cellStyle name="_Sheet7_Usulan blending PlaN 27-05-08_Wadi-Qinfa" xfId="7250"/>
    <cellStyle name="_Sheet7_Usulan Blending Plan_13 Feb 2008_awl" xfId="7251"/>
    <cellStyle name="_Sheet7_Usulan Blending Plan_13 Feb 2008_awl 2" xfId="7252"/>
    <cellStyle name="_Sheet7_Usulan Blending Plan_13 Feb 2008_awl 2_Sheet1" xfId="7253"/>
    <cellStyle name="_Sheet7_Usulan Blending Plan_13 Feb 2008_awl_Sheet1" xfId="7254"/>
    <cellStyle name="_Sheet7_Usulan Blending Plan_13 Feb 2008_awl_Wadi-Qinfa" xfId="7255"/>
    <cellStyle name="_Sheet7_Wadi-Qinfa" xfId="7256"/>
    <cellStyle name="_Sheet8" xfId="7257"/>
    <cellStyle name="_Sheet8 2" xfId="7258"/>
    <cellStyle name="_Sheet8 2_Sheet1" xfId="7259"/>
    <cellStyle name="_Sheet8_01  Usulan Blend Plan BMO_220408 (2)" xfId="7260"/>
    <cellStyle name="_Sheet8_01  Usulan Blend Plan BMO_220408 (2) 2" xfId="7261"/>
    <cellStyle name="_Sheet8_01  Usulan Blend Plan BMO_220408 (2) 2_Sheet1" xfId="7262"/>
    <cellStyle name="_Sheet8_01  Usulan Blend Plan BMO_220408 (2)_Sheet1" xfId="7263"/>
    <cellStyle name="_Sheet8_01  Usulan Blend Plan BMO_220408 (2)_Wadi-Qinfa" xfId="7264"/>
    <cellStyle name="_Sheet8_Production Plan 2008 - up to 15 M MT" xfId="7265"/>
    <cellStyle name="_Sheet8_Production Plan 2008 - up to 15 M MT 2" xfId="7266"/>
    <cellStyle name="_Sheet8_Production Plan 2008 - up to 15 M MT 2_Sheet1" xfId="7267"/>
    <cellStyle name="_Sheet8_Production Plan 2008 - up to 15 M MT_Sheet1" xfId="7268"/>
    <cellStyle name="_Sheet8_Production Plan 2008 - up to 15 M MT_Wadi-Qinfa" xfId="7269"/>
    <cellStyle name="_Sheet8_Sheet1" xfId="7270"/>
    <cellStyle name="_Sheet8_SMO 2007 - 28-Sept-06" xfId="7271"/>
    <cellStyle name="_Sheet8_SMO 2007 - 28-Sept-06 2" xfId="7272"/>
    <cellStyle name="_Sheet8_SMO 2007 - 28-Sept-06 2_Sheet1" xfId="7273"/>
    <cellStyle name="_Sheet8_SMO 2007 - 28-Sept-06_Sheet1" xfId="7274"/>
    <cellStyle name="_Sheet8_SMO 2007 - 28-Sept-06_Wadi-Qinfa" xfId="7275"/>
    <cellStyle name="_Sheet8_SMO 2008 - 02-Okt-07" xfId="7276"/>
    <cellStyle name="_Sheet8_SMO 2008 - 02-Okt-07 2" xfId="7277"/>
    <cellStyle name="_Sheet8_SMO 2008 - 02-Okt-07 2_Sheet1" xfId="7278"/>
    <cellStyle name="_Sheet8_SMO 2008 - 02-Okt-07_Sheet1" xfId="7279"/>
    <cellStyle name="_Sheet8_SMO 2008 - 02-Okt-07_Wadi-Qinfa" xfId="7280"/>
    <cellStyle name="_Sheet8_Stock Status Jul 29, 2008" xfId="7281"/>
    <cellStyle name="_Sheet8_Stock Status Jul 29, 2008 2" xfId="7282"/>
    <cellStyle name="_Sheet8_Stock Status Jul 29, 2008 2_Sheet1" xfId="7283"/>
    <cellStyle name="_Sheet8_Stock Status Jul 29, 2008_Sheet1" xfId="7284"/>
    <cellStyle name="_Sheet8_Stock Status Jul 29, 2008_Wadi-Qinfa" xfId="7285"/>
    <cellStyle name="_Sheet8_Usulan Blend Plan BMO 11-03-08" xfId="7286"/>
    <cellStyle name="_Sheet8_Usulan Blend Plan BMO 11-03-08 2" xfId="7287"/>
    <cellStyle name="_Sheet8_Usulan Blend Plan BMO 11-03-08 2_Sheet1" xfId="7288"/>
    <cellStyle name="_Sheet8_Usulan Blend Plan BMO 11-03-08_Sheet1" xfId="7289"/>
    <cellStyle name="_Sheet8_Usulan Blend Plan BMO 11-03-08_Wadi-Qinfa" xfId="7290"/>
    <cellStyle name="_Sheet8_Usulan Blend Plan BMO 25-03-08" xfId="7291"/>
    <cellStyle name="_Sheet8_Usulan Blend Plan BMO 25-03-08 2" xfId="7292"/>
    <cellStyle name="_Sheet8_Usulan Blend Plan BMO 25-03-08 2_Sheet1" xfId="7293"/>
    <cellStyle name="_Sheet8_Usulan Blend Plan BMO 25-03-08_Sheet1" xfId="7294"/>
    <cellStyle name="_Sheet8_Usulan Blend Plan BMO 25-03-08_Wadi-Qinfa" xfId="7295"/>
    <cellStyle name="_Sheet8_Usulan Blending 27 Mei 2008" xfId="7296"/>
    <cellStyle name="_Sheet8_Usulan Blending 27 Mei 2008 2" xfId="7297"/>
    <cellStyle name="_Sheet8_Usulan Blending 27 Mei 2008 2_Sheet1" xfId="7298"/>
    <cellStyle name="_Sheet8_Usulan Blending 27 Mei 2008_Sheet1" xfId="7299"/>
    <cellStyle name="_Sheet8_Usulan Blending 27 Mei 2008_Wadi-Qinfa" xfId="7300"/>
    <cellStyle name="_Sheet8_Usulan Blending Plan 10 jun (2)" xfId="7301"/>
    <cellStyle name="_Sheet8_Usulan Blending Plan 10 jun (2) 2" xfId="7302"/>
    <cellStyle name="_Sheet8_Usulan Blending Plan 10 jun (2) 2_Sheet1" xfId="7303"/>
    <cellStyle name="_Sheet8_Usulan Blending Plan 10 jun (2)_Sheet1" xfId="7304"/>
    <cellStyle name="_Sheet8_Usulan Blending Plan 10 jun (2)_Wadi-Qinfa" xfId="7305"/>
    <cellStyle name="_Sheet8_Usulan Blending Plan 17 jun (2)" xfId="7306"/>
    <cellStyle name="_Sheet8_Usulan Blending Plan 17 jun (2) 2" xfId="7307"/>
    <cellStyle name="_Sheet8_Usulan Blending Plan 17 jun (2) 2_Sheet1" xfId="7308"/>
    <cellStyle name="_Sheet8_Usulan Blending Plan 17 jun (2)_Sheet1" xfId="7309"/>
    <cellStyle name="_Sheet8_Usulan Blending Plan 17 jun (2)_Wadi-Qinfa" xfId="7310"/>
    <cellStyle name="_Sheet8_Usulan blending plan 21_05_08" xfId="7311"/>
    <cellStyle name="_Sheet8_Usulan blending plan 21_05_08 2" xfId="7312"/>
    <cellStyle name="_Sheet8_Usulan blending plan 21_05_08 2_Sheet1" xfId="7313"/>
    <cellStyle name="_Sheet8_Usulan blending plan 21_05_08_Sheet1" xfId="7314"/>
    <cellStyle name="_Sheet8_Usulan blending plan 21_05_08_Wadi-Qinfa" xfId="7315"/>
    <cellStyle name="_Sheet8_Usulan blending PlaN 27-05-08" xfId="7316"/>
    <cellStyle name="_Sheet8_Usulan blending PlaN 27-05-08 2" xfId="7317"/>
    <cellStyle name="_Sheet8_Usulan blending PlaN 27-05-08 2_Sheet1" xfId="7318"/>
    <cellStyle name="_Sheet8_Usulan blending PlaN 27-05-08_Sheet1" xfId="7319"/>
    <cellStyle name="_Sheet8_Usulan blending PlaN 27-05-08_Wadi-Qinfa" xfId="7320"/>
    <cellStyle name="_Sheet8_Usulan Blending Plan_13 Feb 2008_awl" xfId="7321"/>
    <cellStyle name="_Sheet8_Usulan Blending Plan_13 Feb 2008_awl 2" xfId="7322"/>
    <cellStyle name="_Sheet8_Usulan Blending Plan_13 Feb 2008_awl 2_Sheet1" xfId="7323"/>
    <cellStyle name="_Sheet8_Usulan Blending Plan_13 Feb 2008_awl_Sheet1" xfId="7324"/>
    <cellStyle name="_Sheet8_Usulan Blending Plan_13 Feb 2008_awl_Wadi-Qinfa" xfId="7325"/>
    <cellStyle name="_Sheet8_Wadi-Qinfa" xfId="7326"/>
    <cellStyle name="_Sheet9" xfId="7327"/>
    <cellStyle name="_Sheet9 2" xfId="7328"/>
    <cellStyle name="_Sheet9 2_Sheet1" xfId="7329"/>
    <cellStyle name="_Sheet9_01  Usulan Blend Plan BMO_220408 (2)" xfId="7330"/>
    <cellStyle name="_Sheet9_01  Usulan Blend Plan BMO_220408 (2) 2" xfId="7331"/>
    <cellStyle name="_Sheet9_01  Usulan Blend Plan BMO_220408 (2) 2_Sheet1" xfId="7332"/>
    <cellStyle name="_Sheet9_01  Usulan Blend Plan BMO_220408 (2)_Sheet1" xfId="7333"/>
    <cellStyle name="_Sheet9_01  Usulan Blend Plan BMO_220408 (2)_Wadi-Qinfa" xfId="7334"/>
    <cellStyle name="_Sheet9_Production Plan 2008 - up to 15 M MT" xfId="7335"/>
    <cellStyle name="_Sheet9_Production Plan 2008 - up to 15 M MT 2" xfId="7336"/>
    <cellStyle name="_Sheet9_Production Plan 2008 - up to 15 M MT 2_Sheet1" xfId="7337"/>
    <cellStyle name="_Sheet9_Production Plan 2008 - up to 15 M MT_Sheet1" xfId="7338"/>
    <cellStyle name="_Sheet9_Production Plan 2008 - up to 15 M MT_Wadi-Qinfa" xfId="7339"/>
    <cellStyle name="_Sheet9_Sheet1" xfId="7340"/>
    <cellStyle name="_Sheet9_SMO 2007 - 28-Sept-06" xfId="7341"/>
    <cellStyle name="_Sheet9_SMO 2007 - 28-Sept-06 2" xfId="7342"/>
    <cellStyle name="_Sheet9_SMO 2007 - 28-Sept-06 2_Sheet1" xfId="7343"/>
    <cellStyle name="_Sheet9_SMO 2007 - 28-Sept-06_Sheet1" xfId="7344"/>
    <cellStyle name="_Sheet9_SMO 2007 - 28-Sept-06_Wadi-Qinfa" xfId="7345"/>
    <cellStyle name="_Sheet9_SMO 2008 - 02-Okt-07" xfId="7346"/>
    <cellStyle name="_Sheet9_SMO 2008 - 02-Okt-07 2" xfId="7347"/>
    <cellStyle name="_Sheet9_SMO 2008 - 02-Okt-07 2_Sheet1" xfId="7348"/>
    <cellStyle name="_Sheet9_SMO 2008 - 02-Okt-07_Sheet1" xfId="7349"/>
    <cellStyle name="_Sheet9_SMO 2008 - 02-Okt-07_Wadi-Qinfa" xfId="7350"/>
    <cellStyle name="_Sheet9_Stock Status Jul 29, 2008" xfId="7351"/>
    <cellStyle name="_Sheet9_Stock Status Jul 29, 2008 2" xfId="7352"/>
    <cellStyle name="_Sheet9_Stock Status Jul 29, 2008 2_Sheet1" xfId="7353"/>
    <cellStyle name="_Sheet9_Stock Status Jul 29, 2008_Sheet1" xfId="7354"/>
    <cellStyle name="_Sheet9_Stock Status Jul 29, 2008_Wadi-Qinfa" xfId="7355"/>
    <cellStyle name="_Sheet9_Usulan Blend Plan BMO 11-03-08" xfId="7356"/>
    <cellStyle name="_Sheet9_Usulan Blend Plan BMO 11-03-08 2" xfId="7357"/>
    <cellStyle name="_Sheet9_Usulan Blend Plan BMO 11-03-08 2_Sheet1" xfId="7358"/>
    <cellStyle name="_Sheet9_Usulan Blend Plan BMO 11-03-08_Sheet1" xfId="7359"/>
    <cellStyle name="_Sheet9_Usulan Blend Plan BMO 11-03-08_Wadi-Qinfa" xfId="7360"/>
    <cellStyle name="_Sheet9_Usulan Blend Plan BMO 25-03-08" xfId="7361"/>
    <cellStyle name="_Sheet9_Usulan Blend Plan BMO 25-03-08 2" xfId="7362"/>
    <cellStyle name="_Sheet9_Usulan Blend Plan BMO 25-03-08 2_Sheet1" xfId="7363"/>
    <cellStyle name="_Sheet9_Usulan Blend Plan BMO 25-03-08_Sheet1" xfId="7364"/>
    <cellStyle name="_Sheet9_Usulan Blend Plan BMO 25-03-08_Wadi-Qinfa" xfId="7365"/>
    <cellStyle name="_Sheet9_Usulan Blending 27 Mei 2008" xfId="7366"/>
    <cellStyle name="_Sheet9_Usulan Blending 27 Mei 2008 2" xfId="7367"/>
    <cellStyle name="_Sheet9_Usulan Blending 27 Mei 2008 2_Sheet1" xfId="7368"/>
    <cellStyle name="_Sheet9_Usulan Blending 27 Mei 2008_Sheet1" xfId="7369"/>
    <cellStyle name="_Sheet9_Usulan Blending 27 Mei 2008_Wadi-Qinfa" xfId="7370"/>
    <cellStyle name="_Sheet9_Usulan Blending Plan 10 jun (2)" xfId="7371"/>
    <cellStyle name="_Sheet9_Usulan Blending Plan 10 jun (2) 2" xfId="7372"/>
    <cellStyle name="_Sheet9_Usulan Blending Plan 10 jun (2) 2_Sheet1" xfId="7373"/>
    <cellStyle name="_Sheet9_Usulan Blending Plan 10 jun (2)_Sheet1" xfId="7374"/>
    <cellStyle name="_Sheet9_Usulan Blending Plan 10 jun (2)_Wadi-Qinfa" xfId="7375"/>
    <cellStyle name="_Sheet9_Usulan Blending Plan 17 jun (2)" xfId="7376"/>
    <cellStyle name="_Sheet9_Usulan Blending Plan 17 jun (2) 2" xfId="7377"/>
    <cellStyle name="_Sheet9_Usulan Blending Plan 17 jun (2) 2_Sheet1" xfId="7378"/>
    <cellStyle name="_Sheet9_Usulan Blending Plan 17 jun (2)_Sheet1" xfId="7379"/>
    <cellStyle name="_Sheet9_Usulan Blending Plan 17 jun (2)_Wadi-Qinfa" xfId="7380"/>
    <cellStyle name="_Sheet9_Usulan blending plan 21_05_08" xfId="7381"/>
    <cellStyle name="_Sheet9_Usulan blending plan 21_05_08 2" xfId="7382"/>
    <cellStyle name="_Sheet9_Usulan blending plan 21_05_08 2_Sheet1" xfId="7383"/>
    <cellStyle name="_Sheet9_Usulan blending plan 21_05_08_Sheet1" xfId="7384"/>
    <cellStyle name="_Sheet9_Usulan blending plan 21_05_08_Wadi-Qinfa" xfId="7385"/>
    <cellStyle name="_Sheet9_Usulan blending PlaN 27-05-08" xfId="7386"/>
    <cellStyle name="_Sheet9_Usulan blending PlaN 27-05-08 2" xfId="7387"/>
    <cellStyle name="_Sheet9_Usulan blending PlaN 27-05-08 2_Sheet1" xfId="7388"/>
    <cellStyle name="_Sheet9_Usulan blending PlaN 27-05-08_Sheet1" xfId="7389"/>
    <cellStyle name="_Sheet9_Usulan blending PlaN 27-05-08_Wadi-Qinfa" xfId="7390"/>
    <cellStyle name="_Sheet9_Usulan Blending Plan_13 Feb 2008_awl" xfId="7391"/>
    <cellStyle name="_Sheet9_Usulan Blending Plan_13 Feb 2008_awl 2" xfId="7392"/>
    <cellStyle name="_Sheet9_Usulan Blending Plan_13 Feb 2008_awl 2_Sheet1" xfId="7393"/>
    <cellStyle name="_Sheet9_Usulan Blending Plan_13 Feb 2008_awl_Sheet1" xfId="7394"/>
    <cellStyle name="_Sheet9_Usulan Blending Plan_13 Feb 2008_awl_Wadi-Qinfa" xfId="7395"/>
    <cellStyle name="_Sheet9_Wadi-Qinfa" xfId="7396"/>
    <cellStyle name="_shipment august 2005." xfId="7397"/>
    <cellStyle name="_shipment august 2005. 2" xfId="7398"/>
    <cellStyle name="_shipment august 2005. 2_Sheet1" xfId="7399"/>
    <cellStyle name="_shipment august 2005._01  Usulan Blend Plan BMO_220408 (2)" xfId="7400"/>
    <cellStyle name="_shipment august 2005._01  Usulan Blend Plan BMO_220408 (2) 2" xfId="7401"/>
    <cellStyle name="_shipment august 2005._01  Usulan Blend Plan BMO_220408 (2) 2_Sheet1" xfId="7402"/>
    <cellStyle name="_shipment august 2005._01  Usulan Blend Plan BMO_220408 (2)_Sheet1" xfId="7403"/>
    <cellStyle name="_shipment august 2005._01  Usulan Blend Plan BMO_220408 (2)_Wadi-Qinfa" xfId="7404"/>
    <cellStyle name="_shipment august 2005._Sheet1" xfId="7405"/>
    <cellStyle name="_shipment august 2005._Stock Status Jul 29, 2008" xfId="7406"/>
    <cellStyle name="_shipment august 2005._Stock Status Jul 29, 2008 2" xfId="7407"/>
    <cellStyle name="_shipment august 2005._Stock Status Jul 29, 2008 2_Sheet1" xfId="7408"/>
    <cellStyle name="_shipment august 2005._Stock Status Jul 29, 2008_Sheet1" xfId="7409"/>
    <cellStyle name="_shipment august 2005._Stock Status Jul 29, 2008_Wadi-Qinfa" xfId="7410"/>
    <cellStyle name="_shipment august 2005._Usulan Blend Plan BMO 11-03-08" xfId="7411"/>
    <cellStyle name="_shipment august 2005._Usulan Blend Plan BMO 11-03-08 2" xfId="7412"/>
    <cellStyle name="_shipment august 2005._Usulan Blend Plan BMO 11-03-08 2_Sheet1" xfId="7413"/>
    <cellStyle name="_shipment august 2005._Usulan Blend Plan BMO 11-03-08_Sheet1" xfId="7414"/>
    <cellStyle name="_shipment august 2005._Usulan Blend Plan BMO 11-03-08_Wadi-Qinfa" xfId="7415"/>
    <cellStyle name="_shipment august 2005._Usulan Blend Plan BMO 25-03-08" xfId="7416"/>
    <cellStyle name="_shipment august 2005._Usulan Blend Plan BMO 25-03-08 2" xfId="7417"/>
    <cellStyle name="_shipment august 2005._Usulan Blend Plan BMO 25-03-08 2_Sheet1" xfId="7418"/>
    <cellStyle name="_shipment august 2005._Usulan Blend Plan BMO 25-03-08_Sheet1" xfId="7419"/>
    <cellStyle name="_shipment august 2005._Usulan Blend Plan BMO 25-03-08_Wadi-Qinfa" xfId="7420"/>
    <cellStyle name="_shipment august 2005._Usulan Blending 27 Mei 2008" xfId="7421"/>
    <cellStyle name="_shipment august 2005._Usulan Blending 27 Mei 2008 2" xfId="7422"/>
    <cellStyle name="_shipment august 2005._Usulan Blending 27 Mei 2008 2_Sheet1" xfId="7423"/>
    <cellStyle name="_shipment august 2005._Usulan Blending 27 Mei 2008_Sheet1" xfId="7424"/>
    <cellStyle name="_shipment august 2005._Usulan Blending 27 Mei 2008_Wadi-Qinfa" xfId="7425"/>
    <cellStyle name="_shipment august 2005._Usulan Blending Plan 10 jun (2)" xfId="7426"/>
    <cellStyle name="_shipment august 2005._Usulan Blending Plan 10 jun (2) 2" xfId="7427"/>
    <cellStyle name="_shipment august 2005._Usulan Blending Plan 10 jun (2) 2_Sheet1" xfId="7428"/>
    <cellStyle name="_shipment august 2005._Usulan Blending Plan 10 jun (2)_Sheet1" xfId="7429"/>
    <cellStyle name="_shipment august 2005._Usulan Blending Plan 10 jun (2)_Wadi-Qinfa" xfId="7430"/>
    <cellStyle name="_shipment august 2005._Usulan Blending Plan 17 jun (2)" xfId="7431"/>
    <cellStyle name="_shipment august 2005._Usulan Blending Plan 17 jun (2) 2" xfId="7432"/>
    <cellStyle name="_shipment august 2005._Usulan Blending Plan 17 jun (2) 2_Sheet1" xfId="7433"/>
    <cellStyle name="_shipment august 2005._Usulan Blending Plan 17 jun (2)_Sheet1" xfId="7434"/>
    <cellStyle name="_shipment august 2005._Usulan Blending Plan 17 jun (2)_Wadi-Qinfa" xfId="7435"/>
    <cellStyle name="_shipment august 2005._Usulan blending plan 21_05_08" xfId="7436"/>
    <cellStyle name="_shipment august 2005._Usulan blending plan 21_05_08 2" xfId="7437"/>
    <cellStyle name="_shipment august 2005._Usulan blending plan 21_05_08 2_Sheet1" xfId="7438"/>
    <cellStyle name="_shipment august 2005._Usulan blending plan 21_05_08_Sheet1" xfId="7439"/>
    <cellStyle name="_shipment august 2005._Usulan blending plan 21_05_08_Wadi-Qinfa" xfId="7440"/>
    <cellStyle name="_shipment august 2005._Usulan blending PlaN 27-05-08" xfId="7441"/>
    <cellStyle name="_shipment august 2005._Usulan blending PlaN 27-05-08 2" xfId="7442"/>
    <cellStyle name="_shipment august 2005._Usulan blending PlaN 27-05-08 2_Sheet1" xfId="7443"/>
    <cellStyle name="_shipment august 2005._Usulan blending PlaN 27-05-08_Sheet1" xfId="7444"/>
    <cellStyle name="_shipment august 2005._Usulan blending PlaN 27-05-08_Wadi-Qinfa" xfId="7445"/>
    <cellStyle name="_shipment august 2005._Usulan Blending Plan_13 Feb 2008_awl" xfId="7446"/>
    <cellStyle name="_shipment august 2005._Usulan Blending Plan_13 Feb 2008_awl 2" xfId="7447"/>
    <cellStyle name="_shipment august 2005._Usulan Blending Plan_13 Feb 2008_awl 2_Sheet1" xfId="7448"/>
    <cellStyle name="_shipment august 2005._Usulan Blending Plan_13 Feb 2008_awl_Sheet1" xfId="7449"/>
    <cellStyle name="_shipment august 2005._Usulan Blending Plan_13 Feb 2008_awl_Wadi-Qinfa" xfId="7450"/>
    <cellStyle name="_shipment august 2005._Wadi-Qinfa" xfId="7451"/>
    <cellStyle name="_Shipment year Feb 24 2006" xfId="7452"/>
    <cellStyle name="_Shipment year Feb 24 2006 2" xfId="7453"/>
    <cellStyle name="_Shipment year Feb 24 2006 2_Sheet1" xfId="7454"/>
    <cellStyle name="_Shipment year Feb 24 2006_01  Usulan Blend Plan BMO_220408 (2)" xfId="7455"/>
    <cellStyle name="_Shipment year Feb 24 2006_01  Usulan Blend Plan BMO_220408 (2) 2" xfId="7456"/>
    <cellStyle name="_Shipment year Feb 24 2006_01  Usulan Blend Plan BMO_220408 (2) 2_Sheet1" xfId="7457"/>
    <cellStyle name="_Shipment year Feb 24 2006_01  Usulan Blend Plan BMO_220408 (2)_Sheet1" xfId="7458"/>
    <cellStyle name="_Shipment year Feb 24 2006_01  Usulan Blend Plan BMO_220408 (2)_Wadi-Qinfa" xfId="7459"/>
    <cellStyle name="_Shipment year Feb 24 2006_Sheet1" xfId="7460"/>
    <cellStyle name="_Shipment year Feb 24 2006_Stock Status Jul 29, 2008" xfId="7461"/>
    <cellStyle name="_Shipment year Feb 24 2006_Stock Status Jul 29, 2008 2" xfId="7462"/>
    <cellStyle name="_Shipment year Feb 24 2006_Stock Status Jul 29, 2008 2_Sheet1" xfId="7463"/>
    <cellStyle name="_Shipment year Feb 24 2006_Stock Status Jul 29, 2008_Sheet1" xfId="7464"/>
    <cellStyle name="_Shipment year Feb 24 2006_Stock Status Jul 29, 2008_Wadi-Qinfa" xfId="7465"/>
    <cellStyle name="_Shipment year Feb 24 2006_Usulan Blend Plan BMO 11-03-08" xfId="7466"/>
    <cellStyle name="_Shipment year Feb 24 2006_Usulan Blend Plan BMO 11-03-08 2" xfId="7467"/>
    <cellStyle name="_Shipment year Feb 24 2006_Usulan Blend Plan BMO 11-03-08 2_Sheet1" xfId="7468"/>
    <cellStyle name="_Shipment year Feb 24 2006_Usulan Blend Plan BMO 11-03-08_Sheet1" xfId="7469"/>
    <cellStyle name="_Shipment year Feb 24 2006_Usulan Blend Plan BMO 11-03-08_Wadi-Qinfa" xfId="7470"/>
    <cellStyle name="_Shipment year Feb 24 2006_Usulan Blend Plan BMO 25-03-08" xfId="7471"/>
    <cellStyle name="_Shipment year Feb 24 2006_Usulan Blend Plan BMO 25-03-08 2" xfId="7472"/>
    <cellStyle name="_Shipment year Feb 24 2006_Usulan Blend Plan BMO 25-03-08 2_Sheet1" xfId="7473"/>
    <cellStyle name="_Shipment year Feb 24 2006_Usulan Blend Plan BMO 25-03-08_Sheet1" xfId="7474"/>
    <cellStyle name="_Shipment year Feb 24 2006_Usulan Blend Plan BMO 25-03-08_Wadi-Qinfa" xfId="7475"/>
    <cellStyle name="_Shipment year Feb 24 2006_Usulan Blending 27 Mei 2008" xfId="7476"/>
    <cellStyle name="_Shipment year Feb 24 2006_Usulan Blending 27 Mei 2008 2" xfId="7477"/>
    <cellStyle name="_Shipment year Feb 24 2006_Usulan Blending 27 Mei 2008 2_Sheet1" xfId="7478"/>
    <cellStyle name="_Shipment year Feb 24 2006_Usulan Blending 27 Mei 2008_Sheet1" xfId="7479"/>
    <cellStyle name="_Shipment year Feb 24 2006_Usulan Blending 27 Mei 2008_Wadi-Qinfa" xfId="7480"/>
    <cellStyle name="_Shipment year Feb 24 2006_Usulan Blending Plan 10 jun (2)" xfId="7481"/>
    <cellStyle name="_Shipment year Feb 24 2006_Usulan Blending Plan 10 jun (2) 2" xfId="7482"/>
    <cellStyle name="_Shipment year Feb 24 2006_Usulan Blending Plan 10 jun (2) 2_Sheet1" xfId="7483"/>
    <cellStyle name="_Shipment year Feb 24 2006_Usulan Blending Plan 10 jun (2)_Sheet1" xfId="7484"/>
    <cellStyle name="_Shipment year Feb 24 2006_Usulan Blending Plan 10 jun (2)_Wadi-Qinfa" xfId="7485"/>
    <cellStyle name="_Shipment year Feb 24 2006_Usulan Blending Plan 17 jun (2)" xfId="7486"/>
    <cellStyle name="_Shipment year Feb 24 2006_Usulan Blending Plan 17 jun (2) 2" xfId="7487"/>
    <cellStyle name="_Shipment year Feb 24 2006_Usulan Blending Plan 17 jun (2) 2_Sheet1" xfId="7488"/>
    <cellStyle name="_Shipment year Feb 24 2006_Usulan Blending Plan 17 jun (2)_Sheet1" xfId="7489"/>
    <cellStyle name="_Shipment year Feb 24 2006_Usulan Blending Plan 17 jun (2)_Wadi-Qinfa" xfId="7490"/>
    <cellStyle name="_Shipment year Feb 24 2006_Usulan blending plan 21_05_08" xfId="7491"/>
    <cellStyle name="_Shipment year Feb 24 2006_Usulan blending plan 21_05_08 2" xfId="7492"/>
    <cellStyle name="_Shipment year Feb 24 2006_Usulan blending plan 21_05_08 2_Sheet1" xfId="7493"/>
    <cellStyle name="_Shipment year Feb 24 2006_Usulan blending plan 21_05_08_Sheet1" xfId="7494"/>
    <cellStyle name="_Shipment year Feb 24 2006_Usulan blending plan 21_05_08_Wadi-Qinfa" xfId="7495"/>
    <cellStyle name="_Shipment year Feb 24 2006_Usulan blending PlaN 27-05-08" xfId="7496"/>
    <cellStyle name="_Shipment year Feb 24 2006_Usulan blending PlaN 27-05-08 2" xfId="7497"/>
    <cellStyle name="_Shipment year Feb 24 2006_Usulan blending PlaN 27-05-08 2_Sheet1" xfId="7498"/>
    <cellStyle name="_Shipment year Feb 24 2006_Usulan blending PlaN 27-05-08_Sheet1" xfId="7499"/>
    <cellStyle name="_Shipment year Feb 24 2006_Usulan blending PlaN 27-05-08_Wadi-Qinfa" xfId="7500"/>
    <cellStyle name="_Shipment year Feb 24 2006_Usulan Blending Plan_13 Feb 2008_awl" xfId="7501"/>
    <cellStyle name="_Shipment year Feb 24 2006_Usulan Blending Plan_13 Feb 2008_awl 2" xfId="7502"/>
    <cellStyle name="_Shipment year Feb 24 2006_Usulan Blending Plan_13 Feb 2008_awl 2_Sheet1" xfId="7503"/>
    <cellStyle name="_Shipment year Feb 24 2006_Usulan Blending Plan_13 Feb 2008_awl_Sheet1" xfId="7504"/>
    <cellStyle name="_Shipment year Feb 24 2006_Usulan Blending Plan_13 Feb 2008_awl_Wadi-Qinfa" xfId="7505"/>
    <cellStyle name="_Shipment year Feb 24 2006_Wadi-Qinfa" xfId="7506"/>
    <cellStyle name="_Stock Status July 10, 07" xfId="7507"/>
    <cellStyle name="_Stock Status July 10, 07 2" xfId="7508"/>
    <cellStyle name="_Stock Status July 10, 07 2_Sheet1" xfId="7509"/>
    <cellStyle name="_Stock Status July 10, 07_01  Usulan Blend Plan BMO_220408 (2)" xfId="7510"/>
    <cellStyle name="_Stock Status July 10, 07_01  Usulan Blend Plan BMO_220408 (2) 2" xfId="7511"/>
    <cellStyle name="_Stock Status July 10, 07_01  Usulan Blend Plan BMO_220408 (2) 2_Sheet1" xfId="7512"/>
    <cellStyle name="_Stock Status July 10, 07_01  Usulan Blend Plan BMO_220408 (2)_Sheet1" xfId="7513"/>
    <cellStyle name="_Stock Status July 10, 07_01  Usulan Blend Plan BMO_220408 (2)_Wadi-Qinfa" xfId="7514"/>
    <cellStyle name="_Stock Status July 10, 07_Sheet1" xfId="7515"/>
    <cellStyle name="_Stock Status July 10, 07_Stock Status Jul 29, 2008" xfId="7516"/>
    <cellStyle name="_Stock Status July 10, 07_Stock Status Jul 29, 2008 2" xfId="7517"/>
    <cellStyle name="_Stock Status July 10, 07_Stock Status Jul 29, 2008 2_Sheet1" xfId="7518"/>
    <cellStyle name="_Stock Status July 10, 07_Stock Status Jul 29, 2008_Sheet1" xfId="7519"/>
    <cellStyle name="_Stock Status July 10, 07_Stock Status Jul 29, 2008_Wadi-Qinfa" xfId="7520"/>
    <cellStyle name="_Stock Status July 10, 07_Usulan Blend Plan BMO 11-03-08" xfId="7521"/>
    <cellStyle name="_Stock Status July 10, 07_Usulan Blend Plan BMO 11-03-08 2" xfId="7522"/>
    <cellStyle name="_Stock Status July 10, 07_Usulan Blend Plan BMO 11-03-08 2_Sheet1" xfId="7523"/>
    <cellStyle name="_Stock Status July 10, 07_Usulan Blend Plan BMO 11-03-08_Sheet1" xfId="7524"/>
    <cellStyle name="_Stock Status July 10, 07_Usulan Blend Plan BMO 11-03-08_Wadi-Qinfa" xfId="7525"/>
    <cellStyle name="_Stock Status July 10, 07_Usulan Blend Plan BMO 25-03-08" xfId="7526"/>
    <cellStyle name="_Stock Status July 10, 07_Usulan Blend Plan BMO 25-03-08 2" xfId="7527"/>
    <cellStyle name="_Stock Status July 10, 07_Usulan Blend Plan BMO 25-03-08 2_Sheet1" xfId="7528"/>
    <cellStyle name="_Stock Status July 10, 07_Usulan Blend Plan BMO 25-03-08_Sheet1" xfId="7529"/>
    <cellStyle name="_Stock Status July 10, 07_Usulan Blend Plan BMO 25-03-08_Wadi-Qinfa" xfId="7530"/>
    <cellStyle name="_Stock Status July 10, 07_Usulan Blending 27 Mei 2008" xfId="7531"/>
    <cellStyle name="_Stock Status July 10, 07_Usulan Blending 27 Mei 2008 2" xfId="7532"/>
    <cellStyle name="_Stock Status July 10, 07_Usulan Blending 27 Mei 2008 2_Sheet1" xfId="7533"/>
    <cellStyle name="_Stock Status July 10, 07_Usulan Blending 27 Mei 2008_Sheet1" xfId="7534"/>
    <cellStyle name="_Stock Status July 10, 07_Usulan Blending 27 Mei 2008_Wadi-Qinfa" xfId="7535"/>
    <cellStyle name="_Stock Status July 10, 07_Usulan Blending Plan 10 jun (2)" xfId="7536"/>
    <cellStyle name="_Stock Status July 10, 07_Usulan Blending Plan 10 jun (2) 2" xfId="7537"/>
    <cellStyle name="_Stock Status July 10, 07_Usulan Blending Plan 10 jun (2) 2_Sheet1" xfId="7538"/>
    <cellStyle name="_Stock Status July 10, 07_Usulan Blending Plan 10 jun (2)_Sheet1" xfId="7539"/>
    <cellStyle name="_Stock Status July 10, 07_Usulan Blending Plan 10 jun (2)_Wadi-Qinfa" xfId="7540"/>
    <cellStyle name="_Stock Status July 10, 07_Usulan Blending Plan 17 jun (2)" xfId="7541"/>
    <cellStyle name="_Stock Status July 10, 07_Usulan Blending Plan 17 jun (2) 2" xfId="7542"/>
    <cellStyle name="_Stock Status July 10, 07_Usulan Blending Plan 17 jun (2) 2_Sheet1" xfId="7543"/>
    <cellStyle name="_Stock Status July 10, 07_Usulan Blending Plan 17 jun (2)_Sheet1" xfId="7544"/>
    <cellStyle name="_Stock Status July 10, 07_Usulan Blending Plan 17 jun (2)_Wadi-Qinfa" xfId="7545"/>
    <cellStyle name="_Stock Status July 10, 07_Usulan blending plan 21_05_08" xfId="7546"/>
    <cellStyle name="_Stock Status July 10, 07_Usulan blending plan 21_05_08 2" xfId="7547"/>
    <cellStyle name="_Stock Status July 10, 07_Usulan blending plan 21_05_08 2_Sheet1" xfId="7548"/>
    <cellStyle name="_Stock Status July 10, 07_Usulan blending plan 21_05_08_Sheet1" xfId="7549"/>
    <cellStyle name="_Stock Status July 10, 07_Usulan blending plan 21_05_08_Wadi-Qinfa" xfId="7550"/>
    <cellStyle name="_Stock Status July 10, 07_Usulan blending PlaN 27-05-08" xfId="7551"/>
    <cellStyle name="_Stock Status July 10, 07_Usulan blending PlaN 27-05-08 2" xfId="7552"/>
    <cellStyle name="_Stock Status July 10, 07_Usulan blending PlaN 27-05-08 2_Sheet1" xfId="7553"/>
    <cellStyle name="_Stock Status July 10, 07_Usulan blending PlaN 27-05-08_Sheet1" xfId="7554"/>
    <cellStyle name="_Stock Status July 10, 07_Usulan blending PlaN 27-05-08_Wadi-Qinfa" xfId="7555"/>
    <cellStyle name="_Stock Status July 10, 07_Usulan Blending Plan_13 Feb 2008_awl" xfId="7556"/>
    <cellStyle name="_Stock Status July 10, 07_Usulan Blending Plan_13 Feb 2008_awl 2" xfId="7557"/>
    <cellStyle name="_Stock Status July 10, 07_Usulan Blending Plan_13 Feb 2008_awl 2_Sheet1" xfId="7558"/>
    <cellStyle name="_Stock Status July 10, 07_Usulan Blending Plan_13 Feb 2008_awl_Sheet1" xfId="7559"/>
    <cellStyle name="_Stock Status July 10, 07_Usulan Blending Plan_13 Feb 2008_awl_Wadi-Qinfa" xfId="7560"/>
    <cellStyle name="_Stock Status July 10, 07_Wadi-Qinfa" xfId="7561"/>
    <cellStyle name="_Usulan Blend Plan BMO_161007" xfId="7562"/>
    <cellStyle name="_Usulan Blend Plan BMO_161007 2" xfId="7563"/>
    <cellStyle name="_Usulan Blend Plan BMO_161007 2_Sheet1" xfId="7564"/>
    <cellStyle name="_Usulan Blend Plan BMO_161007_01  Usulan Blend Plan BMO_220408 (2)" xfId="7565"/>
    <cellStyle name="_Usulan Blend Plan BMO_161007_01  Usulan Blend Plan BMO_220408 (2) 2" xfId="7566"/>
    <cellStyle name="_Usulan Blend Plan BMO_161007_01  Usulan Blend Plan BMO_220408 (2) 2_Sheet1" xfId="7567"/>
    <cellStyle name="_Usulan Blend Plan BMO_161007_01  Usulan Blend Plan BMO_220408 (2)_Sheet1" xfId="7568"/>
    <cellStyle name="_Usulan Blend Plan BMO_161007_01  Usulan Blend Plan BMO_220408 (2)_Wadi-Qinfa" xfId="7569"/>
    <cellStyle name="_Usulan Blend Plan BMO_161007_Sheet1" xfId="7570"/>
    <cellStyle name="_Usulan Blend Plan BMO_161007_Stock Status Jul 29, 2008" xfId="7571"/>
    <cellStyle name="_Usulan Blend Plan BMO_161007_Stock Status Jul 29, 2008 2" xfId="7572"/>
    <cellStyle name="_Usulan Blend Plan BMO_161007_Stock Status Jul 29, 2008 2_Sheet1" xfId="7573"/>
    <cellStyle name="_Usulan Blend Plan BMO_161007_Stock Status Jul 29, 2008_Sheet1" xfId="7574"/>
    <cellStyle name="_Usulan Blend Plan BMO_161007_Stock Status Jul 29, 2008_Wadi-Qinfa" xfId="7575"/>
    <cellStyle name="_Usulan Blend Plan BMO_161007_Usulan Blend Plan BMO 11-03-08" xfId="7576"/>
    <cellStyle name="_Usulan Blend Plan BMO_161007_Usulan Blend Plan BMO 11-03-08 2" xfId="7577"/>
    <cellStyle name="_Usulan Blend Plan BMO_161007_Usulan Blend Plan BMO 11-03-08 2_Sheet1" xfId="7578"/>
    <cellStyle name="_Usulan Blend Plan BMO_161007_Usulan Blend Plan BMO 11-03-08_Sheet1" xfId="7579"/>
    <cellStyle name="_Usulan Blend Plan BMO_161007_Usulan Blend Plan BMO 11-03-08_Wadi-Qinfa" xfId="7580"/>
    <cellStyle name="_Usulan Blend Plan BMO_161007_Usulan Blend Plan BMO 25-03-08" xfId="7581"/>
    <cellStyle name="_Usulan Blend Plan BMO_161007_Usulan Blend Plan BMO 25-03-08 2" xfId="7582"/>
    <cellStyle name="_Usulan Blend Plan BMO_161007_Usulan Blend Plan BMO 25-03-08 2_Sheet1" xfId="7583"/>
    <cellStyle name="_Usulan Blend Plan BMO_161007_Usulan Blend Plan BMO 25-03-08_Sheet1" xfId="7584"/>
    <cellStyle name="_Usulan Blend Plan BMO_161007_Usulan Blend Plan BMO 25-03-08_Wadi-Qinfa" xfId="7585"/>
    <cellStyle name="_Usulan Blend Plan BMO_161007_Usulan Blending 27 Mei 2008" xfId="7586"/>
    <cellStyle name="_Usulan Blend Plan BMO_161007_Usulan Blending 27 Mei 2008 2" xfId="7587"/>
    <cellStyle name="_Usulan Blend Plan BMO_161007_Usulan Blending 27 Mei 2008 2_Sheet1" xfId="7588"/>
    <cellStyle name="_Usulan Blend Plan BMO_161007_Usulan Blending 27 Mei 2008_Sheet1" xfId="7589"/>
    <cellStyle name="_Usulan Blend Plan BMO_161007_Usulan Blending 27 Mei 2008_Wadi-Qinfa" xfId="7590"/>
    <cellStyle name="_Usulan Blend Plan BMO_161007_Usulan Blending Plan 10 jun (2)" xfId="7591"/>
    <cellStyle name="_Usulan Blend Plan BMO_161007_Usulan Blending Plan 10 jun (2) 2" xfId="7592"/>
    <cellStyle name="_Usulan Blend Plan BMO_161007_Usulan Blending Plan 10 jun (2) 2_Sheet1" xfId="7593"/>
    <cellStyle name="_Usulan Blend Plan BMO_161007_Usulan Blending Plan 10 jun (2)_Sheet1" xfId="7594"/>
    <cellStyle name="_Usulan Blend Plan BMO_161007_Usulan Blending Plan 10 jun (2)_Wadi-Qinfa" xfId="7595"/>
    <cellStyle name="_Usulan Blend Plan BMO_161007_Usulan Blending Plan 17 jun (2)" xfId="7596"/>
    <cellStyle name="_Usulan Blend Plan BMO_161007_Usulan Blending Plan 17 jun (2) 2" xfId="7597"/>
    <cellStyle name="_Usulan Blend Plan BMO_161007_Usulan Blending Plan 17 jun (2) 2_Sheet1" xfId="7598"/>
    <cellStyle name="_Usulan Blend Plan BMO_161007_Usulan Blending Plan 17 jun (2)_Sheet1" xfId="7599"/>
    <cellStyle name="_Usulan Blend Plan BMO_161007_Usulan Blending Plan 17 jun (2)_Wadi-Qinfa" xfId="7600"/>
    <cellStyle name="_Usulan Blend Plan BMO_161007_Usulan blending plan 21_05_08" xfId="7601"/>
    <cellStyle name="_Usulan Blend Plan BMO_161007_Usulan blending plan 21_05_08 2" xfId="7602"/>
    <cellStyle name="_Usulan Blend Plan BMO_161007_Usulan blending plan 21_05_08 2_Sheet1" xfId="7603"/>
    <cellStyle name="_Usulan Blend Plan BMO_161007_Usulan blending plan 21_05_08_Sheet1" xfId="7604"/>
    <cellStyle name="_Usulan Blend Plan BMO_161007_Usulan blending plan 21_05_08_Wadi-Qinfa" xfId="7605"/>
    <cellStyle name="_Usulan Blend Plan BMO_161007_Usulan blending PlaN 27-05-08" xfId="7606"/>
    <cellStyle name="_Usulan Blend Plan BMO_161007_Usulan blending PlaN 27-05-08 2" xfId="7607"/>
    <cellStyle name="_Usulan Blend Plan BMO_161007_Usulan blending PlaN 27-05-08 2_Sheet1" xfId="7608"/>
    <cellStyle name="_Usulan Blend Plan BMO_161007_Usulan blending PlaN 27-05-08_Sheet1" xfId="7609"/>
    <cellStyle name="_Usulan Blend Plan BMO_161007_Usulan blending PlaN 27-05-08_Wadi-Qinfa" xfId="7610"/>
    <cellStyle name="_Usulan Blend Plan BMO_161007_Usulan Blending Plan_13 Feb 2008_awl" xfId="7611"/>
    <cellStyle name="_Usulan Blend Plan BMO_161007_Usulan Blending Plan_13 Feb 2008_awl 2" xfId="7612"/>
    <cellStyle name="_Usulan Blend Plan BMO_161007_Usulan Blending Plan_13 Feb 2008_awl 2_Sheet1" xfId="7613"/>
    <cellStyle name="_Usulan Blend Plan BMO_161007_Usulan Blending Plan_13 Feb 2008_awl_Sheet1" xfId="7614"/>
    <cellStyle name="_Usulan Blend Plan BMO_161007_Usulan Blending Plan_13 Feb 2008_awl_Wadi-Qinfa" xfId="7615"/>
    <cellStyle name="_Usulan Blend Plan BMO_161007_Wadi-Qinfa" xfId="7616"/>
    <cellStyle name="_Usulan Blend Plan BMO_250907 (2)" xfId="7617"/>
    <cellStyle name="_Usulan Blend Plan BMO_250907 (2) 2" xfId="7618"/>
    <cellStyle name="_Usulan Blend Plan BMO_250907 (2) 2_Sheet1" xfId="7619"/>
    <cellStyle name="_Usulan Blend Plan BMO_250907 (2)_01  Usulan Blend Plan BMO_220408 (2)" xfId="7620"/>
    <cellStyle name="_Usulan Blend Plan BMO_250907 (2)_01  Usulan Blend Plan BMO_220408 (2) 2" xfId="7621"/>
    <cellStyle name="_Usulan Blend Plan BMO_250907 (2)_01  Usulan Blend Plan BMO_220408 (2) 2_Sheet1" xfId="7622"/>
    <cellStyle name="_Usulan Blend Plan BMO_250907 (2)_01  Usulan Blend Plan BMO_220408 (2)_Sheet1" xfId="7623"/>
    <cellStyle name="_Usulan Blend Plan BMO_250907 (2)_01  Usulan Blend Plan BMO_220408 (2)_Wadi-Qinfa" xfId="7624"/>
    <cellStyle name="_Usulan Blend Plan BMO_250907 (2)_Sheet1" xfId="7625"/>
    <cellStyle name="_Usulan Blend Plan BMO_250907 (2)_Stock Status Jul 29, 2008" xfId="7626"/>
    <cellStyle name="_Usulan Blend Plan BMO_250907 (2)_Stock Status Jul 29, 2008 2" xfId="7627"/>
    <cellStyle name="_Usulan Blend Plan BMO_250907 (2)_Stock Status Jul 29, 2008 2_Sheet1" xfId="7628"/>
    <cellStyle name="_Usulan Blend Plan BMO_250907 (2)_Stock Status Jul 29, 2008_Sheet1" xfId="7629"/>
    <cellStyle name="_Usulan Blend Plan BMO_250907 (2)_Stock Status Jul 29, 2008_Wadi-Qinfa" xfId="7630"/>
    <cellStyle name="_Usulan Blend Plan BMO_250907 (2)_Usulan Blend Plan BMO 11-03-08" xfId="7631"/>
    <cellStyle name="_Usulan Blend Plan BMO_250907 (2)_Usulan Blend Plan BMO 11-03-08 2" xfId="7632"/>
    <cellStyle name="_Usulan Blend Plan BMO_250907 (2)_Usulan Blend Plan BMO 11-03-08 2_Sheet1" xfId="7633"/>
    <cellStyle name="_Usulan Blend Plan BMO_250907 (2)_Usulan Blend Plan BMO 11-03-08_Sheet1" xfId="7634"/>
    <cellStyle name="_Usulan Blend Plan BMO_250907 (2)_Usulan Blend Plan BMO 11-03-08_Wadi-Qinfa" xfId="7635"/>
    <cellStyle name="_Usulan Blend Plan BMO_250907 (2)_Usulan Blend Plan BMO 25-03-08" xfId="7636"/>
    <cellStyle name="_Usulan Blend Plan BMO_250907 (2)_Usulan Blend Plan BMO 25-03-08 2" xfId="7637"/>
    <cellStyle name="_Usulan Blend Plan BMO_250907 (2)_Usulan Blend Plan BMO 25-03-08 2_Sheet1" xfId="7638"/>
    <cellStyle name="_Usulan Blend Plan BMO_250907 (2)_Usulan Blend Plan BMO 25-03-08_Sheet1" xfId="7639"/>
    <cellStyle name="_Usulan Blend Plan BMO_250907 (2)_Usulan Blend Plan BMO 25-03-08_Wadi-Qinfa" xfId="7640"/>
    <cellStyle name="_Usulan Blend Plan BMO_250907 (2)_Usulan Blending 27 Mei 2008" xfId="7641"/>
    <cellStyle name="_Usulan Blend Plan BMO_250907 (2)_Usulan Blending 27 Mei 2008 2" xfId="7642"/>
    <cellStyle name="_Usulan Blend Plan BMO_250907 (2)_Usulan Blending 27 Mei 2008 2_Sheet1" xfId="7643"/>
    <cellStyle name="_Usulan Blend Plan BMO_250907 (2)_Usulan Blending 27 Mei 2008_Sheet1" xfId="7644"/>
    <cellStyle name="_Usulan Blend Plan BMO_250907 (2)_Usulan Blending 27 Mei 2008_Wadi-Qinfa" xfId="7645"/>
    <cellStyle name="_Usulan Blend Plan BMO_250907 (2)_Usulan Blending Plan 10 jun (2)" xfId="7646"/>
    <cellStyle name="_Usulan Blend Plan BMO_250907 (2)_Usulan Blending Plan 10 jun (2) 2" xfId="7647"/>
    <cellStyle name="_Usulan Blend Plan BMO_250907 (2)_Usulan Blending Plan 10 jun (2) 2_Sheet1" xfId="7648"/>
    <cellStyle name="_Usulan Blend Plan BMO_250907 (2)_Usulan Blending Plan 10 jun (2)_Sheet1" xfId="7649"/>
    <cellStyle name="_Usulan Blend Plan BMO_250907 (2)_Usulan Blending Plan 10 jun (2)_Wadi-Qinfa" xfId="7650"/>
    <cellStyle name="_Usulan Blend Plan BMO_250907 (2)_Usulan Blending Plan 17 jun (2)" xfId="7651"/>
    <cellStyle name="_Usulan Blend Plan BMO_250907 (2)_Usulan Blending Plan 17 jun (2) 2" xfId="7652"/>
    <cellStyle name="_Usulan Blend Plan BMO_250907 (2)_Usulan Blending Plan 17 jun (2) 2_Sheet1" xfId="7653"/>
    <cellStyle name="_Usulan Blend Plan BMO_250907 (2)_Usulan Blending Plan 17 jun (2)_Sheet1" xfId="7654"/>
    <cellStyle name="_Usulan Blend Plan BMO_250907 (2)_Usulan Blending Plan 17 jun (2)_Wadi-Qinfa" xfId="7655"/>
    <cellStyle name="_Usulan Blend Plan BMO_250907 (2)_Usulan blending plan 21_05_08" xfId="7656"/>
    <cellStyle name="_Usulan Blend Plan BMO_250907 (2)_Usulan blending plan 21_05_08 2" xfId="7657"/>
    <cellStyle name="_Usulan Blend Plan BMO_250907 (2)_Usulan blending plan 21_05_08 2_Sheet1" xfId="7658"/>
    <cellStyle name="_Usulan Blend Plan BMO_250907 (2)_Usulan blending plan 21_05_08_Sheet1" xfId="7659"/>
    <cellStyle name="_Usulan Blend Plan BMO_250907 (2)_Usulan blending plan 21_05_08_Wadi-Qinfa" xfId="7660"/>
    <cellStyle name="_Usulan Blend Plan BMO_250907 (2)_Usulan blending PlaN 27-05-08" xfId="7661"/>
    <cellStyle name="_Usulan Blend Plan BMO_250907 (2)_Usulan blending PlaN 27-05-08 2" xfId="7662"/>
    <cellStyle name="_Usulan Blend Plan BMO_250907 (2)_Usulan blending PlaN 27-05-08 2_Sheet1" xfId="7663"/>
    <cellStyle name="_Usulan Blend Plan BMO_250907 (2)_Usulan blending PlaN 27-05-08_Sheet1" xfId="7664"/>
    <cellStyle name="_Usulan Blend Plan BMO_250907 (2)_Usulan blending PlaN 27-05-08_Wadi-Qinfa" xfId="7665"/>
    <cellStyle name="_Usulan Blend Plan BMO_250907 (2)_Usulan Blending Plan_13 Feb 2008_awl" xfId="7666"/>
    <cellStyle name="_Usulan Blend Plan BMO_250907 (2)_Usulan Blending Plan_13 Feb 2008_awl 2" xfId="7667"/>
    <cellStyle name="_Usulan Blend Plan BMO_250907 (2)_Usulan Blending Plan_13 Feb 2008_awl 2_Sheet1" xfId="7668"/>
    <cellStyle name="_Usulan Blend Plan BMO_250907 (2)_Usulan Blending Plan_13 Feb 2008_awl_Sheet1" xfId="7669"/>
    <cellStyle name="_Usulan Blend Plan BMO_250907 (2)_Usulan Blending Plan_13 Feb 2008_awl_Wadi-Qinfa" xfId="7670"/>
    <cellStyle name="_Usulan Blend Plan BMO_250907 (2)_Wadi-Qinfa" xfId="7671"/>
    <cellStyle name="_Usulan Blending Plan 13 Maret 2007" xfId="7672"/>
    <cellStyle name="_Usulan Blending Plan 13 Maret 2007 2" xfId="7673"/>
    <cellStyle name="_Usulan Blending Plan 13 Maret 2007 2_Sheet1" xfId="7674"/>
    <cellStyle name="_Usulan Blending Plan 13 Maret 2007_01  Usulan Blend Plan BMO_220408 (2)" xfId="7675"/>
    <cellStyle name="_Usulan Blending Plan 13 Maret 2007_01  Usulan Blend Plan BMO_220408 (2) 2" xfId="7676"/>
    <cellStyle name="_Usulan Blending Plan 13 Maret 2007_01  Usulan Blend Plan BMO_220408 (2) 2_Sheet1" xfId="7677"/>
    <cellStyle name="_Usulan Blending Plan 13 Maret 2007_01  Usulan Blend Plan BMO_220408 (2)_Sheet1" xfId="7678"/>
    <cellStyle name="_Usulan Blending Plan 13 Maret 2007_01  Usulan Blend Plan BMO_220408 (2)_Wadi-Qinfa" xfId="7679"/>
    <cellStyle name="_Usulan Blending Plan 13 Maret 2007_Sheet1" xfId="7680"/>
    <cellStyle name="_Usulan Blending Plan 13 Maret 2007_Stock Status Jul 29, 2008" xfId="7681"/>
    <cellStyle name="_Usulan Blending Plan 13 Maret 2007_Stock Status Jul 29, 2008 2" xfId="7682"/>
    <cellStyle name="_Usulan Blending Plan 13 Maret 2007_Stock Status Jul 29, 2008 2_Sheet1" xfId="7683"/>
    <cellStyle name="_Usulan Blending Plan 13 Maret 2007_Stock Status Jul 29, 2008_Sheet1" xfId="7684"/>
    <cellStyle name="_Usulan Blending Plan 13 Maret 2007_Stock Status Jul 29, 2008_Wadi-Qinfa" xfId="7685"/>
    <cellStyle name="_Usulan Blending Plan 13 Maret 2007_Usulan Blend Plan BMO 11-03-08" xfId="7686"/>
    <cellStyle name="_Usulan Blending Plan 13 Maret 2007_Usulan Blend Plan BMO 11-03-08 2" xfId="7687"/>
    <cellStyle name="_Usulan Blending Plan 13 Maret 2007_Usulan Blend Plan BMO 11-03-08 2_Sheet1" xfId="7688"/>
    <cellStyle name="_Usulan Blending Plan 13 Maret 2007_Usulan Blend Plan BMO 11-03-08_Sheet1" xfId="7689"/>
    <cellStyle name="_Usulan Blending Plan 13 Maret 2007_Usulan Blend Plan BMO 11-03-08_Wadi-Qinfa" xfId="7690"/>
    <cellStyle name="_Usulan Blending Plan 13 Maret 2007_Usulan Blend Plan BMO 25-03-08" xfId="7691"/>
    <cellStyle name="_Usulan Blending Plan 13 Maret 2007_Usulan Blend Plan BMO 25-03-08 2" xfId="7692"/>
    <cellStyle name="_Usulan Blending Plan 13 Maret 2007_Usulan Blend Plan BMO 25-03-08 2_Sheet1" xfId="7693"/>
    <cellStyle name="_Usulan Blending Plan 13 Maret 2007_Usulan Blend Plan BMO 25-03-08_Sheet1" xfId="7694"/>
    <cellStyle name="_Usulan Blending Plan 13 Maret 2007_Usulan Blend Plan BMO 25-03-08_Wadi-Qinfa" xfId="7695"/>
    <cellStyle name="_Usulan Blending Plan 13 Maret 2007_Usulan Blending 27 Mei 2008" xfId="7696"/>
    <cellStyle name="_Usulan Blending Plan 13 Maret 2007_Usulan Blending 27 Mei 2008 2" xfId="7697"/>
    <cellStyle name="_Usulan Blending Plan 13 Maret 2007_Usulan Blending 27 Mei 2008 2_Sheet1" xfId="7698"/>
    <cellStyle name="_Usulan Blending Plan 13 Maret 2007_Usulan Blending 27 Mei 2008_Sheet1" xfId="7699"/>
    <cellStyle name="_Usulan Blending Plan 13 Maret 2007_Usulan Blending 27 Mei 2008_Wadi-Qinfa" xfId="7700"/>
    <cellStyle name="_Usulan Blending Plan 13 Maret 2007_Usulan Blending Plan 10 jun (2)" xfId="7701"/>
    <cellStyle name="_Usulan Blending Plan 13 Maret 2007_Usulan Blending Plan 10 jun (2) 2" xfId="7702"/>
    <cellStyle name="_Usulan Blending Plan 13 Maret 2007_Usulan Blending Plan 10 jun (2) 2_Sheet1" xfId="7703"/>
    <cellStyle name="_Usulan Blending Plan 13 Maret 2007_Usulan Blending Plan 10 jun (2)_Sheet1" xfId="7704"/>
    <cellStyle name="_Usulan Blending Plan 13 Maret 2007_Usulan Blending Plan 10 jun (2)_Wadi-Qinfa" xfId="7705"/>
    <cellStyle name="_Usulan Blending Plan 13 Maret 2007_Usulan Blending Plan 17 jun (2)" xfId="7706"/>
    <cellStyle name="_Usulan Blending Plan 13 Maret 2007_Usulan Blending Plan 17 jun (2) 2" xfId="7707"/>
    <cellStyle name="_Usulan Blending Plan 13 Maret 2007_Usulan Blending Plan 17 jun (2) 2_Sheet1" xfId="7708"/>
    <cellStyle name="_Usulan Blending Plan 13 Maret 2007_Usulan Blending Plan 17 jun (2)_Sheet1" xfId="7709"/>
    <cellStyle name="_Usulan Blending Plan 13 Maret 2007_Usulan Blending Plan 17 jun (2)_Wadi-Qinfa" xfId="7710"/>
    <cellStyle name="_Usulan Blending Plan 13 Maret 2007_Usulan blending plan 21_05_08" xfId="7711"/>
    <cellStyle name="_Usulan Blending Plan 13 Maret 2007_Usulan blending plan 21_05_08 2" xfId="7712"/>
    <cellStyle name="_Usulan Blending Plan 13 Maret 2007_Usulan blending plan 21_05_08 2_Sheet1" xfId="7713"/>
    <cellStyle name="_Usulan Blending Plan 13 Maret 2007_Usulan blending plan 21_05_08_Sheet1" xfId="7714"/>
    <cellStyle name="_Usulan Blending Plan 13 Maret 2007_Usulan blending plan 21_05_08_Wadi-Qinfa" xfId="7715"/>
    <cellStyle name="_Usulan Blending Plan 13 Maret 2007_Usulan blending PlaN 27-05-08" xfId="7716"/>
    <cellStyle name="_Usulan Blending Plan 13 Maret 2007_Usulan blending PlaN 27-05-08 2" xfId="7717"/>
    <cellStyle name="_Usulan Blending Plan 13 Maret 2007_Usulan blending PlaN 27-05-08 2_Sheet1" xfId="7718"/>
    <cellStyle name="_Usulan Blending Plan 13 Maret 2007_Usulan blending PlaN 27-05-08_Sheet1" xfId="7719"/>
    <cellStyle name="_Usulan Blending Plan 13 Maret 2007_Usulan blending PlaN 27-05-08_Wadi-Qinfa" xfId="7720"/>
    <cellStyle name="_Usulan Blending Plan 13 Maret 2007_Usulan Blending Plan_13 Feb 2008_awl" xfId="7721"/>
    <cellStyle name="_Usulan Blending Plan 13 Maret 2007_Usulan Blending Plan_13 Feb 2008_awl 2" xfId="7722"/>
    <cellStyle name="_Usulan Blending Plan 13 Maret 2007_Usulan Blending Plan_13 Feb 2008_awl 2_Sheet1" xfId="7723"/>
    <cellStyle name="_Usulan Blending Plan 13 Maret 2007_Usulan Blending Plan_13 Feb 2008_awl_Sheet1" xfId="7724"/>
    <cellStyle name="_Usulan Blending Plan 13 Maret 2007_Usulan Blending Plan_13 Feb 2008_awl_Wadi-Qinfa" xfId="7725"/>
    <cellStyle name="_Usulan Blending Plan 13 Maret 2007_Wadi-Qinfa" xfId="7726"/>
    <cellStyle name="_Usulan Blending Plan 25 September 2007 LMO" xfId="7727"/>
    <cellStyle name="_Usulan Blending Plan 25 September 2007 LMO 2" xfId="7728"/>
    <cellStyle name="_Usulan Blending Plan 25 September 2007 LMO 2_Sheet1" xfId="7729"/>
    <cellStyle name="_Usulan Blending Plan 25 September 2007 LMO_01  Usulan Blend Plan BMO_220408 (2)" xfId="7730"/>
    <cellStyle name="_Usulan Blending Plan 25 September 2007 LMO_01  Usulan Blend Plan BMO_220408 (2) 2" xfId="7731"/>
    <cellStyle name="_Usulan Blending Plan 25 September 2007 LMO_01  Usulan Blend Plan BMO_220408 (2) 2_Sheet1" xfId="7732"/>
    <cellStyle name="_Usulan Blending Plan 25 September 2007 LMO_01  Usulan Blend Plan BMO_220408 (2)_Sheet1" xfId="7733"/>
    <cellStyle name="_Usulan Blending Plan 25 September 2007 LMO_01  Usulan Blend Plan BMO_220408 (2)_Wadi-Qinfa" xfId="7734"/>
    <cellStyle name="_Usulan Blending Plan 25 September 2007 LMO_Sheet1" xfId="7735"/>
    <cellStyle name="_Usulan Blending Plan 25 September 2007 LMO_Stock Status Jul 29, 2008" xfId="7736"/>
    <cellStyle name="_Usulan Blending Plan 25 September 2007 LMO_Stock Status Jul 29, 2008 2" xfId="7737"/>
    <cellStyle name="_Usulan Blending Plan 25 September 2007 LMO_Stock Status Jul 29, 2008 2_Sheet1" xfId="7738"/>
    <cellStyle name="_Usulan Blending Plan 25 September 2007 LMO_Stock Status Jul 29, 2008_Sheet1" xfId="7739"/>
    <cellStyle name="_Usulan Blending Plan 25 September 2007 LMO_Stock Status Jul 29, 2008_Wadi-Qinfa" xfId="7740"/>
    <cellStyle name="_Usulan Blending Plan 25 September 2007 LMO_Usulan Blend Plan BMO 11-03-08" xfId="7741"/>
    <cellStyle name="_Usulan Blending Plan 25 September 2007 LMO_Usulan Blend Plan BMO 11-03-08 2" xfId="7742"/>
    <cellStyle name="_Usulan Blending Plan 25 September 2007 LMO_Usulan Blend Plan BMO 11-03-08 2_Sheet1" xfId="7743"/>
    <cellStyle name="_Usulan Blending Plan 25 September 2007 LMO_Usulan Blend Plan BMO 11-03-08_Sheet1" xfId="7744"/>
    <cellStyle name="_Usulan Blending Plan 25 September 2007 LMO_Usulan Blend Plan BMO 11-03-08_Wadi-Qinfa" xfId="7745"/>
    <cellStyle name="_Usulan Blending Plan 25 September 2007 LMO_Usulan Blend Plan BMO 25-03-08" xfId="7746"/>
    <cellStyle name="_Usulan Blending Plan 25 September 2007 LMO_Usulan Blend Plan BMO 25-03-08 2" xfId="7747"/>
    <cellStyle name="_Usulan Blending Plan 25 September 2007 LMO_Usulan Blend Plan BMO 25-03-08 2_Sheet1" xfId="7748"/>
    <cellStyle name="_Usulan Blending Plan 25 September 2007 LMO_Usulan Blend Plan BMO 25-03-08_Sheet1" xfId="7749"/>
    <cellStyle name="_Usulan Blending Plan 25 September 2007 LMO_Usulan Blend Plan BMO 25-03-08_Wadi-Qinfa" xfId="7750"/>
    <cellStyle name="_Usulan Blending Plan 25 September 2007 LMO_Usulan Blending 27 Mei 2008" xfId="7751"/>
    <cellStyle name="_Usulan Blending Plan 25 September 2007 LMO_Usulan Blending 27 Mei 2008 2" xfId="7752"/>
    <cellStyle name="_Usulan Blending Plan 25 September 2007 LMO_Usulan Blending 27 Mei 2008 2_Sheet1" xfId="7753"/>
    <cellStyle name="_Usulan Blending Plan 25 September 2007 LMO_Usulan Blending 27 Mei 2008_Sheet1" xfId="7754"/>
    <cellStyle name="_Usulan Blending Plan 25 September 2007 LMO_Usulan Blending 27 Mei 2008_Wadi-Qinfa" xfId="7755"/>
    <cellStyle name="_Usulan Blending Plan 25 September 2007 LMO_Usulan Blending Plan 10 jun (2)" xfId="7756"/>
    <cellStyle name="_Usulan Blending Plan 25 September 2007 LMO_Usulan Blending Plan 10 jun (2) 2" xfId="7757"/>
    <cellStyle name="_Usulan Blending Plan 25 September 2007 LMO_Usulan Blending Plan 10 jun (2) 2_Sheet1" xfId="7758"/>
    <cellStyle name="_Usulan Blending Plan 25 September 2007 LMO_Usulan Blending Plan 10 jun (2)_Sheet1" xfId="7759"/>
    <cellStyle name="_Usulan Blending Plan 25 September 2007 LMO_Usulan Blending Plan 10 jun (2)_Wadi-Qinfa" xfId="7760"/>
    <cellStyle name="_Usulan Blending Plan 25 September 2007 LMO_Usulan Blending Plan 17 jun (2)" xfId="7761"/>
    <cellStyle name="_Usulan Blending Plan 25 September 2007 LMO_Usulan Blending Plan 17 jun (2) 2" xfId="7762"/>
    <cellStyle name="_Usulan Blending Plan 25 September 2007 LMO_Usulan Blending Plan 17 jun (2) 2_Sheet1" xfId="7763"/>
    <cellStyle name="_Usulan Blending Plan 25 September 2007 LMO_Usulan Blending Plan 17 jun (2)_Sheet1" xfId="7764"/>
    <cellStyle name="_Usulan Blending Plan 25 September 2007 LMO_Usulan Blending Plan 17 jun (2)_Wadi-Qinfa" xfId="7765"/>
    <cellStyle name="_Usulan Blending Plan 25 September 2007 LMO_Usulan blending plan 21_05_08" xfId="7766"/>
    <cellStyle name="_Usulan Blending Plan 25 September 2007 LMO_Usulan blending plan 21_05_08 2" xfId="7767"/>
    <cellStyle name="_Usulan Blending Plan 25 September 2007 LMO_Usulan blending plan 21_05_08 2_Sheet1" xfId="7768"/>
    <cellStyle name="_Usulan Blending Plan 25 September 2007 LMO_Usulan blending plan 21_05_08_Sheet1" xfId="7769"/>
    <cellStyle name="_Usulan Blending Plan 25 September 2007 LMO_Usulan blending plan 21_05_08_Wadi-Qinfa" xfId="7770"/>
    <cellStyle name="_Usulan Blending Plan 25 September 2007 LMO_Usulan blending PlaN 27-05-08" xfId="7771"/>
    <cellStyle name="_Usulan Blending Plan 25 September 2007 LMO_Usulan blending PlaN 27-05-08 2" xfId="7772"/>
    <cellStyle name="_Usulan Blending Plan 25 September 2007 LMO_Usulan blending PlaN 27-05-08 2_Sheet1" xfId="7773"/>
    <cellStyle name="_Usulan Blending Plan 25 September 2007 LMO_Usulan blending PlaN 27-05-08_Sheet1" xfId="7774"/>
    <cellStyle name="_Usulan Blending Plan 25 September 2007 LMO_Usulan blending PlaN 27-05-08_Wadi-Qinfa" xfId="7775"/>
    <cellStyle name="_Usulan Blending Plan 25 September 2007 LMO_Usulan Blending Plan_13 Feb 2008_awl" xfId="7776"/>
    <cellStyle name="_Usulan Blending Plan 25 September 2007 LMO_Usulan Blending Plan_13 Feb 2008_awl 2" xfId="7777"/>
    <cellStyle name="_Usulan Blending Plan 25 September 2007 LMO_Usulan Blending Plan_13 Feb 2008_awl 2_Sheet1" xfId="7778"/>
    <cellStyle name="_Usulan Blending Plan 25 September 2007 LMO_Usulan Blending Plan_13 Feb 2008_awl_Sheet1" xfId="7779"/>
    <cellStyle name="_Usulan Blending Plan 25 September 2007 LMO_Usulan Blending Plan_13 Feb 2008_awl_Wadi-Qinfa" xfId="7780"/>
    <cellStyle name="_Usulan Blending Plan 25 September 2007 LMO_Wadi-Qinfa" xfId="7781"/>
    <cellStyle name="_WP Aktiva Tetap" xfId="7782"/>
    <cellStyle name="_WP Aktiva Tetap 2" xfId="7783"/>
    <cellStyle name="_WP Aktiva Tetap 2_Sheet1" xfId="7784"/>
    <cellStyle name="_WP Aktiva Tetap 3" xfId="7785"/>
    <cellStyle name="_WP Aktiva Tetap 3_Sheet1" xfId="7786"/>
    <cellStyle name="_WP Aktiva Tetap 4" xfId="7787"/>
    <cellStyle name="_WP Aktiva Tetap 4 2" xfId="7788"/>
    <cellStyle name="_WP Aktiva Tetap 4 2_Sheet1" xfId="7789"/>
    <cellStyle name="_WP Aktiva Tetap 4_Sheet1" xfId="7790"/>
    <cellStyle name="_WP Aktiva Tetap 5" xfId="7791"/>
    <cellStyle name="_WP Aktiva Tetap 5_Sheet1" xfId="7792"/>
    <cellStyle name="_WP Aktiva Tetap 6" xfId="7793"/>
    <cellStyle name="_WP Aktiva Tetap 6_Sheet1" xfId="7794"/>
    <cellStyle name="_WP Aktiva Tetap 7" xfId="7795"/>
    <cellStyle name="_WP Aktiva Tetap 7_Sheet1" xfId="7796"/>
    <cellStyle name="_WP Aktiva Tetap_Copy of Worksheet PE 2009 Induk &amp; Konsolidasi_Draft-terbaru!!!!!!!!!" xfId="7797"/>
    <cellStyle name="_WP Aktiva Tetap_Copy of Worksheet PE 2009 Induk &amp; Konsolidasi_Draft-terbaru!!!!!!!!!_Sheet1" xfId="7798"/>
    <cellStyle name="_WP Aktiva Tetap_Sheet1" xfId="7799"/>
    <cellStyle name="_WP belum jadi" xfId="7800"/>
    <cellStyle name="_WP belum jadi 2" xfId="7801"/>
    <cellStyle name="_WP belum jadi 2_Sheet1" xfId="7802"/>
    <cellStyle name="_WP belum jadi 3" xfId="7803"/>
    <cellStyle name="_WP belum jadi 3_Sheet1" xfId="7804"/>
    <cellStyle name="_WP belum jadi 4" xfId="7805"/>
    <cellStyle name="_WP belum jadi 4 2" xfId="7806"/>
    <cellStyle name="_WP belum jadi 4 2_Sheet1" xfId="7807"/>
    <cellStyle name="_WP belum jadi 4_Sheet1" xfId="7808"/>
    <cellStyle name="_WP belum jadi 5" xfId="7809"/>
    <cellStyle name="_WP belum jadi 5_Sheet1" xfId="7810"/>
    <cellStyle name="_WP belum jadi 6" xfId="7811"/>
    <cellStyle name="_WP belum jadi 6_Sheet1" xfId="7812"/>
    <cellStyle name="_WP belum jadi 7" xfId="7813"/>
    <cellStyle name="_WP belum jadi 7_Sheet1" xfId="7814"/>
    <cellStyle name="_WP belum jadi_Copy of Worksheet PE 2009 Induk &amp; Konsolidasi_Draft-terbaru!!!!!!!!!" xfId="7815"/>
    <cellStyle name="_WP belum jadi_Copy of Worksheet PE 2009 Induk &amp; Konsolidasi_Draft-terbaru!!!!!!!!!_Sheet1" xfId="7816"/>
    <cellStyle name="_WP belum jadi_Sheet1" xfId="7817"/>
    <cellStyle name="_WP belum jadi_VOUCHING PSM_2003-2 (Auditing)(3)" xfId="7818"/>
    <cellStyle name="_WP belum jadi_VOUCHING PSM_2003-2 (Auditing)(3)_Sheet1" xfId="7819"/>
    <cellStyle name="_WP belum jadi_wp qu" xfId="7820"/>
    <cellStyle name="_WP belum jadi_wp qu_Sheet1" xfId="7821"/>
    <cellStyle name="_WP CKD" xfId="7822"/>
    <cellStyle name="_WP CKD 2" xfId="7823"/>
    <cellStyle name="_WP CKD 2_Sheet1" xfId="7824"/>
    <cellStyle name="_WP CKD 3" xfId="7825"/>
    <cellStyle name="_WP CKD 3_Sheet1" xfId="7826"/>
    <cellStyle name="_WP CKD 4" xfId="7827"/>
    <cellStyle name="_WP CKD 4 2" xfId="7828"/>
    <cellStyle name="_WP CKD 4 2_Sheet1" xfId="7829"/>
    <cellStyle name="_WP CKD 4_Sheet1" xfId="7830"/>
    <cellStyle name="_WP CKD 5" xfId="7831"/>
    <cellStyle name="_WP CKD 5_Sheet1" xfId="7832"/>
    <cellStyle name="_WP CKD 6" xfId="7833"/>
    <cellStyle name="_WP CKD 6_Sheet1" xfId="7834"/>
    <cellStyle name="_WP CKD 7" xfId="7835"/>
    <cellStyle name="_WP CKD 7_Sheet1" xfId="7836"/>
    <cellStyle name="_WP CKD_Copy of Worksheet PE 2009 Induk &amp; Konsolidasi_Draft-terbaru!!!!!!!!!" xfId="7837"/>
    <cellStyle name="_WP CKD_Copy of Worksheet PE 2009 Induk &amp; Konsolidasi_Draft-terbaru!!!!!!!!!_Sheet1" xfId="7838"/>
    <cellStyle name="_WP CKD_Sheet1" xfId="7839"/>
    <cellStyle name="_WP DAA 2009-23 Nov09" xfId="7840"/>
    <cellStyle name="_WP DAA 2009-23 Nov09_Sheet1" xfId="7841"/>
    <cellStyle name="_WP PT Patel Surya Minerals" xfId="7842"/>
    <cellStyle name="_WP PT Patel Surya Minerals 2" xfId="7843"/>
    <cellStyle name="_WP PT Patel Surya Minerals 2_Sheet1" xfId="7844"/>
    <cellStyle name="_WP PT Patel Surya Minerals 3" xfId="7845"/>
    <cellStyle name="_WP PT Patel Surya Minerals 3_Sheet1" xfId="7846"/>
    <cellStyle name="_WP PT Patel Surya Minerals 4" xfId="7847"/>
    <cellStyle name="_WP PT Patel Surya Minerals 4 2" xfId="7848"/>
    <cellStyle name="_WP PT Patel Surya Minerals 4 2_Sheet1" xfId="7849"/>
    <cellStyle name="_WP PT Patel Surya Minerals 4_Sheet1" xfId="7850"/>
    <cellStyle name="_WP PT Patel Surya Minerals 5" xfId="7851"/>
    <cellStyle name="_WP PT Patel Surya Minerals 5_Sheet1" xfId="7852"/>
    <cellStyle name="_WP PT Patel Surya Minerals 6" xfId="7853"/>
    <cellStyle name="_WP PT Patel Surya Minerals 6_Sheet1" xfId="7854"/>
    <cellStyle name="_WP PT Patel Surya Minerals 7" xfId="7855"/>
    <cellStyle name="_WP PT Patel Surya Minerals 7_Sheet1" xfId="7856"/>
    <cellStyle name="_WP PT Patel Surya Minerals_Copy of Worksheet PE 2009 Induk &amp; Konsolidasi_Draft-terbaru!!!!!!!!!" xfId="7857"/>
    <cellStyle name="_WP PT Patel Surya Minerals_Copy of Worksheet PE 2009 Induk &amp; Konsolidasi_Draft-terbaru!!!!!!!!!_Sheet1" xfId="7858"/>
    <cellStyle name="_WP PT Patel Surya Minerals_Sheet1" xfId="7859"/>
    <cellStyle name="_WP YPAC 2009-17 June 2010" xfId="7860"/>
    <cellStyle name="_WP YPAC 2009-17 June 2010_Sheet1" xfId="7861"/>
    <cellStyle name="_WP_0902_2_260207_update" xfId="7862"/>
    <cellStyle name="_WP_0902_2_260207_update_Sheet1" xfId="7863"/>
    <cellStyle name="_WTB BTG HO" xfId="7864"/>
    <cellStyle name="_WTB BTG HO 2" xfId="7865"/>
    <cellStyle name="_WTB BTG HO 2_Sheet1" xfId="7866"/>
    <cellStyle name="_WTB BTG HO 3" xfId="7867"/>
    <cellStyle name="_WTB BTG HO 3_Sheet1" xfId="7868"/>
    <cellStyle name="_WTB BTG HO 4" xfId="7869"/>
    <cellStyle name="_WTB BTG HO 4 2" xfId="7870"/>
    <cellStyle name="_WTB BTG HO 4 2_Sheet1" xfId="7871"/>
    <cellStyle name="_WTB BTG HO 4_Sheet1" xfId="7872"/>
    <cellStyle name="_WTB BTG HO 5" xfId="7873"/>
    <cellStyle name="_WTB BTG HO 5_Sheet1" xfId="7874"/>
    <cellStyle name="_WTB BTG HO 6" xfId="7875"/>
    <cellStyle name="_WTB BTG HO 6_Sheet1" xfId="7876"/>
    <cellStyle name="_WTB BTG HO 7" xfId="7877"/>
    <cellStyle name="_WTB BTG HO 7_Sheet1" xfId="7878"/>
    <cellStyle name="_WTB BTG HO_Copy of Worksheet PE 2009 Induk &amp; Konsolidasi_Draft-terbaru!!!!!!!!!" xfId="7879"/>
    <cellStyle name="_WTB BTG HO_Copy of Worksheet PE 2009 Induk &amp; Konsolidasi_Draft-terbaru!!!!!!!!!_Sheet1" xfId="7880"/>
    <cellStyle name="_WTB BTG HO_Sheet1" xfId="7881"/>
    <cellStyle name="_wtb MAP SDA" xfId="7882"/>
    <cellStyle name="_wtb MAP SDA 2" xfId="7883"/>
    <cellStyle name="_wtb MAP SDA 2_Sheet1" xfId="7884"/>
    <cellStyle name="_wtb MAP SDA 3" xfId="7885"/>
    <cellStyle name="_wtb MAP SDA 3_Sheet1" xfId="7886"/>
    <cellStyle name="_wtb MAP SDA 4" xfId="7887"/>
    <cellStyle name="_wtb MAP SDA 4 2" xfId="7888"/>
    <cellStyle name="_wtb MAP SDA 4 2_Sheet1" xfId="7889"/>
    <cellStyle name="_wtb MAP SDA 4_Sheet1" xfId="7890"/>
    <cellStyle name="_wtb MAP SDA 5" xfId="7891"/>
    <cellStyle name="_wtb MAP SDA 5_Sheet1" xfId="7892"/>
    <cellStyle name="_wtb MAP SDA 6" xfId="7893"/>
    <cellStyle name="_wtb MAP SDA 6_Sheet1" xfId="7894"/>
    <cellStyle name="_wtb MAP SDA 7" xfId="7895"/>
    <cellStyle name="_wtb MAP SDA 7_Sheet1" xfId="7896"/>
    <cellStyle name="_wtb MAP SDA_Copy of Worksheet PE 2009 Induk &amp; Konsolidasi_Draft-terbaru!!!!!!!!!" xfId="7897"/>
    <cellStyle name="_wtb MAP SDA_Copy of Worksheet PE 2009 Induk &amp; Konsolidasi_Draft-terbaru!!!!!!!!!_Sheet1" xfId="7898"/>
    <cellStyle name="_wtb MAP SDA_Sheet1" xfId="7899"/>
    <cellStyle name="_YPAC" xfId="7900"/>
    <cellStyle name="_YPAC 2" xfId="7901"/>
    <cellStyle name="_YPAC 2_Sheet1" xfId="7902"/>
    <cellStyle name="_YPAC 3" xfId="7903"/>
    <cellStyle name="_YPAC 3_Sheet1" xfId="7904"/>
    <cellStyle name="_YPAC 4" xfId="7905"/>
    <cellStyle name="_YPAC 4 2" xfId="7906"/>
    <cellStyle name="_YPAC 4 2_Sheet1" xfId="7907"/>
    <cellStyle name="_YPAC 4_Sheet1" xfId="7908"/>
    <cellStyle name="_YPAC 5" xfId="7909"/>
    <cellStyle name="_YPAC 5_Sheet1" xfId="7910"/>
    <cellStyle name="_YPAC 6" xfId="7911"/>
    <cellStyle name="_YPAC 6_Sheet1" xfId="7912"/>
    <cellStyle name="_YPAC 7" xfId="7913"/>
    <cellStyle name="_YPAC 7_Sheet1" xfId="7914"/>
    <cellStyle name="_YPAC Lap Keu 09" xfId="7915"/>
    <cellStyle name="_YPAC Lap Keu 09 2" xfId="7916"/>
    <cellStyle name="_YPAC Lap Keu 09 2_Sheet1" xfId="7917"/>
    <cellStyle name="_YPAC Lap Keu 09 3" xfId="7918"/>
    <cellStyle name="_YPAC Lap Keu 09 3_Sheet1" xfId="7919"/>
    <cellStyle name="_YPAC Lap Keu 09 4" xfId="7920"/>
    <cellStyle name="_YPAC Lap Keu 09 4 2" xfId="7921"/>
    <cellStyle name="_YPAC Lap Keu 09 4 2_Sheet1" xfId="7922"/>
    <cellStyle name="_YPAC Lap Keu 09 4_Sheet1" xfId="7923"/>
    <cellStyle name="_YPAC Lap Keu 09 5" xfId="7924"/>
    <cellStyle name="_YPAC Lap Keu 09 5_Sheet1" xfId="7925"/>
    <cellStyle name="_YPAC Lap Keu 09 6" xfId="7926"/>
    <cellStyle name="_YPAC Lap Keu 09 6_Sheet1" xfId="7927"/>
    <cellStyle name="_YPAC Lap Keu 09 7" xfId="7928"/>
    <cellStyle name="_YPAC Lap Keu 09 7_Sheet1" xfId="7929"/>
    <cellStyle name="_YPAC Lap Keu 09_Copy of Worksheet PE 2009 Induk &amp; Konsolidasi_Draft-terbaru!!!!!!!!!" xfId="7930"/>
    <cellStyle name="_YPAC Lap Keu 09_Copy of Worksheet PE 2009 Induk &amp; Konsolidasi_Draft-terbaru!!!!!!!!!_Sheet1" xfId="7931"/>
    <cellStyle name="_YPAC Lap Keu 09_Sheet1" xfId="7932"/>
    <cellStyle name="_YPAC_Copy of Worksheet PE 2009 Induk &amp; Konsolidasi_Draft-terbaru!!!!!!!!!" xfId="7933"/>
    <cellStyle name="_YPAC_Copy of Worksheet PE 2009 Induk &amp; Konsolidasi_Draft-terbaru!!!!!!!!!_Sheet1" xfId="7934"/>
    <cellStyle name="_YPAC_Sheet1" xfId="7935"/>
    <cellStyle name="˙˙˙˙˙˙˙˙˙˙˙˙˙˙˙˙˙˙˙˙˙˙˙˙˙˙˙˙˙˙˙˙˙˙˙˙˙˙˙˙˙_x0008_" xfId="7936"/>
    <cellStyle name="˙˙˙˙˙˙˙˙˙˙˙˙˙˙˙˙˙˙˙˙˙˙˙˙˙˙˙˙˙˙˙˙˙˙˙˙˙˙˙˙˙_x0008_ 2" xfId="7937"/>
    <cellStyle name="˙˙˙˙˙˙˙˙˙˙˙˙˙˙˙˙˙˙˙˙˙˙˙˙˙˙˙˙˙˙˙˙˙˙˙˙˙˙˙˙˙_x0008__Sheet1" xfId="7938"/>
    <cellStyle name="‚" xfId="7939"/>
    <cellStyle name="‚_Sheet1" xfId="7940"/>
    <cellStyle name="„" xfId="7941"/>
    <cellStyle name="„_Sheet1" xfId="7942"/>
    <cellStyle name="–¢’è‹`" xfId="7943"/>
    <cellStyle name="£Currency [0]" xfId="7944"/>
    <cellStyle name="£Currency [1]" xfId="7945"/>
    <cellStyle name="£Currency [2]" xfId="7946"/>
    <cellStyle name="£Currency [p]" xfId="7947"/>
    <cellStyle name="£Currency [p2]" xfId="7948"/>
    <cellStyle name="£Pounds" xfId="7949"/>
    <cellStyle name="_x0004_¥" xfId="7950"/>
    <cellStyle name="=C:\WINNT35\SYSTEM32\COMMAND.COM" xfId="7951"/>
    <cellStyle name="=C:\WINNT35\SYSTEM32\COMMAND.COM 2" xfId="7952"/>
    <cellStyle name="=C:\WINNT35\SYSTEM32\COMMAND.COM 3" xfId="7953"/>
    <cellStyle name="=C:\WINNT35\SYSTEM32\COMMAND.COM 4" xfId="7954"/>
    <cellStyle name="=C:\WINNT35\SYSTEM32\COMMAND.COM 4 2" xfId="7955"/>
    <cellStyle name="=C:\WINNT35\SYSTEM32\COMMAND.COM 4_Sheet1" xfId="7956"/>
    <cellStyle name="=C:\WINNT35\SYSTEM32\COMMAND.COM_BUMI (Parent)_WP_311208_A,B,F,J,BB,DD,HH,II,KK_v6d finalBGT" xfId="7957"/>
    <cellStyle name="…" xfId="7958"/>
    <cellStyle name="…_Sheet1" xfId="7959"/>
    <cellStyle name="†" xfId="7960"/>
    <cellStyle name="†_Sheet1" xfId="7961"/>
    <cellStyle name="‡" xfId="7962"/>
    <cellStyle name="‡ - Style1" xfId="7963"/>
    <cellStyle name="‡ 2" xfId="7964"/>
    <cellStyle name="‡_1 Leadschedule_BTEL_12 31 08 - Copy" xfId="7965"/>
    <cellStyle name="‡_1 Leadschedule_BTEL_12 31 08 - Copy 2" xfId="7966"/>
    <cellStyle name="‡_1 Leadschedule_BTEL_12 31 08 - Copy 2_Sheet1" xfId="7967"/>
    <cellStyle name="‡_1 Leadschedule_BTEL_12 31 08 - Copy_BS  PL format audit June10 Hendro Ver300810 10AM FINAL" xfId="7968"/>
    <cellStyle name="‡_1 Leadschedule_BTEL_12 31 08 - Copy_BS  PL format audit June10 Hendro Ver300810 10AM FINAL_Sheet1" xfId="7969"/>
    <cellStyle name="‡_1 Leadschedule_BTEL_12 31 08 - Copy_Sheet1" xfId="7970"/>
    <cellStyle name="‡_3667C Sanga PMR Mar 07 Rev2" xfId="7971"/>
    <cellStyle name="‡_3667C Sanga PMR Mar 07 Rev2_FA MPack" xfId="7972"/>
    <cellStyle name="‡_3667C Sanga PMR Mar 07 Rev2_FA MPack (2)" xfId="7973"/>
    <cellStyle name="‡_3667C Sanga PMR Mar 07 Rev2_FA MPack (2)_Lease Analysis.2" xfId="7974"/>
    <cellStyle name="‡_3667C Sanga PMR Mar 07 Rev2_FA MPack (2)_Lease Analysis.2_Sheet1" xfId="7975"/>
    <cellStyle name="‡_3667C Sanga PMR Mar 07 Rev2_FA MPack (2)_Sheet1" xfId="7976"/>
    <cellStyle name="‡_3667C Sanga PMR Mar 07 Rev2_FA MPack_Lease Analysis.2" xfId="7977"/>
    <cellStyle name="‡_3667C Sanga PMR Mar 07 Rev2_FA MPack_Lease Analysis.2_Sheet1" xfId="7978"/>
    <cellStyle name="‡_3667C Sanga PMR Mar 07 Rev2_FA MPack_Sheet1" xfId="7979"/>
    <cellStyle name="‡_3667C Sanga PMR Mar 07 Rev2_GBP PMR Summary" xfId="7980"/>
    <cellStyle name="‡_3667C Sanga PMR Mar 07 Rev2_GBP PMR Summary_Lease Analysis.2" xfId="7981"/>
    <cellStyle name="‡_3667C Sanga PMR Mar 07 Rev2_GBP PMR Summary_Lease Analysis.2_Sheet1" xfId="7982"/>
    <cellStyle name="‡_3667C Sanga PMR Mar 07 Rev2_GBP PMR Summary_Sheet1" xfId="7983"/>
    <cellStyle name="‡_3667C Sanga PMR Mar 07 Rev2_GBP PMR Summary-based on current forecast" xfId="7984"/>
    <cellStyle name="‡_3667C Sanga PMR Mar 07 Rev2_GBP PMR Summary-based on current forecast_Lease Analysis.2" xfId="7985"/>
    <cellStyle name="‡_3667C Sanga PMR Mar 07 Rev2_GBP PMR Summary-based on current forecast_Lease Analysis.2_Sheet1" xfId="7986"/>
    <cellStyle name="‡_3667C Sanga PMR Mar 07 Rev2_GBP PMR Summary-based on current forecast_Sheet1" xfId="7987"/>
    <cellStyle name="‡_3667C Sanga PMR Mar 07 Rev2_MP_PROFORMA 0608 v3 Protected" xfId="7988"/>
    <cellStyle name="‡_3667C Sanga PMR Mar 07 Rev2_MP_PROFORMA 0608 v3 Protected_080109 Capex Report" xfId="7989"/>
    <cellStyle name="‡_3667C Sanga PMR Mar 07 Rev2_MP_PROFORMA 0608 v3 Protected_080109 Capex Report_Sheet1" xfId="7990"/>
    <cellStyle name="‡_3667C Sanga PMR Mar 07 Rev2_MP_PROFORMA 0608 v3 Protected_Sheet1" xfId="7991"/>
    <cellStyle name="‡_3667C Sanga PMR Mar 07 Rev2_PMR Summary-based on current forecast" xfId="7992"/>
    <cellStyle name="‡_3667C Sanga PMR Mar 07 Rev2_PMR Summary-based on current forecast_Lease Analysis.2" xfId="7993"/>
    <cellStyle name="‡_3667C Sanga PMR Mar 07 Rev2_PMR Summary-based on current forecast_Lease Analysis.2_Sheet1" xfId="7994"/>
    <cellStyle name="‡_3667C Sanga PMR Mar 07 Rev2_PMR Summary-based on current forecast_Sheet1" xfId="7995"/>
    <cellStyle name="‡_3667C Sanga PMR Mar 07 Rev2_Sanga PMR Summary" xfId="7996"/>
    <cellStyle name="‡_3667C Sanga PMR Mar 07 Rev2_Sanga PMR Summary_1107_Final_SUN_updated_10Dec" xfId="7997"/>
    <cellStyle name="‡_3667C Sanga PMR Mar 07 Rev2_Sanga PMR Summary_1107_Final_SUN_updated_10Dec_Lease Analysis.2" xfId="7998"/>
    <cellStyle name="‡_3667C Sanga PMR Mar 07 Rev2_Sanga PMR Summary_1107_Final_SUN_updated_10Dec_Lease Analysis.2_Sheet1" xfId="7999"/>
    <cellStyle name="‡_3667C Sanga PMR Mar 07 Rev2_Sanga PMR Summary_1107_Final_SUN_updated_10Dec_Sheet1" xfId="8000"/>
    <cellStyle name="‡_3667C Sanga PMR Mar 07 Rev2_Sanga PMR Summary_Lease Analysis.2" xfId="8001"/>
    <cellStyle name="‡_3667C Sanga PMR Mar 07 Rev2_Sanga PMR Summary_Lease Analysis.2_Sheet1" xfId="8002"/>
    <cellStyle name="‡_3667C Sanga PMR Mar 07 Rev2_Sanga PMR Summary_Sheet1" xfId="8003"/>
    <cellStyle name="‡_3667C Sanga PMR Mar 07 Rev2_Sheet1" xfId="8004"/>
    <cellStyle name="‡_3667C Sanga PMR May 07 Rev 1" xfId="8005"/>
    <cellStyle name="‡_3667C Sanga PMR May 07 Rev 1_200803 New FA Movement (Mar08)" xfId="8006"/>
    <cellStyle name="‡_3667C Sanga PMR May 07 Rev 1_200803 New FA Movement (Mar08)_Lease Analysis.2" xfId="8007"/>
    <cellStyle name="‡_3667C Sanga PMR May 07 Rev 1_200803 New FA Movement (Mar08)_Lease Analysis.2_Sheet1" xfId="8008"/>
    <cellStyle name="‡_3667C Sanga PMR May 07 Rev 1_200803 New FA Movement (Mar08)_Sheet1" xfId="8009"/>
    <cellStyle name="‡_3667C Sanga PMR May 07 Rev 1_CapexandIRRcalculation-85%financing - revised" xfId="8010"/>
    <cellStyle name="‡_3667C Sanga PMR May 07 Rev 1_CapexandIRRcalculation-85%financing - revised_Lease Analysis.2" xfId="8011"/>
    <cellStyle name="‡_3667C Sanga PMR May 07 Rev 1_CapexandIRRcalculation-85%financing - revised_Lease Analysis.2_Sheet1" xfId="8012"/>
    <cellStyle name="‡_3667C Sanga PMR May 07 Rev 1_CapexandIRRcalculation-85%financing - revised_Sheet1" xfId="8013"/>
    <cellStyle name="‡_3667C Sanga PMR May 07 Rev 1_MP_PROFORMA 0608 v3 Protected" xfId="8014"/>
    <cellStyle name="‡_3667C Sanga PMR May 07 Rev 1_MP_PROFORMA 0608 v3 Protected_Lease Analysis.2" xfId="8015"/>
    <cellStyle name="‡_3667C Sanga PMR May 07 Rev 1_MP_PROFORMA 0608 v3 Protected_Lease Analysis.2_Sheet1" xfId="8016"/>
    <cellStyle name="‡_3667C Sanga PMR May 07 Rev 1_MP_PROFORMA 0608 v3 Protected_Sheet1" xfId="8017"/>
    <cellStyle name="‡_3667C Sanga PMR May 07 Rev 1_Sheet1" xfId="8018"/>
    <cellStyle name="‡_AP" xfId="8019"/>
    <cellStyle name="‡_AP 2" xfId="8020"/>
    <cellStyle name="‡_AP 2_Sheet1" xfId="8021"/>
    <cellStyle name="‡_AP_BS  PL format audit June10 Hendro Ver300810 10AM FINAL" xfId="8022"/>
    <cellStyle name="‡_AP_BS  PL format audit June10 Hendro Ver300810 10AM FINAL_Sheet1" xfId="8023"/>
    <cellStyle name="‡_AP_Sheet1" xfId="8024"/>
    <cellStyle name="‡_BOOK1" xfId="8025"/>
    <cellStyle name="‡_BOOK1 2" xfId="8026"/>
    <cellStyle name="‡_BOOK1 2_Sheet1" xfId="8027"/>
    <cellStyle name="‡_BOOK1_3321C - INVOICE STATUS - NOV 2002" xfId="8028"/>
    <cellStyle name="‡_BOOK1_3321C - INVOICE STATUS - NOV 2002 2" xfId="8029"/>
    <cellStyle name="‡_BOOK1_3321C - INVOICE STATUS - NOV 2002 2_Sheet1" xfId="8030"/>
    <cellStyle name="‡_BOOK1_3321C - INVOICE STATUS - NOV 2002_Sheet1" xfId="8031"/>
    <cellStyle name="‡_BOOK1_3321C - INVOICE STATUS - NOV 2002_Worksheet in 5361 Testing Accrued Income - May 2008" xfId="8032"/>
    <cellStyle name="‡_BOOK1_3321C - INVOICE STATUS - NOV 2002_Worksheet in 5361 Testing Accrued Income - May 2008_Sheet1" xfId="8033"/>
    <cellStyle name="‡_BOOK1_3667C Sanga PMR Mar 07 Rev2" xfId="8034"/>
    <cellStyle name="‡_BOOK1_3667C Sanga PMR Mar 07 Rev2_080109 Capex Report" xfId="8035"/>
    <cellStyle name="‡_BOOK1_3667C Sanga PMR Mar 07 Rev2_080109 Capex Report_Sheet1" xfId="8036"/>
    <cellStyle name="‡_BOOK1_3667C Sanga PMR Mar 07 Rev2_200803 New FA Movement (Mar08)" xfId="8037"/>
    <cellStyle name="‡_BOOK1_3667C Sanga PMR Mar 07 Rev2_200803 New FA Movement (Mar08)_Sheet1" xfId="8038"/>
    <cellStyle name="‡_BOOK1_3667C Sanga PMR Mar 07 Rev2_GBP PMR Summary" xfId="8039"/>
    <cellStyle name="‡_BOOK1_3667C Sanga PMR Mar 07 Rev2_GBP PMR Summary_Sheet1" xfId="8040"/>
    <cellStyle name="‡_BOOK1_3667C Sanga PMR Mar 07 Rev2_GBP PMR Summary-based on current forecast" xfId="8041"/>
    <cellStyle name="‡_BOOK1_3667C Sanga PMR Mar 07 Rev2_GBP PMR Summary-based on current forecast_Sheet1" xfId="8042"/>
    <cellStyle name="‡_BOOK1_3667C Sanga PMR Mar 07 Rev2_Lease Analysis.2" xfId="8043"/>
    <cellStyle name="‡_BOOK1_3667C Sanga PMR Mar 07 Rev2_Lease Analysis.2_Sheet1" xfId="8044"/>
    <cellStyle name="‡_BOOK1_3667C Sanga PMR Mar 07 Rev2_MP_PROFORMA 0608 v3 Protected" xfId="8045"/>
    <cellStyle name="‡_BOOK1_3667C Sanga PMR Mar 07 Rev2_MP_PROFORMA 0608 v3 Protected_080109 Capex Report" xfId="8046"/>
    <cellStyle name="‡_BOOK1_3667C Sanga PMR Mar 07 Rev2_MP_PROFORMA 0608 v3 Protected_080109 Capex Report_Sheet1" xfId="8047"/>
    <cellStyle name="‡_BOOK1_3667C Sanga PMR Mar 07 Rev2_MP_PROFORMA 0608 v3 Protected_Lease Analysis.2" xfId="8048"/>
    <cellStyle name="‡_BOOK1_3667C Sanga PMR Mar 07 Rev2_MP_PROFORMA 0608 v3 Protected_Lease Analysis.2_Sheet1" xfId="8049"/>
    <cellStyle name="‡_BOOK1_3667C Sanga PMR Mar 07 Rev2_MP_PROFORMA 0608 v3 Protected_Sheet1" xfId="8050"/>
    <cellStyle name="‡_BOOK1_3667C Sanga PMR Mar 07 Rev2_PMR Summary-based on current forecast" xfId="8051"/>
    <cellStyle name="‡_BOOK1_3667C Sanga PMR Mar 07 Rev2_PMR Summary-based on current forecast_Sheet1" xfId="8052"/>
    <cellStyle name="‡_BOOK1_3667C Sanga PMR Mar 07 Rev2_Sanga PMR Summary" xfId="8053"/>
    <cellStyle name="‡_BOOK1_3667C Sanga PMR Mar 07 Rev2_Sanga PMR Summary_1107_Final_SUN_updated_10Dec" xfId="8054"/>
    <cellStyle name="‡_BOOK1_3667C Sanga PMR Mar 07 Rev2_Sanga PMR Summary_1107_Final_SUN_updated_10Dec_Sheet1" xfId="8055"/>
    <cellStyle name="‡_BOOK1_3667C Sanga PMR Mar 07 Rev2_Sanga PMR Summary_Sheet1" xfId="8056"/>
    <cellStyle name="‡_BOOK1_3667C Sanga PMR Mar 07 Rev2_Sheet1" xfId="8057"/>
    <cellStyle name="‡_BOOK1_3667C Sanga PMR May 07 Rev 1" xfId="8058"/>
    <cellStyle name="‡_BOOK1_3667C Sanga PMR May 07 Rev 1_080109 Capex Report" xfId="8059"/>
    <cellStyle name="‡_BOOK1_3667C Sanga PMR May 07 Rev 1_080109 Capex Report_Sheet1" xfId="8060"/>
    <cellStyle name="‡_BOOK1_3667C Sanga PMR May 07 Rev 1_200803 New FA Movement (Mar08)" xfId="8061"/>
    <cellStyle name="‡_BOOK1_3667C Sanga PMR May 07 Rev 1_200803 New FA Movement (Mar08)_Sheet1" xfId="8062"/>
    <cellStyle name="‡_BOOK1_3667C Sanga PMR May 07 Rev 1_CapexandIRRcalculation-85%financing - revised" xfId="8063"/>
    <cellStyle name="‡_BOOK1_3667C Sanga PMR May 07 Rev 1_CapexandIRRcalculation-85%financing - revised_Sheet1" xfId="8064"/>
    <cellStyle name="‡_BOOK1_3667C Sanga PMR May 07 Rev 1_Lease Analysis.2" xfId="8065"/>
    <cellStyle name="‡_BOOK1_3667C Sanga PMR May 07 Rev 1_Lease Analysis.2_Sheet1" xfId="8066"/>
    <cellStyle name="‡_BOOK1_3667C Sanga PMR May 07 Rev 1_MP_PROFORMA 0608 v3 Protected" xfId="8067"/>
    <cellStyle name="‡_BOOK1_3667C Sanga PMR May 07 Rev 1_MP_PROFORMA 0608 v3 Protected_Sheet1" xfId="8068"/>
    <cellStyle name="‡_BOOK1_3667C Sanga PMR May 07 Rev 1_Sheet1" xfId="8069"/>
    <cellStyle name="‡_BOOK1_Capex and IRR calculation Markup Scenarios" xfId="8070"/>
    <cellStyle name="‡_BOOK1_Capex and IRR calculation Markup Scenarios_080109 Capex Report" xfId="8071"/>
    <cellStyle name="‡_BOOK1_Capex and IRR calculation Markup Scenarios_080109 Capex Report_Sheet1" xfId="8072"/>
    <cellStyle name="‡_BOOK1_Capex and IRR calculation Markup Scenarios_Lease Analysis.2" xfId="8073"/>
    <cellStyle name="‡_BOOK1_Capex and IRR calculation Markup Scenarios_Lease Analysis.2_Sheet1" xfId="8074"/>
    <cellStyle name="‡_BOOK1_Capex and IRR calculation Markup Scenarios_Sheet1" xfId="8075"/>
    <cellStyle name="‡_BOOK1_Claim Summary" xfId="8076"/>
    <cellStyle name="‡_BOOK1_Claim Summary 2" xfId="8077"/>
    <cellStyle name="‡_BOOK1_Claim Summary 2_Sheet1" xfId="8078"/>
    <cellStyle name="‡_BOOK1_Claim Summary_3667C Sanga PMR Mar 07 Rev2" xfId="8079"/>
    <cellStyle name="‡_BOOK1_Claim Summary_3667C Sanga PMR Mar 07 Rev2_FA MPack" xfId="8080"/>
    <cellStyle name="‡_BOOK1_Claim Summary_3667C Sanga PMR Mar 07 Rev2_FA MPack (2)" xfId="8081"/>
    <cellStyle name="‡_BOOK1_Claim Summary_3667C Sanga PMR Mar 07 Rev2_FA MPack (2)_Lease Analysis.2" xfId="8082"/>
    <cellStyle name="‡_BOOK1_Claim Summary_3667C Sanga PMR Mar 07 Rev2_FA MPack (2)_Lease Analysis.2_Sheet1" xfId="8083"/>
    <cellStyle name="‡_BOOK1_Claim Summary_3667C Sanga PMR Mar 07 Rev2_FA MPack (2)_Sheet1" xfId="8084"/>
    <cellStyle name="‡_BOOK1_Claim Summary_3667C Sanga PMR Mar 07 Rev2_FA MPack_Lease Analysis.2" xfId="8085"/>
    <cellStyle name="‡_BOOK1_Claim Summary_3667C Sanga PMR Mar 07 Rev2_FA MPack_Lease Analysis.2_Sheet1" xfId="8086"/>
    <cellStyle name="‡_BOOK1_Claim Summary_3667C Sanga PMR Mar 07 Rev2_FA MPack_Sheet1" xfId="8087"/>
    <cellStyle name="‡_BOOK1_Claim Summary_3667C Sanga PMR Mar 07 Rev2_GBP PMR Summary" xfId="8088"/>
    <cellStyle name="‡_BOOK1_Claim Summary_3667C Sanga PMR Mar 07 Rev2_GBP PMR Summary_Lease Analysis.2" xfId="8089"/>
    <cellStyle name="‡_BOOK1_Claim Summary_3667C Sanga PMR Mar 07 Rev2_GBP PMR Summary_Lease Analysis.2_Sheet1" xfId="8090"/>
    <cellStyle name="‡_BOOK1_Claim Summary_3667C Sanga PMR Mar 07 Rev2_GBP PMR Summary_Sheet1" xfId="8091"/>
    <cellStyle name="‡_BOOK1_Claim Summary_3667C Sanga PMR Mar 07 Rev2_GBP PMR Summary-based on current forecast" xfId="8092"/>
    <cellStyle name="‡_BOOK1_Claim Summary_3667C Sanga PMR Mar 07 Rev2_GBP PMR Summary-based on current forecast_Lease Analysis.2" xfId="8093"/>
    <cellStyle name="‡_BOOK1_Claim Summary_3667C Sanga PMR Mar 07 Rev2_GBP PMR Summary-based on current forecast_Lease Analysis.2_Sheet1" xfId="8094"/>
    <cellStyle name="‡_BOOK1_Claim Summary_3667C Sanga PMR Mar 07 Rev2_GBP PMR Summary-based on current forecast_Sheet1" xfId="8095"/>
    <cellStyle name="‡_BOOK1_Claim Summary_3667C Sanga PMR Mar 07 Rev2_MP_PROFORMA 0608 v3 Protected" xfId="8096"/>
    <cellStyle name="‡_BOOK1_Claim Summary_3667C Sanga PMR Mar 07 Rev2_MP_PROFORMA 0608 v3 Protected_080109 Capex Report" xfId="8097"/>
    <cellStyle name="‡_BOOK1_Claim Summary_3667C Sanga PMR Mar 07 Rev2_MP_PROFORMA 0608 v3 Protected_080109 Capex Report_Sheet1" xfId="8098"/>
    <cellStyle name="‡_BOOK1_Claim Summary_3667C Sanga PMR Mar 07 Rev2_MP_PROFORMA 0608 v3 Protected_Sheet1" xfId="8099"/>
    <cellStyle name="‡_BOOK1_Claim Summary_3667C Sanga PMR Mar 07 Rev2_PMR Summary-based on current forecast" xfId="8100"/>
    <cellStyle name="‡_BOOK1_Claim Summary_3667C Sanga PMR Mar 07 Rev2_PMR Summary-based on current forecast_Lease Analysis.2" xfId="8101"/>
    <cellStyle name="‡_BOOK1_Claim Summary_3667C Sanga PMR Mar 07 Rev2_PMR Summary-based on current forecast_Lease Analysis.2_Sheet1" xfId="8102"/>
    <cellStyle name="‡_BOOK1_Claim Summary_3667C Sanga PMR Mar 07 Rev2_PMR Summary-based on current forecast_Sheet1" xfId="8103"/>
    <cellStyle name="‡_BOOK1_Claim Summary_3667C Sanga PMR Mar 07 Rev2_Sanga PMR Summary" xfId="8104"/>
    <cellStyle name="‡_BOOK1_Claim Summary_3667C Sanga PMR Mar 07 Rev2_Sanga PMR Summary_1107_Final_SUN_updated_10Dec" xfId="8105"/>
    <cellStyle name="‡_BOOK1_Claim Summary_3667C Sanga PMR Mar 07 Rev2_Sanga PMR Summary_1107_Final_SUN_updated_10Dec_Lease Analysis.2" xfId="8106"/>
    <cellStyle name="‡_BOOK1_Claim Summary_3667C Sanga PMR Mar 07 Rev2_Sanga PMR Summary_1107_Final_SUN_updated_10Dec_Lease Analysis.2_Sheet1" xfId="8107"/>
    <cellStyle name="‡_BOOK1_Claim Summary_3667C Sanga PMR Mar 07 Rev2_Sanga PMR Summary_1107_Final_SUN_updated_10Dec_Sheet1" xfId="8108"/>
    <cellStyle name="‡_BOOK1_Claim Summary_3667C Sanga PMR Mar 07 Rev2_Sanga PMR Summary_Lease Analysis.2" xfId="8109"/>
    <cellStyle name="‡_BOOK1_Claim Summary_3667C Sanga PMR Mar 07 Rev2_Sanga PMR Summary_Lease Analysis.2_Sheet1" xfId="8110"/>
    <cellStyle name="‡_BOOK1_Claim Summary_3667C Sanga PMR Mar 07 Rev2_Sanga PMR Summary_Sheet1" xfId="8111"/>
    <cellStyle name="‡_BOOK1_Claim Summary_3667C Sanga PMR Mar 07 Rev2_Sheet1" xfId="8112"/>
    <cellStyle name="‡_BOOK1_Claim Summary_3667C Sanga PMR May 07 Rev 1" xfId="8113"/>
    <cellStyle name="‡_BOOK1_Claim Summary_3667C Sanga PMR May 07 Rev 1_200803 New FA Movement (Mar08)" xfId="8114"/>
    <cellStyle name="‡_BOOK1_Claim Summary_3667C Sanga PMR May 07 Rev 1_200803 New FA Movement (Mar08)_Lease Analysis.2" xfId="8115"/>
    <cellStyle name="‡_BOOK1_Claim Summary_3667C Sanga PMR May 07 Rev 1_200803 New FA Movement (Mar08)_Lease Analysis.2_Sheet1" xfId="8116"/>
    <cellStyle name="‡_BOOK1_Claim Summary_3667C Sanga PMR May 07 Rev 1_200803 New FA Movement (Mar08)_Sheet1" xfId="8117"/>
    <cellStyle name="‡_BOOK1_Claim Summary_3667C Sanga PMR May 07 Rev 1_CapexandIRRcalculation-85%financing - revised" xfId="8118"/>
    <cellStyle name="‡_BOOK1_Claim Summary_3667C Sanga PMR May 07 Rev 1_CapexandIRRcalculation-85%financing - revised_Lease Analysis.2" xfId="8119"/>
    <cellStyle name="‡_BOOK1_Claim Summary_3667C Sanga PMR May 07 Rev 1_CapexandIRRcalculation-85%financing - revised_Lease Analysis.2_Sheet1" xfId="8120"/>
    <cellStyle name="‡_BOOK1_Claim Summary_3667C Sanga PMR May 07 Rev 1_CapexandIRRcalculation-85%financing - revised_Sheet1" xfId="8121"/>
    <cellStyle name="‡_BOOK1_Claim Summary_3667C Sanga PMR May 07 Rev 1_MP_PROFORMA 0608 v3 Protected" xfId="8122"/>
    <cellStyle name="‡_BOOK1_Claim Summary_3667C Sanga PMR May 07 Rev 1_MP_PROFORMA 0608 v3 Protected_Lease Analysis.2" xfId="8123"/>
    <cellStyle name="‡_BOOK1_Claim Summary_3667C Sanga PMR May 07 Rev 1_MP_PROFORMA 0608 v3 Protected_Lease Analysis.2_Sheet1" xfId="8124"/>
    <cellStyle name="‡_BOOK1_Claim Summary_3667C Sanga PMR May 07 Rev 1_MP_PROFORMA 0608 v3 Protected_Sheet1" xfId="8125"/>
    <cellStyle name="‡_BOOK1_Claim Summary_3667C Sanga PMR May 07 Rev 1_Sheet1" xfId="8126"/>
    <cellStyle name="‡_BOOK1_Claim Summary_Capex and IRR calculation Markup Scenarios" xfId="8127"/>
    <cellStyle name="‡_BOOK1_Claim Summary_Capex and IRR calculation Markup Scenarios_080109 Capex Report" xfId="8128"/>
    <cellStyle name="‡_BOOK1_Claim Summary_Capex and IRR calculation Markup Scenarios_080109 Capex Report_Sheet1" xfId="8129"/>
    <cellStyle name="‡_BOOK1_Claim Summary_Capex and IRR calculation Markup Scenarios_Sheet1" xfId="8130"/>
    <cellStyle name="‡_BOOK1_Claim Summary_FA MPack" xfId="8131"/>
    <cellStyle name="‡_BOOK1_Claim Summary_FA MPack (2)" xfId="8132"/>
    <cellStyle name="‡_BOOK1_Claim Summary_FA MPack (2)_Lease Analysis.2" xfId="8133"/>
    <cellStyle name="‡_BOOK1_Claim Summary_FA MPack (2)_Lease Analysis.2_Sheet1" xfId="8134"/>
    <cellStyle name="‡_BOOK1_Claim Summary_FA MPack (2)_Sheet1" xfId="8135"/>
    <cellStyle name="‡_BOOK1_Claim Summary_FA MPack_Lease Analysis.2" xfId="8136"/>
    <cellStyle name="‡_BOOK1_Claim Summary_FA MPack_Lease Analysis.2_Sheet1" xfId="8137"/>
    <cellStyle name="‡_BOOK1_Claim Summary_FA MPack_Sheet1" xfId="8138"/>
    <cellStyle name="‡_BOOK1_Claim Summary_GBP PMR Summary" xfId="8139"/>
    <cellStyle name="‡_BOOK1_Claim Summary_GBP PMR Summary_Lease Analysis.2" xfId="8140"/>
    <cellStyle name="‡_BOOK1_Claim Summary_GBP PMR Summary_Lease Analysis.2_Sheet1" xfId="8141"/>
    <cellStyle name="‡_BOOK1_Claim Summary_GBP PMR Summary_Sheet1" xfId="8142"/>
    <cellStyle name="‡_BOOK1_Claim Summary_GBP PMR Summary-based on current forecast" xfId="8143"/>
    <cellStyle name="‡_BOOK1_Claim Summary_GBP PMR Summary-based on current forecast_Lease Analysis.2" xfId="8144"/>
    <cellStyle name="‡_BOOK1_Claim Summary_GBP PMR Summary-based on current forecast_Lease Analysis.2_Sheet1" xfId="8145"/>
    <cellStyle name="‡_BOOK1_Claim Summary_GBP PMR Summary-based on current forecast_Sheet1" xfId="8146"/>
    <cellStyle name="‡_BOOK1_Claim Summary_Plant Componentry Schedule" xfId="8147"/>
    <cellStyle name="‡_BOOK1_Claim Summary_Plant Componentry Schedule_Sheet1" xfId="8148"/>
    <cellStyle name="‡_BOOK1_Claim Summary_PMR Summary-based on current forecast" xfId="8149"/>
    <cellStyle name="‡_BOOK1_Claim Summary_PMR Summary-based on current forecast_Lease Analysis.2" xfId="8150"/>
    <cellStyle name="‡_BOOK1_Claim Summary_PMR Summary-based on current forecast_Lease Analysis.2_Sheet1" xfId="8151"/>
    <cellStyle name="‡_BOOK1_Claim Summary_PMR Summary-based on current forecast_Sheet1" xfId="8152"/>
    <cellStyle name="‡_BOOK1_Claim Summary_Sanga PMR Summary" xfId="8153"/>
    <cellStyle name="‡_BOOK1_Claim Summary_Sanga PMR Summary_1107_Final_SUN_updated_10Dec" xfId="8154"/>
    <cellStyle name="‡_BOOK1_Claim Summary_Sanga PMR Summary_1107_Final_SUN_updated_10Dec_Lease Analysis.2" xfId="8155"/>
    <cellStyle name="‡_BOOK1_Claim Summary_Sanga PMR Summary_1107_Final_SUN_updated_10Dec_Lease Analysis.2_Sheet1" xfId="8156"/>
    <cellStyle name="‡_BOOK1_Claim Summary_Sanga PMR Summary_1107_Final_SUN_updated_10Dec_Sheet1" xfId="8157"/>
    <cellStyle name="‡_BOOK1_Claim Summary_Sanga PMR Summary_Lease Analysis.2" xfId="8158"/>
    <cellStyle name="‡_BOOK1_Claim Summary_Sanga PMR Summary_Lease Analysis.2_Sheet1" xfId="8159"/>
    <cellStyle name="‡_BOOK1_Claim Summary_Sanga PMR Summary_Sheet1" xfId="8160"/>
    <cellStyle name="‡_BOOK1_Claim Summary_Sheet1" xfId="8161"/>
    <cellStyle name="‡_BOOK1_Claim Summary_Worksheet in 5361 Testing Accrued Income - May 2008" xfId="8162"/>
    <cellStyle name="‡_BOOK1_Claim Summary_Worksheet in 5361 Testing Accrued Income - May 2008_Sheet1" xfId="8163"/>
    <cellStyle name="‡_BOOK1_Plant Componentry Schedule" xfId="8164"/>
    <cellStyle name="‡_BOOK1_Plant Componentry Schedule_Sheet1" xfId="8165"/>
    <cellStyle name="‡_BOOK1_Rep-3323c(0901)" xfId="8166"/>
    <cellStyle name="‡_BOOK1_Rep-3323c(0901) 2" xfId="8167"/>
    <cellStyle name="‡_BOOK1_Rep-3323c(0901) 2_Sheet1" xfId="8168"/>
    <cellStyle name="‡_BOOK1_Rep-3323c(0901)_3667C Sanga PMR Mar 07 Rev2" xfId="8169"/>
    <cellStyle name="‡_BOOK1_Rep-3323c(0901)_3667C Sanga PMR Mar 07 Rev2_FA MPack" xfId="8170"/>
    <cellStyle name="‡_BOOK1_Rep-3323c(0901)_3667C Sanga PMR Mar 07 Rev2_FA MPack (2)" xfId="8171"/>
    <cellStyle name="‡_BOOK1_Rep-3323c(0901)_3667C Sanga PMR Mar 07 Rev2_FA MPack (2)_Lease Analysis.2" xfId="8172"/>
    <cellStyle name="‡_BOOK1_Rep-3323c(0901)_3667C Sanga PMR Mar 07 Rev2_FA MPack (2)_Lease Analysis.2_Sheet1" xfId="8173"/>
    <cellStyle name="‡_BOOK1_Rep-3323c(0901)_3667C Sanga PMR Mar 07 Rev2_FA MPack (2)_Sheet1" xfId="8174"/>
    <cellStyle name="‡_BOOK1_Rep-3323c(0901)_3667C Sanga PMR Mar 07 Rev2_FA MPack_Lease Analysis.2" xfId="8175"/>
    <cellStyle name="‡_BOOK1_Rep-3323c(0901)_3667C Sanga PMR Mar 07 Rev2_FA MPack_Lease Analysis.2_Sheet1" xfId="8176"/>
    <cellStyle name="‡_BOOK1_Rep-3323c(0901)_3667C Sanga PMR Mar 07 Rev2_FA MPack_Sheet1" xfId="8177"/>
    <cellStyle name="‡_BOOK1_Rep-3323c(0901)_3667C Sanga PMR Mar 07 Rev2_GBP PMR Summary" xfId="8178"/>
    <cellStyle name="‡_BOOK1_Rep-3323c(0901)_3667C Sanga PMR Mar 07 Rev2_GBP PMR Summary_Lease Analysis.2" xfId="8179"/>
    <cellStyle name="‡_BOOK1_Rep-3323c(0901)_3667C Sanga PMR Mar 07 Rev2_GBP PMR Summary_Lease Analysis.2_Sheet1" xfId="8180"/>
    <cellStyle name="‡_BOOK1_Rep-3323c(0901)_3667C Sanga PMR Mar 07 Rev2_GBP PMR Summary_Sheet1" xfId="8181"/>
    <cellStyle name="‡_BOOK1_Rep-3323c(0901)_3667C Sanga PMR Mar 07 Rev2_GBP PMR Summary-based on current forecast" xfId="8182"/>
    <cellStyle name="‡_BOOK1_Rep-3323c(0901)_3667C Sanga PMR Mar 07 Rev2_GBP PMR Summary-based on current forecast_Lease Analysis.2" xfId="8183"/>
    <cellStyle name="‡_BOOK1_Rep-3323c(0901)_3667C Sanga PMR Mar 07 Rev2_GBP PMR Summary-based on current forecast_Lease Analysis.2_Sheet1" xfId="8184"/>
    <cellStyle name="‡_BOOK1_Rep-3323c(0901)_3667C Sanga PMR Mar 07 Rev2_GBP PMR Summary-based on current forecast_Sheet1" xfId="8185"/>
    <cellStyle name="‡_BOOK1_Rep-3323c(0901)_3667C Sanga PMR Mar 07 Rev2_MP_PROFORMA 0608 v3 Protected" xfId="8186"/>
    <cellStyle name="‡_BOOK1_Rep-3323c(0901)_3667C Sanga PMR Mar 07 Rev2_MP_PROFORMA 0608 v3 Protected_080109 Capex Report" xfId="8187"/>
    <cellStyle name="‡_BOOK1_Rep-3323c(0901)_3667C Sanga PMR Mar 07 Rev2_MP_PROFORMA 0608 v3 Protected_080109 Capex Report_Sheet1" xfId="8188"/>
    <cellStyle name="‡_BOOK1_Rep-3323c(0901)_3667C Sanga PMR Mar 07 Rev2_MP_PROFORMA 0608 v3 Protected_Sheet1" xfId="8189"/>
    <cellStyle name="‡_BOOK1_Rep-3323c(0901)_3667C Sanga PMR Mar 07 Rev2_PMR Summary-based on current forecast" xfId="8190"/>
    <cellStyle name="‡_BOOK1_Rep-3323c(0901)_3667C Sanga PMR Mar 07 Rev2_PMR Summary-based on current forecast_Lease Analysis.2" xfId="8191"/>
    <cellStyle name="‡_BOOK1_Rep-3323c(0901)_3667C Sanga PMR Mar 07 Rev2_PMR Summary-based on current forecast_Lease Analysis.2_Sheet1" xfId="8192"/>
    <cellStyle name="‡_BOOK1_Rep-3323c(0901)_3667C Sanga PMR Mar 07 Rev2_PMR Summary-based on current forecast_Sheet1" xfId="8193"/>
    <cellStyle name="‡_BOOK1_Rep-3323c(0901)_3667C Sanga PMR Mar 07 Rev2_Sanga PMR Summary" xfId="8194"/>
    <cellStyle name="‡_BOOK1_Rep-3323c(0901)_3667C Sanga PMR Mar 07 Rev2_Sanga PMR Summary_1107_Final_SUN_updated_10Dec" xfId="8195"/>
    <cellStyle name="‡_BOOK1_Rep-3323c(0901)_3667C Sanga PMR Mar 07 Rev2_Sanga PMR Summary_1107_Final_SUN_updated_10Dec_Lease Analysis.2" xfId="8196"/>
    <cellStyle name="‡_BOOK1_Rep-3323c(0901)_3667C Sanga PMR Mar 07 Rev2_Sanga PMR Summary_1107_Final_SUN_updated_10Dec_Lease Analysis.2_Sheet1" xfId="8197"/>
    <cellStyle name="‡_BOOK1_Rep-3323c(0901)_3667C Sanga PMR Mar 07 Rev2_Sanga PMR Summary_1107_Final_SUN_updated_10Dec_Sheet1" xfId="8198"/>
    <cellStyle name="‡_BOOK1_Rep-3323c(0901)_3667C Sanga PMR Mar 07 Rev2_Sanga PMR Summary_Lease Analysis.2" xfId="8199"/>
    <cellStyle name="‡_BOOK1_Rep-3323c(0901)_3667C Sanga PMR Mar 07 Rev2_Sanga PMR Summary_Lease Analysis.2_Sheet1" xfId="8200"/>
    <cellStyle name="‡_BOOK1_Rep-3323c(0901)_3667C Sanga PMR Mar 07 Rev2_Sanga PMR Summary_Sheet1" xfId="8201"/>
    <cellStyle name="‡_BOOK1_Rep-3323c(0901)_3667C Sanga PMR Mar 07 Rev2_Sheet1" xfId="8202"/>
    <cellStyle name="‡_BOOK1_Rep-3323c(0901)_3667C Sanga PMR May 07 Rev 1" xfId="8203"/>
    <cellStyle name="‡_BOOK1_Rep-3323c(0901)_3667C Sanga PMR May 07 Rev 1_200803 New FA Movement (Mar08)" xfId="8204"/>
    <cellStyle name="‡_BOOK1_Rep-3323c(0901)_3667C Sanga PMR May 07 Rev 1_200803 New FA Movement (Mar08)_Lease Analysis.2" xfId="8205"/>
    <cellStyle name="‡_BOOK1_Rep-3323c(0901)_3667C Sanga PMR May 07 Rev 1_200803 New FA Movement (Mar08)_Lease Analysis.2_Sheet1" xfId="8206"/>
    <cellStyle name="‡_BOOK1_Rep-3323c(0901)_3667C Sanga PMR May 07 Rev 1_200803 New FA Movement (Mar08)_Sheet1" xfId="8207"/>
    <cellStyle name="‡_BOOK1_Rep-3323c(0901)_3667C Sanga PMR May 07 Rev 1_CapexandIRRcalculation-85%financing - revised" xfId="8208"/>
    <cellStyle name="‡_BOOK1_Rep-3323c(0901)_3667C Sanga PMR May 07 Rev 1_CapexandIRRcalculation-85%financing - revised_Lease Analysis.2" xfId="8209"/>
    <cellStyle name="‡_BOOK1_Rep-3323c(0901)_3667C Sanga PMR May 07 Rev 1_CapexandIRRcalculation-85%financing - revised_Lease Analysis.2_Sheet1" xfId="8210"/>
    <cellStyle name="‡_BOOK1_Rep-3323c(0901)_3667C Sanga PMR May 07 Rev 1_CapexandIRRcalculation-85%financing - revised_Sheet1" xfId="8211"/>
    <cellStyle name="‡_BOOK1_Rep-3323c(0901)_3667C Sanga PMR May 07 Rev 1_MP_PROFORMA 0608 v3 Protected" xfId="8212"/>
    <cellStyle name="‡_BOOK1_Rep-3323c(0901)_3667C Sanga PMR May 07 Rev 1_MP_PROFORMA 0608 v3 Protected_Lease Analysis.2" xfId="8213"/>
    <cellStyle name="‡_BOOK1_Rep-3323c(0901)_3667C Sanga PMR May 07 Rev 1_MP_PROFORMA 0608 v3 Protected_Lease Analysis.2_Sheet1" xfId="8214"/>
    <cellStyle name="‡_BOOK1_Rep-3323c(0901)_3667C Sanga PMR May 07 Rev 1_MP_PROFORMA 0608 v3 Protected_Sheet1" xfId="8215"/>
    <cellStyle name="‡_BOOK1_Rep-3323c(0901)_3667C Sanga PMR May 07 Rev 1_Sheet1" xfId="8216"/>
    <cellStyle name="‡_BOOK1_Rep-3323c(0901)_Capex and IRR calculation Markup Scenarios" xfId="8217"/>
    <cellStyle name="‡_BOOK1_Rep-3323c(0901)_Capex and IRR calculation Markup Scenarios_080109 Capex Report" xfId="8218"/>
    <cellStyle name="‡_BOOK1_Rep-3323c(0901)_Capex and IRR calculation Markup Scenarios_080109 Capex Report_Sheet1" xfId="8219"/>
    <cellStyle name="‡_BOOK1_Rep-3323c(0901)_Capex and IRR calculation Markup Scenarios_Sheet1" xfId="8220"/>
    <cellStyle name="‡_BOOK1_Rep-3323c(0901)_FA MPack" xfId="8221"/>
    <cellStyle name="‡_BOOK1_Rep-3323c(0901)_FA MPack (2)" xfId="8222"/>
    <cellStyle name="‡_BOOK1_Rep-3323c(0901)_FA MPack (2)_Lease Analysis.2" xfId="8223"/>
    <cellStyle name="‡_BOOK1_Rep-3323c(0901)_FA MPack (2)_Lease Analysis.2_Sheet1" xfId="8224"/>
    <cellStyle name="‡_BOOK1_Rep-3323c(0901)_FA MPack (2)_Sheet1" xfId="8225"/>
    <cellStyle name="‡_BOOK1_Rep-3323c(0901)_FA MPack_Lease Analysis.2" xfId="8226"/>
    <cellStyle name="‡_BOOK1_Rep-3323c(0901)_FA MPack_Lease Analysis.2_Sheet1" xfId="8227"/>
    <cellStyle name="‡_BOOK1_Rep-3323c(0901)_FA MPack_Sheet1" xfId="8228"/>
    <cellStyle name="‡_BOOK1_Rep-3323c(0901)_GBP PMR Summary" xfId="8229"/>
    <cellStyle name="‡_BOOK1_Rep-3323c(0901)_GBP PMR Summary_Lease Analysis.2" xfId="8230"/>
    <cellStyle name="‡_BOOK1_Rep-3323c(0901)_GBP PMR Summary_Lease Analysis.2_Sheet1" xfId="8231"/>
    <cellStyle name="‡_BOOK1_Rep-3323c(0901)_GBP PMR Summary_Sheet1" xfId="8232"/>
    <cellStyle name="‡_BOOK1_Rep-3323c(0901)_GBP PMR Summary-based on current forecast" xfId="8233"/>
    <cellStyle name="‡_BOOK1_Rep-3323c(0901)_GBP PMR Summary-based on current forecast_Lease Analysis.2" xfId="8234"/>
    <cellStyle name="‡_BOOK1_Rep-3323c(0901)_GBP PMR Summary-based on current forecast_Lease Analysis.2_Sheet1" xfId="8235"/>
    <cellStyle name="‡_BOOK1_Rep-3323c(0901)_GBP PMR Summary-based on current forecast_Sheet1" xfId="8236"/>
    <cellStyle name="‡_BOOK1_Rep-3323c(0901)_Plant Componentry Schedule" xfId="8237"/>
    <cellStyle name="‡_BOOK1_Rep-3323c(0901)_Plant Componentry Schedule_Sheet1" xfId="8238"/>
    <cellStyle name="‡_BOOK1_Rep-3323c(0901)_PMR Summary-based on current forecast" xfId="8239"/>
    <cellStyle name="‡_BOOK1_Rep-3323c(0901)_PMR Summary-based on current forecast_Lease Analysis.2" xfId="8240"/>
    <cellStyle name="‡_BOOK1_Rep-3323c(0901)_PMR Summary-based on current forecast_Lease Analysis.2_Sheet1" xfId="8241"/>
    <cellStyle name="‡_BOOK1_Rep-3323c(0901)_PMR Summary-based on current forecast_Sheet1" xfId="8242"/>
    <cellStyle name="‡_BOOK1_Rep-3323c(0901)_Sanga PMR Summary" xfId="8243"/>
    <cellStyle name="‡_BOOK1_Rep-3323c(0901)_Sanga PMR Summary_1107_Final_SUN_updated_10Dec" xfId="8244"/>
    <cellStyle name="‡_BOOK1_Rep-3323c(0901)_Sanga PMR Summary_1107_Final_SUN_updated_10Dec_Lease Analysis.2" xfId="8245"/>
    <cellStyle name="‡_BOOK1_Rep-3323c(0901)_Sanga PMR Summary_1107_Final_SUN_updated_10Dec_Lease Analysis.2_Sheet1" xfId="8246"/>
    <cellStyle name="‡_BOOK1_Rep-3323c(0901)_Sanga PMR Summary_1107_Final_SUN_updated_10Dec_Sheet1" xfId="8247"/>
    <cellStyle name="‡_BOOK1_Rep-3323c(0901)_Sanga PMR Summary_Lease Analysis.2" xfId="8248"/>
    <cellStyle name="‡_BOOK1_Rep-3323c(0901)_Sanga PMR Summary_Lease Analysis.2_Sheet1" xfId="8249"/>
    <cellStyle name="‡_BOOK1_Rep-3323c(0901)_Sanga PMR Summary_Sheet1" xfId="8250"/>
    <cellStyle name="‡_BOOK1_Rep-3323c(0901)_Sheet1" xfId="8251"/>
    <cellStyle name="‡_BOOK1_Rep-3323c(0901)_Worksheet in 5361 Testing Accrued Income - May 2008" xfId="8252"/>
    <cellStyle name="‡_BOOK1_Rep-3323c(0901)_Worksheet in 5361 Testing Accrued Income - May 2008_Sheet1" xfId="8253"/>
    <cellStyle name="‡_BOOK1_Santan overview of economics Rev 20070821 Owner Quarterly" xfId="8254"/>
    <cellStyle name="‡_BOOK1_Santan overview of economics Rev 20070821 Owner Quarterly_080109 Capex Report" xfId="8255"/>
    <cellStyle name="‡_BOOK1_Santan overview of economics Rev 20070821 Owner Quarterly_080109 Capex Report_Sheet1" xfId="8256"/>
    <cellStyle name="‡_BOOK1_Santan overview of economics Rev 20070821 Owner Quarterly_Lease Analysis.2" xfId="8257"/>
    <cellStyle name="‡_BOOK1_Santan overview of economics Rev 20070821 Owner Quarterly_Lease Analysis.2_Sheet1" xfId="8258"/>
    <cellStyle name="‡_BOOK1_Santan overview of economics Rev 20070821 Owner Quarterly_Sheet1" xfId="8259"/>
    <cellStyle name="‡_BOOK1_Santan overview of economics Rev 20070926 Contracting Quarterly" xfId="8260"/>
    <cellStyle name="‡_BOOK1_Santan overview of economics Rev 20070926 Contracting Quarterly_080109 Capex Report" xfId="8261"/>
    <cellStyle name="‡_BOOK1_Santan overview of economics Rev 20070926 Contracting Quarterly_080109 Capex Report_Sheet1" xfId="8262"/>
    <cellStyle name="‡_BOOK1_Santan overview of economics Rev 20070926 Contracting Quarterly_Lease Analysis.2" xfId="8263"/>
    <cellStyle name="‡_BOOK1_Santan overview of economics Rev 20070926 Contracting Quarterly_Lease Analysis.2_Sheet1" xfId="8264"/>
    <cellStyle name="‡_BOOK1_Santan overview of economics Rev 20070926 Contracting Quarterly_Sheet1" xfId="8265"/>
    <cellStyle name="‡_BOOK1_Sheet1" xfId="8266"/>
    <cellStyle name="‡_BOOK1_Worksheet in 5361 Testing Accrued Income - May 2008" xfId="8267"/>
    <cellStyle name="‡_BOOK1_Worksheet in 5361 Testing Accrued Income - May 2008_Sheet1" xfId="8268"/>
    <cellStyle name="‡_BS  PL format audit June10 Hendro Ver300810 10AM FINAL" xfId="8269"/>
    <cellStyle name="‡_BS  PL format audit June10 Hendro Ver300810 10AM FINAL 2" xfId="8270"/>
    <cellStyle name="‡_BS  PL format audit June10 Hendro Ver300810 10AM FINAL 2_Sheet1" xfId="8271"/>
    <cellStyle name="‡_BS  PL format audit June10 Hendro Ver300810 10AM FINAL 3" xfId="8272"/>
    <cellStyle name="‡_BS  PL format audit June10 Hendro Ver300810 10AM FINAL 3_Sheet1" xfId="8273"/>
    <cellStyle name="‡_BS  PL format audit June10 Hendro Ver300810 10AM FINAL 4" xfId="8274"/>
    <cellStyle name="‡_BS  PL format audit June10 Hendro Ver300810 10AM FINAL 4 2" xfId="8275"/>
    <cellStyle name="‡_BS  PL format audit June10 Hendro Ver300810 10AM FINAL 4 2_Sheet1" xfId="8276"/>
    <cellStyle name="‡_BS  PL format audit June10 Hendro Ver300810 10AM FINAL 4_Sheet1" xfId="8277"/>
    <cellStyle name="‡_BS  PL format audit June10 Hendro Ver300810 10AM FINAL 5" xfId="8278"/>
    <cellStyle name="‡_BS  PL format audit June10 Hendro Ver300810 10AM FINAL 5_Sheet1" xfId="8279"/>
    <cellStyle name="‡_BS  PL format audit June10 Hendro Ver300810 10AM FINAL 6" xfId="8280"/>
    <cellStyle name="‡_BS  PL format audit June10 Hendro Ver300810 10AM FINAL 6_Sheet1" xfId="8281"/>
    <cellStyle name="‡_BS  PL format audit June10 Hendro Ver300810 10AM FINAL 7" xfId="8282"/>
    <cellStyle name="‡_BS  PL format audit June10 Hendro Ver300810 10AM FINAL 7_Sheet1" xfId="8283"/>
    <cellStyle name="‡_BS  PL format audit June10 Hendro Ver300810 10AM FINAL_Sheet1" xfId="8284"/>
    <cellStyle name="‡_Capex and IRR calculation Markup Scenarios" xfId="8285"/>
    <cellStyle name="‡_Capex and IRR calculation Markup Scenarios_080109 Capex Report" xfId="8286"/>
    <cellStyle name="‡_Capex and IRR calculation Markup Scenarios_080109 Capex Report_Sheet1" xfId="8287"/>
    <cellStyle name="‡_Capex and IRR calculation Markup Scenarios_Sheet1" xfId="8288"/>
    <cellStyle name="‡_EBPP Oktober" xfId="8289"/>
    <cellStyle name="‡_EBPP Oktober_Sheet1" xfId="8290"/>
    <cellStyle name="‡_Evaluasi Insentif Pengecoran" xfId="8291"/>
    <cellStyle name="‡_Evaluasi Insentif Pengecoran 2" xfId="8292"/>
    <cellStyle name="‡_Evaluasi Insentif Pengecoran 2_Laporan Aspal Per Bulan 2009" xfId="8293"/>
    <cellStyle name="‡_Evaluasi Insentif Pengecoran 2_Laporan Aspal Per Bulan 2009_Sheet1" xfId="8294"/>
    <cellStyle name="‡_Evaluasi Insentif Pengecoran 2_Laporan Aspal Per Bulan Per Tanggal 27 Maret" xfId="8295"/>
    <cellStyle name="‡_Evaluasi Insentif Pengecoran 2_Laporan Aspal Per Bulan Per Tanggal 27 Maret_Sheet1" xfId="8296"/>
    <cellStyle name="‡_Evaluasi Insentif Pengecoran 2_LSB PROYEK BX-01" xfId="8297"/>
    <cellStyle name="‡_Evaluasi Insentif Pengecoran 2_LSB PROYEK BX-01_Sheet1" xfId="8298"/>
    <cellStyle name="‡_Evaluasi Insentif Pengecoran 2_Rekap Biaya-Biaya BX-01 Kintab-Sebamban" xfId="8299"/>
    <cellStyle name="‡_Evaluasi Insentif Pengecoran 2_Rekap Biaya-Biaya BX-01 Kintab-Sebamban Juni" xfId="8300"/>
    <cellStyle name="‡_Evaluasi Insentif Pengecoran 2_Rekap Biaya-Biaya BX-01 Kintab-Sebamban Juni_Sheet1" xfId="8301"/>
    <cellStyle name="‡_Evaluasi Insentif Pengecoran 2_Rekap Biaya-Biaya BX-01 Kintab-Sebamban Meii" xfId="8302"/>
    <cellStyle name="‡_Evaluasi Insentif Pengecoran 2_Rekap Biaya-Biaya BX-01 Kintab-Sebamban Meii_Sheet1" xfId="8303"/>
    <cellStyle name="‡_Evaluasi Insentif Pengecoran 2_Rekap Biaya-Biaya BX-01 Kintab-Sebamban_Sheet1" xfId="8304"/>
    <cellStyle name="‡_Evaluasi Insentif Pengecoran 2_Sheet1" xfId="8305"/>
    <cellStyle name="‡_Evaluasi Insentif Pengecoran 3" xfId="8306"/>
    <cellStyle name="‡_Evaluasi Insentif Pengecoran 3_Laporan Aspal Per Bulan 2009" xfId="8307"/>
    <cellStyle name="‡_Evaluasi Insentif Pengecoran 3_Laporan Aspal Per Bulan 2009_Sheet1" xfId="8308"/>
    <cellStyle name="‡_Evaluasi Insentif Pengecoran 3_Laporan Aspal Per Bulan Per Tanggal 27 Maret" xfId="8309"/>
    <cellStyle name="‡_Evaluasi Insentif Pengecoran 3_Laporan Aspal Per Bulan Per Tanggal 27 Maret_Sheet1" xfId="8310"/>
    <cellStyle name="‡_Evaluasi Insentif Pengecoran 3_LSB PROYEK BX-01" xfId="8311"/>
    <cellStyle name="‡_Evaluasi Insentif Pengecoran 3_LSB PROYEK BX-01_Sheet1" xfId="8312"/>
    <cellStyle name="‡_Evaluasi Insentif Pengecoran 3_Rekap Biaya-Biaya BX-01 Kintab-Sebamban" xfId="8313"/>
    <cellStyle name="‡_Evaluasi Insentif Pengecoran 3_Rekap Biaya-Biaya BX-01 Kintab-Sebamban Juni" xfId="8314"/>
    <cellStyle name="‡_Evaluasi Insentif Pengecoran 3_Rekap Biaya-Biaya BX-01 Kintab-Sebamban Juni_Sheet1" xfId="8315"/>
    <cellStyle name="‡_Evaluasi Insentif Pengecoran 3_Rekap Biaya-Biaya BX-01 Kintab-Sebamban Meii" xfId="8316"/>
    <cellStyle name="‡_Evaluasi Insentif Pengecoran 3_Rekap Biaya-Biaya BX-01 Kintab-Sebamban Meii_Sheet1" xfId="8317"/>
    <cellStyle name="‡_Evaluasi Insentif Pengecoran 3_Rekap Biaya-Biaya BX-01 Kintab-Sebamban_Sheet1" xfId="8318"/>
    <cellStyle name="‡_Evaluasi Insentif Pengecoran 3_Sheet1" xfId="8319"/>
    <cellStyle name="‡_Evaluasi Insentif Pengecoran 4" xfId="8320"/>
    <cellStyle name="‡_Evaluasi Insentif Pengecoran 4_Laporan Aspal Per Bulan 2009" xfId="8321"/>
    <cellStyle name="‡_Evaluasi Insentif Pengecoran 4_Laporan Aspal Per Bulan 2009_Sheet1" xfId="8322"/>
    <cellStyle name="‡_Evaluasi Insentif Pengecoran 4_Laporan Aspal Per Bulan Per Tanggal 27 Maret" xfId="8323"/>
    <cellStyle name="‡_Evaluasi Insentif Pengecoran 4_Laporan Aspal Per Bulan Per Tanggal 27 Maret_Sheet1" xfId="8324"/>
    <cellStyle name="‡_Evaluasi Insentif Pengecoran 4_LSB PROYEK BX-01" xfId="8325"/>
    <cellStyle name="‡_Evaluasi Insentif Pengecoran 4_LSB PROYEK BX-01_Sheet1" xfId="8326"/>
    <cellStyle name="‡_Evaluasi Insentif Pengecoran 4_Rekap Biaya-Biaya BX-01 Kintab-Sebamban" xfId="8327"/>
    <cellStyle name="‡_Evaluasi Insentif Pengecoran 4_Rekap Biaya-Biaya BX-01 Kintab-Sebamban Juni" xfId="8328"/>
    <cellStyle name="‡_Evaluasi Insentif Pengecoran 4_Rekap Biaya-Biaya BX-01 Kintab-Sebamban Juni_Sheet1" xfId="8329"/>
    <cellStyle name="‡_Evaluasi Insentif Pengecoran 4_Rekap Biaya-Biaya BX-01 Kintab-Sebamban Meii" xfId="8330"/>
    <cellStyle name="‡_Evaluasi Insentif Pengecoran 4_Rekap Biaya-Biaya BX-01 Kintab-Sebamban Meii_Sheet1" xfId="8331"/>
    <cellStyle name="‡_Evaluasi Insentif Pengecoran 4_Rekap Biaya-Biaya BX-01 Kintab-Sebamban_Sheet1" xfId="8332"/>
    <cellStyle name="‡_Evaluasi Insentif Pengecoran 4_Sheet1" xfId="8333"/>
    <cellStyle name="‡_Evaluasi Insentif Pengecoran 5" xfId="8334"/>
    <cellStyle name="‡_Evaluasi Insentif Pengecoran 5_Laporan Aspal Per Bulan 2009" xfId="8335"/>
    <cellStyle name="‡_Evaluasi Insentif Pengecoran 5_Laporan Aspal Per Bulan 2009_Sheet1" xfId="8336"/>
    <cellStyle name="‡_Evaluasi Insentif Pengecoran 5_Laporan Aspal Per Bulan Per Tanggal 27 Maret" xfId="8337"/>
    <cellStyle name="‡_Evaluasi Insentif Pengecoran 5_Laporan Aspal Per Bulan Per Tanggal 27 Maret_Sheet1" xfId="8338"/>
    <cellStyle name="‡_Evaluasi Insentif Pengecoran 5_LSB PROYEK BX-01" xfId="8339"/>
    <cellStyle name="‡_Evaluasi Insentif Pengecoran 5_LSB PROYEK BX-01_Sheet1" xfId="8340"/>
    <cellStyle name="‡_Evaluasi Insentif Pengecoran 5_Rekap Biaya-Biaya BX-01 Kintab-Sebamban" xfId="8341"/>
    <cellStyle name="‡_Evaluasi Insentif Pengecoran 5_Rekap Biaya-Biaya BX-01 Kintab-Sebamban Juni" xfId="8342"/>
    <cellStyle name="‡_Evaluasi Insentif Pengecoran 5_Rekap Biaya-Biaya BX-01 Kintab-Sebamban Juni_Sheet1" xfId="8343"/>
    <cellStyle name="‡_Evaluasi Insentif Pengecoran 5_Rekap Biaya-Biaya BX-01 Kintab-Sebamban Meii" xfId="8344"/>
    <cellStyle name="‡_Evaluasi Insentif Pengecoran 5_Rekap Biaya-Biaya BX-01 Kintab-Sebamban Meii_Sheet1" xfId="8345"/>
    <cellStyle name="‡_Evaluasi Insentif Pengecoran 5_Rekap Biaya-Biaya BX-01 Kintab-Sebamban_Sheet1" xfId="8346"/>
    <cellStyle name="‡_Evaluasi Insentif Pengecoran 5_Sheet1" xfId="8347"/>
    <cellStyle name="‡_Evaluasi Insentif Pengecoran_Laporan Aspal Per Bulan 2009" xfId="8348"/>
    <cellStyle name="‡_Evaluasi Insentif Pengecoran_Laporan Aspal Per Bulan 2009_Sheet1" xfId="8349"/>
    <cellStyle name="‡_Evaluasi Insentif Pengecoran_Laporan Aspal Per Bulan Per Tanggal 27 Maret" xfId="8350"/>
    <cellStyle name="‡_Evaluasi Insentif Pengecoran_Laporan Aspal Per Bulan Per Tanggal 27 Maret_Sheet1" xfId="8351"/>
    <cellStyle name="‡_Evaluasi Insentif Pengecoran_LSB PROYEK BX-01" xfId="8352"/>
    <cellStyle name="‡_Evaluasi Insentif Pengecoran_LSB PROYEK BX-01_Sheet1" xfId="8353"/>
    <cellStyle name="‡_Evaluasi Insentif Pengecoran_Rekap Biaya-Biaya BX-01 Kintab-Sebamban" xfId="8354"/>
    <cellStyle name="‡_Evaluasi Insentif Pengecoran_Rekap Biaya-Biaya BX-01 Kintab-Sebamban Juni" xfId="8355"/>
    <cellStyle name="‡_Evaluasi Insentif Pengecoran_Rekap Biaya-Biaya BX-01 Kintab-Sebamban Juni_Sheet1" xfId="8356"/>
    <cellStyle name="‡_Evaluasi Insentif Pengecoran_Rekap Biaya-Biaya BX-01 Kintab-Sebamban Meii" xfId="8357"/>
    <cellStyle name="‡_Evaluasi Insentif Pengecoran_Rekap Biaya-Biaya BX-01 Kintab-Sebamban Meii_Sheet1" xfId="8358"/>
    <cellStyle name="‡_Evaluasi Insentif Pengecoran_Rekap Biaya-Biaya BX-01 Kintab-Sebamban_Sheet1" xfId="8359"/>
    <cellStyle name="‡_Evaluasi Insentif Pengecoran_Sheet1" xfId="8360"/>
    <cellStyle name="‡_Evaluasi Kenaikan BBM" xfId="8361"/>
    <cellStyle name="‡_Evaluasi Kenaikan BBM 2" xfId="8362"/>
    <cellStyle name="‡_Evaluasi Kenaikan BBM 2_Laporan Aspal Per Bulan 2009" xfId="8363"/>
    <cellStyle name="‡_Evaluasi Kenaikan BBM 2_Laporan Aspal Per Bulan 2009_Sheet1" xfId="8364"/>
    <cellStyle name="‡_Evaluasi Kenaikan BBM 2_Laporan Aspal Per Bulan Per Tanggal 27 Maret" xfId="8365"/>
    <cellStyle name="‡_Evaluasi Kenaikan BBM 2_Laporan Aspal Per Bulan Per Tanggal 27 Maret_Sheet1" xfId="8366"/>
    <cellStyle name="‡_Evaluasi Kenaikan BBM 2_LSB PROYEK BX-01" xfId="8367"/>
    <cellStyle name="‡_Evaluasi Kenaikan BBM 2_LSB PROYEK BX-01_Sheet1" xfId="8368"/>
    <cellStyle name="‡_Evaluasi Kenaikan BBM 2_Rekap Biaya-Biaya BX-01 Kintab-Sebamban" xfId="8369"/>
    <cellStyle name="‡_Evaluasi Kenaikan BBM 2_Rekap Biaya-Biaya BX-01 Kintab-Sebamban Juni" xfId="8370"/>
    <cellStyle name="‡_Evaluasi Kenaikan BBM 2_Rekap Biaya-Biaya BX-01 Kintab-Sebamban Juni_Sheet1" xfId="8371"/>
    <cellStyle name="‡_Evaluasi Kenaikan BBM 2_Rekap Biaya-Biaya BX-01 Kintab-Sebamban Meii" xfId="8372"/>
    <cellStyle name="‡_Evaluasi Kenaikan BBM 2_Rekap Biaya-Biaya BX-01 Kintab-Sebamban Meii_Sheet1" xfId="8373"/>
    <cellStyle name="‡_Evaluasi Kenaikan BBM 2_Rekap Biaya-Biaya BX-01 Kintab-Sebamban_Sheet1" xfId="8374"/>
    <cellStyle name="‡_Evaluasi Kenaikan BBM 2_Sheet1" xfId="8375"/>
    <cellStyle name="‡_Evaluasi Kenaikan BBM 3" xfId="8376"/>
    <cellStyle name="‡_Evaluasi Kenaikan BBM 3_Laporan Aspal Per Bulan 2009" xfId="8377"/>
    <cellStyle name="‡_Evaluasi Kenaikan BBM 3_Laporan Aspal Per Bulan 2009_Sheet1" xfId="8378"/>
    <cellStyle name="‡_Evaluasi Kenaikan BBM 3_Laporan Aspal Per Bulan Per Tanggal 27 Maret" xfId="8379"/>
    <cellStyle name="‡_Evaluasi Kenaikan BBM 3_Laporan Aspal Per Bulan Per Tanggal 27 Maret_Sheet1" xfId="8380"/>
    <cellStyle name="‡_Evaluasi Kenaikan BBM 3_LSB PROYEK BX-01" xfId="8381"/>
    <cellStyle name="‡_Evaluasi Kenaikan BBM 3_LSB PROYEK BX-01_Sheet1" xfId="8382"/>
    <cellStyle name="‡_Evaluasi Kenaikan BBM 3_Rekap Biaya-Biaya BX-01 Kintab-Sebamban" xfId="8383"/>
    <cellStyle name="‡_Evaluasi Kenaikan BBM 3_Rekap Biaya-Biaya BX-01 Kintab-Sebamban Juni" xfId="8384"/>
    <cellStyle name="‡_Evaluasi Kenaikan BBM 3_Rekap Biaya-Biaya BX-01 Kintab-Sebamban Juni_Sheet1" xfId="8385"/>
    <cellStyle name="‡_Evaluasi Kenaikan BBM 3_Rekap Biaya-Biaya BX-01 Kintab-Sebamban Meii" xfId="8386"/>
    <cellStyle name="‡_Evaluasi Kenaikan BBM 3_Rekap Biaya-Biaya BX-01 Kintab-Sebamban Meii_Sheet1" xfId="8387"/>
    <cellStyle name="‡_Evaluasi Kenaikan BBM 3_Rekap Biaya-Biaya BX-01 Kintab-Sebamban_Sheet1" xfId="8388"/>
    <cellStyle name="‡_Evaluasi Kenaikan BBM 3_Sheet1" xfId="8389"/>
    <cellStyle name="‡_Evaluasi Kenaikan BBM 4" xfId="8390"/>
    <cellStyle name="‡_Evaluasi Kenaikan BBM 4_Laporan Aspal Per Bulan 2009" xfId="8391"/>
    <cellStyle name="‡_Evaluasi Kenaikan BBM 4_Laporan Aspal Per Bulan 2009_Sheet1" xfId="8392"/>
    <cellStyle name="‡_Evaluasi Kenaikan BBM 4_Laporan Aspal Per Bulan Per Tanggal 27 Maret" xfId="8393"/>
    <cellStyle name="‡_Evaluasi Kenaikan BBM 4_Laporan Aspal Per Bulan Per Tanggal 27 Maret_Sheet1" xfId="8394"/>
    <cellStyle name="‡_Evaluasi Kenaikan BBM 4_LSB PROYEK BX-01" xfId="8395"/>
    <cellStyle name="‡_Evaluasi Kenaikan BBM 4_LSB PROYEK BX-01_Sheet1" xfId="8396"/>
    <cellStyle name="‡_Evaluasi Kenaikan BBM 4_Rekap Biaya-Biaya BX-01 Kintab-Sebamban" xfId="8397"/>
    <cellStyle name="‡_Evaluasi Kenaikan BBM 4_Rekap Biaya-Biaya BX-01 Kintab-Sebamban Juni" xfId="8398"/>
    <cellStyle name="‡_Evaluasi Kenaikan BBM 4_Rekap Biaya-Biaya BX-01 Kintab-Sebamban Juni_Sheet1" xfId="8399"/>
    <cellStyle name="‡_Evaluasi Kenaikan BBM 4_Rekap Biaya-Biaya BX-01 Kintab-Sebamban Meii" xfId="8400"/>
    <cellStyle name="‡_Evaluasi Kenaikan BBM 4_Rekap Biaya-Biaya BX-01 Kintab-Sebamban Meii_Sheet1" xfId="8401"/>
    <cellStyle name="‡_Evaluasi Kenaikan BBM 4_Rekap Biaya-Biaya BX-01 Kintab-Sebamban_Sheet1" xfId="8402"/>
    <cellStyle name="‡_Evaluasi Kenaikan BBM 4_Sheet1" xfId="8403"/>
    <cellStyle name="‡_Evaluasi Kenaikan BBM 5" xfId="8404"/>
    <cellStyle name="‡_Evaluasi Kenaikan BBM 5_Laporan Aspal Per Bulan 2009" xfId="8405"/>
    <cellStyle name="‡_Evaluasi Kenaikan BBM 5_Laporan Aspal Per Bulan 2009_Sheet1" xfId="8406"/>
    <cellStyle name="‡_Evaluasi Kenaikan BBM 5_Laporan Aspal Per Bulan Per Tanggal 27 Maret" xfId="8407"/>
    <cellStyle name="‡_Evaluasi Kenaikan BBM 5_Laporan Aspal Per Bulan Per Tanggal 27 Maret_Sheet1" xfId="8408"/>
    <cellStyle name="‡_Evaluasi Kenaikan BBM 5_LSB PROYEK BX-01" xfId="8409"/>
    <cellStyle name="‡_Evaluasi Kenaikan BBM 5_LSB PROYEK BX-01_Sheet1" xfId="8410"/>
    <cellStyle name="‡_Evaluasi Kenaikan BBM 5_Rekap Biaya-Biaya BX-01 Kintab-Sebamban" xfId="8411"/>
    <cellStyle name="‡_Evaluasi Kenaikan BBM 5_Rekap Biaya-Biaya BX-01 Kintab-Sebamban Juni" xfId="8412"/>
    <cellStyle name="‡_Evaluasi Kenaikan BBM 5_Rekap Biaya-Biaya BX-01 Kintab-Sebamban Juni_Sheet1" xfId="8413"/>
    <cellStyle name="‡_Evaluasi Kenaikan BBM 5_Rekap Biaya-Biaya BX-01 Kintab-Sebamban Meii" xfId="8414"/>
    <cellStyle name="‡_Evaluasi Kenaikan BBM 5_Rekap Biaya-Biaya BX-01 Kintab-Sebamban Meii_Sheet1" xfId="8415"/>
    <cellStyle name="‡_Evaluasi Kenaikan BBM 5_Rekap Biaya-Biaya BX-01 Kintab-Sebamban_Sheet1" xfId="8416"/>
    <cellStyle name="‡_Evaluasi Kenaikan BBM 5_Sheet1" xfId="8417"/>
    <cellStyle name="‡_Evaluasi Kenaikan BBM_Laporan Aspal Per Bulan 2009" xfId="8418"/>
    <cellStyle name="‡_Evaluasi Kenaikan BBM_Laporan Aspal Per Bulan 2009_Sheet1" xfId="8419"/>
    <cellStyle name="‡_Evaluasi Kenaikan BBM_Laporan Aspal Per Bulan Per Tanggal 27 Maret" xfId="8420"/>
    <cellStyle name="‡_Evaluasi Kenaikan BBM_Laporan Aspal Per Bulan Per Tanggal 27 Maret_Sheet1" xfId="8421"/>
    <cellStyle name="‡_Evaluasi Kenaikan BBM_LSB PROYEK BX-01" xfId="8422"/>
    <cellStyle name="‡_Evaluasi Kenaikan BBM_LSB PROYEK BX-01_Sheet1" xfId="8423"/>
    <cellStyle name="‡_Evaluasi Kenaikan BBM_Rekap Biaya-Biaya BX-01 Kintab-Sebamban" xfId="8424"/>
    <cellStyle name="‡_Evaluasi Kenaikan BBM_Rekap Biaya-Biaya BX-01 Kintab-Sebamban Juni" xfId="8425"/>
    <cellStyle name="‡_Evaluasi Kenaikan BBM_Rekap Biaya-Biaya BX-01 Kintab-Sebamban Juni_Sheet1" xfId="8426"/>
    <cellStyle name="‡_Evaluasi Kenaikan BBM_Rekap Biaya-Biaya BX-01 Kintab-Sebamban Meii" xfId="8427"/>
    <cellStyle name="‡_Evaluasi Kenaikan BBM_Rekap Biaya-Biaya BX-01 Kintab-Sebamban Meii_Sheet1" xfId="8428"/>
    <cellStyle name="‡_Evaluasi Kenaikan BBM_Rekap Biaya-Biaya BX-01 Kintab-Sebamban_Sheet1" xfId="8429"/>
    <cellStyle name="‡_Evaluasi Kenaikan BBM_Sheet1" xfId="8430"/>
    <cellStyle name="‡_Evaluasi Peerjaan pengaspalan" xfId="8431"/>
    <cellStyle name="‡_Evaluasi Peerjaan pengaspalan_Laporan Aspal Per Bulan 2009" xfId="8432"/>
    <cellStyle name="‡_Evaluasi Peerjaan pengaspalan_Laporan Aspal Per Bulan 2009_Sheet1" xfId="8433"/>
    <cellStyle name="‡_Evaluasi Peerjaan pengaspalan_Laporan Aspal Per Bulan Per Tanggal 27 Maret" xfId="8434"/>
    <cellStyle name="‡_Evaluasi Peerjaan pengaspalan_Laporan Aspal Per Bulan Per Tanggal 27 Maret_Sheet1" xfId="8435"/>
    <cellStyle name="‡_Evaluasi Peerjaan pengaspalan_LSB PROYEK BX-01" xfId="8436"/>
    <cellStyle name="‡_Evaluasi Peerjaan pengaspalan_LSB PROYEK BX-01_Sheet1" xfId="8437"/>
    <cellStyle name="‡_Evaluasi Peerjaan pengaspalan_Monitoring Bahan" xfId="8438"/>
    <cellStyle name="‡_Evaluasi Peerjaan pengaspalan_Monitoring Bahan_Sheet1" xfId="8439"/>
    <cellStyle name="‡_Evaluasi Peerjaan pengaspalan_Rekap Biaya-Biaya BX-01 Kintab-Sebamban" xfId="8440"/>
    <cellStyle name="‡_Evaluasi Peerjaan pengaspalan_Rekap Biaya-Biaya BX-01 Kintab-Sebamban Juni" xfId="8441"/>
    <cellStyle name="‡_Evaluasi Peerjaan pengaspalan_Rekap Biaya-Biaya BX-01 Kintab-Sebamban Juni_Sheet1" xfId="8442"/>
    <cellStyle name="‡_Evaluasi Peerjaan pengaspalan_Rekap Biaya-Biaya BX-01 Kintab-Sebamban Meii" xfId="8443"/>
    <cellStyle name="‡_Evaluasi Peerjaan pengaspalan_Rekap Biaya-Biaya BX-01 Kintab-Sebamban Meii_Sheet1" xfId="8444"/>
    <cellStyle name="‡_Evaluasi Peerjaan pengaspalan_Rekap Biaya-Biaya BX-01 Kintab-Sebamban_Sheet1" xfId="8445"/>
    <cellStyle name="‡_Evaluasi Peerjaan pengaspalan_Rekap Biaya-Biaya BX-01 Yang Tertahan" xfId="8446"/>
    <cellStyle name="‡_Evaluasi Peerjaan pengaspalan_Rekap Biaya-Biaya BX-01 Yang Tertahan_Sheet1" xfId="8447"/>
    <cellStyle name="‡_Evaluasi Peerjaan pengaspalan_Sheet1" xfId="8448"/>
    <cellStyle name="‡_FA MPack" xfId="8449"/>
    <cellStyle name="‡_FA MPack (2)" xfId="8450"/>
    <cellStyle name="‡_FA MPack (2)_Lease Analysis.2" xfId="8451"/>
    <cellStyle name="‡_FA MPack (2)_Lease Analysis.2_Sheet1" xfId="8452"/>
    <cellStyle name="‡_FA MPack (2)_Sheet1" xfId="8453"/>
    <cellStyle name="‡_FA MPack_Lease Analysis.2" xfId="8454"/>
    <cellStyle name="‡_FA MPack_Lease Analysis.2_Sheet1" xfId="8455"/>
    <cellStyle name="‡_FA MPack_Sheet1" xfId="8456"/>
    <cellStyle name="‡_GBP PMR Summary" xfId="8457"/>
    <cellStyle name="‡_GBP PMR Summary_Lease Analysis.2" xfId="8458"/>
    <cellStyle name="‡_GBP PMR Summary_Lease Analysis.2_Sheet1" xfId="8459"/>
    <cellStyle name="‡_GBP PMR Summary_Sheet1" xfId="8460"/>
    <cellStyle name="‡_GBP PMR Summary-based on current forecast" xfId="8461"/>
    <cellStyle name="‡_GBP PMR Summary-based on current forecast_Lease Analysis.2" xfId="8462"/>
    <cellStyle name="‡_GBP PMR Summary-based on current forecast_Lease Analysis.2_Sheet1" xfId="8463"/>
    <cellStyle name="‡_GBP PMR Summary-based on current forecast_Sheet1" xfId="8464"/>
    <cellStyle name="‡_HP 30% Berdasarkan NK Awal Br" xfId="8465"/>
    <cellStyle name="‡_HP 30% Berdasarkan NK Awal Br_Laporan Aspal Per Bulan 2009" xfId="8466"/>
    <cellStyle name="‡_HP 30% Berdasarkan NK Awal Br_Laporan Aspal Per Bulan 2009_Sheet1" xfId="8467"/>
    <cellStyle name="‡_HP 30% Berdasarkan NK Awal Br_Laporan Aspal Per Bulan Per Tanggal 27 Maret" xfId="8468"/>
    <cellStyle name="‡_HP 30% Berdasarkan NK Awal Br_Laporan Aspal Per Bulan Per Tanggal 27 Maret_Sheet1" xfId="8469"/>
    <cellStyle name="‡_HP 30% Berdasarkan NK Awal Br_Rekap Biaya-Biaya BX-01 Kintab-Sebamban" xfId="8470"/>
    <cellStyle name="‡_HP 30% Berdasarkan NK Awal Br_Rekap Biaya-Biaya BX-01 Kintab-Sebamban Juni" xfId="8471"/>
    <cellStyle name="‡_HP 30% Berdasarkan NK Awal Br_Rekap Biaya-Biaya BX-01 Kintab-Sebamban Juni_Sheet1" xfId="8472"/>
    <cellStyle name="‡_HP 30% Berdasarkan NK Awal Br_Rekap Biaya-Biaya BX-01 Kintab-Sebamban Meii" xfId="8473"/>
    <cellStyle name="‡_HP 30% Berdasarkan NK Awal Br_Rekap Biaya-Biaya BX-01 Kintab-Sebamban Meii_Sheet1" xfId="8474"/>
    <cellStyle name="‡_HP 30% Berdasarkan NK Awal Br_Rekap Biaya-Biaya BX-01 Kintab-Sebamban_Sheet1" xfId="8475"/>
    <cellStyle name="‡_HP 30% Berdasarkan NK Awal Br_Sheet1" xfId="8476"/>
    <cellStyle name="‡_KK-Capital Stock" xfId="8477"/>
    <cellStyle name="‡_KK-Capital Stock_Sheet1" xfId="8478"/>
    <cellStyle name="‡_PAJAK_CABANG" xfId="8479"/>
    <cellStyle name="‡_PAJAK_CABANG_1 Leadschedule_BTEL_12 31 08 - Copy" xfId="8480"/>
    <cellStyle name="‡_PAJAK_CABANG_1 Leadschedule_BTEL_12 31 08 - Copy_BS  PL format audit June10 Hendro Ver300810 10AM FINAL" xfId="8481"/>
    <cellStyle name="‡_PAJAK_CABANG_1 Leadschedule_BTEL_12 31 08 - Copy_BS  PL format audit June10 Hendro Ver300810 10AM FINAL 2" xfId="8482"/>
    <cellStyle name="‡_PAJAK_CABANG_1 Leadschedule_BTEL_12 31 08 - Copy_BS  PL format audit June10 Hendro Ver300810 10AM FINAL 2_Sheet1" xfId="8483"/>
    <cellStyle name="‡_PAJAK_CABANG_1 Leadschedule_BTEL_12 31 08 - Copy_BS  PL format audit June10 Hendro Ver300810 10AM FINAL 3" xfId="8484"/>
    <cellStyle name="‡_PAJAK_CABANG_1 Leadschedule_BTEL_12 31 08 - Copy_BS  PL format audit June10 Hendro Ver300810 10AM FINAL 3_Sheet1" xfId="8485"/>
    <cellStyle name="‡_PAJAK_CABANG_1 Leadschedule_BTEL_12 31 08 - Copy_BS  PL format audit June10 Hendro Ver300810 10AM FINAL 4" xfId="8486"/>
    <cellStyle name="‡_PAJAK_CABANG_1 Leadschedule_BTEL_12 31 08 - Copy_BS  PL format audit June10 Hendro Ver300810 10AM FINAL 4 2" xfId="8487"/>
    <cellStyle name="‡_PAJAK_CABANG_1 Leadschedule_BTEL_12 31 08 - Copy_BS  PL format audit June10 Hendro Ver300810 10AM FINAL 4 2_Sheet1" xfId="8488"/>
    <cellStyle name="‡_PAJAK_CABANG_1 Leadschedule_BTEL_12 31 08 - Copy_BS  PL format audit June10 Hendro Ver300810 10AM FINAL 4_Sheet1" xfId="8489"/>
    <cellStyle name="‡_PAJAK_CABANG_1 Leadschedule_BTEL_12 31 08 - Copy_BS  PL format audit June10 Hendro Ver300810 10AM FINAL 5" xfId="8490"/>
    <cellStyle name="‡_PAJAK_CABANG_1 Leadschedule_BTEL_12 31 08 - Copy_BS  PL format audit June10 Hendro Ver300810 10AM FINAL 5_Sheet1" xfId="8491"/>
    <cellStyle name="‡_PAJAK_CABANG_1 Leadschedule_BTEL_12 31 08 - Copy_BS  PL format audit June10 Hendro Ver300810 10AM FINAL 6" xfId="8492"/>
    <cellStyle name="‡_PAJAK_CABANG_1 Leadschedule_BTEL_12 31 08 - Copy_BS  PL format audit June10 Hendro Ver300810 10AM FINAL 6_Sheet1" xfId="8493"/>
    <cellStyle name="‡_PAJAK_CABANG_1 Leadschedule_BTEL_12 31 08 - Copy_BS  PL format audit June10 Hendro Ver300810 10AM FINAL 7" xfId="8494"/>
    <cellStyle name="‡_PAJAK_CABANG_1 Leadschedule_BTEL_12 31 08 - Copy_BS  PL format audit June10 Hendro Ver300810 10AM FINAL 7_Sheet1" xfId="8495"/>
    <cellStyle name="‡_PAJAK_CABANG_1 Leadschedule_BTEL_12 31 08 - Copy_BS  PL format audit June10 Hendro Ver300810 10AM FINAL_Sheet1" xfId="8496"/>
    <cellStyle name="‡_PAJAK_CABANG_1 Leadschedule_BTEL_12 31 08 - Copy_Sheet1" xfId="8497"/>
    <cellStyle name="‡_PAJAK_CABANG_AP" xfId="8498"/>
    <cellStyle name="‡_PAJAK_CABANG_AP 2" xfId="8499"/>
    <cellStyle name="‡_PAJAK_CABANG_AP 2_Sheet1" xfId="8500"/>
    <cellStyle name="‡_PAJAK_CABANG_AP_BS  PL format audit June10 Hendro Ver300810 10AM FINAL" xfId="8501"/>
    <cellStyle name="‡_PAJAK_CABANG_AP_BS  PL format audit June10 Hendro Ver300810 10AM FINAL_Sheet1" xfId="8502"/>
    <cellStyle name="‡_PAJAK_CABANG_AP_Sheet1" xfId="8503"/>
    <cellStyle name="‡_PAJAK_CABANG_BS  PL format audit June10 Hendro Ver300810 10AM FINAL" xfId="8504"/>
    <cellStyle name="‡_PAJAK_CABANG_BS  PL format audit June10 Hendro Ver300810 10AM FINAL 2" xfId="8505"/>
    <cellStyle name="‡_PAJAK_CABANG_BS  PL format audit June10 Hendro Ver300810 10AM FINAL 2_Sheet1" xfId="8506"/>
    <cellStyle name="‡_PAJAK_CABANG_BS  PL format audit June10 Hendro Ver300810 10AM FINAL 3" xfId="8507"/>
    <cellStyle name="‡_PAJAK_CABANG_BS  PL format audit June10 Hendro Ver300810 10AM FINAL 3_Sheet1" xfId="8508"/>
    <cellStyle name="‡_PAJAK_CABANG_BS  PL format audit June10 Hendro Ver300810 10AM FINAL 4" xfId="8509"/>
    <cellStyle name="‡_PAJAK_CABANG_BS  PL format audit June10 Hendro Ver300810 10AM FINAL 4 2" xfId="8510"/>
    <cellStyle name="‡_PAJAK_CABANG_BS  PL format audit June10 Hendro Ver300810 10AM FINAL 4 2_Sheet1" xfId="8511"/>
    <cellStyle name="‡_PAJAK_CABANG_BS  PL format audit June10 Hendro Ver300810 10AM FINAL 4_Sheet1" xfId="8512"/>
    <cellStyle name="‡_PAJAK_CABANG_BS  PL format audit June10 Hendro Ver300810 10AM FINAL 5" xfId="8513"/>
    <cellStyle name="‡_PAJAK_CABANG_BS  PL format audit June10 Hendro Ver300810 10AM FINAL 5_Sheet1" xfId="8514"/>
    <cellStyle name="‡_PAJAK_CABANG_BS  PL format audit June10 Hendro Ver300810 10AM FINAL 6" xfId="8515"/>
    <cellStyle name="‡_PAJAK_CABANG_BS  PL format audit June10 Hendro Ver300810 10AM FINAL 6_Sheet1" xfId="8516"/>
    <cellStyle name="‡_PAJAK_CABANG_BS  PL format audit June10 Hendro Ver300810 10AM FINAL 7" xfId="8517"/>
    <cellStyle name="‡_PAJAK_CABANG_BS  PL format audit June10 Hendro Ver300810 10AM FINAL 7_Sheet1" xfId="8518"/>
    <cellStyle name="‡_PAJAK_CABANG_BS  PL format audit June10 Hendro Ver300810 10AM FINAL_Sheet1" xfId="8519"/>
    <cellStyle name="‡_PAJAK_CABANG_KK-Capital Stock" xfId="8520"/>
    <cellStyle name="‡_PAJAK_CABANG_KK-Capital Stock_Sheet1" xfId="8521"/>
    <cellStyle name="‡_PAJAK_CABANG_Sheet1" xfId="8522"/>
    <cellStyle name="‡_Plant Componentry Schedule" xfId="8523"/>
    <cellStyle name="‡_Plant Componentry Schedule_Sheet1" xfId="8524"/>
    <cellStyle name="‡_PLDT" xfId="8525"/>
    <cellStyle name="‡_PLDT_Sheet1" xfId="8526"/>
    <cellStyle name="‡_PMR Summary-based on current forecast" xfId="8527"/>
    <cellStyle name="‡_PMR Summary-based on current forecast_Lease Analysis.2" xfId="8528"/>
    <cellStyle name="‡_PMR Summary-based on current forecast_Lease Analysis.2_Sheet1" xfId="8529"/>
    <cellStyle name="‡_PMR Summary-based on current forecast_Sheet1" xfId="8530"/>
    <cellStyle name="‡_Sanga PMR Summary" xfId="8531"/>
    <cellStyle name="‡_Sanga PMR Summary_1107_Final_SUN_updated_10Dec" xfId="8532"/>
    <cellStyle name="‡_Sanga PMR Summary_1107_Final_SUN_updated_10Dec_Lease Analysis.2" xfId="8533"/>
    <cellStyle name="‡_Sanga PMR Summary_1107_Final_SUN_updated_10Dec_Lease Analysis.2_Sheet1" xfId="8534"/>
    <cellStyle name="‡_Sanga PMR Summary_1107_Final_SUN_updated_10Dec_Sheet1" xfId="8535"/>
    <cellStyle name="‡_Sanga PMR Summary_Lease Analysis.2" xfId="8536"/>
    <cellStyle name="‡_Sanga PMR Summary_Lease Analysis.2_Sheet1" xfId="8537"/>
    <cellStyle name="‡_Sanga PMR Summary_Sheet1" xfId="8538"/>
    <cellStyle name="‡_Senior Loan" xfId="8539"/>
    <cellStyle name="‡_Senior Loan_Sheet1" xfId="8540"/>
    <cellStyle name="‡_Sheet1" xfId="8541"/>
    <cellStyle name="‡_Simulasi PFC Agustus" xfId="8542"/>
    <cellStyle name="‡_Simulasi PFC Agustus_Laporan Aspal Per Bulan 2009" xfId="8543"/>
    <cellStyle name="‡_Simulasi PFC Agustus_Laporan Aspal Per Bulan 2009_Sheet1" xfId="8544"/>
    <cellStyle name="‡_Simulasi PFC Agustus_Laporan Aspal Per Bulan Per Tanggal 27 Maret" xfId="8545"/>
    <cellStyle name="‡_Simulasi PFC Agustus_Laporan Aspal Per Bulan Per Tanggal 27 Maret_Sheet1" xfId="8546"/>
    <cellStyle name="‡_Simulasi PFC Agustus_Rekap Biaya-Biaya BX-01 Kintab-Sebamban" xfId="8547"/>
    <cellStyle name="‡_Simulasi PFC Agustus_Rekap Biaya-Biaya BX-01 Kintab-Sebamban Juni" xfId="8548"/>
    <cellStyle name="‡_Simulasi PFC Agustus_Rekap Biaya-Biaya BX-01 Kintab-Sebamban Juni_Sheet1" xfId="8549"/>
    <cellStyle name="‡_Simulasi PFC Agustus_Rekap Biaya-Biaya BX-01 Kintab-Sebamban Meii" xfId="8550"/>
    <cellStyle name="‡_Simulasi PFC Agustus_Rekap Biaya-Biaya BX-01 Kintab-Sebamban Meii_Sheet1" xfId="8551"/>
    <cellStyle name="‡_Simulasi PFC Agustus_Rekap Biaya-Biaya BX-01 Kintab-Sebamban_Sheet1" xfId="8552"/>
    <cellStyle name="‡_Simulasi PFC Agustus_Sheet1" xfId="8553"/>
    <cellStyle name="‡_STA- - Style2" xfId="8554"/>
    <cellStyle name="‡_STA- - Style2_Sheet1" xfId="8555"/>
    <cellStyle name="‡_STA-DRP" xfId="8556"/>
    <cellStyle name="‡_STA-DRP 2" xfId="8557"/>
    <cellStyle name="‡_STA-DRP 2_Sheet1" xfId="8558"/>
    <cellStyle name="‡_STA-DRP_1 Leadschedule_BTEL_12 31 08 - Copy" xfId="8559"/>
    <cellStyle name="‡_STA-DRP_1 Leadschedule_BTEL_12 31 08 - Copy 2" xfId="8560"/>
    <cellStyle name="‡_STA-DRP_1 Leadschedule_BTEL_12 31 08 - Copy 2_Sheet1" xfId="8561"/>
    <cellStyle name="‡_STA-DRP_1 Leadschedule_BTEL_12 31 08 - Copy_BS  PL format audit June10 Hendro Ver300810 10AM FINAL" xfId="8562"/>
    <cellStyle name="‡_STA-DRP_1 Leadschedule_BTEL_12 31 08 - Copy_BS  PL format audit June10 Hendro Ver300810 10AM FINAL_Sheet1" xfId="8563"/>
    <cellStyle name="‡_STA-DRP_1 Leadschedule_BTEL_12 31 08 - Copy_Sheet1" xfId="8564"/>
    <cellStyle name="‡_STA-DRP_3667C Sanga PMR Mar 07 Rev2" xfId="8565"/>
    <cellStyle name="‡_STA-DRP_3667C Sanga PMR Mar 07 Rev2_FA MPack" xfId="8566"/>
    <cellStyle name="‡_STA-DRP_3667C Sanga PMR Mar 07 Rev2_FA MPack (2)" xfId="8567"/>
    <cellStyle name="‡_STA-DRP_3667C Sanga PMR Mar 07 Rev2_FA MPack (2)_Lease Analysis.2" xfId="8568"/>
    <cellStyle name="‡_STA-DRP_3667C Sanga PMR Mar 07 Rev2_FA MPack (2)_Lease Analysis.2_Sheet1" xfId="8569"/>
    <cellStyle name="‡_STA-DRP_3667C Sanga PMR Mar 07 Rev2_FA MPack (2)_Sheet1" xfId="8570"/>
    <cellStyle name="‡_STA-DRP_3667C Sanga PMR Mar 07 Rev2_FA MPack_Lease Analysis.2" xfId="8571"/>
    <cellStyle name="‡_STA-DRP_3667C Sanga PMR Mar 07 Rev2_FA MPack_Lease Analysis.2_Sheet1" xfId="8572"/>
    <cellStyle name="‡_STA-DRP_3667C Sanga PMR Mar 07 Rev2_FA MPack_Sheet1" xfId="8573"/>
    <cellStyle name="‡_STA-DRP_3667C Sanga PMR Mar 07 Rev2_GBP PMR Summary" xfId="8574"/>
    <cellStyle name="‡_STA-DRP_3667C Sanga PMR Mar 07 Rev2_GBP PMR Summary_Lease Analysis.2" xfId="8575"/>
    <cellStyle name="‡_STA-DRP_3667C Sanga PMR Mar 07 Rev2_GBP PMR Summary_Lease Analysis.2_Sheet1" xfId="8576"/>
    <cellStyle name="‡_STA-DRP_3667C Sanga PMR Mar 07 Rev2_GBP PMR Summary_Sheet1" xfId="8577"/>
    <cellStyle name="‡_STA-DRP_3667C Sanga PMR Mar 07 Rev2_GBP PMR Summary-based on current forecast" xfId="8578"/>
    <cellStyle name="‡_STA-DRP_3667C Sanga PMR Mar 07 Rev2_GBP PMR Summary-based on current forecast_Lease Analysis.2" xfId="8579"/>
    <cellStyle name="‡_STA-DRP_3667C Sanga PMR Mar 07 Rev2_GBP PMR Summary-based on current forecast_Lease Analysis.2_Sheet1" xfId="8580"/>
    <cellStyle name="‡_STA-DRP_3667C Sanga PMR Mar 07 Rev2_GBP PMR Summary-based on current forecast_Sheet1" xfId="8581"/>
    <cellStyle name="‡_STA-DRP_3667C Sanga PMR Mar 07 Rev2_MP_PROFORMA 0608 v3 Protected" xfId="8582"/>
    <cellStyle name="‡_STA-DRP_3667C Sanga PMR Mar 07 Rev2_MP_PROFORMA 0608 v3 Protected_080109 Capex Report" xfId="8583"/>
    <cellStyle name="‡_STA-DRP_3667C Sanga PMR Mar 07 Rev2_MP_PROFORMA 0608 v3 Protected_080109 Capex Report_Sheet1" xfId="8584"/>
    <cellStyle name="‡_STA-DRP_3667C Sanga PMR Mar 07 Rev2_MP_PROFORMA 0608 v3 Protected_Sheet1" xfId="8585"/>
    <cellStyle name="‡_STA-DRP_3667C Sanga PMR Mar 07 Rev2_PMR Summary-based on current forecast" xfId="8586"/>
    <cellStyle name="‡_STA-DRP_3667C Sanga PMR Mar 07 Rev2_PMR Summary-based on current forecast_Lease Analysis.2" xfId="8587"/>
    <cellStyle name="‡_STA-DRP_3667C Sanga PMR Mar 07 Rev2_PMR Summary-based on current forecast_Lease Analysis.2_Sheet1" xfId="8588"/>
    <cellStyle name="‡_STA-DRP_3667C Sanga PMR Mar 07 Rev2_PMR Summary-based on current forecast_Sheet1" xfId="8589"/>
    <cellStyle name="‡_STA-DRP_3667C Sanga PMR Mar 07 Rev2_Sanga PMR Summary" xfId="8590"/>
    <cellStyle name="‡_STA-DRP_3667C Sanga PMR Mar 07 Rev2_Sanga PMR Summary_1107_Final_SUN_updated_10Dec" xfId="8591"/>
    <cellStyle name="‡_STA-DRP_3667C Sanga PMR Mar 07 Rev2_Sanga PMR Summary_1107_Final_SUN_updated_10Dec_Lease Analysis.2" xfId="8592"/>
    <cellStyle name="‡_STA-DRP_3667C Sanga PMR Mar 07 Rev2_Sanga PMR Summary_1107_Final_SUN_updated_10Dec_Lease Analysis.2_Sheet1" xfId="8593"/>
    <cellStyle name="‡_STA-DRP_3667C Sanga PMR Mar 07 Rev2_Sanga PMR Summary_1107_Final_SUN_updated_10Dec_Sheet1" xfId="8594"/>
    <cellStyle name="‡_STA-DRP_3667C Sanga PMR Mar 07 Rev2_Sanga PMR Summary_Lease Analysis.2" xfId="8595"/>
    <cellStyle name="‡_STA-DRP_3667C Sanga PMR Mar 07 Rev2_Sanga PMR Summary_Lease Analysis.2_Sheet1" xfId="8596"/>
    <cellStyle name="‡_STA-DRP_3667C Sanga PMR Mar 07 Rev2_Sanga PMR Summary_Sheet1" xfId="8597"/>
    <cellStyle name="‡_STA-DRP_3667C Sanga PMR Mar 07 Rev2_Sheet1" xfId="8598"/>
    <cellStyle name="‡_STA-DRP_3667C Sanga PMR May 07 Rev 1" xfId="8599"/>
    <cellStyle name="‡_STA-DRP_3667C Sanga PMR May 07 Rev 1_200803 New FA Movement (Mar08)" xfId="8600"/>
    <cellStyle name="‡_STA-DRP_3667C Sanga PMR May 07 Rev 1_200803 New FA Movement (Mar08)_Lease Analysis.2" xfId="8601"/>
    <cellStyle name="‡_STA-DRP_3667C Sanga PMR May 07 Rev 1_200803 New FA Movement (Mar08)_Lease Analysis.2_Sheet1" xfId="8602"/>
    <cellStyle name="‡_STA-DRP_3667C Sanga PMR May 07 Rev 1_200803 New FA Movement (Mar08)_Sheet1" xfId="8603"/>
    <cellStyle name="‡_STA-DRP_3667C Sanga PMR May 07 Rev 1_CapexandIRRcalculation-85%financing - revised" xfId="8604"/>
    <cellStyle name="‡_STA-DRP_3667C Sanga PMR May 07 Rev 1_CapexandIRRcalculation-85%financing - revised_Lease Analysis.2" xfId="8605"/>
    <cellStyle name="‡_STA-DRP_3667C Sanga PMR May 07 Rev 1_CapexandIRRcalculation-85%financing - revised_Lease Analysis.2_Sheet1" xfId="8606"/>
    <cellStyle name="‡_STA-DRP_3667C Sanga PMR May 07 Rev 1_CapexandIRRcalculation-85%financing - revised_Sheet1" xfId="8607"/>
    <cellStyle name="‡_STA-DRP_3667C Sanga PMR May 07 Rev 1_MP_PROFORMA 0608 v3 Protected" xfId="8608"/>
    <cellStyle name="‡_STA-DRP_3667C Sanga PMR May 07 Rev 1_MP_PROFORMA 0608 v3 Protected_Lease Analysis.2" xfId="8609"/>
    <cellStyle name="‡_STA-DRP_3667C Sanga PMR May 07 Rev 1_MP_PROFORMA 0608 v3 Protected_Lease Analysis.2_Sheet1" xfId="8610"/>
    <cellStyle name="‡_STA-DRP_3667C Sanga PMR May 07 Rev 1_MP_PROFORMA 0608 v3 Protected_Sheet1" xfId="8611"/>
    <cellStyle name="‡_STA-DRP_3667C Sanga PMR May 07 Rev 1_Sheet1" xfId="8612"/>
    <cellStyle name="‡_STA-DRP_AP" xfId="8613"/>
    <cellStyle name="‡_STA-DRP_AP 2" xfId="8614"/>
    <cellStyle name="‡_STA-DRP_AP 2_Sheet1" xfId="8615"/>
    <cellStyle name="‡_STA-DRP_AP_BS  PL format audit June10 Hendro Ver300810 10AM FINAL" xfId="8616"/>
    <cellStyle name="‡_STA-DRP_AP_BS  PL format audit June10 Hendro Ver300810 10AM FINAL_Sheet1" xfId="8617"/>
    <cellStyle name="‡_STA-DRP_AP_Sheet1" xfId="8618"/>
    <cellStyle name="‡_STA-DRP_BOOK1" xfId="8619"/>
    <cellStyle name="‡_STA-DRP_BOOK1 2" xfId="8620"/>
    <cellStyle name="‡_STA-DRP_BOOK1 2_Sheet1" xfId="8621"/>
    <cellStyle name="‡_STA-DRP_BOOK1_3321C - INVOICE STATUS - NOV 2002" xfId="8622"/>
    <cellStyle name="‡_STA-DRP_BOOK1_3321C - INVOICE STATUS - NOV 2002 2" xfId="8623"/>
    <cellStyle name="‡_STA-DRP_BOOK1_3321C - INVOICE STATUS - NOV 2002 2_Sheet1" xfId="8624"/>
    <cellStyle name="‡_STA-DRP_BOOK1_3321C - INVOICE STATUS - NOV 2002_Sheet1" xfId="8625"/>
    <cellStyle name="‡_STA-DRP_BOOK1_3321C - INVOICE STATUS - NOV 2002_Worksheet in 5361 Testing Accrued Income - May 2008" xfId="8626"/>
    <cellStyle name="‡_STA-DRP_BOOK1_3321C - INVOICE STATUS - NOV 2002_Worksheet in 5361 Testing Accrued Income - May 2008_Sheet1" xfId="8627"/>
    <cellStyle name="‡_STA-DRP_BOOK1_3667C Sanga PMR Mar 07 Rev2" xfId="8628"/>
    <cellStyle name="‡_STA-DRP_BOOK1_3667C Sanga PMR Mar 07 Rev2_080109 Capex Report" xfId="8629"/>
    <cellStyle name="‡_STA-DRP_BOOK1_3667C Sanga PMR Mar 07 Rev2_080109 Capex Report_Sheet1" xfId="8630"/>
    <cellStyle name="‡_STA-DRP_BOOK1_3667C Sanga PMR Mar 07 Rev2_200803 New FA Movement (Mar08)" xfId="8631"/>
    <cellStyle name="‡_STA-DRP_BOOK1_3667C Sanga PMR Mar 07 Rev2_200803 New FA Movement (Mar08)_Sheet1" xfId="8632"/>
    <cellStyle name="‡_STA-DRP_BOOK1_3667C Sanga PMR Mar 07 Rev2_GBP PMR Summary" xfId="8633"/>
    <cellStyle name="‡_STA-DRP_BOOK1_3667C Sanga PMR Mar 07 Rev2_GBP PMR Summary_Sheet1" xfId="8634"/>
    <cellStyle name="‡_STA-DRP_BOOK1_3667C Sanga PMR Mar 07 Rev2_GBP PMR Summary-based on current forecast" xfId="8635"/>
    <cellStyle name="‡_STA-DRP_BOOK1_3667C Sanga PMR Mar 07 Rev2_GBP PMR Summary-based on current forecast_Sheet1" xfId="8636"/>
    <cellStyle name="‡_STA-DRP_BOOK1_3667C Sanga PMR Mar 07 Rev2_Lease Analysis.2" xfId="8637"/>
    <cellStyle name="‡_STA-DRP_BOOK1_3667C Sanga PMR Mar 07 Rev2_Lease Analysis.2_Sheet1" xfId="8638"/>
    <cellStyle name="‡_STA-DRP_BOOK1_3667C Sanga PMR Mar 07 Rev2_MP_PROFORMA 0608 v3 Protected" xfId="8639"/>
    <cellStyle name="‡_STA-DRP_BOOK1_3667C Sanga PMR Mar 07 Rev2_MP_PROFORMA 0608 v3 Protected_080109 Capex Report" xfId="8640"/>
    <cellStyle name="‡_STA-DRP_BOOK1_3667C Sanga PMR Mar 07 Rev2_MP_PROFORMA 0608 v3 Protected_080109 Capex Report_Sheet1" xfId="8641"/>
    <cellStyle name="‡_STA-DRP_BOOK1_3667C Sanga PMR Mar 07 Rev2_MP_PROFORMA 0608 v3 Protected_Lease Analysis.2" xfId="8642"/>
    <cellStyle name="‡_STA-DRP_BOOK1_3667C Sanga PMR Mar 07 Rev2_MP_PROFORMA 0608 v3 Protected_Lease Analysis.2_Sheet1" xfId="8643"/>
    <cellStyle name="‡_STA-DRP_BOOK1_3667C Sanga PMR Mar 07 Rev2_MP_PROFORMA 0608 v3 Protected_Sheet1" xfId="8644"/>
    <cellStyle name="‡_STA-DRP_BOOK1_3667C Sanga PMR Mar 07 Rev2_PMR Summary-based on current forecast" xfId="8645"/>
    <cellStyle name="‡_STA-DRP_BOOK1_3667C Sanga PMR Mar 07 Rev2_PMR Summary-based on current forecast_Sheet1" xfId="8646"/>
    <cellStyle name="‡_STA-DRP_BOOK1_3667C Sanga PMR Mar 07 Rev2_Sanga PMR Summary" xfId="8647"/>
    <cellStyle name="‡_STA-DRP_BOOK1_3667C Sanga PMR Mar 07 Rev2_Sanga PMR Summary_1107_Final_SUN_updated_10Dec" xfId="8648"/>
    <cellStyle name="‡_STA-DRP_BOOK1_3667C Sanga PMR Mar 07 Rev2_Sanga PMR Summary_1107_Final_SUN_updated_10Dec_Sheet1" xfId="8649"/>
    <cellStyle name="‡_STA-DRP_BOOK1_3667C Sanga PMR Mar 07 Rev2_Sanga PMR Summary_Sheet1" xfId="8650"/>
    <cellStyle name="‡_STA-DRP_BOOK1_3667C Sanga PMR Mar 07 Rev2_Sheet1" xfId="8651"/>
    <cellStyle name="‡_STA-DRP_BOOK1_3667C Sanga PMR May 07 Rev 1" xfId="8652"/>
    <cellStyle name="‡_STA-DRP_BOOK1_3667C Sanga PMR May 07 Rev 1_080109 Capex Report" xfId="8653"/>
    <cellStyle name="‡_STA-DRP_BOOK1_3667C Sanga PMR May 07 Rev 1_080109 Capex Report_Sheet1" xfId="8654"/>
    <cellStyle name="‡_STA-DRP_BOOK1_3667C Sanga PMR May 07 Rev 1_200803 New FA Movement (Mar08)" xfId="8655"/>
    <cellStyle name="‡_STA-DRP_BOOK1_3667C Sanga PMR May 07 Rev 1_200803 New FA Movement (Mar08)_Sheet1" xfId="8656"/>
    <cellStyle name="‡_STA-DRP_BOOK1_3667C Sanga PMR May 07 Rev 1_CapexandIRRcalculation-85%financing - revised" xfId="8657"/>
    <cellStyle name="‡_STA-DRP_BOOK1_3667C Sanga PMR May 07 Rev 1_CapexandIRRcalculation-85%financing - revised_Sheet1" xfId="8658"/>
    <cellStyle name="‡_STA-DRP_BOOK1_3667C Sanga PMR May 07 Rev 1_Lease Analysis.2" xfId="8659"/>
    <cellStyle name="‡_STA-DRP_BOOK1_3667C Sanga PMR May 07 Rev 1_Lease Analysis.2_Sheet1" xfId="8660"/>
    <cellStyle name="‡_STA-DRP_BOOK1_3667C Sanga PMR May 07 Rev 1_MP_PROFORMA 0608 v3 Protected" xfId="8661"/>
    <cellStyle name="‡_STA-DRP_BOOK1_3667C Sanga PMR May 07 Rev 1_MP_PROFORMA 0608 v3 Protected_Sheet1" xfId="8662"/>
    <cellStyle name="‡_STA-DRP_BOOK1_3667C Sanga PMR May 07 Rev 1_Sheet1" xfId="8663"/>
    <cellStyle name="‡_STA-DRP_BOOK1_Capex and IRR calculation Markup Scenarios" xfId="8664"/>
    <cellStyle name="‡_STA-DRP_BOOK1_Capex and IRR calculation Markup Scenarios_080109 Capex Report" xfId="8665"/>
    <cellStyle name="‡_STA-DRP_BOOK1_Capex and IRR calculation Markup Scenarios_080109 Capex Report_Sheet1" xfId="8666"/>
    <cellStyle name="‡_STA-DRP_BOOK1_Capex and IRR calculation Markup Scenarios_Lease Analysis.2" xfId="8667"/>
    <cellStyle name="‡_STA-DRP_BOOK1_Capex and IRR calculation Markup Scenarios_Lease Analysis.2_Sheet1" xfId="8668"/>
    <cellStyle name="‡_STA-DRP_BOOK1_Capex and IRR calculation Markup Scenarios_Sheet1" xfId="8669"/>
    <cellStyle name="‡_STA-DRP_BOOK1_Claim Summary" xfId="8670"/>
    <cellStyle name="‡_STA-DRP_BOOK1_Claim Summary 2" xfId="8671"/>
    <cellStyle name="‡_STA-DRP_BOOK1_Claim Summary 2_Sheet1" xfId="8672"/>
    <cellStyle name="‡_STA-DRP_BOOK1_Claim Summary_3667C Sanga PMR Mar 07 Rev2" xfId="8673"/>
    <cellStyle name="‡_STA-DRP_BOOK1_Claim Summary_3667C Sanga PMR Mar 07 Rev2_FA MPack" xfId="8674"/>
    <cellStyle name="‡_STA-DRP_BOOK1_Claim Summary_3667C Sanga PMR Mar 07 Rev2_FA MPack (2)" xfId="8675"/>
    <cellStyle name="‡_STA-DRP_BOOK1_Claim Summary_3667C Sanga PMR Mar 07 Rev2_FA MPack (2)_Lease Analysis.2" xfId="8676"/>
    <cellStyle name="‡_STA-DRP_BOOK1_Claim Summary_3667C Sanga PMR Mar 07 Rev2_FA MPack (2)_Lease Analysis.2_Sheet1" xfId="8677"/>
    <cellStyle name="‡_STA-DRP_BOOK1_Claim Summary_3667C Sanga PMR Mar 07 Rev2_FA MPack (2)_Sheet1" xfId="8678"/>
    <cellStyle name="‡_STA-DRP_BOOK1_Claim Summary_3667C Sanga PMR Mar 07 Rev2_FA MPack_Lease Analysis.2" xfId="8679"/>
    <cellStyle name="‡_STA-DRP_BOOK1_Claim Summary_3667C Sanga PMR Mar 07 Rev2_FA MPack_Lease Analysis.2_Sheet1" xfId="8680"/>
    <cellStyle name="‡_STA-DRP_BOOK1_Claim Summary_3667C Sanga PMR Mar 07 Rev2_FA MPack_Sheet1" xfId="8681"/>
    <cellStyle name="‡_STA-DRP_BOOK1_Claim Summary_3667C Sanga PMR Mar 07 Rev2_GBP PMR Summary" xfId="8682"/>
    <cellStyle name="‡_STA-DRP_BOOK1_Claim Summary_3667C Sanga PMR Mar 07 Rev2_GBP PMR Summary_Lease Analysis.2" xfId="8683"/>
    <cellStyle name="‡_STA-DRP_BOOK1_Claim Summary_3667C Sanga PMR Mar 07 Rev2_GBP PMR Summary_Lease Analysis.2_Sheet1" xfId="8684"/>
    <cellStyle name="‡_STA-DRP_BOOK1_Claim Summary_3667C Sanga PMR Mar 07 Rev2_GBP PMR Summary_Sheet1" xfId="8685"/>
    <cellStyle name="‡_STA-DRP_BOOK1_Claim Summary_3667C Sanga PMR Mar 07 Rev2_GBP PMR Summary-based on current forecast" xfId="8686"/>
    <cellStyle name="‡_STA-DRP_BOOK1_Claim Summary_3667C Sanga PMR Mar 07 Rev2_GBP PMR Summary-based on current forecast_Lease Analysis.2" xfId="8687"/>
    <cellStyle name="‡_STA-DRP_BOOK1_Claim Summary_3667C Sanga PMR Mar 07 Rev2_GBP PMR Summary-based on current forecast_Lease Analysis.2_Sheet1" xfId="8688"/>
    <cellStyle name="‡_STA-DRP_BOOK1_Claim Summary_3667C Sanga PMR Mar 07 Rev2_GBP PMR Summary-based on current forecast_Sheet1" xfId="8689"/>
    <cellStyle name="‡_STA-DRP_BOOK1_Claim Summary_3667C Sanga PMR Mar 07 Rev2_MP_PROFORMA 0608 v3 Protected" xfId="8690"/>
    <cellStyle name="‡_STA-DRP_BOOK1_Claim Summary_3667C Sanga PMR Mar 07 Rev2_MP_PROFORMA 0608 v3 Protected_080109 Capex Report" xfId="8691"/>
    <cellStyle name="‡_STA-DRP_BOOK1_Claim Summary_3667C Sanga PMR Mar 07 Rev2_MP_PROFORMA 0608 v3 Protected_080109 Capex Report_Sheet1" xfId="8692"/>
    <cellStyle name="‡_STA-DRP_BOOK1_Claim Summary_3667C Sanga PMR Mar 07 Rev2_MP_PROFORMA 0608 v3 Protected_Sheet1" xfId="8693"/>
    <cellStyle name="‡_STA-DRP_BOOK1_Claim Summary_3667C Sanga PMR Mar 07 Rev2_PMR Summary-based on current forecast" xfId="8694"/>
    <cellStyle name="‡_STA-DRP_BOOK1_Claim Summary_3667C Sanga PMR Mar 07 Rev2_PMR Summary-based on current forecast_Lease Analysis.2" xfId="8695"/>
    <cellStyle name="‡_STA-DRP_BOOK1_Claim Summary_3667C Sanga PMR Mar 07 Rev2_PMR Summary-based on current forecast_Lease Analysis.2_Sheet1" xfId="8696"/>
    <cellStyle name="‡_STA-DRP_BOOK1_Claim Summary_3667C Sanga PMR Mar 07 Rev2_PMR Summary-based on current forecast_Sheet1" xfId="8697"/>
    <cellStyle name="‡_STA-DRP_BOOK1_Claim Summary_3667C Sanga PMR Mar 07 Rev2_Sanga PMR Summary" xfId="8698"/>
    <cellStyle name="‡_STA-DRP_BOOK1_Claim Summary_3667C Sanga PMR Mar 07 Rev2_Sanga PMR Summary_1107_Final_SUN_updated_10Dec" xfId="8699"/>
    <cellStyle name="‡_STA-DRP_BOOK1_Claim Summary_3667C Sanga PMR Mar 07 Rev2_Sanga PMR Summary_1107_Final_SUN_updated_10Dec_Lease Analysis.2" xfId="8700"/>
    <cellStyle name="‡_STA-DRP_BOOK1_Claim Summary_3667C Sanga PMR Mar 07 Rev2_Sanga PMR Summary_1107_Final_SUN_updated_10Dec_Lease Analysis.2_Sheet1" xfId="8701"/>
    <cellStyle name="‡_STA-DRP_BOOK1_Claim Summary_3667C Sanga PMR Mar 07 Rev2_Sanga PMR Summary_1107_Final_SUN_updated_10Dec_Sheet1" xfId="8702"/>
    <cellStyle name="‡_STA-DRP_BOOK1_Claim Summary_3667C Sanga PMR Mar 07 Rev2_Sanga PMR Summary_Lease Analysis.2" xfId="8703"/>
    <cellStyle name="‡_STA-DRP_BOOK1_Claim Summary_3667C Sanga PMR Mar 07 Rev2_Sanga PMR Summary_Lease Analysis.2_Sheet1" xfId="8704"/>
    <cellStyle name="‡_STA-DRP_BOOK1_Claim Summary_3667C Sanga PMR Mar 07 Rev2_Sanga PMR Summary_Sheet1" xfId="8705"/>
    <cellStyle name="‡_STA-DRP_BOOK1_Claim Summary_3667C Sanga PMR Mar 07 Rev2_Sheet1" xfId="8706"/>
    <cellStyle name="‡_STA-DRP_BOOK1_Claim Summary_3667C Sanga PMR May 07 Rev 1" xfId="8707"/>
    <cellStyle name="‡_STA-DRP_BOOK1_Claim Summary_3667C Sanga PMR May 07 Rev 1_200803 New FA Movement (Mar08)" xfId="8708"/>
    <cellStyle name="‡_STA-DRP_BOOK1_Claim Summary_3667C Sanga PMR May 07 Rev 1_200803 New FA Movement (Mar08)_Lease Analysis.2" xfId="8709"/>
    <cellStyle name="‡_STA-DRP_BOOK1_Claim Summary_3667C Sanga PMR May 07 Rev 1_200803 New FA Movement (Mar08)_Lease Analysis.2_Sheet1" xfId="8710"/>
    <cellStyle name="‡_STA-DRP_BOOK1_Claim Summary_3667C Sanga PMR May 07 Rev 1_200803 New FA Movement (Mar08)_Sheet1" xfId="8711"/>
    <cellStyle name="‡_STA-DRP_BOOK1_Claim Summary_3667C Sanga PMR May 07 Rev 1_CapexandIRRcalculation-85%financing - revised" xfId="8712"/>
    <cellStyle name="‡_STA-DRP_BOOK1_Claim Summary_3667C Sanga PMR May 07 Rev 1_CapexandIRRcalculation-85%financing - revised_Lease Analysis.2" xfId="8713"/>
    <cellStyle name="‡_STA-DRP_BOOK1_Claim Summary_3667C Sanga PMR May 07 Rev 1_CapexandIRRcalculation-85%financing - revised_Lease Analysis.2_Sheet1" xfId="8714"/>
    <cellStyle name="‡_STA-DRP_BOOK1_Claim Summary_3667C Sanga PMR May 07 Rev 1_CapexandIRRcalculation-85%financing - revised_Sheet1" xfId="8715"/>
    <cellStyle name="‡_STA-DRP_BOOK1_Claim Summary_3667C Sanga PMR May 07 Rev 1_MP_PROFORMA 0608 v3 Protected" xfId="8716"/>
    <cellStyle name="‡_STA-DRP_BOOK1_Claim Summary_3667C Sanga PMR May 07 Rev 1_MP_PROFORMA 0608 v3 Protected_Lease Analysis.2" xfId="8717"/>
    <cellStyle name="‡_STA-DRP_BOOK1_Claim Summary_3667C Sanga PMR May 07 Rev 1_MP_PROFORMA 0608 v3 Protected_Lease Analysis.2_Sheet1" xfId="8718"/>
    <cellStyle name="‡_STA-DRP_BOOK1_Claim Summary_3667C Sanga PMR May 07 Rev 1_MP_PROFORMA 0608 v3 Protected_Sheet1" xfId="8719"/>
    <cellStyle name="‡_STA-DRP_BOOK1_Claim Summary_3667C Sanga PMR May 07 Rev 1_Sheet1" xfId="8720"/>
    <cellStyle name="‡_STA-DRP_BOOK1_Claim Summary_Capex and IRR calculation Markup Scenarios" xfId="8721"/>
    <cellStyle name="‡_STA-DRP_BOOK1_Claim Summary_Capex and IRR calculation Markup Scenarios_080109 Capex Report" xfId="8722"/>
    <cellStyle name="‡_STA-DRP_BOOK1_Claim Summary_Capex and IRR calculation Markup Scenarios_080109 Capex Report_Sheet1" xfId="8723"/>
    <cellStyle name="‡_STA-DRP_BOOK1_Claim Summary_Capex and IRR calculation Markup Scenarios_Sheet1" xfId="8724"/>
    <cellStyle name="‡_STA-DRP_BOOK1_Claim Summary_FA MPack" xfId="8725"/>
    <cellStyle name="‡_STA-DRP_BOOK1_Claim Summary_FA MPack (2)" xfId="8726"/>
    <cellStyle name="‡_STA-DRP_BOOK1_Claim Summary_FA MPack (2)_Lease Analysis.2" xfId="8727"/>
    <cellStyle name="‡_STA-DRP_BOOK1_Claim Summary_FA MPack (2)_Lease Analysis.2_Sheet1" xfId="8728"/>
    <cellStyle name="‡_STA-DRP_BOOK1_Claim Summary_FA MPack (2)_Sheet1" xfId="8729"/>
    <cellStyle name="‡_STA-DRP_BOOK1_Claim Summary_FA MPack_Lease Analysis.2" xfId="8730"/>
    <cellStyle name="‡_STA-DRP_BOOK1_Claim Summary_FA MPack_Lease Analysis.2_Sheet1" xfId="8731"/>
    <cellStyle name="‡_STA-DRP_BOOK1_Claim Summary_FA MPack_Sheet1" xfId="8732"/>
    <cellStyle name="‡_STA-DRP_BOOK1_Claim Summary_GBP PMR Summary" xfId="8733"/>
    <cellStyle name="‡_STA-DRP_BOOK1_Claim Summary_GBP PMR Summary_Lease Analysis.2" xfId="8734"/>
    <cellStyle name="‡_STA-DRP_BOOK1_Claim Summary_GBP PMR Summary_Lease Analysis.2_Sheet1" xfId="8735"/>
    <cellStyle name="‡_STA-DRP_BOOK1_Claim Summary_GBP PMR Summary_Sheet1" xfId="8736"/>
    <cellStyle name="‡_STA-DRP_BOOK1_Claim Summary_GBP PMR Summary-based on current forecast" xfId="8737"/>
    <cellStyle name="‡_STA-DRP_BOOK1_Claim Summary_GBP PMR Summary-based on current forecast_Lease Analysis.2" xfId="8738"/>
    <cellStyle name="‡_STA-DRP_BOOK1_Claim Summary_GBP PMR Summary-based on current forecast_Lease Analysis.2_Sheet1" xfId="8739"/>
    <cellStyle name="‡_STA-DRP_BOOK1_Claim Summary_GBP PMR Summary-based on current forecast_Sheet1" xfId="8740"/>
    <cellStyle name="‡_STA-DRP_BOOK1_Claim Summary_Plant Componentry Schedule" xfId="8741"/>
    <cellStyle name="‡_STA-DRP_BOOK1_Claim Summary_Plant Componentry Schedule_Sheet1" xfId="8742"/>
    <cellStyle name="‡_STA-DRP_BOOK1_Claim Summary_PMR Summary-based on current forecast" xfId="8743"/>
    <cellStyle name="‡_STA-DRP_BOOK1_Claim Summary_PMR Summary-based on current forecast_Lease Analysis.2" xfId="8744"/>
    <cellStyle name="‡_STA-DRP_BOOK1_Claim Summary_PMR Summary-based on current forecast_Lease Analysis.2_Sheet1" xfId="8745"/>
    <cellStyle name="‡_STA-DRP_BOOK1_Claim Summary_PMR Summary-based on current forecast_Sheet1" xfId="8746"/>
    <cellStyle name="‡_STA-DRP_BOOK1_Claim Summary_Sanga PMR Summary" xfId="8747"/>
    <cellStyle name="‡_STA-DRP_BOOK1_Claim Summary_Sanga PMR Summary_1107_Final_SUN_updated_10Dec" xfId="8748"/>
    <cellStyle name="‡_STA-DRP_BOOK1_Claim Summary_Sanga PMR Summary_1107_Final_SUN_updated_10Dec_Lease Analysis.2" xfId="8749"/>
    <cellStyle name="‡_STA-DRP_BOOK1_Claim Summary_Sanga PMR Summary_1107_Final_SUN_updated_10Dec_Lease Analysis.2_Sheet1" xfId="8750"/>
    <cellStyle name="‡_STA-DRP_BOOK1_Claim Summary_Sanga PMR Summary_1107_Final_SUN_updated_10Dec_Sheet1" xfId="8751"/>
    <cellStyle name="‡_STA-DRP_BOOK1_Claim Summary_Sanga PMR Summary_Lease Analysis.2" xfId="8752"/>
    <cellStyle name="‡_STA-DRP_BOOK1_Claim Summary_Sanga PMR Summary_Lease Analysis.2_Sheet1" xfId="8753"/>
    <cellStyle name="‡_STA-DRP_BOOK1_Claim Summary_Sanga PMR Summary_Sheet1" xfId="8754"/>
    <cellStyle name="‡_STA-DRP_BOOK1_Claim Summary_Sheet1" xfId="8755"/>
    <cellStyle name="‡_STA-DRP_BOOK1_Claim Summary_Worksheet in 5361 Testing Accrued Income - May 2008" xfId="8756"/>
    <cellStyle name="‡_STA-DRP_BOOK1_Claim Summary_Worksheet in 5361 Testing Accrued Income - May 2008_Sheet1" xfId="8757"/>
    <cellStyle name="‡_STA-DRP_BOOK1_Plant Componentry Schedule" xfId="8758"/>
    <cellStyle name="‡_STA-DRP_BOOK1_Plant Componentry Schedule_Sheet1" xfId="8759"/>
    <cellStyle name="‡_STA-DRP_BOOK1_Rep-3323c(0901)" xfId="8760"/>
    <cellStyle name="‡_STA-DRP_BOOK1_Rep-3323c(0901) 2" xfId="8761"/>
    <cellStyle name="‡_STA-DRP_BOOK1_Rep-3323c(0901) 2_Sheet1" xfId="8762"/>
    <cellStyle name="‡_STA-DRP_BOOK1_Rep-3323c(0901)_3667C Sanga PMR Mar 07 Rev2" xfId="8763"/>
    <cellStyle name="‡_STA-DRP_BOOK1_Rep-3323c(0901)_3667C Sanga PMR Mar 07 Rev2_FA MPack" xfId="8764"/>
    <cellStyle name="‡_STA-DRP_BOOK1_Rep-3323c(0901)_3667C Sanga PMR Mar 07 Rev2_FA MPack (2)" xfId="8765"/>
    <cellStyle name="‡_STA-DRP_BOOK1_Rep-3323c(0901)_3667C Sanga PMR Mar 07 Rev2_FA MPack (2)_Lease Analysis.2" xfId="8766"/>
    <cellStyle name="‡_STA-DRP_BOOK1_Rep-3323c(0901)_3667C Sanga PMR Mar 07 Rev2_FA MPack (2)_Lease Analysis.2_Sheet1" xfId="8767"/>
    <cellStyle name="‡_STA-DRP_BOOK1_Rep-3323c(0901)_3667C Sanga PMR Mar 07 Rev2_FA MPack (2)_Sheet1" xfId="8768"/>
    <cellStyle name="‡_STA-DRP_BOOK1_Rep-3323c(0901)_3667C Sanga PMR Mar 07 Rev2_FA MPack_Lease Analysis.2" xfId="8769"/>
    <cellStyle name="‡_STA-DRP_BOOK1_Rep-3323c(0901)_3667C Sanga PMR Mar 07 Rev2_FA MPack_Lease Analysis.2_Sheet1" xfId="8770"/>
    <cellStyle name="‡_STA-DRP_BOOK1_Rep-3323c(0901)_3667C Sanga PMR Mar 07 Rev2_FA MPack_Sheet1" xfId="8771"/>
    <cellStyle name="‡_STA-DRP_BOOK1_Rep-3323c(0901)_3667C Sanga PMR Mar 07 Rev2_GBP PMR Summary" xfId="8772"/>
    <cellStyle name="‡_STA-DRP_BOOK1_Rep-3323c(0901)_3667C Sanga PMR Mar 07 Rev2_GBP PMR Summary_Lease Analysis.2" xfId="8773"/>
    <cellStyle name="‡_STA-DRP_BOOK1_Rep-3323c(0901)_3667C Sanga PMR Mar 07 Rev2_GBP PMR Summary_Lease Analysis.2_Sheet1" xfId="8774"/>
    <cellStyle name="‡_STA-DRP_BOOK1_Rep-3323c(0901)_3667C Sanga PMR Mar 07 Rev2_GBP PMR Summary_Sheet1" xfId="8775"/>
    <cellStyle name="‡_STA-DRP_BOOK1_Rep-3323c(0901)_3667C Sanga PMR Mar 07 Rev2_GBP PMR Summary-based on current forecast" xfId="8776"/>
    <cellStyle name="‡_STA-DRP_BOOK1_Rep-3323c(0901)_3667C Sanga PMR Mar 07 Rev2_GBP PMR Summary-based on current forecast_Lease Analysis.2" xfId="8777"/>
    <cellStyle name="‡_STA-DRP_BOOK1_Rep-3323c(0901)_3667C Sanga PMR Mar 07 Rev2_GBP PMR Summary-based on current forecast_Lease Analysis.2_Sheet1" xfId="8778"/>
    <cellStyle name="‡_STA-DRP_BOOK1_Rep-3323c(0901)_3667C Sanga PMR Mar 07 Rev2_GBP PMR Summary-based on current forecast_Sheet1" xfId="8779"/>
    <cellStyle name="‡_STA-DRP_BOOK1_Rep-3323c(0901)_3667C Sanga PMR Mar 07 Rev2_MP_PROFORMA 0608 v3 Protected" xfId="8780"/>
    <cellStyle name="‡_STA-DRP_BOOK1_Rep-3323c(0901)_3667C Sanga PMR Mar 07 Rev2_MP_PROFORMA 0608 v3 Protected_080109 Capex Report" xfId="8781"/>
    <cellStyle name="‡_STA-DRP_BOOK1_Rep-3323c(0901)_3667C Sanga PMR Mar 07 Rev2_MP_PROFORMA 0608 v3 Protected_080109 Capex Report_Sheet1" xfId="8782"/>
    <cellStyle name="‡_STA-DRP_BOOK1_Rep-3323c(0901)_3667C Sanga PMR Mar 07 Rev2_MP_PROFORMA 0608 v3 Protected_Sheet1" xfId="8783"/>
    <cellStyle name="‡_STA-DRP_BOOK1_Rep-3323c(0901)_3667C Sanga PMR Mar 07 Rev2_PMR Summary-based on current forecast" xfId="8784"/>
    <cellStyle name="‡_STA-DRP_BOOK1_Rep-3323c(0901)_3667C Sanga PMR Mar 07 Rev2_PMR Summary-based on current forecast_Lease Analysis.2" xfId="8785"/>
    <cellStyle name="‡_STA-DRP_BOOK1_Rep-3323c(0901)_3667C Sanga PMR Mar 07 Rev2_PMR Summary-based on current forecast_Lease Analysis.2_Sheet1" xfId="8786"/>
    <cellStyle name="‡_STA-DRP_BOOK1_Rep-3323c(0901)_3667C Sanga PMR Mar 07 Rev2_PMR Summary-based on current forecast_Sheet1" xfId="8787"/>
    <cellStyle name="‡_STA-DRP_BOOK1_Rep-3323c(0901)_3667C Sanga PMR Mar 07 Rev2_Sanga PMR Summary" xfId="8788"/>
    <cellStyle name="‡_STA-DRP_BOOK1_Rep-3323c(0901)_3667C Sanga PMR Mar 07 Rev2_Sanga PMR Summary_1107_Final_SUN_updated_10Dec" xfId="8789"/>
    <cellStyle name="‡_STA-DRP_BOOK1_Rep-3323c(0901)_3667C Sanga PMR Mar 07 Rev2_Sanga PMR Summary_1107_Final_SUN_updated_10Dec_Lease Analysis.2" xfId="8790"/>
    <cellStyle name="‡_STA-DRP_BOOK1_Rep-3323c(0901)_3667C Sanga PMR Mar 07 Rev2_Sanga PMR Summary_1107_Final_SUN_updated_10Dec_Lease Analysis.2_Sheet1" xfId="8791"/>
    <cellStyle name="‡_STA-DRP_BOOK1_Rep-3323c(0901)_3667C Sanga PMR Mar 07 Rev2_Sanga PMR Summary_1107_Final_SUN_updated_10Dec_Sheet1" xfId="8792"/>
    <cellStyle name="‡_STA-DRP_BOOK1_Rep-3323c(0901)_3667C Sanga PMR Mar 07 Rev2_Sanga PMR Summary_Lease Analysis.2" xfId="8793"/>
    <cellStyle name="‡_STA-DRP_BOOK1_Rep-3323c(0901)_3667C Sanga PMR Mar 07 Rev2_Sanga PMR Summary_Lease Analysis.2_Sheet1" xfId="8794"/>
    <cellStyle name="‡_STA-DRP_BOOK1_Rep-3323c(0901)_3667C Sanga PMR Mar 07 Rev2_Sanga PMR Summary_Sheet1" xfId="8795"/>
    <cellStyle name="‡_STA-DRP_BOOK1_Rep-3323c(0901)_3667C Sanga PMR Mar 07 Rev2_Sheet1" xfId="8796"/>
    <cellStyle name="‡_STA-DRP_BOOK1_Rep-3323c(0901)_3667C Sanga PMR May 07 Rev 1" xfId="8797"/>
    <cellStyle name="‡_STA-DRP_BOOK1_Rep-3323c(0901)_3667C Sanga PMR May 07 Rev 1_200803 New FA Movement (Mar08)" xfId="8798"/>
    <cellStyle name="‡_STA-DRP_BOOK1_Rep-3323c(0901)_3667C Sanga PMR May 07 Rev 1_200803 New FA Movement (Mar08)_Lease Analysis.2" xfId="8799"/>
    <cellStyle name="‡_STA-DRP_BOOK1_Rep-3323c(0901)_3667C Sanga PMR May 07 Rev 1_200803 New FA Movement (Mar08)_Lease Analysis.2_Sheet1" xfId="8800"/>
    <cellStyle name="‡_STA-DRP_BOOK1_Rep-3323c(0901)_3667C Sanga PMR May 07 Rev 1_200803 New FA Movement (Mar08)_Sheet1" xfId="8801"/>
    <cellStyle name="‡_STA-DRP_BOOK1_Rep-3323c(0901)_3667C Sanga PMR May 07 Rev 1_CapexandIRRcalculation-85%financing - revised" xfId="8802"/>
    <cellStyle name="‡_STA-DRP_BOOK1_Rep-3323c(0901)_3667C Sanga PMR May 07 Rev 1_CapexandIRRcalculation-85%financing - revised_Lease Analysis.2" xfId="8803"/>
    <cellStyle name="‡_STA-DRP_BOOK1_Rep-3323c(0901)_3667C Sanga PMR May 07 Rev 1_CapexandIRRcalculation-85%financing - revised_Lease Analysis.2_Sheet1" xfId="8804"/>
    <cellStyle name="‡_STA-DRP_BOOK1_Rep-3323c(0901)_3667C Sanga PMR May 07 Rev 1_CapexandIRRcalculation-85%financing - revised_Sheet1" xfId="8805"/>
    <cellStyle name="‡_STA-DRP_BOOK1_Rep-3323c(0901)_3667C Sanga PMR May 07 Rev 1_MP_PROFORMA 0608 v3 Protected" xfId="8806"/>
    <cellStyle name="‡_STA-DRP_BOOK1_Rep-3323c(0901)_3667C Sanga PMR May 07 Rev 1_MP_PROFORMA 0608 v3 Protected_Lease Analysis.2" xfId="8807"/>
    <cellStyle name="‡_STA-DRP_BOOK1_Rep-3323c(0901)_3667C Sanga PMR May 07 Rev 1_MP_PROFORMA 0608 v3 Protected_Lease Analysis.2_Sheet1" xfId="8808"/>
    <cellStyle name="‡_STA-DRP_BOOK1_Rep-3323c(0901)_3667C Sanga PMR May 07 Rev 1_MP_PROFORMA 0608 v3 Protected_Sheet1" xfId="8809"/>
    <cellStyle name="‡_STA-DRP_BOOK1_Rep-3323c(0901)_3667C Sanga PMR May 07 Rev 1_Sheet1" xfId="8810"/>
    <cellStyle name="‡_STA-DRP_BOOK1_Rep-3323c(0901)_Capex and IRR calculation Markup Scenarios" xfId="8811"/>
    <cellStyle name="‡_STA-DRP_BOOK1_Rep-3323c(0901)_Capex and IRR calculation Markup Scenarios_080109 Capex Report" xfId="8812"/>
    <cellStyle name="‡_STA-DRP_BOOK1_Rep-3323c(0901)_Capex and IRR calculation Markup Scenarios_080109 Capex Report_Sheet1" xfId="8813"/>
    <cellStyle name="‡_STA-DRP_BOOK1_Rep-3323c(0901)_Capex and IRR calculation Markup Scenarios_Sheet1" xfId="8814"/>
    <cellStyle name="‡_STA-DRP_BOOK1_Rep-3323c(0901)_FA MPack" xfId="8815"/>
    <cellStyle name="‡_STA-DRP_BOOK1_Rep-3323c(0901)_FA MPack (2)" xfId="8816"/>
    <cellStyle name="‡_STA-DRP_BOOK1_Rep-3323c(0901)_FA MPack (2)_Lease Analysis.2" xfId="8817"/>
    <cellStyle name="‡_STA-DRP_BOOK1_Rep-3323c(0901)_FA MPack (2)_Lease Analysis.2_Sheet1" xfId="8818"/>
    <cellStyle name="‡_STA-DRP_BOOK1_Rep-3323c(0901)_FA MPack (2)_Sheet1" xfId="8819"/>
    <cellStyle name="‡_STA-DRP_BOOK1_Rep-3323c(0901)_FA MPack_Lease Analysis.2" xfId="8820"/>
    <cellStyle name="‡_STA-DRP_BOOK1_Rep-3323c(0901)_FA MPack_Lease Analysis.2_Sheet1" xfId="8821"/>
    <cellStyle name="‡_STA-DRP_BOOK1_Rep-3323c(0901)_FA MPack_Sheet1" xfId="8822"/>
    <cellStyle name="‡_STA-DRP_BOOK1_Rep-3323c(0901)_GBP PMR Summary" xfId="8823"/>
    <cellStyle name="‡_STA-DRP_BOOK1_Rep-3323c(0901)_GBP PMR Summary_Lease Analysis.2" xfId="8824"/>
    <cellStyle name="‡_STA-DRP_BOOK1_Rep-3323c(0901)_GBP PMR Summary_Lease Analysis.2_Sheet1" xfId="8825"/>
    <cellStyle name="‡_STA-DRP_BOOK1_Rep-3323c(0901)_GBP PMR Summary_Sheet1" xfId="8826"/>
    <cellStyle name="‡_STA-DRP_BOOK1_Rep-3323c(0901)_GBP PMR Summary-based on current forecast" xfId="8827"/>
    <cellStyle name="‡_STA-DRP_BOOK1_Rep-3323c(0901)_GBP PMR Summary-based on current forecast_Lease Analysis.2" xfId="8828"/>
    <cellStyle name="‡_STA-DRP_BOOK1_Rep-3323c(0901)_GBP PMR Summary-based on current forecast_Lease Analysis.2_Sheet1" xfId="8829"/>
    <cellStyle name="‡_STA-DRP_BOOK1_Rep-3323c(0901)_GBP PMR Summary-based on current forecast_Sheet1" xfId="8830"/>
    <cellStyle name="‡_STA-DRP_BOOK1_Rep-3323c(0901)_Plant Componentry Schedule" xfId="8831"/>
    <cellStyle name="‡_STA-DRP_BOOK1_Rep-3323c(0901)_Plant Componentry Schedule_Sheet1" xfId="8832"/>
    <cellStyle name="‡_STA-DRP_BOOK1_Rep-3323c(0901)_PMR Summary-based on current forecast" xfId="8833"/>
    <cellStyle name="‡_STA-DRP_BOOK1_Rep-3323c(0901)_PMR Summary-based on current forecast_Lease Analysis.2" xfId="8834"/>
    <cellStyle name="‡_STA-DRP_BOOK1_Rep-3323c(0901)_PMR Summary-based on current forecast_Lease Analysis.2_Sheet1" xfId="8835"/>
    <cellStyle name="‡_STA-DRP_BOOK1_Rep-3323c(0901)_PMR Summary-based on current forecast_Sheet1" xfId="8836"/>
    <cellStyle name="‡_STA-DRP_BOOK1_Rep-3323c(0901)_Sanga PMR Summary" xfId="8837"/>
    <cellStyle name="‡_STA-DRP_BOOK1_Rep-3323c(0901)_Sanga PMR Summary_1107_Final_SUN_updated_10Dec" xfId="8838"/>
    <cellStyle name="‡_STA-DRP_BOOK1_Rep-3323c(0901)_Sanga PMR Summary_1107_Final_SUN_updated_10Dec_Lease Analysis.2" xfId="8839"/>
    <cellStyle name="‡_STA-DRP_BOOK1_Rep-3323c(0901)_Sanga PMR Summary_1107_Final_SUN_updated_10Dec_Lease Analysis.2_Sheet1" xfId="8840"/>
    <cellStyle name="‡_STA-DRP_BOOK1_Rep-3323c(0901)_Sanga PMR Summary_1107_Final_SUN_updated_10Dec_Sheet1" xfId="8841"/>
    <cellStyle name="‡_STA-DRP_BOOK1_Rep-3323c(0901)_Sanga PMR Summary_Lease Analysis.2" xfId="8842"/>
    <cellStyle name="‡_STA-DRP_BOOK1_Rep-3323c(0901)_Sanga PMR Summary_Lease Analysis.2_Sheet1" xfId="8843"/>
    <cellStyle name="‡_STA-DRP_BOOK1_Rep-3323c(0901)_Sanga PMR Summary_Sheet1" xfId="8844"/>
    <cellStyle name="‡_STA-DRP_BOOK1_Rep-3323c(0901)_Sheet1" xfId="8845"/>
    <cellStyle name="‡_STA-DRP_BOOK1_Rep-3323c(0901)_Worksheet in 5361 Testing Accrued Income - May 2008" xfId="8846"/>
    <cellStyle name="‡_STA-DRP_BOOK1_Rep-3323c(0901)_Worksheet in 5361 Testing Accrued Income - May 2008_Sheet1" xfId="8847"/>
    <cellStyle name="‡_STA-DRP_BOOK1_Santan overview of economics Rev 20070821 Owner Quarterly" xfId="8848"/>
    <cellStyle name="‡_STA-DRP_BOOK1_Santan overview of economics Rev 20070821 Owner Quarterly_080109 Capex Report" xfId="8849"/>
    <cellStyle name="‡_STA-DRP_BOOK1_Santan overview of economics Rev 20070821 Owner Quarterly_080109 Capex Report_Sheet1" xfId="8850"/>
    <cellStyle name="‡_STA-DRP_BOOK1_Santan overview of economics Rev 20070821 Owner Quarterly_Lease Analysis.2" xfId="8851"/>
    <cellStyle name="‡_STA-DRP_BOOK1_Santan overview of economics Rev 20070821 Owner Quarterly_Lease Analysis.2_Sheet1" xfId="8852"/>
    <cellStyle name="‡_STA-DRP_BOOK1_Santan overview of economics Rev 20070821 Owner Quarterly_Sheet1" xfId="8853"/>
    <cellStyle name="‡_STA-DRP_BOOK1_Santan overview of economics Rev 20070926 Contracting Quarterly" xfId="8854"/>
    <cellStyle name="‡_STA-DRP_BOOK1_Santan overview of economics Rev 20070926 Contracting Quarterly_080109 Capex Report" xfId="8855"/>
    <cellStyle name="‡_STA-DRP_BOOK1_Santan overview of economics Rev 20070926 Contracting Quarterly_080109 Capex Report_Sheet1" xfId="8856"/>
    <cellStyle name="‡_STA-DRP_BOOK1_Santan overview of economics Rev 20070926 Contracting Quarterly_Lease Analysis.2" xfId="8857"/>
    <cellStyle name="‡_STA-DRP_BOOK1_Santan overview of economics Rev 20070926 Contracting Quarterly_Lease Analysis.2_Sheet1" xfId="8858"/>
    <cellStyle name="‡_STA-DRP_BOOK1_Santan overview of economics Rev 20070926 Contracting Quarterly_Sheet1" xfId="8859"/>
    <cellStyle name="‡_STA-DRP_BOOK1_Sheet1" xfId="8860"/>
    <cellStyle name="‡_STA-DRP_BOOK1_Worksheet in 5361 Testing Accrued Income - May 2008" xfId="8861"/>
    <cellStyle name="‡_STA-DRP_BOOK1_Worksheet in 5361 Testing Accrued Income - May 2008_Sheet1" xfId="8862"/>
    <cellStyle name="‡_STA-DRP_BS  PL format audit June10 Hendro Ver300810 10AM FINAL" xfId="8863"/>
    <cellStyle name="‡_STA-DRP_BS  PL format audit June10 Hendro Ver300810 10AM FINAL 2" xfId="8864"/>
    <cellStyle name="‡_STA-DRP_BS  PL format audit June10 Hendro Ver300810 10AM FINAL 2_Sheet1" xfId="8865"/>
    <cellStyle name="‡_STA-DRP_BS  PL format audit June10 Hendro Ver300810 10AM FINAL 3" xfId="8866"/>
    <cellStyle name="‡_STA-DRP_BS  PL format audit June10 Hendro Ver300810 10AM FINAL 3_Sheet1" xfId="8867"/>
    <cellStyle name="‡_STA-DRP_BS  PL format audit June10 Hendro Ver300810 10AM FINAL 4" xfId="8868"/>
    <cellStyle name="‡_STA-DRP_BS  PL format audit June10 Hendro Ver300810 10AM FINAL 4 2" xfId="8869"/>
    <cellStyle name="‡_STA-DRP_BS  PL format audit June10 Hendro Ver300810 10AM FINAL 4 2_Sheet1" xfId="8870"/>
    <cellStyle name="‡_STA-DRP_BS  PL format audit June10 Hendro Ver300810 10AM FINAL 4_Sheet1" xfId="8871"/>
    <cellStyle name="‡_STA-DRP_BS  PL format audit June10 Hendro Ver300810 10AM FINAL 5" xfId="8872"/>
    <cellStyle name="‡_STA-DRP_BS  PL format audit June10 Hendro Ver300810 10AM FINAL 5_Sheet1" xfId="8873"/>
    <cellStyle name="‡_STA-DRP_BS  PL format audit June10 Hendro Ver300810 10AM FINAL 6" xfId="8874"/>
    <cellStyle name="‡_STA-DRP_BS  PL format audit June10 Hendro Ver300810 10AM FINAL 6_Sheet1" xfId="8875"/>
    <cellStyle name="‡_STA-DRP_BS  PL format audit June10 Hendro Ver300810 10AM FINAL 7" xfId="8876"/>
    <cellStyle name="‡_STA-DRP_BS  PL format audit June10 Hendro Ver300810 10AM FINAL 7_Sheet1" xfId="8877"/>
    <cellStyle name="‡_STA-DRP_BS  PL format audit June10 Hendro Ver300810 10AM FINAL_Sheet1" xfId="8878"/>
    <cellStyle name="‡_STA-DRP_Capex and IRR calculation Markup Scenarios" xfId="8879"/>
    <cellStyle name="‡_STA-DRP_Capex and IRR calculation Markup Scenarios_080109 Capex Report" xfId="8880"/>
    <cellStyle name="‡_STA-DRP_Capex and IRR calculation Markup Scenarios_080109 Capex Report_Sheet1" xfId="8881"/>
    <cellStyle name="‡_STA-DRP_Capex and IRR calculation Markup Scenarios_Sheet1" xfId="8882"/>
    <cellStyle name="‡_STA-DRP_EBPP Oktober" xfId="8883"/>
    <cellStyle name="‡_STA-DRP_EBPP Oktober_Sheet1" xfId="8884"/>
    <cellStyle name="‡_STA-DRP_Evaluasi Insentif Pengecoran" xfId="8885"/>
    <cellStyle name="‡_STA-DRP_Evaluasi Insentif Pengecoran 2" xfId="8886"/>
    <cellStyle name="‡_STA-DRP_Evaluasi Insentif Pengecoran 2_Laporan Aspal Per Bulan 2009" xfId="8887"/>
    <cellStyle name="‡_STA-DRP_Evaluasi Insentif Pengecoran 2_Laporan Aspal Per Bulan 2009_Sheet1" xfId="8888"/>
    <cellStyle name="‡_STA-DRP_Evaluasi Insentif Pengecoran 2_Laporan Aspal Per Bulan Per Tanggal 27 Maret" xfId="8889"/>
    <cellStyle name="‡_STA-DRP_Evaluasi Insentif Pengecoran 2_Laporan Aspal Per Bulan Per Tanggal 27 Maret_Sheet1" xfId="8890"/>
    <cellStyle name="‡_STA-DRP_Evaluasi Insentif Pengecoran 2_LSB PROYEK BX-01" xfId="8891"/>
    <cellStyle name="‡_STA-DRP_Evaluasi Insentif Pengecoran 2_LSB PROYEK BX-01_Sheet1" xfId="8892"/>
    <cellStyle name="‡_STA-DRP_Evaluasi Insentif Pengecoran 2_Rekap Biaya-Biaya BX-01 Kintab-Sebamban" xfId="8893"/>
    <cellStyle name="‡_STA-DRP_Evaluasi Insentif Pengecoran 2_Rekap Biaya-Biaya BX-01 Kintab-Sebamban Juni" xfId="8894"/>
    <cellStyle name="‡_STA-DRP_Evaluasi Insentif Pengecoran 2_Rekap Biaya-Biaya BX-01 Kintab-Sebamban Juni_Sheet1" xfId="8895"/>
    <cellStyle name="‡_STA-DRP_Evaluasi Insentif Pengecoran 2_Rekap Biaya-Biaya BX-01 Kintab-Sebamban Meii" xfId="8896"/>
    <cellStyle name="‡_STA-DRP_Evaluasi Insentif Pengecoran 2_Rekap Biaya-Biaya BX-01 Kintab-Sebamban Meii_Sheet1" xfId="8897"/>
    <cellStyle name="‡_STA-DRP_Evaluasi Insentif Pengecoran 2_Rekap Biaya-Biaya BX-01 Kintab-Sebamban_Sheet1" xfId="8898"/>
    <cellStyle name="‡_STA-DRP_Evaluasi Insentif Pengecoran 2_Sheet1" xfId="8899"/>
    <cellStyle name="‡_STA-DRP_Evaluasi Insentif Pengecoran 3" xfId="8900"/>
    <cellStyle name="‡_STA-DRP_Evaluasi Insentif Pengecoran 3_Laporan Aspal Per Bulan 2009" xfId="8901"/>
    <cellStyle name="‡_STA-DRP_Evaluasi Insentif Pengecoran 3_Laporan Aspal Per Bulan 2009_Sheet1" xfId="8902"/>
    <cellStyle name="‡_STA-DRP_Evaluasi Insentif Pengecoran 3_Laporan Aspal Per Bulan Per Tanggal 27 Maret" xfId="8903"/>
    <cellStyle name="‡_STA-DRP_Evaluasi Insentif Pengecoran 3_Laporan Aspal Per Bulan Per Tanggal 27 Maret_Sheet1" xfId="8904"/>
    <cellStyle name="‡_STA-DRP_Evaluasi Insentif Pengecoran 3_LSB PROYEK BX-01" xfId="8905"/>
    <cellStyle name="‡_STA-DRP_Evaluasi Insentif Pengecoran 3_LSB PROYEK BX-01_Sheet1" xfId="8906"/>
    <cellStyle name="‡_STA-DRP_Evaluasi Insentif Pengecoran 3_Rekap Biaya-Biaya BX-01 Kintab-Sebamban" xfId="8907"/>
    <cellStyle name="‡_STA-DRP_Evaluasi Insentif Pengecoran 3_Rekap Biaya-Biaya BX-01 Kintab-Sebamban Juni" xfId="8908"/>
    <cellStyle name="‡_STA-DRP_Evaluasi Insentif Pengecoran 3_Rekap Biaya-Biaya BX-01 Kintab-Sebamban Juni_Sheet1" xfId="8909"/>
    <cellStyle name="‡_STA-DRP_Evaluasi Insentif Pengecoran 3_Rekap Biaya-Biaya BX-01 Kintab-Sebamban Meii" xfId="8910"/>
    <cellStyle name="‡_STA-DRP_Evaluasi Insentif Pengecoran 3_Rekap Biaya-Biaya BX-01 Kintab-Sebamban Meii_Sheet1" xfId="8911"/>
    <cellStyle name="‡_STA-DRP_Evaluasi Insentif Pengecoran 3_Rekap Biaya-Biaya BX-01 Kintab-Sebamban_Sheet1" xfId="8912"/>
    <cellStyle name="‡_STA-DRP_Evaluasi Insentif Pengecoran 3_Sheet1" xfId="8913"/>
    <cellStyle name="‡_STA-DRP_Evaluasi Insentif Pengecoran 4" xfId="8914"/>
    <cellStyle name="‡_STA-DRP_Evaluasi Insentif Pengecoran 4_Laporan Aspal Per Bulan 2009" xfId="8915"/>
    <cellStyle name="‡_STA-DRP_Evaluasi Insentif Pengecoran 4_Laporan Aspal Per Bulan 2009_Sheet1" xfId="8916"/>
    <cellStyle name="‡_STA-DRP_Evaluasi Insentif Pengecoran 4_Laporan Aspal Per Bulan Per Tanggal 27 Maret" xfId="8917"/>
    <cellStyle name="‡_STA-DRP_Evaluasi Insentif Pengecoran 4_Laporan Aspal Per Bulan Per Tanggal 27 Maret_Sheet1" xfId="8918"/>
    <cellStyle name="‡_STA-DRP_Evaluasi Insentif Pengecoran 4_LSB PROYEK BX-01" xfId="8919"/>
    <cellStyle name="‡_STA-DRP_Evaluasi Insentif Pengecoran 4_LSB PROYEK BX-01_Sheet1" xfId="8920"/>
    <cellStyle name="‡_STA-DRP_Evaluasi Insentif Pengecoran 4_Rekap Biaya-Biaya BX-01 Kintab-Sebamban" xfId="8921"/>
    <cellStyle name="‡_STA-DRP_Evaluasi Insentif Pengecoran 4_Rekap Biaya-Biaya BX-01 Kintab-Sebamban Juni" xfId="8922"/>
    <cellStyle name="‡_STA-DRP_Evaluasi Insentif Pengecoran 4_Rekap Biaya-Biaya BX-01 Kintab-Sebamban Juni_Sheet1" xfId="8923"/>
    <cellStyle name="‡_STA-DRP_Evaluasi Insentif Pengecoran 4_Rekap Biaya-Biaya BX-01 Kintab-Sebamban Meii" xfId="8924"/>
    <cellStyle name="‡_STA-DRP_Evaluasi Insentif Pengecoran 4_Rekap Biaya-Biaya BX-01 Kintab-Sebamban Meii_Sheet1" xfId="8925"/>
    <cellStyle name="‡_STA-DRP_Evaluasi Insentif Pengecoran 4_Rekap Biaya-Biaya BX-01 Kintab-Sebamban_Sheet1" xfId="8926"/>
    <cellStyle name="‡_STA-DRP_Evaluasi Insentif Pengecoran 4_Sheet1" xfId="8927"/>
    <cellStyle name="‡_STA-DRP_Evaluasi Insentif Pengecoran 5" xfId="8928"/>
    <cellStyle name="‡_STA-DRP_Evaluasi Insentif Pengecoran 5_Laporan Aspal Per Bulan 2009" xfId="8929"/>
    <cellStyle name="‡_STA-DRP_Evaluasi Insentif Pengecoran 5_Laporan Aspal Per Bulan 2009_Sheet1" xfId="8930"/>
    <cellStyle name="‡_STA-DRP_Evaluasi Insentif Pengecoran 5_Laporan Aspal Per Bulan Per Tanggal 27 Maret" xfId="8931"/>
    <cellStyle name="‡_STA-DRP_Evaluasi Insentif Pengecoran 5_Laporan Aspal Per Bulan Per Tanggal 27 Maret_Sheet1" xfId="8932"/>
    <cellStyle name="‡_STA-DRP_Evaluasi Insentif Pengecoran 5_LSB PROYEK BX-01" xfId="8933"/>
    <cellStyle name="‡_STA-DRP_Evaluasi Insentif Pengecoran 5_LSB PROYEK BX-01_Sheet1" xfId="8934"/>
    <cellStyle name="‡_STA-DRP_Evaluasi Insentif Pengecoran 5_Rekap Biaya-Biaya BX-01 Kintab-Sebamban" xfId="8935"/>
    <cellStyle name="‡_STA-DRP_Evaluasi Insentif Pengecoran 5_Rekap Biaya-Biaya BX-01 Kintab-Sebamban Juni" xfId="8936"/>
    <cellStyle name="‡_STA-DRP_Evaluasi Insentif Pengecoran 5_Rekap Biaya-Biaya BX-01 Kintab-Sebamban Juni_Sheet1" xfId="8937"/>
    <cellStyle name="‡_STA-DRP_Evaluasi Insentif Pengecoran 5_Rekap Biaya-Biaya BX-01 Kintab-Sebamban Meii" xfId="8938"/>
    <cellStyle name="‡_STA-DRP_Evaluasi Insentif Pengecoran 5_Rekap Biaya-Biaya BX-01 Kintab-Sebamban Meii_Sheet1" xfId="8939"/>
    <cellStyle name="‡_STA-DRP_Evaluasi Insentif Pengecoran 5_Rekap Biaya-Biaya BX-01 Kintab-Sebamban_Sheet1" xfId="8940"/>
    <cellStyle name="‡_STA-DRP_Evaluasi Insentif Pengecoran 5_Sheet1" xfId="8941"/>
    <cellStyle name="‡_STA-DRP_Evaluasi Insentif Pengecoran_Laporan Aspal Per Bulan 2009" xfId="8942"/>
    <cellStyle name="‡_STA-DRP_Evaluasi Insentif Pengecoran_Laporan Aspal Per Bulan 2009_Sheet1" xfId="8943"/>
    <cellStyle name="‡_STA-DRP_Evaluasi Insentif Pengecoran_Laporan Aspal Per Bulan Per Tanggal 27 Maret" xfId="8944"/>
    <cellStyle name="‡_STA-DRP_Evaluasi Insentif Pengecoran_Laporan Aspal Per Bulan Per Tanggal 27 Maret_Sheet1" xfId="8945"/>
    <cellStyle name="‡_STA-DRP_Evaluasi Insentif Pengecoran_LSB PROYEK BX-01" xfId="8946"/>
    <cellStyle name="‡_STA-DRP_Evaluasi Insentif Pengecoran_LSB PROYEK BX-01_Sheet1" xfId="8947"/>
    <cellStyle name="‡_STA-DRP_Evaluasi Insentif Pengecoran_Rekap Biaya-Biaya BX-01 Kintab-Sebamban" xfId="8948"/>
    <cellStyle name="‡_STA-DRP_Evaluasi Insentif Pengecoran_Rekap Biaya-Biaya BX-01 Kintab-Sebamban Juni" xfId="8949"/>
    <cellStyle name="‡_STA-DRP_Evaluasi Insentif Pengecoran_Rekap Biaya-Biaya BX-01 Kintab-Sebamban Juni_Sheet1" xfId="8950"/>
    <cellStyle name="‡_STA-DRP_Evaluasi Insentif Pengecoran_Rekap Biaya-Biaya BX-01 Kintab-Sebamban Meii" xfId="8951"/>
    <cellStyle name="‡_STA-DRP_Evaluasi Insentif Pengecoran_Rekap Biaya-Biaya BX-01 Kintab-Sebamban Meii_Sheet1" xfId="8952"/>
    <cellStyle name="‡_STA-DRP_Evaluasi Insentif Pengecoran_Rekap Biaya-Biaya BX-01 Kintab-Sebamban_Sheet1" xfId="8953"/>
    <cellStyle name="‡_STA-DRP_Evaluasi Insentif Pengecoran_Sheet1" xfId="8954"/>
    <cellStyle name="‡_STA-DRP_Evaluasi Kenaikan BBM" xfId="8955"/>
    <cellStyle name="‡_STA-DRP_Evaluasi Kenaikan BBM 2" xfId="8956"/>
    <cellStyle name="‡_STA-DRP_Evaluasi Kenaikan BBM 2_Laporan Aspal Per Bulan 2009" xfId="8957"/>
    <cellStyle name="‡_STA-DRP_Evaluasi Kenaikan BBM 2_Laporan Aspal Per Bulan 2009_Sheet1" xfId="8958"/>
    <cellStyle name="‡_STA-DRP_Evaluasi Kenaikan BBM 2_Laporan Aspal Per Bulan Per Tanggal 27 Maret" xfId="8959"/>
    <cellStyle name="‡_STA-DRP_Evaluasi Kenaikan BBM 2_Laporan Aspal Per Bulan Per Tanggal 27 Maret_Sheet1" xfId="8960"/>
    <cellStyle name="‡_STA-DRP_Evaluasi Kenaikan BBM 2_LSB PROYEK BX-01" xfId="8961"/>
    <cellStyle name="‡_STA-DRP_Evaluasi Kenaikan BBM 2_LSB PROYEK BX-01_Sheet1" xfId="8962"/>
    <cellStyle name="‡_STA-DRP_Evaluasi Kenaikan BBM 2_Rekap Biaya-Biaya BX-01 Kintab-Sebamban" xfId="8963"/>
    <cellStyle name="‡_STA-DRP_Evaluasi Kenaikan BBM 2_Rekap Biaya-Biaya BX-01 Kintab-Sebamban Juni" xfId="8964"/>
    <cellStyle name="‡_STA-DRP_Evaluasi Kenaikan BBM 2_Rekap Biaya-Biaya BX-01 Kintab-Sebamban Juni_Sheet1" xfId="8965"/>
    <cellStyle name="‡_STA-DRP_Evaluasi Kenaikan BBM 2_Rekap Biaya-Biaya BX-01 Kintab-Sebamban Meii" xfId="8966"/>
    <cellStyle name="‡_STA-DRP_Evaluasi Kenaikan BBM 2_Rekap Biaya-Biaya BX-01 Kintab-Sebamban Meii_Sheet1" xfId="8967"/>
    <cellStyle name="‡_STA-DRP_Evaluasi Kenaikan BBM 2_Rekap Biaya-Biaya BX-01 Kintab-Sebamban_Sheet1" xfId="8968"/>
    <cellStyle name="‡_STA-DRP_Evaluasi Kenaikan BBM 2_Sheet1" xfId="8969"/>
    <cellStyle name="‡_STA-DRP_Evaluasi Kenaikan BBM 3" xfId="8970"/>
    <cellStyle name="‡_STA-DRP_Evaluasi Kenaikan BBM 3_Laporan Aspal Per Bulan 2009" xfId="8971"/>
    <cellStyle name="‡_STA-DRP_Evaluasi Kenaikan BBM 3_Laporan Aspal Per Bulan 2009_Sheet1" xfId="8972"/>
    <cellStyle name="‡_STA-DRP_Evaluasi Kenaikan BBM 3_Laporan Aspal Per Bulan Per Tanggal 27 Maret" xfId="8973"/>
    <cellStyle name="‡_STA-DRP_Evaluasi Kenaikan BBM 3_Laporan Aspal Per Bulan Per Tanggal 27 Maret_Sheet1" xfId="8974"/>
    <cellStyle name="‡_STA-DRP_Evaluasi Kenaikan BBM 3_LSB PROYEK BX-01" xfId="8975"/>
    <cellStyle name="‡_STA-DRP_Evaluasi Kenaikan BBM 3_LSB PROYEK BX-01_Sheet1" xfId="8976"/>
    <cellStyle name="‡_STA-DRP_Evaluasi Kenaikan BBM 3_Rekap Biaya-Biaya BX-01 Kintab-Sebamban" xfId="8977"/>
    <cellStyle name="‡_STA-DRP_Evaluasi Kenaikan BBM 3_Rekap Biaya-Biaya BX-01 Kintab-Sebamban Juni" xfId="8978"/>
    <cellStyle name="‡_STA-DRP_Evaluasi Kenaikan BBM 3_Rekap Biaya-Biaya BX-01 Kintab-Sebamban Juni_Sheet1" xfId="8979"/>
    <cellStyle name="‡_STA-DRP_Evaluasi Kenaikan BBM 3_Rekap Biaya-Biaya BX-01 Kintab-Sebamban Meii" xfId="8980"/>
    <cellStyle name="‡_STA-DRP_Evaluasi Kenaikan BBM 3_Rekap Biaya-Biaya BX-01 Kintab-Sebamban Meii_Sheet1" xfId="8981"/>
    <cellStyle name="‡_STA-DRP_Evaluasi Kenaikan BBM 3_Rekap Biaya-Biaya BX-01 Kintab-Sebamban_Sheet1" xfId="8982"/>
    <cellStyle name="‡_STA-DRP_Evaluasi Kenaikan BBM 3_Sheet1" xfId="8983"/>
    <cellStyle name="‡_STA-DRP_Evaluasi Kenaikan BBM 4" xfId="8984"/>
    <cellStyle name="‡_STA-DRP_Evaluasi Kenaikan BBM 4_Laporan Aspal Per Bulan 2009" xfId="8985"/>
    <cellStyle name="‡_STA-DRP_Evaluasi Kenaikan BBM 4_Laporan Aspal Per Bulan 2009_Sheet1" xfId="8986"/>
    <cellStyle name="‡_STA-DRP_Evaluasi Kenaikan BBM 4_Laporan Aspal Per Bulan Per Tanggal 27 Maret" xfId="8987"/>
    <cellStyle name="‡_STA-DRP_Evaluasi Kenaikan BBM 4_Laporan Aspal Per Bulan Per Tanggal 27 Maret_Sheet1" xfId="8988"/>
    <cellStyle name="‡_STA-DRP_Evaluasi Kenaikan BBM 4_LSB PROYEK BX-01" xfId="8989"/>
    <cellStyle name="‡_STA-DRP_Evaluasi Kenaikan BBM 4_LSB PROYEK BX-01_Sheet1" xfId="8990"/>
    <cellStyle name="‡_STA-DRP_Evaluasi Kenaikan BBM 4_Rekap Biaya-Biaya BX-01 Kintab-Sebamban" xfId="8991"/>
    <cellStyle name="‡_STA-DRP_Evaluasi Kenaikan BBM 4_Rekap Biaya-Biaya BX-01 Kintab-Sebamban Juni" xfId="8992"/>
    <cellStyle name="‡_STA-DRP_Evaluasi Kenaikan BBM 4_Rekap Biaya-Biaya BX-01 Kintab-Sebamban Juni_Sheet1" xfId="8993"/>
    <cellStyle name="‡_STA-DRP_Evaluasi Kenaikan BBM 4_Rekap Biaya-Biaya BX-01 Kintab-Sebamban Meii" xfId="8994"/>
    <cellStyle name="‡_STA-DRP_Evaluasi Kenaikan BBM 4_Rekap Biaya-Biaya BX-01 Kintab-Sebamban Meii_Sheet1" xfId="8995"/>
    <cellStyle name="‡_STA-DRP_Evaluasi Kenaikan BBM 4_Rekap Biaya-Biaya BX-01 Kintab-Sebamban_Sheet1" xfId="8996"/>
    <cellStyle name="‡_STA-DRP_Evaluasi Kenaikan BBM 4_Sheet1" xfId="8997"/>
    <cellStyle name="‡_STA-DRP_Evaluasi Kenaikan BBM 5" xfId="8998"/>
    <cellStyle name="‡_STA-DRP_Evaluasi Kenaikan BBM 5_Laporan Aspal Per Bulan 2009" xfId="8999"/>
    <cellStyle name="‡_STA-DRP_Evaluasi Kenaikan BBM 5_Laporan Aspal Per Bulan 2009_Sheet1" xfId="9000"/>
    <cellStyle name="‡_STA-DRP_Evaluasi Kenaikan BBM 5_Laporan Aspal Per Bulan Per Tanggal 27 Maret" xfId="9001"/>
    <cellStyle name="‡_STA-DRP_Evaluasi Kenaikan BBM 5_Laporan Aspal Per Bulan Per Tanggal 27 Maret_Sheet1" xfId="9002"/>
    <cellStyle name="‡_STA-DRP_Evaluasi Kenaikan BBM 5_LSB PROYEK BX-01" xfId="9003"/>
    <cellStyle name="‡_STA-DRP_Evaluasi Kenaikan BBM 5_LSB PROYEK BX-01_Sheet1" xfId="9004"/>
    <cellStyle name="‡_STA-DRP_Evaluasi Kenaikan BBM 5_Rekap Biaya-Biaya BX-01 Kintab-Sebamban" xfId="9005"/>
    <cellStyle name="‡_STA-DRP_Evaluasi Kenaikan BBM 5_Rekap Biaya-Biaya BX-01 Kintab-Sebamban Juni" xfId="9006"/>
    <cellStyle name="‡_STA-DRP_Evaluasi Kenaikan BBM 5_Rekap Biaya-Biaya BX-01 Kintab-Sebamban Juni_Sheet1" xfId="9007"/>
    <cellStyle name="‡_STA-DRP_Evaluasi Kenaikan BBM 5_Rekap Biaya-Biaya BX-01 Kintab-Sebamban Meii" xfId="9008"/>
    <cellStyle name="‡_STA-DRP_Evaluasi Kenaikan BBM 5_Rekap Biaya-Biaya BX-01 Kintab-Sebamban Meii_Sheet1" xfId="9009"/>
    <cellStyle name="‡_STA-DRP_Evaluasi Kenaikan BBM 5_Rekap Biaya-Biaya BX-01 Kintab-Sebamban_Sheet1" xfId="9010"/>
    <cellStyle name="‡_STA-DRP_Evaluasi Kenaikan BBM 5_Sheet1" xfId="9011"/>
    <cellStyle name="‡_STA-DRP_Evaluasi Kenaikan BBM_Laporan Aspal Per Bulan 2009" xfId="9012"/>
    <cellStyle name="‡_STA-DRP_Evaluasi Kenaikan BBM_Laporan Aspal Per Bulan 2009_Sheet1" xfId="9013"/>
    <cellStyle name="‡_STA-DRP_Evaluasi Kenaikan BBM_Laporan Aspal Per Bulan Per Tanggal 27 Maret" xfId="9014"/>
    <cellStyle name="‡_STA-DRP_Evaluasi Kenaikan BBM_Laporan Aspal Per Bulan Per Tanggal 27 Maret_Sheet1" xfId="9015"/>
    <cellStyle name="‡_STA-DRP_Evaluasi Kenaikan BBM_LSB PROYEK BX-01" xfId="9016"/>
    <cellStyle name="‡_STA-DRP_Evaluasi Kenaikan BBM_LSB PROYEK BX-01_Sheet1" xfId="9017"/>
    <cellStyle name="‡_STA-DRP_Evaluasi Kenaikan BBM_Rekap Biaya-Biaya BX-01 Kintab-Sebamban" xfId="9018"/>
    <cellStyle name="‡_STA-DRP_Evaluasi Kenaikan BBM_Rekap Biaya-Biaya BX-01 Kintab-Sebamban Juni" xfId="9019"/>
    <cellStyle name="‡_STA-DRP_Evaluasi Kenaikan BBM_Rekap Biaya-Biaya BX-01 Kintab-Sebamban Juni_Sheet1" xfId="9020"/>
    <cellStyle name="‡_STA-DRP_Evaluasi Kenaikan BBM_Rekap Biaya-Biaya BX-01 Kintab-Sebamban Meii" xfId="9021"/>
    <cellStyle name="‡_STA-DRP_Evaluasi Kenaikan BBM_Rekap Biaya-Biaya BX-01 Kintab-Sebamban Meii_Sheet1" xfId="9022"/>
    <cellStyle name="‡_STA-DRP_Evaluasi Kenaikan BBM_Rekap Biaya-Biaya BX-01 Kintab-Sebamban_Sheet1" xfId="9023"/>
    <cellStyle name="‡_STA-DRP_Evaluasi Kenaikan BBM_Sheet1" xfId="9024"/>
    <cellStyle name="‡_STA-DRP_Evaluasi Peerjaan pengaspalan" xfId="9025"/>
    <cellStyle name="‡_STA-DRP_Evaluasi Peerjaan pengaspalan_Laporan Aspal Per Bulan 2009" xfId="9026"/>
    <cellStyle name="‡_STA-DRP_Evaluasi Peerjaan pengaspalan_Laporan Aspal Per Bulan 2009_Sheet1" xfId="9027"/>
    <cellStyle name="‡_STA-DRP_Evaluasi Peerjaan pengaspalan_Laporan Aspal Per Bulan Per Tanggal 27 Maret" xfId="9028"/>
    <cellStyle name="‡_STA-DRP_Evaluasi Peerjaan pengaspalan_Laporan Aspal Per Bulan Per Tanggal 27 Maret_Sheet1" xfId="9029"/>
    <cellStyle name="‡_STA-DRP_Evaluasi Peerjaan pengaspalan_LSB PROYEK BX-01" xfId="9030"/>
    <cellStyle name="‡_STA-DRP_Evaluasi Peerjaan pengaspalan_LSB PROYEK BX-01_Sheet1" xfId="9031"/>
    <cellStyle name="‡_STA-DRP_Evaluasi Peerjaan pengaspalan_Monitoring Bahan" xfId="9032"/>
    <cellStyle name="‡_STA-DRP_Evaluasi Peerjaan pengaspalan_Monitoring Bahan_Sheet1" xfId="9033"/>
    <cellStyle name="‡_STA-DRP_Evaluasi Peerjaan pengaspalan_Rekap Biaya-Biaya BX-01 Kintab-Sebamban" xfId="9034"/>
    <cellStyle name="‡_STA-DRP_Evaluasi Peerjaan pengaspalan_Rekap Biaya-Biaya BX-01 Kintab-Sebamban Juni" xfId="9035"/>
    <cellStyle name="‡_STA-DRP_Evaluasi Peerjaan pengaspalan_Rekap Biaya-Biaya BX-01 Kintab-Sebamban Juni_Sheet1" xfId="9036"/>
    <cellStyle name="‡_STA-DRP_Evaluasi Peerjaan pengaspalan_Rekap Biaya-Biaya BX-01 Kintab-Sebamban Meii" xfId="9037"/>
    <cellStyle name="‡_STA-DRP_Evaluasi Peerjaan pengaspalan_Rekap Biaya-Biaya BX-01 Kintab-Sebamban Meii_Sheet1" xfId="9038"/>
    <cellStyle name="‡_STA-DRP_Evaluasi Peerjaan pengaspalan_Rekap Biaya-Biaya BX-01 Kintab-Sebamban_Sheet1" xfId="9039"/>
    <cellStyle name="‡_STA-DRP_Evaluasi Peerjaan pengaspalan_Rekap Biaya-Biaya BX-01 Yang Tertahan" xfId="9040"/>
    <cellStyle name="‡_STA-DRP_Evaluasi Peerjaan pengaspalan_Rekap Biaya-Biaya BX-01 Yang Tertahan_Sheet1" xfId="9041"/>
    <cellStyle name="‡_STA-DRP_Evaluasi Peerjaan pengaspalan_Sheet1" xfId="9042"/>
    <cellStyle name="‡_STA-DRP_FA MPack" xfId="9043"/>
    <cellStyle name="‡_STA-DRP_FA MPack (2)" xfId="9044"/>
    <cellStyle name="‡_STA-DRP_FA MPack (2)_Lease Analysis.2" xfId="9045"/>
    <cellStyle name="‡_STA-DRP_FA MPack (2)_Lease Analysis.2_Sheet1" xfId="9046"/>
    <cellStyle name="‡_STA-DRP_FA MPack (2)_Sheet1" xfId="9047"/>
    <cellStyle name="‡_STA-DRP_FA MPack_Lease Analysis.2" xfId="9048"/>
    <cellStyle name="‡_STA-DRP_FA MPack_Lease Analysis.2_Sheet1" xfId="9049"/>
    <cellStyle name="‡_STA-DRP_FA MPack_Sheet1" xfId="9050"/>
    <cellStyle name="‡_STA-DRP_GBP PMR Summary" xfId="9051"/>
    <cellStyle name="‡_STA-DRP_GBP PMR Summary_Lease Analysis.2" xfId="9052"/>
    <cellStyle name="‡_STA-DRP_GBP PMR Summary_Lease Analysis.2_Sheet1" xfId="9053"/>
    <cellStyle name="‡_STA-DRP_GBP PMR Summary_Sheet1" xfId="9054"/>
    <cellStyle name="‡_STA-DRP_GBP PMR Summary-based on current forecast" xfId="9055"/>
    <cellStyle name="‡_STA-DRP_GBP PMR Summary-based on current forecast_Lease Analysis.2" xfId="9056"/>
    <cellStyle name="‡_STA-DRP_GBP PMR Summary-based on current forecast_Lease Analysis.2_Sheet1" xfId="9057"/>
    <cellStyle name="‡_STA-DRP_GBP PMR Summary-based on current forecast_Sheet1" xfId="9058"/>
    <cellStyle name="‡_STA-DRP_HP 30% Berdasarkan NK Awal Br" xfId="9059"/>
    <cellStyle name="‡_STA-DRP_HP 30% Berdasarkan NK Awal Br_Laporan Aspal Per Bulan 2009" xfId="9060"/>
    <cellStyle name="‡_STA-DRP_HP 30% Berdasarkan NK Awal Br_Laporan Aspal Per Bulan 2009_Sheet1" xfId="9061"/>
    <cellStyle name="‡_STA-DRP_HP 30% Berdasarkan NK Awal Br_Laporan Aspal Per Bulan Per Tanggal 27 Maret" xfId="9062"/>
    <cellStyle name="‡_STA-DRP_HP 30% Berdasarkan NK Awal Br_Laporan Aspal Per Bulan Per Tanggal 27 Maret_Sheet1" xfId="9063"/>
    <cellStyle name="‡_STA-DRP_HP 30% Berdasarkan NK Awal Br_Rekap Biaya-Biaya BX-01 Kintab-Sebamban" xfId="9064"/>
    <cellStyle name="‡_STA-DRP_HP 30% Berdasarkan NK Awal Br_Rekap Biaya-Biaya BX-01 Kintab-Sebamban Juni" xfId="9065"/>
    <cellStyle name="‡_STA-DRP_HP 30% Berdasarkan NK Awal Br_Rekap Biaya-Biaya BX-01 Kintab-Sebamban Juni_Sheet1" xfId="9066"/>
    <cellStyle name="‡_STA-DRP_HP 30% Berdasarkan NK Awal Br_Rekap Biaya-Biaya BX-01 Kintab-Sebamban Meii" xfId="9067"/>
    <cellStyle name="‡_STA-DRP_HP 30% Berdasarkan NK Awal Br_Rekap Biaya-Biaya BX-01 Kintab-Sebamban Meii_Sheet1" xfId="9068"/>
    <cellStyle name="‡_STA-DRP_HP 30% Berdasarkan NK Awal Br_Rekap Biaya-Biaya BX-01 Kintab-Sebamban_Sheet1" xfId="9069"/>
    <cellStyle name="‡_STA-DRP_HP 30% Berdasarkan NK Awal Br_Sheet1" xfId="9070"/>
    <cellStyle name="‡_STA-DRP_KK-Capital Stock" xfId="9071"/>
    <cellStyle name="‡_STA-DRP_KK-Capital Stock_Sheet1" xfId="9072"/>
    <cellStyle name="‡_STA-DRP_PAJAK_CABANG" xfId="9073"/>
    <cellStyle name="‡_STA-DRP_PAJAK_CABANG_1 Leadschedule_BTEL_12 31 08 - Copy" xfId="9074"/>
    <cellStyle name="‡_STA-DRP_PAJAK_CABANG_1 Leadschedule_BTEL_12 31 08 - Copy_BS  PL format audit June10 Hendro Ver300810 10AM FINAL" xfId="9075"/>
    <cellStyle name="‡_STA-DRP_PAJAK_CABANG_1 Leadschedule_BTEL_12 31 08 - Copy_BS  PL format audit June10 Hendro Ver300810 10AM FINAL 2" xfId="9076"/>
    <cellStyle name="‡_STA-DRP_PAJAK_CABANG_1 Leadschedule_BTEL_12 31 08 - Copy_BS  PL format audit June10 Hendro Ver300810 10AM FINAL 2_Sheet1" xfId="9077"/>
    <cellStyle name="‡_STA-DRP_PAJAK_CABANG_1 Leadschedule_BTEL_12 31 08 - Copy_BS  PL format audit June10 Hendro Ver300810 10AM FINAL 3" xfId="9078"/>
    <cellStyle name="‡_STA-DRP_PAJAK_CABANG_1 Leadschedule_BTEL_12 31 08 - Copy_BS  PL format audit June10 Hendro Ver300810 10AM FINAL 3_Sheet1" xfId="9079"/>
    <cellStyle name="‡_STA-DRP_PAJAK_CABANG_1 Leadschedule_BTEL_12 31 08 - Copy_BS  PL format audit June10 Hendro Ver300810 10AM FINAL 4" xfId="9080"/>
    <cellStyle name="‡_STA-DRP_PAJAK_CABANG_1 Leadschedule_BTEL_12 31 08 - Copy_BS  PL format audit June10 Hendro Ver300810 10AM FINAL 4 2" xfId="9081"/>
    <cellStyle name="‡_STA-DRP_PAJAK_CABANG_1 Leadschedule_BTEL_12 31 08 - Copy_BS  PL format audit June10 Hendro Ver300810 10AM FINAL 4 2_Sheet1" xfId="9082"/>
    <cellStyle name="‡_STA-DRP_PAJAK_CABANG_1 Leadschedule_BTEL_12 31 08 - Copy_BS  PL format audit June10 Hendro Ver300810 10AM FINAL 4_Sheet1" xfId="9083"/>
    <cellStyle name="‡_STA-DRP_PAJAK_CABANG_1 Leadschedule_BTEL_12 31 08 - Copy_BS  PL format audit June10 Hendro Ver300810 10AM FINAL 5" xfId="9084"/>
    <cellStyle name="‡_STA-DRP_PAJAK_CABANG_1 Leadschedule_BTEL_12 31 08 - Copy_BS  PL format audit June10 Hendro Ver300810 10AM FINAL 5_Sheet1" xfId="9085"/>
    <cellStyle name="‡_STA-DRP_PAJAK_CABANG_1 Leadschedule_BTEL_12 31 08 - Copy_BS  PL format audit June10 Hendro Ver300810 10AM FINAL 6" xfId="9086"/>
    <cellStyle name="‡_STA-DRP_PAJAK_CABANG_1 Leadschedule_BTEL_12 31 08 - Copy_BS  PL format audit June10 Hendro Ver300810 10AM FINAL 6_Sheet1" xfId="9087"/>
    <cellStyle name="‡_STA-DRP_PAJAK_CABANG_1 Leadschedule_BTEL_12 31 08 - Copy_BS  PL format audit June10 Hendro Ver300810 10AM FINAL 7" xfId="9088"/>
    <cellStyle name="‡_STA-DRP_PAJAK_CABANG_1 Leadschedule_BTEL_12 31 08 - Copy_BS  PL format audit June10 Hendro Ver300810 10AM FINAL 7_Sheet1" xfId="9089"/>
    <cellStyle name="‡_STA-DRP_PAJAK_CABANG_1 Leadschedule_BTEL_12 31 08 - Copy_BS  PL format audit June10 Hendro Ver300810 10AM FINAL_Sheet1" xfId="9090"/>
    <cellStyle name="‡_STA-DRP_PAJAK_CABANG_1 Leadschedule_BTEL_12 31 08 - Copy_Sheet1" xfId="9091"/>
    <cellStyle name="‡_STA-DRP_PAJAK_CABANG_AP" xfId="9092"/>
    <cellStyle name="‡_STA-DRP_PAJAK_CABANG_AP 2" xfId="9093"/>
    <cellStyle name="‡_STA-DRP_PAJAK_CABANG_AP 2_Sheet1" xfId="9094"/>
    <cellStyle name="‡_STA-DRP_PAJAK_CABANG_AP_BS  PL format audit June10 Hendro Ver300810 10AM FINAL" xfId="9095"/>
    <cellStyle name="‡_STA-DRP_PAJAK_CABANG_AP_BS  PL format audit June10 Hendro Ver300810 10AM FINAL_Sheet1" xfId="9096"/>
    <cellStyle name="‡_STA-DRP_PAJAK_CABANG_AP_Sheet1" xfId="9097"/>
    <cellStyle name="‡_STA-DRP_PAJAK_CABANG_BS  PL format audit June10 Hendro Ver300810 10AM FINAL" xfId="9098"/>
    <cellStyle name="‡_STA-DRP_PAJAK_CABANG_BS  PL format audit June10 Hendro Ver300810 10AM FINAL 2" xfId="9099"/>
    <cellStyle name="‡_STA-DRP_PAJAK_CABANG_BS  PL format audit June10 Hendro Ver300810 10AM FINAL 2_Sheet1" xfId="9100"/>
    <cellStyle name="‡_STA-DRP_PAJAK_CABANG_BS  PL format audit June10 Hendro Ver300810 10AM FINAL 3" xfId="9101"/>
    <cellStyle name="‡_STA-DRP_PAJAK_CABANG_BS  PL format audit June10 Hendro Ver300810 10AM FINAL 3_Sheet1" xfId="9102"/>
    <cellStyle name="‡_STA-DRP_PAJAK_CABANG_BS  PL format audit June10 Hendro Ver300810 10AM FINAL 4" xfId="9103"/>
    <cellStyle name="‡_STA-DRP_PAJAK_CABANG_BS  PL format audit June10 Hendro Ver300810 10AM FINAL 4 2" xfId="9104"/>
    <cellStyle name="‡_STA-DRP_PAJAK_CABANG_BS  PL format audit June10 Hendro Ver300810 10AM FINAL 4 2_Sheet1" xfId="9105"/>
    <cellStyle name="‡_STA-DRP_PAJAK_CABANG_BS  PL format audit June10 Hendro Ver300810 10AM FINAL 4_Sheet1" xfId="9106"/>
    <cellStyle name="‡_STA-DRP_PAJAK_CABANG_BS  PL format audit June10 Hendro Ver300810 10AM FINAL 5" xfId="9107"/>
    <cellStyle name="‡_STA-DRP_PAJAK_CABANG_BS  PL format audit June10 Hendro Ver300810 10AM FINAL 5_Sheet1" xfId="9108"/>
    <cellStyle name="‡_STA-DRP_PAJAK_CABANG_BS  PL format audit June10 Hendro Ver300810 10AM FINAL 6" xfId="9109"/>
    <cellStyle name="‡_STA-DRP_PAJAK_CABANG_BS  PL format audit June10 Hendro Ver300810 10AM FINAL 6_Sheet1" xfId="9110"/>
    <cellStyle name="‡_STA-DRP_PAJAK_CABANG_BS  PL format audit June10 Hendro Ver300810 10AM FINAL 7" xfId="9111"/>
    <cellStyle name="‡_STA-DRP_PAJAK_CABANG_BS  PL format audit June10 Hendro Ver300810 10AM FINAL 7_Sheet1" xfId="9112"/>
    <cellStyle name="‡_STA-DRP_PAJAK_CABANG_BS  PL format audit June10 Hendro Ver300810 10AM FINAL_Sheet1" xfId="9113"/>
    <cellStyle name="‡_STA-DRP_PAJAK_CABANG_KK-Capital Stock" xfId="9114"/>
    <cellStyle name="‡_STA-DRP_PAJAK_CABANG_KK-Capital Stock_Sheet1" xfId="9115"/>
    <cellStyle name="‡_STA-DRP_PAJAK_CABANG_Sheet1" xfId="9116"/>
    <cellStyle name="‡_STA-DRP_Plant Componentry Schedule" xfId="9117"/>
    <cellStyle name="‡_STA-DRP_Plant Componentry Schedule_Sheet1" xfId="9118"/>
    <cellStyle name="‡_STA-DRP_PMR Summary-based on current forecast" xfId="9119"/>
    <cellStyle name="‡_STA-DRP_PMR Summary-based on current forecast_Lease Analysis.2" xfId="9120"/>
    <cellStyle name="‡_STA-DRP_PMR Summary-based on current forecast_Lease Analysis.2_Sheet1" xfId="9121"/>
    <cellStyle name="‡_STA-DRP_PMR Summary-based on current forecast_Sheet1" xfId="9122"/>
    <cellStyle name="‡_STA-DRP_Sanga PMR Summary" xfId="9123"/>
    <cellStyle name="‡_STA-DRP_Sanga PMR Summary_1107_Final_SUN_updated_10Dec" xfId="9124"/>
    <cellStyle name="‡_STA-DRP_Sanga PMR Summary_1107_Final_SUN_updated_10Dec_Lease Analysis.2" xfId="9125"/>
    <cellStyle name="‡_STA-DRP_Sanga PMR Summary_1107_Final_SUN_updated_10Dec_Lease Analysis.2_Sheet1" xfId="9126"/>
    <cellStyle name="‡_STA-DRP_Sanga PMR Summary_1107_Final_SUN_updated_10Dec_Sheet1" xfId="9127"/>
    <cellStyle name="‡_STA-DRP_Sanga PMR Summary_Lease Analysis.2" xfId="9128"/>
    <cellStyle name="‡_STA-DRP_Sanga PMR Summary_Lease Analysis.2_Sheet1" xfId="9129"/>
    <cellStyle name="‡_STA-DRP_Sanga PMR Summary_Sheet1" xfId="9130"/>
    <cellStyle name="‡_STA-DRP_Senior Loan" xfId="9131"/>
    <cellStyle name="‡_STA-DRP_Senior Loan_Sheet1" xfId="9132"/>
    <cellStyle name="‡_STA-DRP_Sheet1" xfId="9133"/>
    <cellStyle name="‡_STA-DRP_Simulasi PFC Agustus" xfId="9134"/>
    <cellStyle name="‡_STA-DRP_Simulasi PFC Agustus_Laporan Aspal Per Bulan 2009" xfId="9135"/>
    <cellStyle name="‡_STA-DRP_Simulasi PFC Agustus_Laporan Aspal Per Bulan 2009_Sheet1" xfId="9136"/>
    <cellStyle name="‡_STA-DRP_Simulasi PFC Agustus_Laporan Aspal Per Bulan Per Tanggal 27 Maret" xfId="9137"/>
    <cellStyle name="‡_STA-DRP_Simulasi PFC Agustus_Laporan Aspal Per Bulan Per Tanggal 27 Maret_Sheet1" xfId="9138"/>
    <cellStyle name="‡_STA-DRP_Simulasi PFC Agustus_Rekap Biaya-Biaya BX-01 Kintab-Sebamban" xfId="9139"/>
    <cellStyle name="‡_STA-DRP_Simulasi PFC Agustus_Rekap Biaya-Biaya BX-01 Kintab-Sebamban Juni" xfId="9140"/>
    <cellStyle name="‡_STA-DRP_Simulasi PFC Agustus_Rekap Biaya-Biaya BX-01 Kintab-Sebamban Juni_Sheet1" xfId="9141"/>
    <cellStyle name="‡_STA-DRP_Simulasi PFC Agustus_Rekap Biaya-Biaya BX-01 Kintab-Sebamban Meii" xfId="9142"/>
    <cellStyle name="‡_STA-DRP_Simulasi PFC Agustus_Rekap Biaya-Biaya BX-01 Kintab-Sebamban Meii_Sheet1" xfId="9143"/>
    <cellStyle name="‡_STA-DRP_Simulasi PFC Agustus_Rekap Biaya-Biaya BX-01 Kintab-Sebamban_Sheet1" xfId="9144"/>
    <cellStyle name="‡_STA-DRP_Simulasi PFC Agustus_Sheet1" xfId="9145"/>
    <cellStyle name="‡_STA-DRP_Worksheet in 5361 Testing Accrued Income - May 2008" xfId="9146"/>
    <cellStyle name="‡_STA-DRP_Worksheet in 5361 Testing Accrued Income - May 2008_Sheet1" xfId="9147"/>
    <cellStyle name="‡_Worksheet in 5361 Testing Accrued Income - May 2008" xfId="9148"/>
    <cellStyle name="‡_Worksheet in 5361 Testing Accrued Income - May 2008_Sheet1" xfId="9149"/>
    <cellStyle name="•W?_Approv.ppt" xfId="9150"/>
    <cellStyle name="•W€_App-orig" xfId="9151"/>
    <cellStyle name="•W_Approv.ppt" xfId="9152"/>
    <cellStyle name="" xfId="9153"/>
    <cellStyle name="_Sheet1" xfId="9154"/>
    <cellStyle name="æØè [0.00]_laroux" xfId="9155"/>
    <cellStyle name="æØè_laroux" xfId="9156"/>
    <cellStyle name="ÊÝ [0.00]_ÃÞ½¸Ä¯Ìß" xfId="9157"/>
    <cellStyle name="ÊÝ_ÃÞ½¸Ä¯Ìß" xfId="9158"/>
    <cellStyle name="fEñY [0.00]_10?PO" xfId="9159"/>
    <cellStyle name="fEñY_10?PO" xfId="9160"/>
    <cellStyle name="W_²ÝÀ°È¯Ä" xfId="9161"/>
    <cellStyle name="0" xfId="9162"/>
    <cellStyle name="0 2" xfId="9163"/>
    <cellStyle name="0 3" xfId="9164"/>
    <cellStyle name="0%" xfId="9165"/>
    <cellStyle name="0% 2" xfId="9166"/>
    <cellStyle name="0%_BUMI (Parent)_WP_311208_A,B,F,J,BB,DD,HH,II,KK_v6d finalBGT" xfId="9167"/>
    <cellStyle name="0,0_x000a__x000a_NA_x000a__x000a_" xfId="9168"/>
    <cellStyle name="0,0_x000d__x000a_NA_x000d__x000a_" xfId="9169"/>
    <cellStyle name="0,0_x000d__x000a_NA_x000d__x000a_ 2" xfId="9170"/>
    <cellStyle name="0,0_x000d__x000a_NA_x000d__x000a_ 2 2" xfId="9171"/>
    <cellStyle name="0,0_x000d__x000a_NA_x000d__x000a_ 2_Sheet1" xfId="9172"/>
    <cellStyle name="0,0_x000d__x000a_NA_x000d__x000a_ 3" xfId="9173"/>
    <cellStyle name="0,0_x000d__x000a_NA_x000d__x000a__COP September 2010" xfId="9174"/>
    <cellStyle name="0.0" xfId="9175"/>
    <cellStyle name="0.0 2" xfId="9176"/>
    <cellStyle name="0.0 3" xfId="9177"/>
    <cellStyle name="0.0%" xfId="9178"/>
    <cellStyle name="0.0% 2" xfId="9179"/>
    <cellStyle name="0.0% 3" xfId="9180"/>
    <cellStyle name="0.0%_BUMI (Parent)_WP_311208_A,B,F,J,BB,DD,HH,II,KK_v6d finalBGT" xfId="9181"/>
    <cellStyle name="0.0_BS  PL format audit June10 Hendro Ver300810 10AM FINAL" xfId="9182"/>
    <cellStyle name="0.00" xfId="9183"/>
    <cellStyle name="0.00 2" xfId="9184"/>
    <cellStyle name="0.00 3" xfId="9185"/>
    <cellStyle name="0.00%" xfId="9186"/>
    <cellStyle name="0.00% 2" xfId="9187"/>
    <cellStyle name="0.00% 3" xfId="9188"/>
    <cellStyle name="0.00%_BUMI (Parent)_WP_311208_A,B,F,J,BB,DD,HH,II,KK_v6d finalBGT" xfId="9189"/>
    <cellStyle name="0.00_BS  PL format audit June10 Hendro Ver300810 10AM FINAL" xfId="9190"/>
    <cellStyle name="0.000 MT" xfId="9191"/>
    <cellStyle name="0.000 MT 2" xfId="9192"/>
    <cellStyle name="0.000 MT 2 2" xfId="9193"/>
    <cellStyle name="0.000 MT 2 2 2" xfId="9194"/>
    <cellStyle name="0.000 MT 2 2_Sheet1" xfId="9195"/>
    <cellStyle name="0.000 MT 2 3" xfId="9196"/>
    <cellStyle name="0.000 MT 2_Sheet1" xfId="9197"/>
    <cellStyle name="0.000 MT 3" xfId="9198"/>
    <cellStyle name="0.000 MT 3 2" xfId="9199"/>
    <cellStyle name="0.000 MT 3_Sheet1" xfId="9200"/>
    <cellStyle name="0.000 MT 4" xfId="9201"/>
    <cellStyle name="0.000 MT_Sheet1" xfId="9202"/>
    <cellStyle name="0_BS  PL format audit June10 Hendro Ver300810 10AM FINAL" xfId="9203"/>
    <cellStyle name="0_BS  PL format audit June10 Hendro Ver300810 10AM FINAL_Sheet1" xfId="9204"/>
    <cellStyle name="0_BUMI (Parent)_WP_311208_A,B,F,J,BB,DD,HH,II,KK_v6d finalBGT" xfId="9205"/>
    <cellStyle name="0_BUMI (Parent)_WP_311208_A,B,F,J,BB,DD,HH,II,KK_v6d finalBGT_DFC Des 2009 rev3" xfId="9206"/>
    <cellStyle name="0_BUMI (Parent)_WP_311208_A,B,F,J,BB,DD,HH,II,KK_v6d finalBGT_DFC Des 2009 rev3_Sheet1" xfId="9207"/>
    <cellStyle name="0_BUMI (Parent)_WP_311208_A,B,F,J,BB,DD,HH,II,KK_v6d finalBGT_Sheet1" xfId="9208"/>
    <cellStyle name="0_Bumi-WP II Dec 08" xfId="9209"/>
    <cellStyle name="0_Bumi-WP II Dec 08_DFC Des 2009 rev3" xfId="9210"/>
    <cellStyle name="0_Bumi-WP II Dec 08_DFC Des 2009 rev3_Sheet1" xfId="9211"/>
    <cellStyle name="0_Bumi-WP II Dec 08_Sheet1" xfId="9212"/>
    <cellStyle name="0_Sheet1" xfId="9213"/>
    <cellStyle name="1,comma" xfId="9214"/>
    <cellStyle name="1,comma 2" xfId="9215"/>
    <cellStyle name="1,comma_BUMI (Parent)_WP_311208_A,B,F,J,BB,DD,HH,II,KK_v6d finalBGT" xfId="9216"/>
    <cellStyle name="14 bold" xfId="9217"/>
    <cellStyle name="¹éºÐÀ²_±âÅ¸" xfId="9218"/>
    <cellStyle name="20 % - Accent1" xfId="9219"/>
    <cellStyle name="20 % - Accent2" xfId="9220"/>
    <cellStyle name="20 % - Accent3" xfId="9221"/>
    <cellStyle name="20 % - Accent4" xfId="9222"/>
    <cellStyle name="20 % - Accent5" xfId="9223"/>
    <cellStyle name="20 % - Accent6" xfId="9224"/>
    <cellStyle name="20% - Accent1 10" xfId="9225"/>
    <cellStyle name="20% - Accent1 2" xfId="9226"/>
    <cellStyle name="20% - Accent1 2 10" xfId="9227"/>
    <cellStyle name="20% - Accent1 2 11" xfId="9228"/>
    <cellStyle name="20% - Accent1 2 12" xfId="9229"/>
    <cellStyle name="20% - Accent1 2 13" xfId="9230"/>
    <cellStyle name="20% - Accent1 2 14" xfId="9231"/>
    <cellStyle name="20% - Accent1 2 15" xfId="9232"/>
    <cellStyle name="20% - Accent1 2 16" xfId="9233"/>
    <cellStyle name="20% - Accent1 2 17" xfId="9234"/>
    <cellStyle name="20% - Accent1 2 18" xfId="9235"/>
    <cellStyle name="20% - Accent1 2 19" xfId="9236"/>
    <cellStyle name="20% - Accent1 2 2" xfId="9237"/>
    <cellStyle name="20% - Accent1 2 2 2" xfId="9238"/>
    <cellStyle name="20% - Accent1 2 2_Sheet1" xfId="9239"/>
    <cellStyle name="20% - Accent1 2 3" xfId="9240"/>
    <cellStyle name="20% - Accent1 2 3 2" xfId="9241"/>
    <cellStyle name="20% - Accent1 2 3_Sheet1" xfId="9242"/>
    <cellStyle name="20% - Accent1 2 4" xfId="9243"/>
    <cellStyle name="20% - Accent1 2 4 2" xfId="9244"/>
    <cellStyle name="20% - Accent1 2 4_Sheet1" xfId="9245"/>
    <cellStyle name="20% - Accent1 2 5" xfId="9246"/>
    <cellStyle name="20% - Accent1 2 5 2" xfId="9247"/>
    <cellStyle name="20% - Accent1 2 5_Sheet1" xfId="9248"/>
    <cellStyle name="20% - Accent1 2 6" xfId="9249"/>
    <cellStyle name="20% - Accent1 2 7" xfId="9250"/>
    <cellStyle name="20% - Accent1 2 8" xfId="9251"/>
    <cellStyle name="20% - Accent1 2 9" xfId="9252"/>
    <cellStyle name="20% - Accent1 2_Form Eval Kenaikan BBM 2 Juni 2008 intern final" xfId="9253"/>
    <cellStyle name="20% - Accent1 3" xfId="9254"/>
    <cellStyle name="20% - Accent1 3 2" xfId="9255"/>
    <cellStyle name="20% - Accent1 3 2 2" xfId="9256"/>
    <cellStyle name="20% - Accent1 3 2_Sheet1" xfId="9257"/>
    <cellStyle name="20% - Accent1 3 3" xfId="9258"/>
    <cellStyle name="20% - Accent1 3 3 2" xfId="9259"/>
    <cellStyle name="20% - Accent1 3 3_Sheet1" xfId="9260"/>
    <cellStyle name="20% - Accent1 3 4" xfId="9261"/>
    <cellStyle name="20% - Accent1 3 4 2" xfId="9262"/>
    <cellStyle name="20% - Accent1 3 4_Sheet1" xfId="9263"/>
    <cellStyle name="20% - Accent1 3 5" xfId="9264"/>
    <cellStyle name="20% - Accent1 3 5 2" xfId="9265"/>
    <cellStyle name="20% - Accent1 3 5_Sheet1" xfId="9266"/>
    <cellStyle name="20% - Accent1 3 6" xfId="9267"/>
    <cellStyle name="20% - Accent1 3_Form Eval Kenaikan BBM 2 Juni 2008 intern final" xfId="9268"/>
    <cellStyle name="20% - Accent1 4" xfId="9269"/>
    <cellStyle name="20% - Accent1 4 2" xfId="9270"/>
    <cellStyle name="20% - Accent1 4 2 2" xfId="9271"/>
    <cellStyle name="20% - Accent1 4 2_Sheet1" xfId="9272"/>
    <cellStyle name="20% - Accent1 4 3" xfId="9273"/>
    <cellStyle name="20% - Accent1 4 4" xfId="9274"/>
    <cellStyle name="20% - Accent1 4 5" xfId="9275"/>
    <cellStyle name="20% - Accent1 4_Form Eval Kenaikan BBM 2 Juni 2008 intern final" xfId="9276"/>
    <cellStyle name="20% - Accent1 5" xfId="9277"/>
    <cellStyle name="20% - Accent1 5 2" xfId="9278"/>
    <cellStyle name="20% - Accent1 5 3" xfId="9279"/>
    <cellStyle name="20% - Accent1 5 4" xfId="9280"/>
    <cellStyle name="20% - Accent1 5_Sheet1" xfId="9281"/>
    <cellStyle name="20% - Accent1 6" xfId="9282"/>
    <cellStyle name="20% - Accent1 6 2" xfId="9283"/>
    <cellStyle name="20% - Accent1 6_Sheet1" xfId="9284"/>
    <cellStyle name="20% - Accent1 7" xfId="9285"/>
    <cellStyle name="20% - Accent1 8" xfId="9286"/>
    <cellStyle name="20% - Accent1 9" xfId="9287"/>
    <cellStyle name="20% - Accent2 10" xfId="9288"/>
    <cellStyle name="20% - Accent2 2" xfId="9289"/>
    <cellStyle name="20% - Accent2 2 10" xfId="9290"/>
    <cellStyle name="20% - Accent2 2 11" xfId="9291"/>
    <cellStyle name="20% - Accent2 2 12" xfId="9292"/>
    <cellStyle name="20% - Accent2 2 13" xfId="9293"/>
    <cellStyle name="20% - Accent2 2 14" xfId="9294"/>
    <cellStyle name="20% - Accent2 2 15" xfId="9295"/>
    <cellStyle name="20% - Accent2 2 16" xfId="9296"/>
    <cellStyle name="20% - Accent2 2 17" xfId="9297"/>
    <cellStyle name="20% - Accent2 2 18" xfId="9298"/>
    <cellStyle name="20% - Accent2 2 19" xfId="9299"/>
    <cellStyle name="20% - Accent2 2 2" xfId="9300"/>
    <cellStyle name="20% - Accent2 2 2 2" xfId="9301"/>
    <cellStyle name="20% - Accent2 2 2_Sheet1" xfId="9302"/>
    <cellStyle name="20% - Accent2 2 3" xfId="9303"/>
    <cellStyle name="20% - Accent2 2 3 2" xfId="9304"/>
    <cellStyle name="20% - Accent2 2 3_Sheet1" xfId="9305"/>
    <cellStyle name="20% - Accent2 2 4" xfId="9306"/>
    <cellStyle name="20% - Accent2 2 4 2" xfId="9307"/>
    <cellStyle name="20% - Accent2 2 4_Sheet1" xfId="9308"/>
    <cellStyle name="20% - Accent2 2 5" xfId="9309"/>
    <cellStyle name="20% - Accent2 2 5 2" xfId="9310"/>
    <cellStyle name="20% - Accent2 2 5_Sheet1" xfId="9311"/>
    <cellStyle name="20% - Accent2 2 6" xfId="9312"/>
    <cellStyle name="20% - Accent2 2 7" xfId="9313"/>
    <cellStyle name="20% - Accent2 2 8" xfId="9314"/>
    <cellStyle name="20% - Accent2 2 9" xfId="9315"/>
    <cellStyle name="20% - Accent2 2_Form Eval Kenaikan BBM 2 Juni 2008 intern final" xfId="9316"/>
    <cellStyle name="20% - Accent2 3" xfId="9317"/>
    <cellStyle name="20% - Accent2 3 2" xfId="9318"/>
    <cellStyle name="20% - Accent2 3 2 2" xfId="9319"/>
    <cellStyle name="20% - Accent2 3 2_Sheet1" xfId="9320"/>
    <cellStyle name="20% - Accent2 3 3" xfId="9321"/>
    <cellStyle name="20% - Accent2 3 3 2" xfId="9322"/>
    <cellStyle name="20% - Accent2 3 3_Sheet1" xfId="9323"/>
    <cellStyle name="20% - Accent2 3 4" xfId="9324"/>
    <cellStyle name="20% - Accent2 3 4 2" xfId="9325"/>
    <cellStyle name="20% - Accent2 3 4_Sheet1" xfId="9326"/>
    <cellStyle name="20% - Accent2 3 5" xfId="9327"/>
    <cellStyle name="20% - Accent2 3 5 2" xfId="9328"/>
    <cellStyle name="20% - Accent2 3 5_Sheet1" xfId="9329"/>
    <cellStyle name="20% - Accent2 3 6" xfId="9330"/>
    <cellStyle name="20% - Accent2 3_Form Eval Kenaikan BBM 2 Juni 2008 intern final" xfId="9331"/>
    <cellStyle name="20% - Accent2 4" xfId="9332"/>
    <cellStyle name="20% - Accent2 4 2" xfId="9333"/>
    <cellStyle name="20% - Accent2 4 2 2" xfId="9334"/>
    <cellStyle name="20% - Accent2 4 2_Sheet1" xfId="9335"/>
    <cellStyle name="20% - Accent2 4 3" xfId="9336"/>
    <cellStyle name="20% - Accent2 4 4" xfId="9337"/>
    <cellStyle name="20% - Accent2 4 5" xfId="9338"/>
    <cellStyle name="20% - Accent2 4_Form Eval Kenaikan BBM 2 Juni 2008 intern final" xfId="9339"/>
    <cellStyle name="20% - Accent2 5" xfId="9340"/>
    <cellStyle name="20% - Accent2 5 2" xfId="9341"/>
    <cellStyle name="20% - Accent2 5 3" xfId="9342"/>
    <cellStyle name="20% - Accent2 5 4" xfId="9343"/>
    <cellStyle name="20% - Accent2 5_Sheet1" xfId="9344"/>
    <cellStyle name="20% - Accent2 6" xfId="9345"/>
    <cellStyle name="20% - Accent2 6 2" xfId="9346"/>
    <cellStyle name="20% - Accent2 6_Sheet1" xfId="9347"/>
    <cellStyle name="20% - Accent2 7" xfId="9348"/>
    <cellStyle name="20% - Accent2 8" xfId="9349"/>
    <cellStyle name="20% - Accent2 9" xfId="9350"/>
    <cellStyle name="20% - Accent3 10" xfId="9351"/>
    <cellStyle name="20% - Accent3 2" xfId="9352"/>
    <cellStyle name="20% - Accent3 2 10" xfId="9353"/>
    <cellStyle name="20% - Accent3 2 11" xfId="9354"/>
    <cellStyle name="20% - Accent3 2 12" xfId="9355"/>
    <cellStyle name="20% - Accent3 2 13" xfId="9356"/>
    <cellStyle name="20% - Accent3 2 14" xfId="9357"/>
    <cellStyle name="20% - Accent3 2 15" xfId="9358"/>
    <cellStyle name="20% - Accent3 2 16" xfId="9359"/>
    <cellStyle name="20% - Accent3 2 17" xfId="9360"/>
    <cellStyle name="20% - Accent3 2 18" xfId="9361"/>
    <cellStyle name="20% - Accent3 2 19" xfId="9362"/>
    <cellStyle name="20% - Accent3 2 2" xfId="9363"/>
    <cellStyle name="20% - Accent3 2 2 2" xfId="9364"/>
    <cellStyle name="20% - Accent3 2 2_Sheet1" xfId="9365"/>
    <cellStyle name="20% - Accent3 2 3" xfId="9366"/>
    <cellStyle name="20% - Accent3 2 3 2" xfId="9367"/>
    <cellStyle name="20% - Accent3 2 3_Sheet1" xfId="9368"/>
    <cellStyle name="20% - Accent3 2 4" xfId="9369"/>
    <cellStyle name="20% - Accent3 2 4 2" xfId="9370"/>
    <cellStyle name="20% - Accent3 2 4_Sheet1" xfId="9371"/>
    <cellStyle name="20% - Accent3 2 5" xfId="9372"/>
    <cellStyle name="20% - Accent3 2 5 2" xfId="9373"/>
    <cellStyle name="20% - Accent3 2 5_Sheet1" xfId="9374"/>
    <cellStyle name="20% - Accent3 2 6" xfId="9375"/>
    <cellStyle name="20% - Accent3 2 7" xfId="9376"/>
    <cellStyle name="20% - Accent3 2 8" xfId="9377"/>
    <cellStyle name="20% - Accent3 2 9" xfId="9378"/>
    <cellStyle name="20% - Accent3 2_Form Eval Kenaikan BBM 2 Juni 2008 intern final" xfId="9379"/>
    <cellStyle name="20% - Accent3 3" xfId="9380"/>
    <cellStyle name="20% - Accent3 3 2" xfId="9381"/>
    <cellStyle name="20% - Accent3 3 2 2" xfId="9382"/>
    <cellStyle name="20% - Accent3 3 2_Sheet1" xfId="9383"/>
    <cellStyle name="20% - Accent3 3 3" xfId="9384"/>
    <cellStyle name="20% - Accent3 3 3 2" xfId="9385"/>
    <cellStyle name="20% - Accent3 3 3_Sheet1" xfId="9386"/>
    <cellStyle name="20% - Accent3 3 4" xfId="9387"/>
    <cellStyle name="20% - Accent3 3 4 2" xfId="9388"/>
    <cellStyle name="20% - Accent3 3 4_Sheet1" xfId="9389"/>
    <cellStyle name="20% - Accent3 3 5" xfId="9390"/>
    <cellStyle name="20% - Accent3 3 5 2" xfId="9391"/>
    <cellStyle name="20% - Accent3 3 5_Sheet1" xfId="9392"/>
    <cellStyle name="20% - Accent3 3 6" xfId="9393"/>
    <cellStyle name="20% - Accent3 3_Form Eval Kenaikan BBM 2 Juni 2008 intern final" xfId="9394"/>
    <cellStyle name="20% - Accent3 4" xfId="9395"/>
    <cellStyle name="20% - Accent3 4 2" xfId="9396"/>
    <cellStyle name="20% - Accent3 4 2 2" xfId="9397"/>
    <cellStyle name="20% - Accent3 4 2_Sheet1" xfId="9398"/>
    <cellStyle name="20% - Accent3 4 3" xfId="9399"/>
    <cellStyle name="20% - Accent3 4 4" xfId="9400"/>
    <cellStyle name="20% - Accent3 4 5" xfId="9401"/>
    <cellStyle name="20% - Accent3 4_Form Eval Kenaikan BBM 2 Juni 2008 intern final" xfId="9402"/>
    <cellStyle name="20% - Accent3 5" xfId="9403"/>
    <cellStyle name="20% - Accent3 5 2" xfId="9404"/>
    <cellStyle name="20% - Accent3 5 3" xfId="9405"/>
    <cellStyle name="20% - Accent3 5 4" xfId="9406"/>
    <cellStyle name="20% - Accent3 5_Sheet1" xfId="9407"/>
    <cellStyle name="20% - Accent3 6" xfId="9408"/>
    <cellStyle name="20% - Accent3 6 2" xfId="9409"/>
    <cellStyle name="20% - Accent3 6_Sheet1" xfId="9410"/>
    <cellStyle name="20% - Accent3 7" xfId="9411"/>
    <cellStyle name="20% - Accent3 8" xfId="9412"/>
    <cellStyle name="20% - Accent3 9" xfId="9413"/>
    <cellStyle name="20% - Accent4 10" xfId="9414"/>
    <cellStyle name="20% - Accent4 11" xfId="9415"/>
    <cellStyle name="20% - Accent4 2" xfId="9416"/>
    <cellStyle name="20% - Accent4 2 10" xfId="9417"/>
    <cellStyle name="20% - Accent4 2 11" xfId="9418"/>
    <cellStyle name="20% - Accent4 2 12" xfId="9419"/>
    <cellStyle name="20% - Accent4 2 13" xfId="9420"/>
    <cellStyle name="20% - Accent4 2 14" xfId="9421"/>
    <cellStyle name="20% - Accent4 2 15" xfId="9422"/>
    <cellStyle name="20% - Accent4 2 16" xfId="9423"/>
    <cellStyle name="20% - Accent4 2 17" xfId="9424"/>
    <cellStyle name="20% - Accent4 2 18" xfId="9425"/>
    <cellStyle name="20% - Accent4 2 19" xfId="9426"/>
    <cellStyle name="20% - Accent4 2 2" xfId="9427"/>
    <cellStyle name="20% - Accent4 2 2 2" xfId="9428"/>
    <cellStyle name="20% - Accent4 2 2_Sheet1" xfId="9429"/>
    <cellStyle name="20% - Accent4 2 3" xfId="9430"/>
    <cellStyle name="20% - Accent4 2 3 2" xfId="9431"/>
    <cellStyle name="20% - Accent4 2 3_Sheet1" xfId="9432"/>
    <cellStyle name="20% - Accent4 2 4" xfId="9433"/>
    <cellStyle name="20% - Accent4 2 4 2" xfId="9434"/>
    <cellStyle name="20% - Accent4 2 4_Sheet1" xfId="9435"/>
    <cellStyle name="20% - Accent4 2 5" xfId="9436"/>
    <cellStyle name="20% - Accent4 2 5 2" xfId="9437"/>
    <cellStyle name="20% - Accent4 2 5_Sheet1" xfId="9438"/>
    <cellStyle name="20% - Accent4 2 6" xfId="9439"/>
    <cellStyle name="20% - Accent4 2 7" xfId="9440"/>
    <cellStyle name="20% - Accent4 2 8" xfId="9441"/>
    <cellStyle name="20% - Accent4 2 9" xfId="9442"/>
    <cellStyle name="20% - Accent4 2_Form Eval Kenaikan BBM 2 Juni 2008 intern final" xfId="9443"/>
    <cellStyle name="20% - Accent4 3" xfId="9444"/>
    <cellStyle name="20% - Accent4 3 2" xfId="9445"/>
    <cellStyle name="20% - Accent4 3 2 2" xfId="9446"/>
    <cellStyle name="20% - Accent4 3 2_Sheet1" xfId="9447"/>
    <cellStyle name="20% - Accent4 3 3" xfId="9448"/>
    <cellStyle name="20% - Accent4 3 3 2" xfId="9449"/>
    <cellStyle name="20% - Accent4 3 3_Sheet1" xfId="9450"/>
    <cellStyle name="20% - Accent4 3 4" xfId="9451"/>
    <cellStyle name="20% - Accent4 3 4 2" xfId="9452"/>
    <cellStyle name="20% - Accent4 3 4_Sheet1" xfId="9453"/>
    <cellStyle name="20% - Accent4 3 5" xfId="9454"/>
    <cellStyle name="20% - Accent4 3 5 2" xfId="9455"/>
    <cellStyle name="20% - Accent4 3 5_Sheet1" xfId="9456"/>
    <cellStyle name="20% - Accent4 3 6" xfId="9457"/>
    <cellStyle name="20% - Accent4 3_Form Eval Kenaikan BBM 2 Juni 2008 intern final" xfId="9458"/>
    <cellStyle name="20% - Accent4 4" xfId="9459"/>
    <cellStyle name="20% - Accent4 4 2" xfId="9460"/>
    <cellStyle name="20% - Accent4 4 2 2" xfId="9461"/>
    <cellStyle name="20% - Accent4 4 2_Sheet1" xfId="9462"/>
    <cellStyle name="20% - Accent4 4 3" xfId="9463"/>
    <cellStyle name="20% - Accent4 4 4" xfId="9464"/>
    <cellStyle name="20% - Accent4 4 5" xfId="9465"/>
    <cellStyle name="20% - Accent4 4_Form Eval Kenaikan BBM 2 Juni 2008 intern final" xfId="9466"/>
    <cellStyle name="20% - Accent4 5" xfId="9467"/>
    <cellStyle name="20% - Accent4 5 2" xfId="9468"/>
    <cellStyle name="20% - Accent4 5 3" xfId="9469"/>
    <cellStyle name="20% - Accent4 5 4" xfId="9470"/>
    <cellStyle name="20% - Accent4 5_Sheet1" xfId="9471"/>
    <cellStyle name="20% - Accent4 6" xfId="9472"/>
    <cellStyle name="20% - Accent4 6 2" xfId="9473"/>
    <cellStyle name="20% - Accent4 6_Sheet1" xfId="9474"/>
    <cellStyle name="20% - Accent4 7" xfId="9475"/>
    <cellStyle name="20% - Accent4 8" xfId="9476"/>
    <cellStyle name="20% - Accent4 9" xfId="9477"/>
    <cellStyle name="20% - Accent5 10" xfId="9478"/>
    <cellStyle name="20% - Accent5 2" xfId="9479"/>
    <cellStyle name="20% - Accent5 2 10" xfId="9480"/>
    <cellStyle name="20% - Accent5 2 11" xfId="9481"/>
    <cellStyle name="20% - Accent5 2 12" xfId="9482"/>
    <cellStyle name="20% - Accent5 2 13" xfId="9483"/>
    <cellStyle name="20% - Accent5 2 14" xfId="9484"/>
    <cellStyle name="20% - Accent5 2 15" xfId="9485"/>
    <cellStyle name="20% - Accent5 2 16" xfId="9486"/>
    <cellStyle name="20% - Accent5 2 17" xfId="9487"/>
    <cellStyle name="20% - Accent5 2 18" xfId="9488"/>
    <cellStyle name="20% - Accent5 2 19" xfId="9489"/>
    <cellStyle name="20% - Accent5 2 2" xfId="9490"/>
    <cellStyle name="20% - Accent5 2 3" xfId="9491"/>
    <cellStyle name="20% - Accent5 2 4" xfId="9492"/>
    <cellStyle name="20% - Accent5 2 5" xfId="9493"/>
    <cellStyle name="20% - Accent5 2 6" xfId="9494"/>
    <cellStyle name="20% - Accent5 2 7" xfId="9495"/>
    <cellStyle name="20% - Accent5 2 8" xfId="9496"/>
    <cellStyle name="20% - Accent5 2 9" xfId="9497"/>
    <cellStyle name="20% - Accent5 2_Form Eval Kenaikan BBM 2 Juni 2008 intern final" xfId="9498"/>
    <cellStyle name="20% - Accent5 3" xfId="9499"/>
    <cellStyle name="20% - Accent5 3 2" xfId="9500"/>
    <cellStyle name="20% - Accent5 3 3" xfId="9501"/>
    <cellStyle name="20% - Accent5 3 4" xfId="9502"/>
    <cellStyle name="20% - Accent5 3 5" xfId="9503"/>
    <cellStyle name="20% - Accent5 3 6" xfId="9504"/>
    <cellStyle name="20% - Accent5 3_Form Eval Kenaikan BBM 2 Juni 2008 intern final" xfId="9505"/>
    <cellStyle name="20% - Accent5 4" xfId="9506"/>
    <cellStyle name="20% - Accent5 4 2" xfId="9507"/>
    <cellStyle name="20% - Accent5 4 3" xfId="9508"/>
    <cellStyle name="20% - Accent5 4 4" xfId="9509"/>
    <cellStyle name="20% - Accent5 4_Form Eval Kenaikan BBM 2 Juni 2008 intern final" xfId="9510"/>
    <cellStyle name="20% - Accent5 5" xfId="9511"/>
    <cellStyle name="20% - Accent5 5 2" xfId="9512"/>
    <cellStyle name="20% - Accent5 5 3" xfId="9513"/>
    <cellStyle name="20% - Accent5 5_Sheet1" xfId="9514"/>
    <cellStyle name="20% - Accent5 6" xfId="9515"/>
    <cellStyle name="20% - Accent5 6 2" xfId="9516"/>
    <cellStyle name="20% - Accent5 6_Sheet1" xfId="9517"/>
    <cellStyle name="20% - Accent5 7" xfId="9518"/>
    <cellStyle name="20% - Accent5 8" xfId="9519"/>
    <cellStyle name="20% - Accent5 9" xfId="9520"/>
    <cellStyle name="20% - Accent6 10" xfId="9521"/>
    <cellStyle name="20% - Accent6 2" xfId="9522"/>
    <cellStyle name="20% - Accent6 2 10" xfId="9523"/>
    <cellStyle name="20% - Accent6 2 11" xfId="9524"/>
    <cellStyle name="20% - Accent6 2 12" xfId="9525"/>
    <cellStyle name="20% - Accent6 2 13" xfId="9526"/>
    <cellStyle name="20% - Accent6 2 14" xfId="9527"/>
    <cellStyle name="20% - Accent6 2 15" xfId="9528"/>
    <cellStyle name="20% - Accent6 2 16" xfId="9529"/>
    <cellStyle name="20% - Accent6 2 17" xfId="9530"/>
    <cellStyle name="20% - Accent6 2 18" xfId="9531"/>
    <cellStyle name="20% - Accent6 2 19" xfId="9532"/>
    <cellStyle name="20% - Accent6 2 2" xfId="9533"/>
    <cellStyle name="20% - Accent6 2 2 2" xfId="9534"/>
    <cellStyle name="20% - Accent6 2 2_Sheet1" xfId="9535"/>
    <cellStyle name="20% - Accent6 2 3" xfId="9536"/>
    <cellStyle name="20% - Accent6 2 3 2" xfId="9537"/>
    <cellStyle name="20% - Accent6 2 3_Sheet1" xfId="9538"/>
    <cellStyle name="20% - Accent6 2 4" xfId="9539"/>
    <cellStyle name="20% - Accent6 2 4 2" xfId="9540"/>
    <cellStyle name="20% - Accent6 2 4_Sheet1" xfId="9541"/>
    <cellStyle name="20% - Accent6 2 5" xfId="9542"/>
    <cellStyle name="20% - Accent6 2 5 2" xfId="9543"/>
    <cellStyle name="20% - Accent6 2 5_Sheet1" xfId="9544"/>
    <cellStyle name="20% - Accent6 2 6" xfId="9545"/>
    <cellStyle name="20% - Accent6 2 7" xfId="9546"/>
    <cellStyle name="20% - Accent6 2 8" xfId="9547"/>
    <cellStyle name="20% - Accent6 2 9" xfId="9548"/>
    <cellStyle name="20% - Accent6 2_Form Eval Kenaikan BBM 2 Juni 2008 intern final" xfId="9549"/>
    <cellStyle name="20% - Accent6 3" xfId="9550"/>
    <cellStyle name="20% - Accent6 3 2" xfId="9551"/>
    <cellStyle name="20% - Accent6 3 2 2" xfId="9552"/>
    <cellStyle name="20% - Accent6 3 2_Sheet1" xfId="9553"/>
    <cellStyle name="20% - Accent6 3 3" xfId="9554"/>
    <cellStyle name="20% - Accent6 3 3 2" xfId="9555"/>
    <cellStyle name="20% - Accent6 3 3_Sheet1" xfId="9556"/>
    <cellStyle name="20% - Accent6 3 4" xfId="9557"/>
    <cellStyle name="20% - Accent6 3 4 2" xfId="9558"/>
    <cellStyle name="20% - Accent6 3 4_Sheet1" xfId="9559"/>
    <cellStyle name="20% - Accent6 3 5" xfId="9560"/>
    <cellStyle name="20% - Accent6 3 5 2" xfId="9561"/>
    <cellStyle name="20% - Accent6 3 5_Sheet1" xfId="9562"/>
    <cellStyle name="20% - Accent6 3 6" xfId="9563"/>
    <cellStyle name="20% - Accent6 3_Form Eval Kenaikan BBM 2 Juni 2008 intern final" xfId="9564"/>
    <cellStyle name="20% - Accent6 4" xfId="9565"/>
    <cellStyle name="20% - Accent6 4 2" xfId="9566"/>
    <cellStyle name="20% - Accent6 4 2 2" xfId="9567"/>
    <cellStyle name="20% - Accent6 4 2_Sheet1" xfId="9568"/>
    <cellStyle name="20% - Accent6 4 3" xfId="9569"/>
    <cellStyle name="20% - Accent6 4 4" xfId="9570"/>
    <cellStyle name="20% - Accent6 4 5" xfId="9571"/>
    <cellStyle name="20% - Accent6 4_Form Eval Kenaikan BBM 2 Juni 2008 intern final" xfId="9572"/>
    <cellStyle name="20% - Accent6 5" xfId="9573"/>
    <cellStyle name="20% - Accent6 5 2" xfId="9574"/>
    <cellStyle name="20% - Accent6 5 3" xfId="9575"/>
    <cellStyle name="20% - Accent6 5 4" xfId="9576"/>
    <cellStyle name="20% - Accent6 5_Sheet1" xfId="9577"/>
    <cellStyle name="20% - Accent6 6" xfId="9578"/>
    <cellStyle name="20% - Accent6 6 2" xfId="9579"/>
    <cellStyle name="20% - Accent6 6_Sheet1" xfId="9580"/>
    <cellStyle name="20% - Accent6 7" xfId="9581"/>
    <cellStyle name="20% - Accent6 8" xfId="9582"/>
    <cellStyle name="20% - Accent6 9" xfId="9583"/>
    <cellStyle name="20% - アクセント 1" xfId="9584"/>
    <cellStyle name="20% - アクセント 2" xfId="9585"/>
    <cellStyle name="20% - アクセント 3" xfId="9586"/>
    <cellStyle name="20% - アクセント 4" xfId="9587"/>
    <cellStyle name="20% - アクセント 5" xfId="9588"/>
    <cellStyle name="20% - アクセント 6" xfId="9589"/>
    <cellStyle name="20% - 강조색1" xfId="9590"/>
    <cellStyle name="20% - 강조색2" xfId="9591"/>
    <cellStyle name="20% - 강조색3" xfId="9592"/>
    <cellStyle name="20% - 강조색4" xfId="9593"/>
    <cellStyle name="20% - 강조색5" xfId="9594"/>
    <cellStyle name="20% - 강조색6" xfId="9595"/>
    <cellStyle name="40 % - Accent1" xfId="9596"/>
    <cellStyle name="40 % - Accent2" xfId="9597"/>
    <cellStyle name="40 % - Accent3" xfId="9598"/>
    <cellStyle name="40 % - Accent4" xfId="9599"/>
    <cellStyle name="40 % - Accent5" xfId="9600"/>
    <cellStyle name="40 % - Accent6" xfId="9601"/>
    <cellStyle name="40% - Accent1 10" xfId="9602"/>
    <cellStyle name="40% - Accent1 11" xfId="9603"/>
    <cellStyle name="40% - Accent1 2" xfId="9604"/>
    <cellStyle name="40% - Accent1 2 10" xfId="9605"/>
    <cellStyle name="40% - Accent1 2 11" xfId="9606"/>
    <cellStyle name="40% - Accent1 2 12" xfId="9607"/>
    <cellStyle name="40% - Accent1 2 13" xfId="9608"/>
    <cellStyle name="40% - Accent1 2 14" xfId="9609"/>
    <cellStyle name="40% - Accent1 2 15" xfId="9610"/>
    <cellStyle name="40% - Accent1 2 16" xfId="9611"/>
    <cellStyle name="40% - Accent1 2 17" xfId="9612"/>
    <cellStyle name="40% - Accent1 2 18" xfId="9613"/>
    <cellStyle name="40% - Accent1 2 19" xfId="9614"/>
    <cellStyle name="40% - Accent1 2 2" xfId="9615"/>
    <cellStyle name="40% - Accent1 2 2 2" xfId="9616"/>
    <cellStyle name="40% - Accent1 2 2_Sheet1" xfId="9617"/>
    <cellStyle name="40% - Accent1 2 3" xfId="9618"/>
    <cellStyle name="40% - Accent1 2 3 2" xfId="9619"/>
    <cellStyle name="40% - Accent1 2 3_Sheet1" xfId="9620"/>
    <cellStyle name="40% - Accent1 2 4" xfId="9621"/>
    <cellStyle name="40% - Accent1 2 4 2" xfId="9622"/>
    <cellStyle name="40% - Accent1 2 4_Sheet1" xfId="9623"/>
    <cellStyle name="40% - Accent1 2 5" xfId="9624"/>
    <cellStyle name="40% - Accent1 2 5 2" xfId="9625"/>
    <cellStyle name="40% - Accent1 2 5_Sheet1" xfId="9626"/>
    <cellStyle name="40% - Accent1 2 6" xfId="9627"/>
    <cellStyle name="40% - Accent1 2 7" xfId="9628"/>
    <cellStyle name="40% - Accent1 2 8" xfId="9629"/>
    <cellStyle name="40% - Accent1 2 9" xfId="9630"/>
    <cellStyle name="40% - Accent1 2_Form Eval Kenaikan BBM 2 Juni 2008 intern final" xfId="9631"/>
    <cellStyle name="40% - Accent1 3" xfId="9632"/>
    <cellStyle name="40% - Accent1 3 2" xfId="9633"/>
    <cellStyle name="40% - Accent1 3 2 2" xfId="9634"/>
    <cellStyle name="40% - Accent1 3 2_Sheet1" xfId="9635"/>
    <cellStyle name="40% - Accent1 3 3" xfId="9636"/>
    <cellStyle name="40% - Accent1 3 3 2" xfId="9637"/>
    <cellStyle name="40% - Accent1 3 3_Sheet1" xfId="9638"/>
    <cellStyle name="40% - Accent1 3 4" xfId="9639"/>
    <cellStyle name="40% - Accent1 3 4 2" xfId="9640"/>
    <cellStyle name="40% - Accent1 3 4_Sheet1" xfId="9641"/>
    <cellStyle name="40% - Accent1 3 5" xfId="9642"/>
    <cellStyle name="40% - Accent1 3 5 2" xfId="9643"/>
    <cellStyle name="40% - Accent1 3 5_Sheet1" xfId="9644"/>
    <cellStyle name="40% - Accent1 3 6" xfId="9645"/>
    <cellStyle name="40% - Accent1 3_Form Eval Kenaikan BBM 2 Juni 2008 intern final" xfId="9646"/>
    <cellStyle name="40% - Accent1 4" xfId="9647"/>
    <cellStyle name="40% - Accent1 4 2" xfId="9648"/>
    <cellStyle name="40% - Accent1 4 2 2" xfId="9649"/>
    <cellStyle name="40% - Accent1 4 2_Sheet1" xfId="9650"/>
    <cellStyle name="40% - Accent1 4 3" xfId="9651"/>
    <cellStyle name="40% - Accent1 4 4" xfId="9652"/>
    <cellStyle name="40% - Accent1 4 5" xfId="9653"/>
    <cellStyle name="40% - Accent1 4_Form Eval Kenaikan BBM 2 Juni 2008 intern final" xfId="9654"/>
    <cellStyle name="40% - Accent1 5" xfId="9655"/>
    <cellStyle name="40% - Accent1 5 2" xfId="9656"/>
    <cellStyle name="40% - Accent1 5 3" xfId="9657"/>
    <cellStyle name="40% - Accent1 5 4" xfId="9658"/>
    <cellStyle name="40% - Accent1 5_Sheet1" xfId="9659"/>
    <cellStyle name="40% - Accent1 6" xfId="9660"/>
    <cellStyle name="40% - Accent1 6 2" xfId="9661"/>
    <cellStyle name="40% - Accent1 6_Sheet1" xfId="9662"/>
    <cellStyle name="40% - Accent1 7" xfId="9663"/>
    <cellStyle name="40% - Accent1 8" xfId="9664"/>
    <cellStyle name="40% - Accent1 9" xfId="9665"/>
    <cellStyle name="40% - Accent2 10" xfId="9666"/>
    <cellStyle name="40% - Accent2 2" xfId="9667"/>
    <cellStyle name="40% - Accent2 2 10" xfId="9668"/>
    <cellStyle name="40% - Accent2 2 11" xfId="9669"/>
    <cellStyle name="40% - Accent2 2 12" xfId="9670"/>
    <cellStyle name="40% - Accent2 2 13" xfId="9671"/>
    <cellStyle name="40% - Accent2 2 14" xfId="9672"/>
    <cellStyle name="40% - Accent2 2 15" xfId="9673"/>
    <cellStyle name="40% - Accent2 2 16" xfId="9674"/>
    <cellStyle name="40% - Accent2 2 17" xfId="9675"/>
    <cellStyle name="40% - Accent2 2 18" xfId="9676"/>
    <cellStyle name="40% - Accent2 2 19" xfId="9677"/>
    <cellStyle name="40% - Accent2 2 2" xfId="9678"/>
    <cellStyle name="40% - Accent2 2 3" xfId="9679"/>
    <cellStyle name="40% - Accent2 2 4" xfId="9680"/>
    <cellStyle name="40% - Accent2 2 5" xfId="9681"/>
    <cellStyle name="40% - Accent2 2 6" xfId="9682"/>
    <cellStyle name="40% - Accent2 2 7" xfId="9683"/>
    <cellStyle name="40% - Accent2 2 8" xfId="9684"/>
    <cellStyle name="40% - Accent2 2 9" xfId="9685"/>
    <cellStyle name="40% - Accent2 2_Form Eval Kenaikan BBM 2 Juni 2008 intern final" xfId="9686"/>
    <cellStyle name="40% - Accent2 3" xfId="9687"/>
    <cellStyle name="40% - Accent2 3 2" xfId="9688"/>
    <cellStyle name="40% - Accent2 3 3" xfId="9689"/>
    <cellStyle name="40% - Accent2 3 4" xfId="9690"/>
    <cellStyle name="40% - Accent2 3 5" xfId="9691"/>
    <cellStyle name="40% - Accent2 3 6" xfId="9692"/>
    <cellStyle name="40% - Accent2 3_Form Eval Kenaikan BBM 2 Juni 2008 intern final" xfId="9693"/>
    <cellStyle name="40% - Accent2 4" xfId="9694"/>
    <cellStyle name="40% - Accent2 4 2" xfId="9695"/>
    <cellStyle name="40% - Accent2 4 3" xfId="9696"/>
    <cellStyle name="40% - Accent2 4 4" xfId="9697"/>
    <cellStyle name="40% - Accent2 4_Form Eval Kenaikan BBM 2 Juni 2008 intern final" xfId="9698"/>
    <cellStyle name="40% - Accent2 5" xfId="9699"/>
    <cellStyle name="40% - Accent2 5 2" xfId="9700"/>
    <cellStyle name="40% - Accent2 5 3" xfId="9701"/>
    <cellStyle name="40% - Accent2 5_Sheet1" xfId="9702"/>
    <cellStyle name="40% - Accent2 6" xfId="9703"/>
    <cellStyle name="40% - Accent2 6 2" xfId="9704"/>
    <cellStyle name="40% - Accent2 6_Sheet1" xfId="9705"/>
    <cellStyle name="40% - Accent2 7" xfId="9706"/>
    <cellStyle name="40% - Accent2 8" xfId="9707"/>
    <cellStyle name="40% - Accent2 9" xfId="9708"/>
    <cellStyle name="40% - Accent3 10" xfId="9709"/>
    <cellStyle name="40% - Accent3 2" xfId="9710"/>
    <cellStyle name="40% - Accent3 2 10" xfId="9711"/>
    <cellStyle name="40% - Accent3 2 11" xfId="9712"/>
    <cellStyle name="40% - Accent3 2 12" xfId="9713"/>
    <cellStyle name="40% - Accent3 2 13" xfId="9714"/>
    <cellStyle name="40% - Accent3 2 14" xfId="9715"/>
    <cellStyle name="40% - Accent3 2 15" xfId="9716"/>
    <cellStyle name="40% - Accent3 2 16" xfId="9717"/>
    <cellStyle name="40% - Accent3 2 17" xfId="9718"/>
    <cellStyle name="40% - Accent3 2 18" xfId="9719"/>
    <cellStyle name="40% - Accent3 2 19" xfId="9720"/>
    <cellStyle name="40% - Accent3 2 2" xfId="9721"/>
    <cellStyle name="40% - Accent3 2 2 2" xfId="9722"/>
    <cellStyle name="40% - Accent3 2 2_Sheet1" xfId="9723"/>
    <cellStyle name="40% - Accent3 2 3" xfId="9724"/>
    <cellStyle name="40% - Accent3 2 3 2" xfId="9725"/>
    <cellStyle name="40% - Accent3 2 3_Sheet1" xfId="9726"/>
    <cellStyle name="40% - Accent3 2 4" xfId="9727"/>
    <cellStyle name="40% - Accent3 2 4 2" xfId="9728"/>
    <cellStyle name="40% - Accent3 2 4_Sheet1" xfId="9729"/>
    <cellStyle name="40% - Accent3 2 5" xfId="9730"/>
    <cellStyle name="40% - Accent3 2 5 2" xfId="9731"/>
    <cellStyle name="40% - Accent3 2 5_Sheet1" xfId="9732"/>
    <cellStyle name="40% - Accent3 2 6" xfId="9733"/>
    <cellStyle name="40% - Accent3 2 7" xfId="9734"/>
    <cellStyle name="40% - Accent3 2 8" xfId="9735"/>
    <cellStyle name="40% - Accent3 2 9" xfId="9736"/>
    <cellStyle name="40% - Accent3 2_Form Eval Kenaikan BBM 2 Juni 2008 intern final" xfId="9737"/>
    <cellStyle name="40% - Accent3 3" xfId="9738"/>
    <cellStyle name="40% - Accent3 3 2" xfId="9739"/>
    <cellStyle name="40% - Accent3 3 2 2" xfId="9740"/>
    <cellStyle name="40% - Accent3 3 2_Sheet1" xfId="9741"/>
    <cellStyle name="40% - Accent3 3 3" xfId="9742"/>
    <cellStyle name="40% - Accent3 3 3 2" xfId="9743"/>
    <cellStyle name="40% - Accent3 3 3_Sheet1" xfId="9744"/>
    <cellStyle name="40% - Accent3 3 4" xfId="9745"/>
    <cellStyle name="40% - Accent3 3 4 2" xfId="9746"/>
    <cellStyle name="40% - Accent3 3 4_Sheet1" xfId="9747"/>
    <cellStyle name="40% - Accent3 3 5" xfId="9748"/>
    <cellStyle name="40% - Accent3 3 5 2" xfId="9749"/>
    <cellStyle name="40% - Accent3 3 5_Sheet1" xfId="9750"/>
    <cellStyle name="40% - Accent3 3 6" xfId="9751"/>
    <cellStyle name="40% - Accent3 3_Form Eval Kenaikan BBM 2 Juni 2008 intern final" xfId="9752"/>
    <cellStyle name="40% - Accent3 4" xfId="9753"/>
    <cellStyle name="40% - Accent3 4 2" xfId="9754"/>
    <cellStyle name="40% - Accent3 4 2 2" xfId="9755"/>
    <cellStyle name="40% - Accent3 4 2_Sheet1" xfId="9756"/>
    <cellStyle name="40% - Accent3 4 3" xfId="9757"/>
    <cellStyle name="40% - Accent3 4 4" xfId="9758"/>
    <cellStyle name="40% - Accent3 4 5" xfId="9759"/>
    <cellStyle name="40% - Accent3 4_Form Eval Kenaikan BBM 2 Juni 2008 intern final" xfId="9760"/>
    <cellStyle name="40% - Accent3 5" xfId="9761"/>
    <cellStyle name="40% - Accent3 5 2" xfId="9762"/>
    <cellStyle name="40% - Accent3 5 3" xfId="9763"/>
    <cellStyle name="40% - Accent3 5 4" xfId="9764"/>
    <cellStyle name="40% - Accent3 5_Sheet1" xfId="9765"/>
    <cellStyle name="40% - Accent3 6" xfId="9766"/>
    <cellStyle name="40% - Accent3 6 2" xfId="9767"/>
    <cellStyle name="40% - Accent3 6_Sheet1" xfId="9768"/>
    <cellStyle name="40% - Accent3 7" xfId="9769"/>
    <cellStyle name="40% - Accent3 8" xfId="9770"/>
    <cellStyle name="40% - Accent3 9" xfId="9771"/>
    <cellStyle name="40% - Accent4 10" xfId="9772"/>
    <cellStyle name="40% - Accent4 11" xfId="9773"/>
    <cellStyle name="40% - Accent4 2" xfId="9774"/>
    <cellStyle name="40% - Accent4 2 10" xfId="9775"/>
    <cellStyle name="40% - Accent4 2 11" xfId="9776"/>
    <cellStyle name="40% - Accent4 2 12" xfId="9777"/>
    <cellStyle name="40% - Accent4 2 13" xfId="9778"/>
    <cellStyle name="40% - Accent4 2 14" xfId="9779"/>
    <cellStyle name="40% - Accent4 2 15" xfId="9780"/>
    <cellStyle name="40% - Accent4 2 16" xfId="9781"/>
    <cellStyle name="40% - Accent4 2 17" xfId="9782"/>
    <cellStyle name="40% - Accent4 2 18" xfId="9783"/>
    <cellStyle name="40% - Accent4 2 19" xfId="9784"/>
    <cellStyle name="40% - Accent4 2 2" xfId="9785"/>
    <cellStyle name="40% - Accent4 2 2 2" xfId="9786"/>
    <cellStyle name="40% - Accent4 2 2_Sheet1" xfId="9787"/>
    <cellStyle name="40% - Accent4 2 3" xfId="9788"/>
    <cellStyle name="40% - Accent4 2 3 2" xfId="9789"/>
    <cellStyle name="40% - Accent4 2 3_Sheet1" xfId="9790"/>
    <cellStyle name="40% - Accent4 2 4" xfId="9791"/>
    <cellStyle name="40% - Accent4 2 4 2" xfId="9792"/>
    <cellStyle name="40% - Accent4 2 4_Sheet1" xfId="9793"/>
    <cellStyle name="40% - Accent4 2 5" xfId="9794"/>
    <cellStyle name="40% - Accent4 2 5 2" xfId="9795"/>
    <cellStyle name="40% - Accent4 2 5_Sheet1" xfId="9796"/>
    <cellStyle name="40% - Accent4 2 6" xfId="9797"/>
    <cellStyle name="40% - Accent4 2 7" xfId="9798"/>
    <cellStyle name="40% - Accent4 2 8" xfId="9799"/>
    <cellStyle name="40% - Accent4 2 9" xfId="9800"/>
    <cellStyle name="40% - Accent4 2_Form Eval Kenaikan BBM 2 Juni 2008 intern final" xfId="9801"/>
    <cellStyle name="40% - Accent4 3" xfId="9802"/>
    <cellStyle name="40% - Accent4 3 2" xfId="9803"/>
    <cellStyle name="40% - Accent4 3 2 2" xfId="9804"/>
    <cellStyle name="40% - Accent4 3 2_Sheet1" xfId="9805"/>
    <cellStyle name="40% - Accent4 3 3" xfId="9806"/>
    <cellStyle name="40% - Accent4 3 3 2" xfId="9807"/>
    <cellStyle name="40% - Accent4 3 3_Sheet1" xfId="9808"/>
    <cellStyle name="40% - Accent4 3 4" xfId="9809"/>
    <cellStyle name="40% - Accent4 3 4 2" xfId="9810"/>
    <cellStyle name="40% - Accent4 3 4_Sheet1" xfId="9811"/>
    <cellStyle name="40% - Accent4 3 5" xfId="9812"/>
    <cellStyle name="40% - Accent4 3 5 2" xfId="9813"/>
    <cellStyle name="40% - Accent4 3 5_Sheet1" xfId="9814"/>
    <cellStyle name="40% - Accent4 3 6" xfId="9815"/>
    <cellStyle name="40% - Accent4 3_Form Eval Kenaikan BBM 2 Juni 2008 intern final" xfId="9816"/>
    <cellStyle name="40% - Accent4 4" xfId="9817"/>
    <cellStyle name="40% - Accent4 4 2" xfId="9818"/>
    <cellStyle name="40% - Accent4 4 2 2" xfId="9819"/>
    <cellStyle name="40% - Accent4 4 2_Sheet1" xfId="9820"/>
    <cellStyle name="40% - Accent4 4 3" xfId="9821"/>
    <cellStyle name="40% - Accent4 4 4" xfId="9822"/>
    <cellStyle name="40% - Accent4 4 5" xfId="9823"/>
    <cellStyle name="40% - Accent4 4_Form Eval Kenaikan BBM 2 Juni 2008 intern final" xfId="9824"/>
    <cellStyle name="40% - Accent4 5" xfId="9825"/>
    <cellStyle name="40% - Accent4 5 2" xfId="9826"/>
    <cellStyle name="40% - Accent4 5 3" xfId="9827"/>
    <cellStyle name="40% - Accent4 5 4" xfId="9828"/>
    <cellStyle name="40% - Accent4 5_Sheet1" xfId="9829"/>
    <cellStyle name="40% - Accent4 6" xfId="9830"/>
    <cellStyle name="40% - Accent4 6 2" xfId="9831"/>
    <cellStyle name="40% - Accent4 6_Sheet1" xfId="9832"/>
    <cellStyle name="40% - Accent4 7" xfId="9833"/>
    <cellStyle name="40% - Accent4 8" xfId="9834"/>
    <cellStyle name="40% - Accent4 9" xfId="9835"/>
    <cellStyle name="40% - Accent5 10" xfId="9836"/>
    <cellStyle name="40% - Accent5 11" xfId="9837"/>
    <cellStyle name="40% - Accent5 2" xfId="9838"/>
    <cellStyle name="40% - Accent5 2 10" xfId="9839"/>
    <cellStyle name="40% - Accent5 2 11" xfId="9840"/>
    <cellStyle name="40% - Accent5 2 12" xfId="9841"/>
    <cellStyle name="40% - Accent5 2 13" xfId="9842"/>
    <cellStyle name="40% - Accent5 2 14" xfId="9843"/>
    <cellStyle name="40% - Accent5 2 15" xfId="9844"/>
    <cellStyle name="40% - Accent5 2 16" xfId="9845"/>
    <cellStyle name="40% - Accent5 2 17" xfId="9846"/>
    <cellStyle name="40% - Accent5 2 18" xfId="9847"/>
    <cellStyle name="40% - Accent5 2 19" xfId="9848"/>
    <cellStyle name="40% - Accent5 2 2" xfId="9849"/>
    <cellStyle name="40% - Accent5 2 2 2" xfId="9850"/>
    <cellStyle name="40% - Accent5 2 2_Sheet1" xfId="9851"/>
    <cellStyle name="40% - Accent5 2 3" xfId="9852"/>
    <cellStyle name="40% - Accent5 2 3 2" xfId="9853"/>
    <cellStyle name="40% - Accent5 2 3_Sheet1" xfId="9854"/>
    <cellStyle name="40% - Accent5 2 4" xfId="9855"/>
    <cellStyle name="40% - Accent5 2 4 2" xfId="9856"/>
    <cellStyle name="40% - Accent5 2 4_Sheet1" xfId="9857"/>
    <cellStyle name="40% - Accent5 2 5" xfId="9858"/>
    <cellStyle name="40% - Accent5 2 5 2" xfId="9859"/>
    <cellStyle name="40% - Accent5 2 5_Sheet1" xfId="9860"/>
    <cellStyle name="40% - Accent5 2 6" xfId="9861"/>
    <cellStyle name="40% - Accent5 2 7" xfId="9862"/>
    <cellStyle name="40% - Accent5 2 8" xfId="9863"/>
    <cellStyle name="40% - Accent5 2 9" xfId="9864"/>
    <cellStyle name="40% - Accent5 2_Form Eval Kenaikan BBM 2 Juni 2008 intern final" xfId="9865"/>
    <cellStyle name="40% - Accent5 3" xfId="9866"/>
    <cellStyle name="40% - Accent5 3 2" xfId="9867"/>
    <cellStyle name="40% - Accent5 3 2 2" xfId="9868"/>
    <cellStyle name="40% - Accent5 3 2_Sheet1" xfId="9869"/>
    <cellStyle name="40% - Accent5 3 3" xfId="9870"/>
    <cellStyle name="40% - Accent5 3 3 2" xfId="9871"/>
    <cellStyle name="40% - Accent5 3 3_Sheet1" xfId="9872"/>
    <cellStyle name="40% - Accent5 3 4" xfId="9873"/>
    <cellStyle name="40% - Accent5 3 4 2" xfId="9874"/>
    <cellStyle name="40% - Accent5 3 4_Sheet1" xfId="9875"/>
    <cellStyle name="40% - Accent5 3 5" xfId="9876"/>
    <cellStyle name="40% - Accent5 3 5 2" xfId="9877"/>
    <cellStyle name="40% - Accent5 3 5_Sheet1" xfId="9878"/>
    <cellStyle name="40% - Accent5 3 6" xfId="9879"/>
    <cellStyle name="40% - Accent5 3_Form Eval Kenaikan BBM 2 Juni 2008 intern final" xfId="9880"/>
    <cellStyle name="40% - Accent5 4" xfId="9881"/>
    <cellStyle name="40% - Accent5 4 2" xfId="9882"/>
    <cellStyle name="40% - Accent5 4 2 2" xfId="9883"/>
    <cellStyle name="40% - Accent5 4 2_Sheet1" xfId="9884"/>
    <cellStyle name="40% - Accent5 4 3" xfId="9885"/>
    <cellStyle name="40% - Accent5 4 4" xfId="9886"/>
    <cellStyle name="40% - Accent5 4 5" xfId="9887"/>
    <cellStyle name="40% - Accent5 4_Form Eval Kenaikan BBM 2 Juni 2008 intern final" xfId="9888"/>
    <cellStyle name="40% - Accent5 5" xfId="9889"/>
    <cellStyle name="40% - Accent5 5 2" xfId="9890"/>
    <cellStyle name="40% - Accent5 5 3" xfId="9891"/>
    <cellStyle name="40% - Accent5 5 4" xfId="9892"/>
    <cellStyle name="40% - Accent5 5_Sheet1" xfId="9893"/>
    <cellStyle name="40% - Accent5 6" xfId="9894"/>
    <cellStyle name="40% - Accent5 6 2" xfId="9895"/>
    <cellStyle name="40% - Accent5 6_Sheet1" xfId="9896"/>
    <cellStyle name="40% - Accent5 7" xfId="9897"/>
    <cellStyle name="40% - Accent5 8" xfId="9898"/>
    <cellStyle name="40% - Accent5 9" xfId="9899"/>
    <cellStyle name="40% - Accent6 10" xfId="9900"/>
    <cellStyle name="40% - Accent6 2" xfId="9901"/>
    <cellStyle name="40% - Accent6 2 10" xfId="9902"/>
    <cellStyle name="40% - Accent6 2 11" xfId="9903"/>
    <cellStyle name="40% - Accent6 2 12" xfId="9904"/>
    <cellStyle name="40% - Accent6 2 13" xfId="9905"/>
    <cellStyle name="40% - Accent6 2 14" xfId="9906"/>
    <cellStyle name="40% - Accent6 2 15" xfId="9907"/>
    <cellStyle name="40% - Accent6 2 16" xfId="9908"/>
    <cellStyle name="40% - Accent6 2 17" xfId="9909"/>
    <cellStyle name="40% - Accent6 2 18" xfId="9910"/>
    <cellStyle name="40% - Accent6 2 19" xfId="9911"/>
    <cellStyle name="40% - Accent6 2 2" xfId="9912"/>
    <cellStyle name="40% - Accent6 2 2 2" xfId="9913"/>
    <cellStyle name="40% - Accent6 2 2_Sheet1" xfId="9914"/>
    <cellStyle name="40% - Accent6 2 3" xfId="9915"/>
    <cellStyle name="40% - Accent6 2 3 2" xfId="9916"/>
    <cellStyle name="40% - Accent6 2 3_Sheet1" xfId="9917"/>
    <cellStyle name="40% - Accent6 2 4" xfId="9918"/>
    <cellStyle name="40% - Accent6 2 4 2" xfId="9919"/>
    <cellStyle name="40% - Accent6 2 4_Sheet1" xfId="9920"/>
    <cellStyle name="40% - Accent6 2 5" xfId="9921"/>
    <cellStyle name="40% - Accent6 2 5 2" xfId="9922"/>
    <cellStyle name="40% - Accent6 2 5_Sheet1" xfId="9923"/>
    <cellStyle name="40% - Accent6 2 6" xfId="9924"/>
    <cellStyle name="40% - Accent6 2 7" xfId="9925"/>
    <cellStyle name="40% - Accent6 2 8" xfId="9926"/>
    <cellStyle name="40% - Accent6 2 9" xfId="9927"/>
    <cellStyle name="40% - Accent6 2_Form Eval Kenaikan BBM 2 Juni 2008 intern final" xfId="9928"/>
    <cellStyle name="40% - Accent6 3" xfId="9929"/>
    <cellStyle name="40% - Accent6 3 2" xfId="9930"/>
    <cellStyle name="40% - Accent6 3 2 2" xfId="9931"/>
    <cellStyle name="40% - Accent6 3 2_Sheet1" xfId="9932"/>
    <cellStyle name="40% - Accent6 3 3" xfId="9933"/>
    <cellStyle name="40% - Accent6 3 3 2" xfId="9934"/>
    <cellStyle name="40% - Accent6 3 3_Sheet1" xfId="9935"/>
    <cellStyle name="40% - Accent6 3 4" xfId="9936"/>
    <cellStyle name="40% - Accent6 3 4 2" xfId="9937"/>
    <cellStyle name="40% - Accent6 3 4_Sheet1" xfId="9938"/>
    <cellStyle name="40% - Accent6 3 5" xfId="9939"/>
    <cellStyle name="40% - Accent6 3 5 2" xfId="9940"/>
    <cellStyle name="40% - Accent6 3 5_Sheet1" xfId="9941"/>
    <cellStyle name="40% - Accent6 3 6" xfId="9942"/>
    <cellStyle name="40% - Accent6 3_Form Eval Kenaikan BBM 2 Juni 2008 intern final" xfId="9943"/>
    <cellStyle name="40% - Accent6 4" xfId="9944"/>
    <cellStyle name="40% - Accent6 4 2" xfId="9945"/>
    <cellStyle name="40% - Accent6 4 2 2" xfId="9946"/>
    <cellStyle name="40% - Accent6 4 2_Sheet1" xfId="9947"/>
    <cellStyle name="40% - Accent6 4 3" xfId="9948"/>
    <cellStyle name="40% - Accent6 4 4" xfId="9949"/>
    <cellStyle name="40% - Accent6 4 5" xfId="9950"/>
    <cellStyle name="40% - Accent6 4_Form Eval Kenaikan BBM 2 Juni 2008 intern final" xfId="9951"/>
    <cellStyle name="40% - Accent6 5" xfId="9952"/>
    <cellStyle name="40% - Accent6 5 2" xfId="9953"/>
    <cellStyle name="40% - Accent6 5 3" xfId="9954"/>
    <cellStyle name="40% - Accent6 5 4" xfId="9955"/>
    <cellStyle name="40% - Accent6 5_Sheet1" xfId="9956"/>
    <cellStyle name="40% - Accent6 6" xfId="9957"/>
    <cellStyle name="40% - Accent6 6 2" xfId="9958"/>
    <cellStyle name="40% - Accent6 6_Sheet1" xfId="9959"/>
    <cellStyle name="40% - Accent6 7" xfId="9960"/>
    <cellStyle name="40% - Accent6 8" xfId="9961"/>
    <cellStyle name="40% - Accent6 9" xfId="9962"/>
    <cellStyle name="40% - アクセント 1" xfId="9963"/>
    <cellStyle name="40% - アクセント 2" xfId="9964"/>
    <cellStyle name="40% - アクセント 3" xfId="9965"/>
    <cellStyle name="40% - アクセント 4" xfId="9966"/>
    <cellStyle name="40% - アクセント 5" xfId="9967"/>
    <cellStyle name="40% - アクセント 6" xfId="9968"/>
    <cellStyle name="40% - 강조색1" xfId="9969"/>
    <cellStyle name="40% - 강조색2" xfId="9970"/>
    <cellStyle name="40% - 강조색3" xfId="9971"/>
    <cellStyle name="40% - 강조색4" xfId="9972"/>
    <cellStyle name="40% - 강조색5" xfId="9973"/>
    <cellStyle name="40% - 강조색6" xfId="9974"/>
    <cellStyle name="60 % - Accent1" xfId="9975"/>
    <cellStyle name="60 % - Accent2" xfId="9976"/>
    <cellStyle name="60 % - Accent3" xfId="9977"/>
    <cellStyle name="60 % - Accent4" xfId="9978"/>
    <cellStyle name="60 % - Accent5" xfId="9979"/>
    <cellStyle name="60 % - Accent6" xfId="9980"/>
    <cellStyle name="60% - Accent1 10" xfId="9981"/>
    <cellStyle name="60% - Accent1 2" xfId="9982"/>
    <cellStyle name="60% - Accent1 2 10" xfId="9983"/>
    <cellStyle name="60% - Accent1 2 11" xfId="9984"/>
    <cellStyle name="60% - Accent1 2 12" xfId="9985"/>
    <cellStyle name="60% - Accent1 2 13" xfId="9986"/>
    <cellStyle name="60% - Accent1 2 2" xfId="9987"/>
    <cellStyle name="60% - Accent1 2 2 2" xfId="9988"/>
    <cellStyle name="60% - Accent1 2 2_Sheet1" xfId="9989"/>
    <cellStyle name="60% - Accent1 2 3" xfId="9990"/>
    <cellStyle name="60% - Accent1 2 3 2" xfId="9991"/>
    <cellStyle name="60% - Accent1 2 3_Sheet1" xfId="9992"/>
    <cellStyle name="60% - Accent1 2 4" xfId="9993"/>
    <cellStyle name="60% - Accent1 2 4 2" xfId="9994"/>
    <cellStyle name="60% - Accent1 2 4_Sheet1" xfId="9995"/>
    <cellStyle name="60% - Accent1 2 5" xfId="9996"/>
    <cellStyle name="60% - Accent1 2 5 2" xfId="9997"/>
    <cellStyle name="60% - Accent1 2 5_Sheet1" xfId="9998"/>
    <cellStyle name="60% - Accent1 2 6" xfId="9999"/>
    <cellStyle name="60% - Accent1 2 7" xfId="10000"/>
    <cellStyle name="60% - Accent1 2 8" xfId="10001"/>
    <cellStyle name="60% - Accent1 2 9" xfId="10002"/>
    <cellStyle name="60% - Accent1 2_Laporan Aspal Per Bulan 2009" xfId="10003"/>
    <cellStyle name="60% - Accent1 3" xfId="10004"/>
    <cellStyle name="60% - Accent1 3 2" xfId="10005"/>
    <cellStyle name="60% - Accent1 3 2 2" xfId="10006"/>
    <cellStyle name="60% - Accent1 3 2_Sheet1" xfId="10007"/>
    <cellStyle name="60% - Accent1 3 3" xfId="10008"/>
    <cellStyle name="60% - Accent1 3 3 2" xfId="10009"/>
    <cellStyle name="60% - Accent1 3 3_Sheet1" xfId="10010"/>
    <cellStyle name="60% - Accent1 3 4" xfId="10011"/>
    <cellStyle name="60% - Accent1 3 4 2" xfId="10012"/>
    <cellStyle name="60% - Accent1 3 4_Sheet1" xfId="10013"/>
    <cellStyle name="60% - Accent1 3 5" xfId="10014"/>
    <cellStyle name="60% - Accent1 3 5 2" xfId="10015"/>
    <cellStyle name="60% - Accent1 3 5_Sheet1" xfId="10016"/>
    <cellStyle name="60% - Accent1 3 6" xfId="10017"/>
    <cellStyle name="60% - Accent1 3_Sheet1" xfId="10018"/>
    <cellStyle name="60% - Accent1 4" xfId="10019"/>
    <cellStyle name="60% - Accent1 4 2" xfId="10020"/>
    <cellStyle name="60% - Accent1 4 2 2" xfId="10021"/>
    <cellStyle name="60% - Accent1 4 2_Sheet1" xfId="10022"/>
    <cellStyle name="60% - Accent1 4 3" xfId="10023"/>
    <cellStyle name="60% - Accent1 4 4" xfId="10024"/>
    <cellStyle name="60% - Accent1 4 5" xfId="10025"/>
    <cellStyle name="60% - Accent1 4_Sheet1" xfId="10026"/>
    <cellStyle name="60% - Accent1 5" xfId="10027"/>
    <cellStyle name="60% - Accent1 5 2" xfId="10028"/>
    <cellStyle name="60% - Accent1 5 3" xfId="10029"/>
    <cellStyle name="60% - Accent1 5 4" xfId="10030"/>
    <cellStyle name="60% - Accent1 5_Sheet1" xfId="10031"/>
    <cellStyle name="60% - Accent1 6" xfId="10032"/>
    <cellStyle name="60% - Accent1 6 2" xfId="10033"/>
    <cellStyle name="60% - Accent1 6_Sheet1" xfId="10034"/>
    <cellStyle name="60% - Accent1 7" xfId="10035"/>
    <cellStyle name="60% - Accent1 8" xfId="10036"/>
    <cellStyle name="60% - Accent1 9" xfId="10037"/>
    <cellStyle name="60% - Accent2 10" xfId="10038"/>
    <cellStyle name="60% - Accent2 2" xfId="10039"/>
    <cellStyle name="60% - Accent2 2 10" xfId="10040"/>
    <cellStyle name="60% - Accent2 2 11" xfId="10041"/>
    <cellStyle name="60% - Accent2 2 12" xfId="10042"/>
    <cellStyle name="60% - Accent2 2 13" xfId="10043"/>
    <cellStyle name="60% - Accent2 2 2" xfId="10044"/>
    <cellStyle name="60% - Accent2 2 2 2" xfId="10045"/>
    <cellStyle name="60% - Accent2 2 2_Sheet1" xfId="10046"/>
    <cellStyle name="60% - Accent2 2 3" xfId="10047"/>
    <cellStyle name="60% - Accent2 2 3 2" xfId="10048"/>
    <cellStyle name="60% - Accent2 2 3_Sheet1" xfId="10049"/>
    <cellStyle name="60% - Accent2 2 4" xfId="10050"/>
    <cellStyle name="60% - Accent2 2 4 2" xfId="10051"/>
    <cellStyle name="60% - Accent2 2 4_Sheet1" xfId="10052"/>
    <cellStyle name="60% - Accent2 2 5" xfId="10053"/>
    <cellStyle name="60% - Accent2 2 5 2" xfId="10054"/>
    <cellStyle name="60% - Accent2 2 5_Sheet1" xfId="10055"/>
    <cellStyle name="60% - Accent2 2 6" xfId="10056"/>
    <cellStyle name="60% - Accent2 2 7" xfId="10057"/>
    <cellStyle name="60% - Accent2 2 8" xfId="10058"/>
    <cellStyle name="60% - Accent2 2 9" xfId="10059"/>
    <cellStyle name="60% - Accent2 2_Laporan Aspal Per Bulan 2009" xfId="10060"/>
    <cellStyle name="60% - Accent2 3" xfId="10061"/>
    <cellStyle name="60% - Accent2 3 2" xfId="10062"/>
    <cellStyle name="60% - Accent2 3 2 2" xfId="10063"/>
    <cellStyle name="60% - Accent2 3 2_Sheet1" xfId="10064"/>
    <cellStyle name="60% - Accent2 3 3" xfId="10065"/>
    <cellStyle name="60% - Accent2 3 3 2" xfId="10066"/>
    <cellStyle name="60% - Accent2 3 3_Sheet1" xfId="10067"/>
    <cellStyle name="60% - Accent2 3 4" xfId="10068"/>
    <cellStyle name="60% - Accent2 3 4 2" xfId="10069"/>
    <cellStyle name="60% - Accent2 3 4_Sheet1" xfId="10070"/>
    <cellStyle name="60% - Accent2 3 5" xfId="10071"/>
    <cellStyle name="60% - Accent2 3 5 2" xfId="10072"/>
    <cellStyle name="60% - Accent2 3 5_Sheet1" xfId="10073"/>
    <cellStyle name="60% - Accent2 3 6" xfId="10074"/>
    <cellStyle name="60% - Accent2 3_Sheet1" xfId="10075"/>
    <cellStyle name="60% - Accent2 4" xfId="10076"/>
    <cellStyle name="60% - Accent2 4 2" xfId="10077"/>
    <cellStyle name="60% - Accent2 4 2 2" xfId="10078"/>
    <cellStyle name="60% - Accent2 4 2_Sheet1" xfId="10079"/>
    <cellStyle name="60% - Accent2 4 3" xfId="10080"/>
    <cellStyle name="60% - Accent2 4 4" xfId="10081"/>
    <cellStyle name="60% - Accent2 4 5" xfId="10082"/>
    <cellStyle name="60% - Accent2 4_Sheet1" xfId="10083"/>
    <cellStyle name="60% - Accent2 5" xfId="10084"/>
    <cellStyle name="60% - Accent2 5 2" xfId="10085"/>
    <cellStyle name="60% - Accent2 5 3" xfId="10086"/>
    <cellStyle name="60% - Accent2 5 4" xfId="10087"/>
    <cellStyle name="60% - Accent2 5_Sheet1" xfId="10088"/>
    <cellStyle name="60% - Accent2 6" xfId="10089"/>
    <cellStyle name="60% - Accent2 6 2" xfId="10090"/>
    <cellStyle name="60% - Accent2 6_Sheet1" xfId="10091"/>
    <cellStyle name="60% - Accent2 7" xfId="10092"/>
    <cellStyle name="60% - Accent2 8" xfId="10093"/>
    <cellStyle name="60% - Accent2 9" xfId="10094"/>
    <cellStyle name="60% - Accent3 10" xfId="10095"/>
    <cellStyle name="60% - Accent3 2" xfId="10096"/>
    <cellStyle name="60% - Accent3 2 10" xfId="10097"/>
    <cellStyle name="60% - Accent3 2 11" xfId="10098"/>
    <cellStyle name="60% - Accent3 2 12" xfId="10099"/>
    <cellStyle name="60% - Accent3 2 13" xfId="10100"/>
    <cellStyle name="60% - Accent3 2 2" xfId="10101"/>
    <cellStyle name="60% - Accent3 2 2 2" xfId="10102"/>
    <cellStyle name="60% - Accent3 2 2_Sheet1" xfId="10103"/>
    <cellStyle name="60% - Accent3 2 3" xfId="10104"/>
    <cellStyle name="60% - Accent3 2 3 2" xfId="10105"/>
    <cellStyle name="60% - Accent3 2 3_Sheet1" xfId="10106"/>
    <cellStyle name="60% - Accent3 2 4" xfId="10107"/>
    <cellStyle name="60% - Accent3 2 4 2" xfId="10108"/>
    <cellStyle name="60% - Accent3 2 4_Sheet1" xfId="10109"/>
    <cellStyle name="60% - Accent3 2 5" xfId="10110"/>
    <cellStyle name="60% - Accent3 2 5 2" xfId="10111"/>
    <cellStyle name="60% - Accent3 2 5_Sheet1" xfId="10112"/>
    <cellStyle name="60% - Accent3 2 6" xfId="10113"/>
    <cellStyle name="60% - Accent3 2 7" xfId="10114"/>
    <cellStyle name="60% - Accent3 2 8" xfId="10115"/>
    <cellStyle name="60% - Accent3 2 9" xfId="10116"/>
    <cellStyle name="60% - Accent3 2_Laporan Aspal Per Bulan 2009" xfId="10117"/>
    <cellStyle name="60% - Accent3 3" xfId="10118"/>
    <cellStyle name="60% - Accent3 3 2" xfId="10119"/>
    <cellStyle name="60% - Accent3 3 2 2" xfId="10120"/>
    <cellStyle name="60% - Accent3 3 2_Sheet1" xfId="10121"/>
    <cellStyle name="60% - Accent3 3 3" xfId="10122"/>
    <cellStyle name="60% - Accent3 3 3 2" xfId="10123"/>
    <cellStyle name="60% - Accent3 3 3_Sheet1" xfId="10124"/>
    <cellStyle name="60% - Accent3 3 4" xfId="10125"/>
    <cellStyle name="60% - Accent3 3 4 2" xfId="10126"/>
    <cellStyle name="60% - Accent3 3 4_Sheet1" xfId="10127"/>
    <cellStyle name="60% - Accent3 3 5" xfId="10128"/>
    <cellStyle name="60% - Accent3 3 5 2" xfId="10129"/>
    <cellStyle name="60% - Accent3 3 5_Sheet1" xfId="10130"/>
    <cellStyle name="60% - Accent3 3 6" xfId="10131"/>
    <cellStyle name="60% - Accent3 3_Sheet1" xfId="10132"/>
    <cellStyle name="60% - Accent3 4" xfId="10133"/>
    <cellStyle name="60% - Accent3 4 2" xfId="10134"/>
    <cellStyle name="60% - Accent3 4 2 2" xfId="10135"/>
    <cellStyle name="60% - Accent3 4 2_Sheet1" xfId="10136"/>
    <cellStyle name="60% - Accent3 4 3" xfId="10137"/>
    <cellStyle name="60% - Accent3 4 4" xfId="10138"/>
    <cellStyle name="60% - Accent3 4 5" xfId="10139"/>
    <cellStyle name="60% - Accent3 4_Sheet1" xfId="10140"/>
    <cellStyle name="60% - Accent3 5" xfId="10141"/>
    <cellStyle name="60% - Accent3 5 2" xfId="10142"/>
    <cellStyle name="60% - Accent3 5 3" xfId="10143"/>
    <cellStyle name="60% - Accent3 5 4" xfId="10144"/>
    <cellStyle name="60% - Accent3 5_Sheet1" xfId="10145"/>
    <cellStyle name="60% - Accent3 6" xfId="10146"/>
    <cellStyle name="60% - Accent3 6 2" xfId="10147"/>
    <cellStyle name="60% - Accent3 6_Sheet1" xfId="10148"/>
    <cellStyle name="60% - Accent3 7" xfId="10149"/>
    <cellStyle name="60% - Accent3 8" xfId="10150"/>
    <cellStyle name="60% - Accent3 9" xfId="10151"/>
    <cellStyle name="60% - Accent4 10" xfId="10152"/>
    <cellStyle name="60% - Accent4 2" xfId="10153"/>
    <cellStyle name="60% - Accent4 2 10" xfId="10154"/>
    <cellStyle name="60% - Accent4 2 11" xfId="10155"/>
    <cellStyle name="60% - Accent4 2 12" xfId="10156"/>
    <cellStyle name="60% - Accent4 2 13" xfId="10157"/>
    <cellStyle name="60% - Accent4 2 2" xfId="10158"/>
    <cellStyle name="60% - Accent4 2 2 2" xfId="10159"/>
    <cellStyle name="60% - Accent4 2 2_Sheet1" xfId="10160"/>
    <cellStyle name="60% - Accent4 2 3" xfId="10161"/>
    <cellStyle name="60% - Accent4 2 3 2" xfId="10162"/>
    <cellStyle name="60% - Accent4 2 3_Sheet1" xfId="10163"/>
    <cellStyle name="60% - Accent4 2 4" xfId="10164"/>
    <cellStyle name="60% - Accent4 2 4 2" xfId="10165"/>
    <cellStyle name="60% - Accent4 2 4_Sheet1" xfId="10166"/>
    <cellStyle name="60% - Accent4 2 5" xfId="10167"/>
    <cellStyle name="60% - Accent4 2 5 2" xfId="10168"/>
    <cellStyle name="60% - Accent4 2 5_Sheet1" xfId="10169"/>
    <cellStyle name="60% - Accent4 2 6" xfId="10170"/>
    <cellStyle name="60% - Accent4 2 7" xfId="10171"/>
    <cellStyle name="60% - Accent4 2 8" xfId="10172"/>
    <cellStyle name="60% - Accent4 2 9" xfId="10173"/>
    <cellStyle name="60% - Accent4 2_Laporan Aspal Per Bulan 2009" xfId="10174"/>
    <cellStyle name="60% - Accent4 3" xfId="10175"/>
    <cellStyle name="60% - Accent4 3 2" xfId="10176"/>
    <cellStyle name="60% - Accent4 3 2 2" xfId="10177"/>
    <cellStyle name="60% - Accent4 3 2_Sheet1" xfId="10178"/>
    <cellStyle name="60% - Accent4 3 3" xfId="10179"/>
    <cellStyle name="60% - Accent4 3 3 2" xfId="10180"/>
    <cellStyle name="60% - Accent4 3 3_Sheet1" xfId="10181"/>
    <cellStyle name="60% - Accent4 3 4" xfId="10182"/>
    <cellStyle name="60% - Accent4 3 4 2" xfId="10183"/>
    <cellStyle name="60% - Accent4 3 4_Sheet1" xfId="10184"/>
    <cellStyle name="60% - Accent4 3 5" xfId="10185"/>
    <cellStyle name="60% - Accent4 3 5 2" xfId="10186"/>
    <cellStyle name="60% - Accent4 3 5_Sheet1" xfId="10187"/>
    <cellStyle name="60% - Accent4 3 6" xfId="10188"/>
    <cellStyle name="60% - Accent4 3_Sheet1" xfId="10189"/>
    <cellStyle name="60% - Accent4 4" xfId="10190"/>
    <cellStyle name="60% - Accent4 4 2" xfId="10191"/>
    <cellStyle name="60% - Accent4 4 2 2" xfId="10192"/>
    <cellStyle name="60% - Accent4 4 2_Sheet1" xfId="10193"/>
    <cellStyle name="60% - Accent4 4 3" xfId="10194"/>
    <cellStyle name="60% - Accent4 4 4" xfId="10195"/>
    <cellStyle name="60% - Accent4 4 5" xfId="10196"/>
    <cellStyle name="60% - Accent4 4_Sheet1" xfId="10197"/>
    <cellStyle name="60% - Accent4 5" xfId="10198"/>
    <cellStyle name="60% - Accent4 5 2" xfId="10199"/>
    <cellStyle name="60% - Accent4 5 3" xfId="10200"/>
    <cellStyle name="60% - Accent4 5 4" xfId="10201"/>
    <cellStyle name="60% - Accent4 5_Sheet1" xfId="10202"/>
    <cellStyle name="60% - Accent4 6" xfId="10203"/>
    <cellStyle name="60% - Accent4 6 2" xfId="10204"/>
    <cellStyle name="60% - Accent4 6_Sheet1" xfId="10205"/>
    <cellStyle name="60% - Accent4 7" xfId="10206"/>
    <cellStyle name="60% - Accent4 8" xfId="10207"/>
    <cellStyle name="60% - Accent4 9" xfId="10208"/>
    <cellStyle name="60% - Accent5 10" xfId="10209"/>
    <cellStyle name="60% - Accent5 2" xfId="10210"/>
    <cellStyle name="60% - Accent5 2 10" xfId="10211"/>
    <cellStyle name="60% - Accent5 2 11" xfId="10212"/>
    <cellStyle name="60% - Accent5 2 12" xfId="10213"/>
    <cellStyle name="60% - Accent5 2 13" xfId="10214"/>
    <cellStyle name="60% - Accent5 2 2" xfId="10215"/>
    <cellStyle name="60% - Accent5 2 2 2" xfId="10216"/>
    <cellStyle name="60% - Accent5 2 2_Sheet1" xfId="10217"/>
    <cellStyle name="60% - Accent5 2 3" xfId="10218"/>
    <cellStyle name="60% - Accent5 2 3 2" xfId="10219"/>
    <cellStyle name="60% - Accent5 2 3_Sheet1" xfId="10220"/>
    <cellStyle name="60% - Accent5 2 4" xfId="10221"/>
    <cellStyle name="60% - Accent5 2 4 2" xfId="10222"/>
    <cellStyle name="60% - Accent5 2 4_Sheet1" xfId="10223"/>
    <cellStyle name="60% - Accent5 2 5" xfId="10224"/>
    <cellStyle name="60% - Accent5 2 5 2" xfId="10225"/>
    <cellStyle name="60% - Accent5 2 5_Sheet1" xfId="10226"/>
    <cellStyle name="60% - Accent5 2 6" xfId="10227"/>
    <cellStyle name="60% - Accent5 2 7" xfId="10228"/>
    <cellStyle name="60% - Accent5 2 8" xfId="10229"/>
    <cellStyle name="60% - Accent5 2 9" xfId="10230"/>
    <cellStyle name="60% - Accent5 2_Laporan Aspal Per Bulan 2009" xfId="10231"/>
    <cellStyle name="60% - Accent5 3" xfId="10232"/>
    <cellStyle name="60% - Accent5 3 2" xfId="10233"/>
    <cellStyle name="60% - Accent5 3 2 2" xfId="10234"/>
    <cellStyle name="60% - Accent5 3 2_Sheet1" xfId="10235"/>
    <cellStyle name="60% - Accent5 3 3" xfId="10236"/>
    <cellStyle name="60% - Accent5 3 3 2" xfId="10237"/>
    <cellStyle name="60% - Accent5 3 3_Sheet1" xfId="10238"/>
    <cellStyle name="60% - Accent5 3 4" xfId="10239"/>
    <cellStyle name="60% - Accent5 3 4 2" xfId="10240"/>
    <cellStyle name="60% - Accent5 3 4_Sheet1" xfId="10241"/>
    <cellStyle name="60% - Accent5 3 5" xfId="10242"/>
    <cellStyle name="60% - Accent5 3 5 2" xfId="10243"/>
    <cellStyle name="60% - Accent5 3 5_Sheet1" xfId="10244"/>
    <cellStyle name="60% - Accent5 3 6" xfId="10245"/>
    <cellStyle name="60% - Accent5 3_Sheet1" xfId="10246"/>
    <cellStyle name="60% - Accent5 4" xfId="10247"/>
    <cellStyle name="60% - Accent5 4 2" xfId="10248"/>
    <cellStyle name="60% - Accent5 4 2 2" xfId="10249"/>
    <cellStyle name="60% - Accent5 4 2_Sheet1" xfId="10250"/>
    <cellStyle name="60% - Accent5 4 3" xfId="10251"/>
    <cellStyle name="60% - Accent5 4 4" xfId="10252"/>
    <cellStyle name="60% - Accent5 4 5" xfId="10253"/>
    <cellStyle name="60% - Accent5 4_Sheet1" xfId="10254"/>
    <cellStyle name="60% - Accent5 5" xfId="10255"/>
    <cellStyle name="60% - Accent5 5 2" xfId="10256"/>
    <cellStyle name="60% - Accent5 5 3" xfId="10257"/>
    <cellStyle name="60% - Accent5 5 4" xfId="10258"/>
    <cellStyle name="60% - Accent5 5_Sheet1" xfId="10259"/>
    <cellStyle name="60% - Accent5 6" xfId="10260"/>
    <cellStyle name="60% - Accent5 6 2" xfId="10261"/>
    <cellStyle name="60% - Accent5 6_Sheet1" xfId="10262"/>
    <cellStyle name="60% - Accent5 7" xfId="10263"/>
    <cellStyle name="60% - Accent5 8" xfId="10264"/>
    <cellStyle name="60% - Accent5 9" xfId="10265"/>
    <cellStyle name="60% - Accent6 10" xfId="10266"/>
    <cellStyle name="60% - Accent6 2" xfId="10267"/>
    <cellStyle name="60% - Accent6 2 10" xfId="10268"/>
    <cellStyle name="60% - Accent6 2 11" xfId="10269"/>
    <cellStyle name="60% - Accent6 2 12" xfId="10270"/>
    <cellStyle name="60% - Accent6 2 13" xfId="10271"/>
    <cellStyle name="60% - Accent6 2 2" xfId="10272"/>
    <cellStyle name="60% - Accent6 2 2 2" xfId="10273"/>
    <cellStyle name="60% - Accent6 2 2_Sheet1" xfId="10274"/>
    <cellStyle name="60% - Accent6 2 3" xfId="10275"/>
    <cellStyle name="60% - Accent6 2 3 2" xfId="10276"/>
    <cellStyle name="60% - Accent6 2 3_Sheet1" xfId="10277"/>
    <cellStyle name="60% - Accent6 2 4" xfId="10278"/>
    <cellStyle name="60% - Accent6 2 4 2" xfId="10279"/>
    <cellStyle name="60% - Accent6 2 4_Sheet1" xfId="10280"/>
    <cellStyle name="60% - Accent6 2 5" xfId="10281"/>
    <cellStyle name="60% - Accent6 2 5 2" xfId="10282"/>
    <cellStyle name="60% - Accent6 2 5_Sheet1" xfId="10283"/>
    <cellStyle name="60% - Accent6 2 6" xfId="10284"/>
    <cellStyle name="60% - Accent6 2 7" xfId="10285"/>
    <cellStyle name="60% - Accent6 2 8" xfId="10286"/>
    <cellStyle name="60% - Accent6 2 9" xfId="10287"/>
    <cellStyle name="60% - Accent6 2_Laporan Aspal Per Bulan 2009" xfId="10288"/>
    <cellStyle name="60% - Accent6 3" xfId="10289"/>
    <cellStyle name="60% - Accent6 3 2" xfId="10290"/>
    <cellStyle name="60% - Accent6 3 2 2" xfId="10291"/>
    <cellStyle name="60% - Accent6 3 2_Sheet1" xfId="10292"/>
    <cellStyle name="60% - Accent6 3 3" xfId="10293"/>
    <cellStyle name="60% - Accent6 3 3 2" xfId="10294"/>
    <cellStyle name="60% - Accent6 3 3_Sheet1" xfId="10295"/>
    <cellStyle name="60% - Accent6 3 4" xfId="10296"/>
    <cellStyle name="60% - Accent6 3 4 2" xfId="10297"/>
    <cellStyle name="60% - Accent6 3 4_Sheet1" xfId="10298"/>
    <cellStyle name="60% - Accent6 3 5" xfId="10299"/>
    <cellStyle name="60% - Accent6 3 5 2" xfId="10300"/>
    <cellStyle name="60% - Accent6 3 5_Sheet1" xfId="10301"/>
    <cellStyle name="60% - Accent6 3 6" xfId="10302"/>
    <cellStyle name="60% - Accent6 3_Sheet1" xfId="10303"/>
    <cellStyle name="60% - Accent6 4" xfId="10304"/>
    <cellStyle name="60% - Accent6 4 2" xfId="10305"/>
    <cellStyle name="60% - Accent6 4 2 2" xfId="10306"/>
    <cellStyle name="60% - Accent6 4 2_Sheet1" xfId="10307"/>
    <cellStyle name="60% - Accent6 4 3" xfId="10308"/>
    <cellStyle name="60% - Accent6 4 4" xfId="10309"/>
    <cellStyle name="60% - Accent6 4 5" xfId="10310"/>
    <cellStyle name="60% - Accent6 4_Sheet1" xfId="10311"/>
    <cellStyle name="60% - Accent6 5" xfId="10312"/>
    <cellStyle name="60% - Accent6 5 2" xfId="10313"/>
    <cellStyle name="60% - Accent6 5 3" xfId="10314"/>
    <cellStyle name="60% - Accent6 5 4" xfId="10315"/>
    <cellStyle name="60% - Accent6 5_Sheet1" xfId="10316"/>
    <cellStyle name="60% - Accent6 6" xfId="10317"/>
    <cellStyle name="60% - Accent6 6 2" xfId="10318"/>
    <cellStyle name="60% - Accent6 6_Sheet1" xfId="10319"/>
    <cellStyle name="60% - Accent6 7" xfId="10320"/>
    <cellStyle name="60% - Accent6 8" xfId="10321"/>
    <cellStyle name="60% - Accent6 9" xfId="10322"/>
    <cellStyle name="60% - アクセント 1" xfId="10323"/>
    <cellStyle name="60% - アクセント 2" xfId="10324"/>
    <cellStyle name="60% - アクセント 3" xfId="10325"/>
    <cellStyle name="60% - アクセント 4" xfId="10326"/>
    <cellStyle name="60% - アクセント 5" xfId="10327"/>
    <cellStyle name="60% - アクセント 6" xfId="10328"/>
    <cellStyle name="60% - 강조색1" xfId="10329"/>
    <cellStyle name="60% - 강조색2" xfId="10330"/>
    <cellStyle name="60% - 강조색3" xfId="10331"/>
    <cellStyle name="60% - 강조색4" xfId="10332"/>
    <cellStyle name="60% - 강조색5" xfId="10333"/>
    <cellStyle name="60% - 강조색6" xfId="10334"/>
    <cellStyle name="752131" xfId="10335"/>
    <cellStyle name="8line3 - Style1" xfId="10336"/>
    <cellStyle name="9" xfId="10337"/>
    <cellStyle name="9_Sheet1" xfId="10338"/>
    <cellStyle name="a" xfId="10339"/>
    <cellStyle name="A 2" xfId="10340"/>
    <cellStyle name="A_BUMI (Parent)_WP_311208_A,B,F,J,BB,DD,HH,II,KK_v6d finalBGT" xfId="10341"/>
    <cellStyle name="A_BUMI (Parent)_WP_311208_A,B,F,J,BB,DD,HH,II,KK_v6d finalBGT_DFC Des 2009 rev3" xfId="10342"/>
    <cellStyle name="A_BUMI (Parent)_WP_311208_A,B,F,J,BB,DD,HH,II,KK_v6d finalBGT_DFC Des 2009 rev3_Sheet1" xfId="10343"/>
    <cellStyle name="A_BUMI (Parent)_WP_311208_A,B,F,J,BB,DD,HH,II,KK_v6d finalBGT_Sheet1" xfId="10344"/>
    <cellStyle name="A_Bumi-WP II Dec 08" xfId="10345"/>
    <cellStyle name="A_Bumi-WP II Dec 08_DFC Des 2009 rev3" xfId="10346"/>
    <cellStyle name="A_Bumi-WP II Dec 08_DFC Des 2009 rev3_Sheet1" xfId="10347"/>
    <cellStyle name="A_Bumi-WP II Dec 08_Sheet1" xfId="10348"/>
    <cellStyle name="a_panel" xfId="10349"/>
    <cellStyle name="a_panel_Sheet1" xfId="10350"/>
    <cellStyle name="a_RC Bosowa2" xfId="10351"/>
    <cellStyle name="a_RC Bosowa2_Sheet1" xfId="10352"/>
    <cellStyle name="a_Sheet1" xfId="10353"/>
    <cellStyle name="_x0002_-_x0002_Ä_x0001_‡_x0003_0_x0002_P_x0003_ _x0002_X_x0003_·_x0002_®_x0003_@_x0002_p_x0003_ª_x0002_¨_x0010_!_x0002__x0003_&quot;_x0001_ÄÇ_x0002__x000e__x0003_ _x0002_é_x0002_Ä_x0001_‡_x0003_Ë_x0002_H_x0003_ _x0002_X" xfId="10354"/>
    <cellStyle name="Accent1 - 20%" xfId="10355"/>
    <cellStyle name="Accent1 - 20% 2" xfId="10356"/>
    <cellStyle name="Accent1 - 20%_Sheet1" xfId="10357"/>
    <cellStyle name="Accent1 - 40%" xfId="10358"/>
    <cellStyle name="Accent1 - 40% 2" xfId="10359"/>
    <cellStyle name="Accent1 - 40%_Sheet1" xfId="10360"/>
    <cellStyle name="Accent1 - 60%" xfId="10361"/>
    <cellStyle name="Accent1 10" xfId="10362"/>
    <cellStyle name="Accent1 11" xfId="10363"/>
    <cellStyle name="Accent1 12" xfId="10364"/>
    <cellStyle name="Accent1 2" xfId="10365"/>
    <cellStyle name="Accent1 2 10" xfId="10366"/>
    <cellStyle name="Accent1 2 11" xfId="10367"/>
    <cellStyle name="Accent1 2 12" xfId="10368"/>
    <cellStyle name="Accent1 2 13" xfId="10369"/>
    <cellStyle name="Accent1 2 2" xfId="10370"/>
    <cellStyle name="Accent1 2 2 2" xfId="10371"/>
    <cellStyle name="Accent1 2 2_Sheet1" xfId="10372"/>
    <cellStyle name="Accent1 2 3" xfId="10373"/>
    <cellStyle name="Accent1 2 3 2" xfId="10374"/>
    <cellStyle name="Accent1 2 3_Sheet1" xfId="10375"/>
    <cellStyle name="Accent1 2 4" xfId="10376"/>
    <cellStyle name="Accent1 2 4 2" xfId="10377"/>
    <cellStyle name="Accent1 2 4_Sheet1" xfId="10378"/>
    <cellStyle name="Accent1 2 5" xfId="10379"/>
    <cellStyle name="Accent1 2 5 2" xfId="10380"/>
    <cellStyle name="Accent1 2 5_Sheet1" xfId="10381"/>
    <cellStyle name="Accent1 2 6" xfId="10382"/>
    <cellStyle name="Accent1 2 7" xfId="10383"/>
    <cellStyle name="Accent1 2 8" xfId="10384"/>
    <cellStyle name="Accent1 2 9" xfId="10385"/>
    <cellStyle name="Accent1 2_Laporan Aspal Per Bulan 2009" xfId="10386"/>
    <cellStyle name="Accent1 3" xfId="10387"/>
    <cellStyle name="Accent1 3 2" xfId="10388"/>
    <cellStyle name="Accent1 3 2 2" xfId="10389"/>
    <cellStyle name="Accent1 3 2_Sheet1" xfId="10390"/>
    <cellStyle name="Accent1 3 3" xfId="10391"/>
    <cellStyle name="Accent1 3 3 2" xfId="10392"/>
    <cellStyle name="Accent1 3 3_Sheet1" xfId="10393"/>
    <cellStyle name="Accent1 3 4" xfId="10394"/>
    <cellStyle name="Accent1 3 4 2" xfId="10395"/>
    <cellStyle name="Accent1 3 4_Sheet1" xfId="10396"/>
    <cellStyle name="Accent1 3 5" xfId="10397"/>
    <cellStyle name="Accent1 3 5 2" xfId="10398"/>
    <cellStyle name="Accent1 3 5_Sheet1" xfId="10399"/>
    <cellStyle name="Accent1 3 6" xfId="10400"/>
    <cellStyle name="Accent1 3_Sheet1" xfId="10401"/>
    <cellStyle name="Accent1 4" xfId="10402"/>
    <cellStyle name="Accent1 4 2" xfId="10403"/>
    <cellStyle name="Accent1 4 2 2" xfId="10404"/>
    <cellStyle name="Accent1 4 2_Sheet1" xfId="10405"/>
    <cellStyle name="Accent1 4 3" xfId="10406"/>
    <cellStyle name="Accent1 4 4" xfId="10407"/>
    <cellStyle name="Accent1 4 5" xfId="10408"/>
    <cellStyle name="Accent1 4_Sheet1" xfId="10409"/>
    <cellStyle name="Accent1 5" xfId="10410"/>
    <cellStyle name="Accent1 5 2" xfId="10411"/>
    <cellStyle name="Accent1 5 3" xfId="10412"/>
    <cellStyle name="Accent1 5 4" xfId="10413"/>
    <cellStyle name="Accent1 5_Sheet1" xfId="10414"/>
    <cellStyle name="Accent1 6" xfId="10415"/>
    <cellStyle name="Accent1 6 2" xfId="10416"/>
    <cellStyle name="Accent1 6_Sheet1" xfId="10417"/>
    <cellStyle name="Accent1 7" xfId="10418"/>
    <cellStyle name="Accent1 8" xfId="10419"/>
    <cellStyle name="Accent1 9" xfId="10420"/>
    <cellStyle name="Accent2 - 20%" xfId="10421"/>
    <cellStyle name="Accent2 - 20% 2" xfId="10422"/>
    <cellStyle name="Accent2 - 20%_Sheet1" xfId="10423"/>
    <cellStyle name="Accent2 - 40%" xfId="10424"/>
    <cellStyle name="Accent2 - 40% 2" xfId="10425"/>
    <cellStyle name="Accent2 - 40%_Sheet1" xfId="10426"/>
    <cellStyle name="Accent2 - 60%" xfId="10427"/>
    <cellStyle name="Accent2 10" xfId="10428"/>
    <cellStyle name="Accent2 11" xfId="10429"/>
    <cellStyle name="Accent2 12" xfId="10430"/>
    <cellStyle name="Accent2 2" xfId="10431"/>
    <cellStyle name="Accent2 2 10" xfId="10432"/>
    <cellStyle name="Accent2 2 11" xfId="10433"/>
    <cellStyle name="Accent2 2 12" xfId="10434"/>
    <cellStyle name="Accent2 2 13" xfId="10435"/>
    <cellStyle name="Accent2 2 2" xfId="10436"/>
    <cellStyle name="Accent2 2 2 2" xfId="10437"/>
    <cellStyle name="Accent2 2 2_Sheet1" xfId="10438"/>
    <cellStyle name="Accent2 2 3" xfId="10439"/>
    <cellStyle name="Accent2 2 3 2" xfId="10440"/>
    <cellStyle name="Accent2 2 3_Sheet1" xfId="10441"/>
    <cellStyle name="Accent2 2 4" xfId="10442"/>
    <cellStyle name="Accent2 2 4 2" xfId="10443"/>
    <cellStyle name="Accent2 2 4_Sheet1" xfId="10444"/>
    <cellStyle name="Accent2 2 5" xfId="10445"/>
    <cellStyle name="Accent2 2 5 2" xfId="10446"/>
    <cellStyle name="Accent2 2 5_Sheet1" xfId="10447"/>
    <cellStyle name="Accent2 2 6" xfId="10448"/>
    <cellStyle name="Accent2 2 7" xfId="10449"/>
    <cellStyle name="Accent2 2 8" xfId="10450"/>
    <cellStyle name="Accent2 2 9" xfId="10451"/>
    <cellStyle name="Accent2 2_Laporan Aspal Per Bulan 2009" xfId="10452"/>
    <cellStyle name="Accent2 3" xfId="10453"/>
    <cellStyle name="Accent2 3 2" xfId="10454"/>
    <cellStyle name="Accent2 3 2 2" xfId="10455"/>
    <cellStyle name="Accent2 3 2_Sheet1" xfId="10456"/>
    <cellStyle name="Accent2 3 3" xfId="10457"/>
    <cellStyle name="Accent2 3 3 2" xfId="10458"/>
    <cellStyle name="Accent2 3 3_Sheet1" xfId="10459"/>
    <cellStyle name="Accent2 3 4" xfId="10460"/>
    <cellStyle name="Accent2 3 4 2" xfId="10461"/>
    <cellStyle name="Accent2 3 4_Sheet1" xfId="10462"/>
    <cellStyle name="Accent2 3 5" xfId="10463"/>
    <cellStyle name="Accent2 3 5 2" xfId="10464"/>
    <cellStyle name="Accent2 3 5_Sheet1" xfId="10465"/>
    <cellStyle name="Accent2 3 6" xfId="10466"/>
    <cellStyle name="Accent2 3_Sheet1" xfId="10467"/>
    <cellStyle name="Accent2 4" xfId="10468"/>
    <cellStyle name="Accent2 4 2" xfId="10469"/>
    <cellStyle name="Accent2 4 2 2" xfId="10470"/>
    <cellStyle name="Accent2 4 2_Sheet1" xfId="10471"/>
    <cellStyle name="Accent2 4 3" xfId="10472"/>
    <cellStyle name="Accent2 4 4" xfId="10473"/>
    <cellStyle name="Accent2 4 5" xfId="10474"/>
    <cellStyle name="Accent2 4_Sheet1" xfId="10475"/>
    <cellStyle name="Accent2 5" xfId="10476"/>
    <cellStyle name="Accent2 5 2" xfId="10477"/>
    <cellStyle name="Accent2 5 3" xfId="10478"/>
    <cellStyle name="Accent2 5 4" xfId="10479"/>
    <cellStyle name="Accent2 5_Sheet1" xfId="10480"/>
    <cellStyle name="Accent2 6" xfId="10481"/>
    <cellStyle name="Accent2 6 2" xfId="10482"/>
    <cellStyle name="Accent2 6_Sheet1" xfId="10483"/>
    <cellStyle name="Accent2 7" xfId="10484"/>
    <cellStyle name="Accent2 8" xfId="10485"/>
    <cellStyle name="Accent2 9" xfId="10486"/>
    <cellStyle name="Accent3 - 20%" xfId="10487"/>
    <cellStyle name="Accent3 - 20% 2" xfId="10488"/>
    <cellStyle name="Accent3 - 20%_Sheet1" xfId="10489"/>
    <cellStyle name="Accent3 - 40%" xfId="10490"/>
    <cellStyle name="Accent3 - 40% 2" xfId="10491"/>
    <cellStyle name="Accent3 - 40%_Sheet1" xfId="10492"/>
    <cellStyle name="Accent3 - 60%" xfId="10493"/>
    <cellStyle name="Accent3 10" xfId="10494"/>
    <cellStyle name="Accent3 11" xfId="10495"/>
    <cellStyle name="Accent3 12" xfId="10496"/>
    <cellStyle name="Accent3 2" xfId="10497"/>
    <cellStyle name="Accent3 2 10" xfId="10498"/>
    <cellStyle name="Accent3 2 11" xfId="10499"/>
    <cellStyle name="Accent3 2 12" xfId="10500"/>
    <cellStyle name="Accent3 2 13" xfId="10501"/>
    <cellStyle name="Accent3 2 2" xfId="10502"/>
    <cellStyle name="Accent3 2 2 2" xfId="10503"/>
    <cellStyle name="Accent3 2 2_Sheet1" xfId="10504"/>
    <cellStyle name="Accent3 2 3" xfId="10505"/>
    <cellStyle name="Accent3 2 3 2" xfId="10506"/>
    <cellStyle name="Accent3 2 3_Sheet1" xfId="10507"/>
    <cellStyle name="Accent3 2 4" xfId="10508"/>
    <cellStyle name="Accent3 2 4 2" xfId="10509"/>
    <cellStyle name="Accent3 2 4_Sheet1" xfId="10510"/>
    <cellStyle name="Accent3 2 5" xfId="10511"/>
    <cellStyle name="Accent3 2 5 2" xfId="10512"/>
    <cellStyle name="Accent3 2 5_Sheet1" xfId="10513"/>
    <cellStyle name="Accent3 2 6" xfId="10514"/>
    <cellStyle name="Accent3 2 7" xfId="10515"/>
    <cellStyle name="Accent3 2 8" xfId="10516"/>
    <cellStyle name="Accent3 2 9" xfId="10517"/>
    <cellStyle name="Accent3 2_Laporan Aspal Per Bulan 2009" xfId="10518"/>
    <cellStyle name="Accent3 3" xfId="10519"/>
    <cellStyle name="Accent3 3 2" xfId="10520"/>
    <cellStyle name="Accent3 3 2 2" xfId="10521"/>
    <cellStyle name="Accent3 3 2_Sheet1" xfId="10522"/>
    <cellStyle name="Accent3 3 3" xfId="10523"/>
    <cellStyle name="Accent3 3 3 2" xfId="10524"/>
    <cellStyle name="Accent3 3 3_Sheet1" xfId="10525"/>
    <cellStyle name="Accent3 3 4" xfId="10526"/>
    <cellStyle name="Accent3 3 4 2" xfId="10527"/>
    <cellStyle name="Accent3 3 4_Sheet1" xfId="10528"/>
    <cellStyle name="Accent3 3 5" xfId="10529"/>
    <cellStyle name="Accent3 3 5 2" xfId="10530"/>
    <cellStyle name="Accent3 3 5_Sheet1" xfId="10531"/>
    <cellStyle name="Accent3 3 6" xfId="10532"/>
    <cellStyle name="Accent3 3_Sheet1" xfId="10533"/>
    <cellStyle name="Accent3 4" xfId="10534"/>
    <cellStyle name="Accent3 4 2" xfId="10535"/>
    <cellStyle name="Accent3 4 2 2" xfId="10536"/>
    <cellStyle name="Accent3 4 2_Sheet1" xfId="10537"/>
    <cellStyle name="Accent3 4 3" xfId="10538"/>
    <cellStyle name="Accent3 4 4" xfId="10539"/>
    <cellStyle name="Accent3 4 5" xfId="10540"/>
    <cellStyle name="Accent3 4_Sheet1" xfId="10541"/>
    <cellStyle name="Accent3 5" xfId="10542"/>
    <cellStyle name="Accent3 5 2" xfId="10543"/>
    <cellStyle name="Accent3 5 3" xfId="10544"/>
    <cellStyle name="Accent3 5 4" xfId="10545"/>
    <cellStyle name="Accent3 5_Sheet1" xfId="10546"/>
    <cellStyle name="Accent3 6" xfId="10547"/>
    <cellStyle name="Accent3 6 2" xfId="10548"/>
    <cellStyle name="Accent3 6_Sheet1" xfId="10549"/>
    <cellStyle name="Accent3 7" xfId="10550"/>
    <cellStyle name="Accent3 8" xfId="10551"/>
    <cellStyle name="Accent3 9" xfId="10552"/>
    <cellStyle name="Accent4 - 20%" xfId="10553"/>
    <cellStyle name="Accent4 - 20% 2" xfId="10554"/>
    <cellStyle name="Accent4 - 20%_Sheet1" xfId="10555"/>
    <cellStyle name="Accent4 - 40%" xfId="10556"/>
    <cellStyle name="Accent4 - 40% 2" xfId="10557"/>
    <cellStyle name="Accent4 - 40%_Sheet1" xfId="10558"/>
    <cellStyle name="Accent4 - 60%" xfId="10559"/>
    <cellStyle name="Accent4 10" xfId="10560"/>
    <cellStyle name="Accent4 11" xfId="10561"/>
    <cellStyle name="Accent4 12" xfId="10562"/>
    <cellStyle name="Accent4 2" xfId="10563"/>
    <cellStyle name="Accent4 2 10" xfId="10564"/>
    <cellStyle name="Accent4 2 11" xfId="10565"/>
    <cellStyle name="Accent4 2 12" xfId="10566"/>
    <cellStyle name="Accent4 2 13" xfId="10567"/>
    <cellStyle name="Accent4 2 2" xfId="10568"/>
    <cellStyle name="Accent4 2 2 2" xfId="10569"/>
    <cellStyle name="Accent4 2 2_Sheet1" xfId="10570"/>
    <cellStyle name="Accent4 2 3" xfId="10571"/>
    <cellStyle name="Accent4 2 3 2" xfId="10572"/>
    <cellStyle name="Accent4 2 3_Sheet1" xfId="10573"/>
    <cellStyle name="Accent4 2 4" xfId="10574"/>
    <cellStyle name="Accent4 2 4 2" xfId="10575"/>
    <cellStyle name="Accent4 2 4_Sheet1" xfId="10576"/>
    <cellStyle name="Accent4 2 5" xfId="10577"/>
    <cellStyle name="Accent4 2 5 2" xfId="10578"/>
    <cellStyle name="Accent4 2 5_Sheet1" xfId="10579"/>
    <cellStyle name="Accent4 2 6" xfId="10580"/>
    <cellStyle name="Accent4 2 7" xfId="10581"/>
    <cellStyle name="Accent4 2 8" xfId="10582"/>
    <cellStyle name="Accent4 2 9" xfId="10583"/>
    <cellStyle name="Accent4 2_Laporan Aspal Per Bulan 2009" xfId="10584"/>
    <cellStyle name="Accent4 3" xfId="10585"/>
    <cellStyle name="Accent4 3 2" xfId="10586"/>
    <cellStyle name="Accent4 3 2 2" xfId="10587"/>
    <cellStyle name="Accent4 3 2_Sheet1" xfId="10588"/>
    <cellStyle name="Accent4 3 3" xfId="10589"/>
    <cellStyle name="Accent4 3 3 2" xfId="10590"/>
    <cellStyle name="Accent4 3 3_Sheet1" xfId="10591"/>
    <cellStyle name="Accent4 3 4" xfId="10592"/>
    <cellStyle name="Accent4 3 4 2" xfId="10593"/>
    <cellStyle name="Accent4 3 4_Sheet1" xfId="10594"/>
    <cellStyle name="Accent4 3 5" xfId="10595"/>
    <cellStyle name="Accent4 3 5 2" xfId="10596"/>
    <cellStyle name="Accent4 3 5_Sheet1" xfId="10597"/>
    <cellStyle name="Accent4 3 6" xfId="10598"/>
    <cellStyle name="Accent4 3_Sheet1" xfId="10599"/>
    <cellStyle name="Accent4 4" xfId="10600"/>
    <cellStyle name="Accent4 4 2" xfId="10601"/>
    <cellStyle name="Accent4 4 2 2" xfId="10602"/>
    <cellStyle name="Accent4 4 2_Sheet1" xfId="10603"/>
    <cellStyle name="Accent4 4 3" xfId="10604"/>
    <cellStyle name="Accent4 4 4" xfId="10605"/>
    <cellStyle name="Accent4 4 5" xfId="10606"/>
    <cellStyle name="Accent4 4_Sheet1" xfId="10607"/>
    <cellStyle name="Accent4 5" xfId="10608"/>
    <cellStyle name="Accent4 5 2" xfId="10609"/>
    <cellStyle name="Accent4 5 3" xfId="10610"/>
    <cellStyle name="Accent4 5 4" xfId="10611"/>
    <cellStyle name="Accent4 5_Sheet1" xfId="10612"/>
    <cellStyle name="Accent4 6" xfId="10613"/>
    <cellStyle name="Accent4 6 2" xfId="10614"/>
    <cellStyle name="Accent4 6_Sheet1" xfId="10615"/>
    <cellStyle name="Accent4 7" xfId="10616"/>
    <cellStyle name="Accent4 8" xfId="10617"/>
    <cellStyle name="Accent4 9" xfId="10618"/>
    <cellStyle name="Accent5 - 20%" xfId="10619"/>
    <cellStyle name="Accent5 - 20% 2" xfId="10620"/>
    <cellStyle name="Accent5 - 20%_Sheet1" xfId="10621"/>
    <cellStyle name="Accent5 - 40%" xfId="10622"/>
    <cellStyle name="Accent5 - 40% 2" xfId="10623"/>
    <cellStyle name="Accent5 - 40%_Sheet1" xfId="10624"/>
    <cellStyle name="Accent5 - 60%" xfId="10625"/>
    <cellStyle name="Accent5 10" xfId="10626"/>
    <cellStyle name="Accent5 11" xfId="10627"/>
    <cellStyle name="Accent5 12" xfId="10628"/>
    <cellStyle name="Accent5 2" xfId="10629"/>
    <cellStyle name="Accent5 2 2" xfId="10630"/>
    <cellStyle name="Accent5 2 3" xfId="10631"/>
    <cellStyle name="Accent5 2 4" xfId="10632"/>
    <cellStyle name="Accent5 2 5" xfId="10633"/>
    <cellStyle name="Accent5 2 6" xfId="10634"/>
    <cellStyle name="Accent5 2_Laporan Aspal Per Bulan 2009" xfId="10635"/>
    <cellStyle name="Accent5 3" xfId="10636"/>
    <cellStyle name="Accent5 3 2" xfId="10637"/>
    <cellStyle name="Accent5 3 3" xfId="10638"/>
    <cellStyle name="Accent5 3 4" xfId="10639"/>
    <cellStyle name="Accent5 3 5" xfId="10640"/>
    <cellStyle name="Accent5 3 6" xfId="10641"/>
    <cellStyle name="Accent5 3_Sheet1" xfId="10642"/>
    <cellStyle name="Accent5 4" xfId="10643"/>
    <cellStyle name="Accent5 4 2" xfId="10644"/>
    <cellStyle name="Accent5 4 3" xfId="10645"/>
    <cellStyle name="Accent5 4 4" xfId="10646"/>
    <cellStyle name="Accent5 4_Sheet1" xfId="10647"/>
    <cellStyle name="Accent5 5" xfId="10648"/>
    <cellStyle name="Accent5 5 2" xfId="10649"/>
    <cellStyle name="Accent5 5 3" xfId="10650"/>
    <cellStyle name="Accent5 5_Sheet1" xfId="10651"/>
    <cellStyle name="Accent5 6" xfId="10652"/>
    <cellStyle name="Accent5 6 2" xfId="10653"/>
    <cellStyle name="Accent5 6_Sheet1" xfId="10654"/>
    <cellStyle name="Accent5 7" xfId="10655"/>
    <cellStyle name="Accent5 8" xfId="10656"/>
    <cellStyle name="Accent5 9" xfId="10657"/>
    <cellStyle name="Accent6 - 20%" xfId="10658"/>
    <cellStyle name="Accent6 - 20% 2" xfId="10659"/>
    <cellStyle name="Accent6 - 20%_Sheet1" xfId="10660"/>
    <cellStyle name="Accent6 - 40%" xfId="10661"/>
    <cellStyle name="Accent6 - 40% 2" xfId="10662"/>
    <cellStyle name="Accent6 - 40%_Sheet1" xfId="10663"/>
    <cellStyle name="Accent6 - 60%" xfId="10664"/>
    <cellStyle name="Accent6 10" xfId="10665"/>
    <cellStyle name="Accent6 11" xfId="10666"/>
    <cellStyle name="Accent6 12" xfId="10667"/>
    <cellStyle name="Accent6 2" xfId="10668"/>
    <cellStyle name="Accent6 2 10" xfId="10669"/>
    <cellStyle name="Accent6 2 11" xfId="10670"/>
    <cellStyle name="Accent6 2 12" xfId="10671"/>
    <cellStyle name="Accent6 2 13" xfId="10672"/>
    <cellStyle name="Accent6 2 2" xfId="10673"/>
    <cellStyle name="Accent6 2 2 2" xfId="10674"/>
    <cellStyle name="Accent6 2 2_Sheet1" xfId="10675"/>
    <cellStyle name="Accent6 2 3" xfId="10676"/>
    <cellStyle name="Accent6 2 3 2" xfId="10677"/>
    <cellStyle name="Accent6 2 3_Sheet1" xfId="10678"/>
    <cellStyle name="Accent6 2 4" xfId="10679"/>
    <cellStyle name="Accent6 2 4 2" xfId="10680"/>
    <cellStyle name="Accent6 2 4_Sheet1" xfId="10681"/>
    <cellStyle name="Accent6 2 5" xfId="10682"/>
    <cellStyle name="Accent6 2 5 2" xfId="10683"/>
    <cellStyle name="Accent6 2 5_Sheet1" xfId="10684"/>
    <cellStyle name="Accent6 2 6" xfId="10685"/>
    <cellStyle name="Accent6 2 7" xfId="10686"/>
    <cellStyle name="Accent6 2 8" xfId="10687"/>
    <cellStyle name="Accent6 2 9" xfId="10688"/>
    <cellStyle name="Accent6 2_Laporan Aspal Per Bulan 2009" xfId="10689"/>
    <cellStyle name="Accent6 3" xfId="10690"/>
    <cellStyle name="Accent6 3 2" xfId="10691"/>
    <cellStyle name="Accent6 3 2 2" xfId="10692"/>
    <cellStyle name="Accent6 3 2_Sheet1" xfId="10693"/>
    <cellStyle name="Accent6 3 3" xfId="10694"/>
    <cellStyle name="Accent6 3 3 2" xfId="10695"/>
    <cellStyle name="Accent6 3 3_Sheet1" xfId="10696"/>
    <cellStyle name="Accent6 3 4" xfId="10697"/>
    <cellStyle name="Accent6 3 4 2" xfId="10698"/>
    <cellStyle name="Accent6 3 4_Sheet1" xfId="10699"/>
    <cellStyle name="Accent6 3 5" xfId="10700"/>
    <cellStyle name="Accent6 3 5 2" xfId="10701"/>
    <cellStyle name="Accent6 3 5_Sheet1" xfId="10702"/>
    <cellStyle name="Accent6 3 6" xfId="10703"/>
    <cellStyle name="Accent6 3_Sheet1" xfId="10704"/>
    <cellStyle name="Accent6 4" xfId="10705"/>
    <cellStyle name="Accent6 4 2" xfId="10706"/>
    <cellStyle name="Accent6 4 2 2" xfId="10707"/>
    <cellStyle name="Accent6 4 2_Sheet1" xfId="10708"/>
    <cellStyle name="Accent6 4 3" xfId="10709"/>
    <cellStyle name="Accent6 4 4" xfId="10710"/>
    <cellStyle name="Accent6 4 5" xfId="10711"/>
    <cellStyle name="Accent6 4_Sheet1" xfId="10712"/>
    <cellStyle name="Accent6 5" xfId="10713"/>
    <cellStyle name="Accent6 5 2" xfId="10714"/>
    <cellStyle name="Accent6 5 3" xfId="10715"/>
    <cellStyle name="Accent6 5 4" xfId="10716"/>
    <cellStyle name="Accent6 5_Sheet1" xfId="10717"/>
    <cellStyle name="Accent6 6" xfId="10718"/>
    <cellStyle name="Accent6 6 2" xfId="10719"/>
    <cellStyle name="Accent6 6_Sheet1" xfId="10720"/>
    <cellStyle name="Accent6 7" xfId="10721"/>
    <cellStyle name="Accent6 8" xfId="10722"/>
    <cellStyle name="Accent6 9" xfId="10723"/>
    <cellStyle name="Accounting $" xfId="10724"/>
    <cellStyle name="Acctg" xfId="10725"/>
    <cellStyle name="active" xfId="10726"/>
    <cellStyle name="active 2" xfId="10727"/>
    <cellStyle name="active 3" xfId="10728"/>
    <cellStyle name="active_BUMI (Parent)_WP_311208_A,B,F,J,BB,DD,HH,II,KK_v6d finalBGT" xfId="10729"/>
    <cellStyle name="ÅëÈ­ [0]_´ÙÀÌÅ© ÇöÈ²ÀÛ¼º" xfId="10730"/>
    <cellStyle name="AeE­ [0]_½C¿¹PL " xfId="10731"/>
    <cellStyle name="ÅëÈ­_´ÙÀÌÅ© ÇöÈ²ÀÛ¼º" xfId="10732"/>
    <cellStyle name="AeE­_½C¿¹PL " xfId="10733"/>
    <cellStyle name="AFE" xfId="10734"/>
    <cellStyle name="AFE 2" xfId="10735"/>
    <cellStyle name="AFE_Budget 2010 FS Stat - 271109 (5)" xfId="10736"/>
    <cellStyle name="alay" xfId="10737"/>
    <cellStyle name="alay 2" xfId="10738"/>
    <cellStyle name="alay_Sheet1" xfId="10739"/>
    <cellStyle name="amount" xfId="10740"/>
    <cellStyle name="amount 10" xfId="10741"/>
    <cellStyle name="amount 10 2" xfId="10742"/>
    <cellStyle name="amount 11" xfId="10743"/>
    <cellStyle name="amount 11 2" xfId="10744"/>
    <cellStyle name="amount 12" xfId="10745"/>
    <cellStyle name="amount 12 2" xfId="10746"/>
    <cellStyle name="amount 13" xfId="10747"/>
    <cellStyle name="amount 13 2" xfId="10748"/>
    <cellStyle name="amount 14" xfId="10749"/>
    <cellStyle name="amount 14 2" xfId="10750"/>
    <cellStyle name="amount 15" xfId="10751"/>
    <cellStyle name="amount 15 2" xfId="10752"/>
    <cellStyle name="amount 16" xfId="10753"/>
    <cellStyle name="amount 2" xfId="10754"/>
    <cellStyle name="amount 2 2" xfId="10755"/>
    <cellStyle name="amount 3" xfId="10756"/>
    <cellStyle name="amount 3 2" xfId="10757"/>
    <cellStyle name="amount 4" xfId="10758"/>
    <cellStyle name="amount 4 2" xfId="10759"/>
    <cellStyle name="amount 5" xfId="10760"/>
    <cellStyle name="amount 5 2" xfId="10761"/>
    <cellStyle name="amount 6" xfId="10762"/>
    <cellStyle name="amount 6 2" xfId="10763"/>
    <cellStyle name="amount 7" xfId="10764"/>
    <cellStyle name="amount 7 2" xfId="10765"/>
    <cellStyle name="amount 8" xfId="10766"/>
    <cellStyle name="amount 8 2" xfId="10767"/>
    <cellStyle name="amount 9" xfId="10768"/>
    <cellStyle name="amount 9 2" xfId="10769"/>
    <cellStyle name="amount_Sheet1" xfId="10770"/>
    <cellStyle name="Andre's Title" xfId="10771"/>
    <cellStyle name="Andre's Title 2" xfId="10772"/>
    <cellStyle name="Andre's Title_Sheet1" xfId="10773"/>
    <cellStyle name="args.style" xfId="10774"/>
    <cellStyle name="args.style 2" xfId="10775"/>
    <cellStyle name="args.style 3" xfId="10776"/>
    <cellStyle name="args.style_BUMI (Parent)_WP_311208_A,B,F,J,BB,DD,HH,II,KK_v6d finalBGT" xfId="10777"/>
    <cellStyle name="Arial 10" xfId="10778"/>
    <cellStyle name="Arial 10 2" xfId="10779"/>
    <cellStyle name="Arial 10 3" xfId="10780"/>
    <cellStyle name="Arial 10 3 2" xfId="10781"/>
    <cellStyle name="Arial 10 3_Sheet1" xfId="10782"/>
    <cellStyle name="Arial 10_BUMI (Parent)_WP_311208_A,B,F,J,BB,DD,HH,II,KK_v6d finalBGT" xfId="10783"/>
    <cellStyle name="Arial 12" xfId="10784"/>
    <cellStyle name="Arial 12 2" xfId="10785"/>
    <cellStyle name="Arial 12 3" xfId="10786"/>
    <cellStyle name="Arial 12_BUMI (Parent)_WP_311208_A,B,F,J,BB,DD,HH,II,KK_v6d finalBGT" xfId="10787"/>
    <cellStyle name="Arial10" xfId="10788"/>
    <cellStyle name="Arial10 2" xfId="10789"/>
    <cellStyle name="Arial10 2 2" xfId="10790"/>
    <cellStyle name="Arial10 2 2 2" xfId="10791"/>
    <cellStyle name="Arial10 2 2_Sheet1" xfId="10792"/>
    <cellStyle name="Arial10 2 3" xfId="10793"/>
    <cellStyle name="Arial10 2 3 2" xfId="10794"/>
    <cellStyle name="Arial10 2 3_Sheet1" xfId="10795"/>
    <cellStyle name="Arial10 2 4" xfId="10796"/>
    <cellStyle name="Arial10 2 4 2" xfId="10797"/>
    <cellStyle name="Arial10 2 4_Sheet1" xfId="10798"/>
    <cellStyle name="Arial10 2 5" xfId="10799"/>
    <cellStyle name="Arial10 2 5 2" xfId="10800"/>
    <cellStyle name="Arial10 2 5_Sheet1" xfId="10801"/>
    <cellStyle name="Arial10 2 6" xfId="10802"/>
    <cellStyle name="Arial10 2_Sheet1" xfId="10803"/>
    <cellStyle name="Arial10 3" xfId="10804"/>
    <cellStyle name="Arial10 3 2" xfId="10805"/>
    <cellStyle name="Arial10 3 2 2" xfId="10806"/>
    <cellStyle name="Arial10 3 2_Sheet1" xfId="10807"/>
    <cellStyle name="Arial10 3 3" xfId="10808"/>
    <cellStyle name="Arial10 3 3 2" xfId="10809"/>
    <cellStyle name="Arial10 3 3_Sheet1" xfId="10810"/>
    <cellStyle name="Arial10 3 4" xfId="10811"/>
    <cellStyle name="Arial10 3 4 2" xfId="10812"/>
    <cellStyle name="Arial10 3 4_Sheet1" xfId="10813"/>
    <cellStyle name="Arial10 3 5" xfId="10814"/>
    <cellStyle name="Arial10 3 5 2" xfId="10815"/>
    <cellStyle name="Arial10 3 5_Sheet1" xfId="10816"/>
    <cellStyle name="Arial10 3 6" xfId="10817"/>
    <cellStyle name="Arial10 3_Sheet1" xfId="10818"/>
    <cellStyle name="Arial10 4" xfId="10819"/>
    <cellStyle name="Arial10 4 2" xfId="10820"/>
    <cellStyle name="Arial10 4_Sheet1" xfId="10821"/>
    <cellStyle name="Arial10 5" xfId="10822"/>
    <cellStyle name="Arial10 5 2" xfId="10823"/>
    <cellStyle name="Arial10 5_Sheet1" xfId="10824"/>
    <cellStyle name="Arial10 6" xfId="10825"/>
    <cellStyle name="Arial10_BUMI (Parent)_WP_311208_A,B,F,J,BB,DD,HH,II,KK_v6d finalBGT" xfId="10826"/>
    <cellStyle name="Assum Comma" xfId="10827"/>
    <cellStyle name="Assum Comma 2" xfId="10828"/>
    <cellStyle name="Assum Comma_Sheet1" xfId="10829"/>
    <cellStyle name="Assumption" xfId="10830"/>
    <cellStyle name="ÄÞ¸¶ [0]_´ÙÀÌÅ© ÇöÈ²ÀÛ¼º" xfId="10831"/>
    <cellStyle name="AÞ¸¶ [0]_½C¿¹PL " xfId="10832"/>
    <cellStyle name="ÄÞ¸¶ [20]" xfId="10833"/>
    <cellStyle name="ÄÞ¸¶_´ÙÀÌÅ© ÇöÈ²ÀÛ¼º" xfId="10834"/>
    <cellStyle name="AÞ¸¶_½C¿¹PL " xfId="10835"/>
    <cellStyle name="AutoFormat Options" xfId="10836"/>
    <cellStyle name="AutoFormat Options 2" xfId="10837"/>
    <cellStyle name="AutoFormat Options_Sheet1" xfId="10838"/>
    <cellStyle name="Avertissement" xfId="10839"/>
    <cellStyle name="B&amp;Wbold" xfId="10840"/>
    <cellStyle name="Bad 2" xfId="10841"/>
    <cellStyle name="Bad 2 10" xfId="10842"/>
    <cellStyle name="Bad 2 11" xfId="10843"/>
    <cellStyle name="Bad 2 12" xfId="10844"/>
    <cellStyle name="Bad 2 13" xfId="10845"/>
    <cellStyle name="Bad 2 2" xfId="10846"/>
    <cellStyle name="Bad 2 2 2" xfId="10847"/>
    <cellStyle name="Bad 2 2_Sheet1" xfId="10848"/>
    <cellStyle name="Bad 2 3" xfId="10849"/>
    <cellStyle name="Bad 2 3 2" xfId="10850"/>
    <cellStyle name="Bad 2 3_Sheet1" xfId="10851"/>
    <cellStyle name="Bad 2 4" xfId="10852"/>
    <cellStyle name="Bad 2 4 2" xfId="10853"/>
    <cellStyle name="Bad 2 4_Sheet1" xfId="10854"/>
    <cellStyle name="Bad 2 5" xfId="10855"/>
    <cellStyle name="Bad 2 5 2" xfId="10856"/>
    <cellStyle name="Bad 2 5_Sheet1" xfId="10857"/>
    <cellStyle name="Bad 2 6" xfId="10858"/>
    <cellStyle name="Bad 2 7" xfId="10859"/>
    <cellStyle name="Bad 2 8" xfId="10860"/>
    <cellStyle name="Bad 2 9" xfId="10861"/>
    <cellStyle name="Bad 2_Laporan Aspal Per Bulan 2009" xfId="10862"/>
    <cellStyle name="Bad 3" xfId="10863"/>
    <cellStyle name="Bad 3 2" xfId="10864"/>
    <cellStyle name="Bad 3 2 2" xfId="10865"/>
    <cellStyle name="Bad 3 2_Sheet1" xfId="10866"/>
    <cellStyle name="Bad 3 3" xfId="10867"/>
    <cellStyle name="Bad 3 3 2" xfId="10868"/>
    <cellStyle name="Bad 3 3_Sheet1" xfId="10869"/>
    <cellStyle name="Bad 3 4" xfId="10870"/>
    <cellStyle name="Bad 3 4 2" xfId="10871"/>
    <cellStyle name="Bad 3 4_Sheet1" xfId="10872"/>
    <cellStyle name="Bad 3 5" xfId="10873"/>
    <cellStyle name="Bad 3 5 2" xfId="10874"/>
    <cellStyle name="Bad 3 5_Sheet1" xfId="10875"/>
    <cellStyle name="Bad 3 6" xfId="10876"/>
    <cellStyle name="Bad 3_Sheet1" xfId="10877"/>
    <cellStyle name="Bad 4" xfId="10878"/>
    <cellStyle name="Bad 4 2" xfId="10879"/>
    <cellStyle name="Bad 4 2 2" xfId="10880"/>
    <cellStyle name="Bad 4 2_Sheet1" xfId="10881"/>
    <cellStyle name="Bad 4 3" xfId="10882"/>
    <cellStyle name="Bad 4 4" xfId="10883"/>
    <cellStyle name="Bad 4 5" xfId="10884"/>
    <cellStyle name="Bad 4_Sheet1" xfId="10885"/>
    <cellStyle name="Bad 5" xfId="10886"/>
    <cellStyle name="Bad 5 2" xfId="10887"/>
    <cellStyle name="Bad 5 3" xfId="10888"/>
    <cellStyle name="Bad 5 4" xfId="10889"/>
    <cellStyle name="Bad 5_Sheet1" xfId="10890"/>
    <cellStyle name="Bad 6" xfId="10891"/>
    <cellStyle name="Bad 6 2" xfId="10892"/>
    <cellStyle name="Bad 6_Sheet1" xfId="10893"/>
    <cellStyle name="Bad 7" xfId="10894"/>
    <cellStyle name="Bad 8" xfId="10895"/>
    <cellStyle name="Baik" xfId="10896"/>
    <cellStyle name="Banner" xfId="10897"/>
    <cellStyle name="Billions" xfId="10898"/>
    <cellStyle name="Blue" xfId="10899"/>
    <cellStyle name="Blue 2" xfId="10900"/>
    <cellStyle name="Blue 2 2" xfId="10901"/>
    <cellStyle name="Blue 2 3" xfId="10902"/>
    <cellStyle name="Blue 2_Sheet1" xfId="10903"/>
    <cellStyle name="Blue 3" xfId="10904"/>
    <cellStyle name="Blue_Sheet1" xfId="10905"/>
    <cellStyle name="Body" xfId="10906"/>
    <cellStyle name="Body text" xfId="10907"/>
    <cellStyle name="Body_InputCellText" xfId="10908"/>
    <cellStyle name="Border" xfId="10909"/>
    <cellStyle name="Border Heavy" xfId="10910"/>
    <cellStyle name="Border Heavy 2" xfId="10911"/>
    <cellStyle name="Border Heavy_Sheet1" xfId="10912"/>
    <cellStyle name="Border horizontal" xfId="10913"/>
    <cellStyle name="Border horizontal 2" xfId="10914"/>
    <cellStyle name="Border horizontal 2 2" xfId="10915"/>
    <cellStyle name="Border horizontal 2 2 2" xfId="10916"/>
    <cellStyle name="Border horizontal 2 2 2 2" xfId="10917"/>
    <cellStyle name="Border horizontal 2 2 2 2 2" xfId="10918"/>
    <cellStyle name="Border horizontal 2 2 2 2 2 2" xfId="10919"/>
    <cellStyle name="Border horizontal 2 2 2 2 2_Sheet1" xfId="10920"/>
    <cellStyle name="Border horizontal 2 2 2 2 3" xfId="10921"/>
    <cellStyle name="Border horizontal 2 2 2 2 3 2" xfId="10922"/>
    <cellStyle name="Border horizontal 2 2 2 2 3_Sheet1" xfId="10923"/>
    <cellStyle name="Border horizontal 2 2 2 2 4" xfId="10924"/>
    <cellStyle name="Border horizontal 2 2 2 2_Sheet1" xfId="10925"/>
    <cellStyle name="Border horizontal 2 2 2 3" xfId="10926"/>
    <cellStyle name="Border horizontal 2 2 2 3 2" xfId="10927"/>
    <cellStyle name="Border horizontal 2 2 2 3 2 2" xfId="10928"/>
    <cellStyle name="Border horizontal 2 2 2 3 2_Sheet1" xfId="10929"/>
    <cellStyle name="Border horizontal 2 2 2 3 3" xfId="10930"/>
    <cellStyle name="Border horizontal 2 2 2 3_Sheet1" xfId="10931"/>
    <cellStyle name="Border horizontal 2 2 2 4" xfId="10932"/>
    <cellStyle name="Border horizontal 2 2 2_Sheet1" xfId="10933"/>
    <cellStyle name="Border horizontal 2 2 3" xfId="10934"/>
    <cellStyle name="Border horizontal 2 2 3 2" xfId="10935"/>
    <cellStyle name="Border horizontal 2 2 3 2 2" xfId="10936"/>
    <cellStyle name="Border horizontal 2 2 3 2_Sheet1" xfId="10937"/>
    <cellStyle name="Border horizontal 2 2 3 3" xfId="10938"/>
    <cellStyle name="Border horizontal 2 2 3 3 2" xfId="10939"/>
    <cellStyle name="Border horizontal 2 2 3 3_Sheet1" xfId="10940"/>
    <cellStyle name="Border horizontal 2 2 3 4" xfId="10941"/>
    <cellStyle name="Border horizontal 2 2 3_Sheet1" xfId="10942"/>
    <cellStyle name="Border horizontal 2 2 4" xfId="10943"/>
    <cellStyle name="Border horizontal 2 2 4 2" xfId="10944"/>
    <cellStyle name="Border horizontal 2 2 4 2 2" xfId="10945"/>
    <cellStyle name="Border horizontal 2 2 4 2_Sheet1" xfId="10946"/>
    <cellStyle name="Border horizontal 2 2 4 3" xfId="10947"/>
    <cellStyle name="Border horizontal 2 2 4_Sheet1" xfId="10948"/>
    <cellStyle name="Border horizontal 2 2 5" xfId="10949"/>
    <cellStyle name="Border horizontal 2 2 5 2" xfId="10950"/>
    <cellStyle name="Border horizontal 2 2 5_Sheet1" xfId="10951"/>
    <cellStyle name="Border horizontal 2 2 6" xfId="10952"/>
    <cellStyle name="Border horizontal 2 2_Sheet1" xfId="10953"/>
    <cellStyle name="Border horizontal 2 3" xfId="10954"/>
    <cellStyle name="Border horizontal 2 3 2" xfId="10955"/>
    <cellStyle name="Border horizontal 2 3 2 2" xfId="10956"/>
    <cellStyle name="Border horizontal 2 3 2 2 2" xfId="10957"/>
    <cellStyle name="Border horizontal 2 3 2 2_Sheet1" xfId="10958"/>
    <cellStyle name="Border horizontal 2 3 2 3" xfId="10959"/>
    <cellStyle name="Border horizontal 2 3 2 3 2" xfId="10960"/>
    <cellStyle name="Border horizontal 2 3 2 3_Sheet1" xfId="10961"/>
    <cellStyle name="Border horizontal 2 3 2 4" xfId="10962"/>
    <cellStyle name="Border horizontal 2 3 2_Sheet1" xfId="10963"/>
    <cellStyle name="Border horizontal 2 3 3" xfId="10964"/>
    <cellStyle name="Border horizontal 2 3 3 2" xfId="10965"/>
    <cellStyle name="Border horizontal 2 3 3 2 2" xfId="10966"/>
    <cellStyle name="Border horizontal 2 3 3 2_Sheet1" xfId="10967"/>
    <cellStyle name="Border horizontal 2 3 3 3" xfId="10968"/>
    <cellStyle name="Border horizontal 2 3 3_Sheet1" xfId="10969"/>
    <cellStyle name="Border horizontal 2 3 4" xfId="10970"/>
    <cellStyle name="Border horizontal 2 3_Sheet1" xfId="10971"/>
    <cellStyle name="Border horizontal 2 4" xfId="10972"/>
    <cellStyle name="Border horizontal 2 4 2" xfId="10973"/>
    <cellStyle name="Border horizontal 2 4 2 2" xfId="10974"/>
    <cellStyle name="Border horizontal 2 4 2_Sheet1" xfId="10975"/>
    <cellStyle name="Border horizontal 2 4 3" xfId="10976"/>
    <cellStyle name="Border horizontal 2 4 3 2" xfId="10977"/>
    <cellStyle name="Border horizontal 2 4 3_Sheet1" xfId="10978"/>
    <cellStyle name="Border horizontal 2 4 4" xfId="10979"/>
    <cellStyle name="Border horizontal 2 4_Sheet1" xfId="10980"/>
    <cellStyle name="Border horizontal 2 5" xfId="10981"/>
    <cellStyle name="Border horizontal 2 5 2" xfId="10982"/>
    <cellStyle name="Border horizontal 2 5 2 2" xfId="10983"/>
    <cellStyle name="Border horizontal 2 5 2_Sheet1" xfId="10984"/>
    <cellStyle name="Border horizontal 2 5 3" xfId="10985"/>
    <cellStyle name="Border horizontal 2 5_Sheet1" xfId="10986"/>
    <cellStyle name="Border horizontal 2 6" xfId="10987"/>
    <cellStyle name="Border horizontal 2 6 2" xfId="10988"/>
    <cellStyle name="Border horizontal 2 6_Sheet1" xfId="10989"/>
    <cellStyle name="Border horizontal 2 7" xfId="10990"/>
    <cellStyle name="Border horizontal 2_Sheet1" xfId="10991"/>
    <cellStyle name="Border horizontal 3" xfId="10992"/>
    <cellStyle name="Border horizontal 3 2" xfId="10993"/>
    <cellStyle name="Border horizontal 3 2 2" xfId="10994"/>
    <cellStyle name="Border horizontal 3 2 2 2" xfId="10995"/>
    <cellStyle name="Border horizontal 3 2 2_Sheet1" xfId="10996"/>
    <cellStyle name="Border horizontal 3 2 3" xfId="10997"/>
    <cellStyle name="Border horizontal 3 2 3 2" xfId="10998"/>
    <cellStyle name="Border horizontal 3 2 3_Sheet1" xfId="10999"/>
    <cellStyle name="Border horizontal 3 2 4" xfId="11000"/>
    <cellStyle name="Border horizontal 3 2_Sheet1" xfId="11001"/>
    <cellStyle name="Border horizontal 3 3" xfId="11002"/>
    <cellStyle name="Border horizontal 3 3 2" xfId="11003"/>
    <cellStyle name="Border horizontal 3 3 2 2" xfId="11004"/>
    <cellStyle name="Border horizontal 3 3 2_Sheet1" xfId="11005"/>
    <cellStyle name="Border horizontal 3 3 3" xfId="11006"/>
    <cellStyle name="Border horizontal 3 3_Sheet1" xfId="11007"/>
    <cellStyle name="Border horizontal 3 4" xfId="11008"/>
    <cellStyle name="Border horizontal 3_Sheet1" xfId="11009"/>
    <cellStyle name="Border horizontal 4" xfId="11010"/>
    <cellStyle name="Border horizontal 4 2" xfId="11011"/>
    <cellStyle name="Border horizontal 4 2 2" xfId="11012"/>
    <cellStyle name="Border horizontal 4 2_Sheet1" xfId="11013"/>
    <cellStyle name="Border horizontal 4 3" xfId="11014"/>
    <cellStyle name="Border horizontal 4 3 2" xfId="11015"/>
    <cellStyle name="Border horizontal 4 3_Sheet1" xfId="11016"/>
    <cellStyle name="Border horizontal 4 4" xfId="11017"/>
    <cellStyle name="Border horizontal 4_Sheet1" xfId="11018"/>
    <cellStyle name="Border horizontal 5" xfId="11019"/>
    <cellStyle name="Border horizontal 5 2" xfId="11020"/>
    <cellStyle name="Border horizontal 5 2 2" xfId="11021"/>
    <cellStyle name="Border horizontal 5 2_Sheet1" xfId="11022"/>
    <cellStyle name="Border horizontal 5 3" xfId="11023"/>
    <cellStyle name="Border horizontal 5_Sheet1" xfId="11024"/>
    <cellStyle name="Border horizontal 6" xfId="11025"/>
    <cellStyle name="Border horizontal 6 2" xfId="11026"/>
    <cellStyle name="Border horizontal 6_Sheet1" xfId="11027"/>
    <cellStyle name="Border horizontal 7" xfId="11028"/>
    <cellStyle name="Border horizontal_Sheet1" xfId="11029"/>
    <cellStyle name="Border Thin" xfId="11030"/>
    <cellStyle name="Border Thin 2" xfId="11031"/>
    <cellStyle name="Border Thin 3" xfId="11032"/>
    <cellStyle name="Border Thin_Sheet1" xfId="11033"/>
    <cellStyle name="Border vertikal" xfId="11034"/>
    <cellStyle name="Border vertikal 2" xfId="11035"/>
    <cellStyle name="Border vertikal_Sheet1" xfId="11036"/>
    <cellStyle name="Border_Sheet1" xfId="11037"/>
    <cellStyle name="bottom" xfId="11038"/>
    <cellStyle name="BOTTOM BORDERS" xfId="11039"/>
    <cellStyle name="Bottom Edge" xfId="11040"/>
    <cellStyle name="Bottom Edge 2" xfId="11041"/>
    <cellStyle name="Bottom Edge 2 2" xfId="11042"/>
    <cellStyle name="Bottom Edge 2 2 2" xfId="11043"/>
    <cellStyle name="Bottom Edge 2 2 2 2" xfId="11044"/>
    <cellStyle name="Bottom Edge 2 2 2_Sheet1" xfId="11045"/>
    <cellStyle name="Bottom Edge 2 2 3" xfId="11046"/>
    <cellStyle name="Bottom Edge 2 2_Sheet1" xfId="11047"/>
    <cellStyle name="Bottom Edge 2 3" xfId="11048"/>
    <cellStyle name="Bottom Edge 2 3 2" xfId="11049"/>
    <cellStyle name="Bottom Edge 2 3 2 2" xfId="11050"/>
    <cellStyle name="Bottom Edge 2 3 2_Sheet1" xfId="11051"/>
    <cellStyle name="Bottom Edge 2 3 3" xfId="11052"/>
    <cellStyle name="Bottom Edge 2 3_Sheet1" xfId="11053"/>
    <cellStyle name="Bottom Edge 2 4" xfId="11054"/>
    <cellStyle name="Bottom Edge 2 4 2" xfId="11055"/>
    <cellStyle name="Bottom Edge 2 4_Sheet1" xfId="11056"/>
    <cellStyle name="Bottom Edge 2 5" xfId="11057"/>
    <cellStyle name="Bottom Edge 2_Sheet1" xfId="11058"/>
    <cellStyle name="Bottom Edge 3" xfId="11059"/>
    <cellStyle name="Bottom Edge 3 2" xfId="11060"/>
    <cellStyle name="Bottom Edge 3 2 2" xfId="11061"/>
    <cellStyle name="Bottom Edge 3 2_Sheet1" xfId="11062"/>
    <cellStyle name="Bottom Edge 3 3" xfId="11063"/>
    <cellStyle name="Bottom Edge 3_Sheet1" xfId="11064"/>
    <cellStyle name="Bottom Edge 4" xfId="11065"/>
    <cellStyle name="Bottom Edge 4 2" xfId="11066"/>
    <cellStyle name="Bottom Edge 4 2 2" xfId="11067"/>
    <cellStyle name="Bottom Edge 4 2_Sheet1" xfId="11068"/>
    <cellStyle name="Bottom Edge 4 3" xfId="11069"/>
    <cellStyle name="Bottom Edge 4_Sheet1" xfId="11070"/>
    <cellStyle name="Bottom Edge 5" xfId="11071"/>
    <cellStyle name="Bottom Edge 5 2" xfId="11072"/>
    <cellStyle name="Bottom Edge 5_Sheet1" xfId="11073"/>
    <cellStyle name="Bottom Edge 6" xfId="11074"/>
    <cellStyle name="Bottom Edge_Sheet1" xfId="11075"/>
    <cellStyle name="bottom_Sheet1" xfId="11076"/>
    <cellStyle name="Bps" xfId="11077"/>
    <cellStyle name="Brand Default" xfId="11078"/>
    <cellStyle name="Brand Default 2" xfId="11079"/>
    <cellStyle name="Brand Default_Sheet1" xfId="11080"/>
    <cellStyle name="British Pound" xfId="11081"/>
    <cellStyle name="British Pound 2" xfId="11082"/>
    <cellStyle name="British Pound 3" xfId="11083"/>
    <cellStyle name="British Pound 3 2" xfId="11084"/>
    <cellStyle name="British Pound 3_Sheet1" xfId="11085"/>
    <cellStyle name="British Pound_Sheet1" xfId="11086"/>
    <cellStyle name="bullet" xfId="11087"/>
    <cellStyle name="Business Description" xfId="11088"/>
    <cellStyle name="Business Description 2" xfId="11089"/>
    <cellStyle name="Business Description 3" xfId="11090"/>
    <cellStyle name="Business Description_BUMI (Parent)_WP_311208_A,B,F,J,BB,DD,HH,II,KK_v6d finalBGT" xfId="11091"/>
    <cellStyle name="C?AØ_¿?¾÷CoE² " xfId="11092"/>
    <cellStyle name="c_Chorus Model 22 Sep 04 V6 " xfId="11093"/>
    <cellStyle name="c_Chorus Model 22 Sep 04 V6 _Sheet1" xfId="11094"/>
    <cellStyle name="Ç¥ÁØ_´ÙÀÌÅ© ¼ö·®»êÃâ¼­" xfId="11095"/>
    <cellStyle name="C￥AØ_¿μ¾÷CoE² " xfId="11096"/>
    <cellStyle name="Ç¥ÁØ_Sheet1" xfId="11097"/>
    <cellStyle name="Calc Currency (0)" xfId="11098"/>
    <cellStyle name="Calc Currency (0) 2" xfId="11099"/>
    <cellStyle name="Calc Currency (0) 3" xfId="11100"/>
    <cellStyle name="Calc Currency (0)_BUMI (Parent)_WP_311208_A,B,F,J,BB,DD,HH,II,KK_v6d finalBGT" xfId="11101"/>
    <cellStyle name="Calc Currency (2)" xfId="11102"/>
    <cellStyle name="Calc Currency (2) 2" xfId="11103"/>
    <cellStyle name="Calc Currency (2) 3" xfId="11104"/>
    <cellStyle name="Calc Currency (2) 3 2" xfId="11105"/>
    <cellStyle name="Calc Currency (2) 3_Sheet1" xfId="11106"/>
    <cellStyle name="Calc Currency (2)_01. Lati Mine Operation" xfId="11107"/>
    <cellStyle name="Calc Percent (0)" xfId="11108"/>
    <cellStyle name="Calc Percent (0) 2" xfId="11109"/>
    <cellStyle name="Calc Percent (0) 3" xfId="11110"/>
    <cellStyle name="Calc Percent (0) 3 2" xfId="11111"/>
    <cellStyle name="Calc Percent (0) 3_Sheet1" xfId="11112"/>
    <cellStyle name="Calc Percent (0) 4" xfId="11113"/>
    <cellStyle name="Calc Percent (0)_01. Lati Mine Operation" xfId="11114"/>
    <cellStyle name="Calc Percent (1)" xfId="11115"/>
    <cellStyle name="Calc Percent (1) 2" xfId="11116"/>
    <cellStyle name="Calc Percent (1) 3" xfId="11117"/>
    <cellStyle name="Calc Percent (1) 3 2" xfId="11118"/>
    <cellStyle name="Calc Percent (1) 3_Sheet1" xfId="11119"/>
    <cellStyle name="Calc Percent (1) 4" xfId="11120"/>
    <cellStyle name="Calc Percent (1)_01. Lati Mine Operation" xfId="11121"/>
    <cellStyle name="Calc Percent (2)" xfId="11122"/>
    <cellStyle name="Calc Percent (2) 2" xfId="11123"/>
    <cellStyle name="Calc Percent (2) 3" xfId="11124"/>
    <cellStyle name="Calc Percent (2) 3 2" xfId="11125"/>
    <cellStyle name="Calc Percent (2) 3_Sheet1" xfId="11126"/>
    <cellStyle name="Calc Percent (2) 4" xfId="11127"/>
    <cellStyle name="Calc Percent (2)_01. Lati Mine Operation" xfId="11128"/>
    <cellStyle name="Calc Units (0)" xfId="11129"/>
    <cellStyle name="Calc Units (0) 2" xfId="11130"/>
    <cellStyle name="Calc Units (0) 3" xfId="11131"/>
    <cellStyle name="Calc Units (0) 3 2" xfId="11132"/>
    <cellStyle name="Calc Units (0) 3_Sheet1" xfId="11133"/>
    <cellStyle name="Calc Units (0) 4" xfId="11134"/>
    <cellStyle name="Calc Units (0)_01. Lati Mine Operation" xfId="11135"/>
    <cellStyle name="Calc Units (1)" xfId="11136"/>
    <cellStyle name="Calc Units (1) 2" xfId="11137"/>
    <cellStyle name="Calc Units (1) 3" xfId="11138"/>
    <cellStyle name="Calc Units (1) 3 2" xfId="11139"/>
    <cellStyle name="Calc Units (1) 3_Sheet1" xfId="11140"/>
    <cellStyle name="Calc Units (1) 4" xfId="11141"/>
    <cellStyle name="Calc Units (1)_01. Lati Mine Operation" xfId="11142"/>
    <cellStyle name="Calc Units (2)" xfId="11143"/>
    <cellStyle name="Calc Units (2) 2" xfId="11144"/>
    <cellStyle name="Calc Units (2) 3" xfId="11145"/>
    <cellStyle name="Calc Units (2) 3 2" xfId="11146"/>
    <cellStyle name="Calc Units (2) 3_Sheet1" xfId="11147"/>
    <cellStyle name="Calc Units (2)_01. Lati Mine Operation" xfId="11148"/>
    <cellStyle name="Calcul" xfId="11149"/>
    <cellStyle name="Calcul 2" xfId="11150"/>
    <cellStyle name="Calcul 2 2" xfId="11151"/>
    <cellStyle name="Calcul 2 2 2" xfId="11152"/>
    <cellStyle name="Calcul 2 2 2 2" xfId="11153"/>
    <cellStyle name="Calcul 2 2 2 2 2" xfId="11154"/>
    <cellStyle name="Calcul 2 2 2 2_Sheet1" xfId="11155"/>
    <cellStyle name="Calcul 2 2 2 3" xfId="11156"/>
    <cellStyle name="Calcul 2 2 2_Sheet1" xfId="11157"/>
    <cellStyle name="Calcul 2 2 3" xfId="11158"/>
    <cellStyle name="Calcul 2 2 3 2" xfId="11159"/>
    <cellStyle name="Calcul 2 2 3 2 2" xfId="11160"/>
    <cellStyle name="Calcul 2 2 3 2_Sheet1" xfId="11161"/>
    <cellStyle name="Calcul 2 2 3 3" xfId="11162"/>
    <cellStyle name="Calcul 2 2 3_Sheet1" xfId="11163"/>
    <cellStyle name="Calcul 2 2 4" xfId="11164"/>
    <cellStyle name="Calcul 2 2 4 2" xfId="11165"/>
    <cellStyle name="Calcul 2 2 4_Sheet1" xfId="11166"/>
    <cellStyle name="Calcul 2 2 5" xfId="11167"/>
    <cellStyle name="Calcul 2 2_Sheet1" xfId="11168"/>
    <cellStyle name="Calcul 2 3" xfId="11169"/>
    <cellStyle name="Calcul 2 3 2" xfId="11170"/>
    <cellStyle name="Calcul 2 3 2 2" xfId="11171"/>
    <cellStyle name="Calcul 2 3 2_Sheet1" xfId="11172"/>
    <cellStyle name="Calcul 2 3 3" xfId="11173"/>
    <cellStyle name="Calcul 2 3_Sheet1" xfId="11174"/>
    <cellStyle name="Calcul 2 4" xfId="11175"/>
    <cellStyle name="Calcul 2 4 2" xfId="11176"/>
    <cellStyle name="Calcul 2 4 2 2" xfId="11177"/>
    <cellStyle name="Calcul 2 4 2_Sheet1" xfId="11178"/>
    <cellStyle name="Calcul 2 4 3" xfId="11179"/>
    <cellStyle name="Calcul 2 4_Sheet1" xfId="11180"/>
    <cellStyle name="Calcul 2 5" xfId="11181"/>
    <cellStyle name="Calcul 2 5 2" xfId="11182"/>
    <cellStyle name="Calcul 2 5_Sheet1" xfId="11183"/>
    <cellStyle name="Calcul 2 6" xfId="11184"/>
    <cellStyle name="Calcul 2_Sheet1" xfId="11185"/>
    <cellStyle name="Calcul 3" xfId="11186"/>
    <cellStyle name="Calcul 3 2" xfId="11187"/>
    <cellStyle name="Calcul 3 2 2" xfId="11188"/>
    <cellStyle name="Calcul 3 2 2 2" xfId="11189"/>
    <cellStyle name="Calcul 3 2 2_Sheet1" xfId="11190"/>
    <cellStyle name="Calcul 3 2 3" xfId="11191"/>
    <cellStyle name="Calcul 3 2_Sheet1" xfId="11192"/>
    <cellStyle name="Calcul 3 3" xfId="11193"/>
    <cellStyle name="Calcul 3 3 2" xfId="11194"/>
    <cellStyle name="Calcul 3 3 2 2" xfId="11195"/>
    <cellStyle name="Calcul 3 3 2_Sheet1" xfId="11196"/>
    <cellStyle name="Calcul 3 3 3" xfId="11197"/>
    <cellStyle name="Calcul 3 3_Sheet1" xfId="11198"/>
    <cellStyle name="Calcul 3 4" xfId="11199"/>
    <cellStyle name="Calcul 3 4 2" xfId="11200"/>
    <cellStyle name="Calcul 3 4_Sheet1" xfId="11201"/>
    <cellStyle name="Calcul 3 5" xfId="11202"/>
    <cellStyle name="Calcul 3_Sheet1" xfId="11203"/>
    <cellStyle name="Calcul 4" xfId="11204"/>
    <cellStyle name="Calcul 4 2" xfId="11205"/>
    <cellStyle name="Calcul 4 2 2" xfId="11206"/>
    <cellStyle name="Calcul 4 2_Sheet1" xfId="11207"/>
    <cellStyle name="Calcul 4 3" xfId="11208"/>
    <cellStyle name="Calcul 4_Sheet1" xfId="11209"/>
    <cellStyle name="Calcul 5" xfId="11210"/>
    <cellStyle name="Calcul 5 2" xfId="11211"/>
    <cellStyle name="Calcul 5 2 2" xfId="11212"/>
    <cellStyle name="Calcul 5 2_Sheet1" xfId="11213"/>
    <cellStyle name="Calcul 5 3" xfId="11214"/>
    <cellStyle name="Calcul 5_Sheet1" xfId="11215"/>
    <cellStyle name="Calcul 6" xfId="11216"/>
    <cellStyle name="Calcul 6 2" xfId="11217"/>
    <cellStyle name="Calcul 6_Sheet1" xfId="11218"/>
    <cellStyle name="Calcul 7" xfId="11219"/>
    <cellStyle name="Calcul_Sheet1" xfId="11220"/>
    <cellStyle name="calculated" xfId="11221"/>
    <cellStyle name="Calculation 10" xfId="11222"/>
    <cellStyle name="Calculation 10 2" xfId="11223"/>
    <cellStyle name="Calculation 10_Sheet1" xfId="11224"/>
    <cellStyle name="Calculation 2" xfId="11225"/>
    <cellStyle name="Calculation 2 10" xfId="11226"/>
    <cellStyle name="Calculation 2 10 2" xfId="11227"/>
    <cellStyle name="Calculation 2 10 2 2" xfId="11228"/>
    <cellStyle name="Calculation 2 10 2 2 2" xfId="11229"/>
    <cellStyle name="Calculation 2 10 2 2_Sheet1" xfId="11230"/>
    <cellStyle name="Calculation 2 10 2 3" xfId="11231"/>
    <cellStyle name="Calculation 2 10 2_Sheet1" xfId="11232"/>
    <cellStyle name="Calculation 2 10 3" xfId="11233"/>
    <cellStyle name="Calculation 2 10 3 2" xfId="11234"/>
    <cellStyle name="Calculation 2 10 3 2 2" xfId="11235"/>
    <cellStyle name="Calculation 2 10 3 2_Sheet1" xfId="11236"/>
    <cellStyle name="Calculation 2 10 3 3" xfId="11237"/>
    <cellStyle name="Calculation 2 10 3_Sheet1" xfId="11238"/>
    <cellStyle name="Calculation 2 10 4" xfId="11239"/>
    <cellStyle name="Calculation 2 10 4 2" xfId="11240"/>
    <cellStyle name="Calculation 2 10 4 2 2" xfId="11241"/>
    <cellStyle name="Calculation 2 10 4 2_Sheet1" xfId="11242"/>
    <cellStyle name="Calculation 2 10 4 3" xfId="11243"/>
    <cellStyle name="Calculation 2 10 4_Sheet1" xfId="11244"/>
    <cellStyle name="Calculation 2 10 5" xfId="11245"/>
    <cellStyle name="Calculation 2 10_Sheet1" xfId="11246"/>
    <cellStyle name="Calculation 2 11" xfId="11247"/>
    <cellStyle name="Calculation 2 11 2" xfId="11248"/>
    <cellStyle name="Calculation 2 11 2 2" xfId="11249"/>
    <cellStyle name="Calculation 2 11 2 2 2" xfId="11250"/>
    <cellStyle name="Calculation 2 11 2 2_Sheet1" xfId="11251"/>
    <cellStyle name="Calculation 2 11 2 3" xfId="11252"/>
    <cellStyle name="Calculation 2 11 2_Sheet1" xfId="11253"/>
    <cellStyle name="Calculation 2 11 3" xfId="11254"/>
    <cellStyle name="Calculation 2 11 3 2" xfId="11255"/>
    <cellStyle name="Calculation 2 11 3 2 2" xfId="11256"/>
    <cellStyle name="Calculation 2 11 3 2_Sheet1" xfId="11257"/>
    <cellStyle name="Calculation 2 11 3 3" xfId="11258"/>
    <cellStyle name="Calculation 2 11 3_Sheet1" xfId="11259"/>
    <cellStyle name="Calculation 2 11 4" xfId="11260"/>
    <cellStyle name="Calculation 2 11 4 2" xfId="11261"/>
    <cellStyle name="Calculation 2 11 4 2 2" xfId="11262"/>
    <cellStyle name="Calculation 2 11 4 2_Sheet1" xfId="11263"/>
    <cellStyle name="Calculation 2 11 4 3" xfId="11264"/>
    <cellStyle name="Calculation 2 11 4_Sheet1" xfId="11265"/>
    <cellStyle name="Calculation 2 11 5" xfId="11266"/>
    <cellStyle name="Calculation 2 11_Sheet1" xfId="11267"/>
    <cellStyle name="Calculation 2 12" xfId="11268"/>
    <cellStyle name="Calculation 2 12 2" xfId="11269"/>
    <cellStyle name="Calculation 2 12 2 2" xfId="11270"/>
    <cellStyle name="Calculation 2 12 2 2 2" xfId="11271"/>
    <cellStyle name="Calculation 2 12 2 2_Sheet1" xfId="11272"/>
    <cellStyle name="Calculation 2 12 2 3" xfId="11273"/>
    <cellStyle name="Calculation 2 12 2_Sheet1" xfId="11274"/>
    <cellStyle name="Calculation 2 12 3" xfId="11275"/>
    <cellStyle name="Calculation 2 12 3 2" xfId="11276"/>
    <cellStyle name="Calculation 2 12 3 2 2" xfId="11277"/>
    <cellStyle name="Calculation 2 12 3 2_Sheet1" xfId="11278"/>
    <cellStyle name="Calculation 2 12 3 3" xfId="11279"/>
    <cellStyle name="Calculation 2 12 3_Sheet1" xfId="11280"/>
    <cellStyle name="Calculation 2 12 4" xfId="11281"/>
    <cellStyle name="Calculation 2 12 4 2" xfId="11282"/>
    <cellStyle name="Calculation 2 12 4 2 2" xfId="11283"/>
    <cellStyle name="Calculation 2 12 4 2_Sheet1" xfId="11284"/>
    <cellStyle name="Calculation 2 12 4 3" xfId="11285"/>
    <cellStyle name="Calculation 2 12 4_Sheet1" xfId="11286"/>
    <cellStyle name="Calculation 2 12 5" xfId="11287"/>
    <cellStyle name="Calculation 2 12_Sheet1" xfId="11288"/>
    <cellStyle name="Calculation 2 13" xfId="11289"/>
    <cellStyle name="Calculation 2 13 2" xfId="11290"/>
    <cellStyle name="Calculation 2 13 2 2" xfId="11291"/>
    <cellStyle name="Calculation 2 13 2 2 2" xfId="11292"/>
    <cellStyle name="Calculation 2 13 2 2_Sheet1" xfId="11293"/>
    <cellStyle name="Calculation 2 13 2 3" xfId="11294"/>
    <cellStyle name="Calculation 2 13 2_Sheet1" xfId="11295"/>
    <cellStyle name="Calculation 2 13 3" xfId="11296"/>
    <cellStyle name="Calculation 2 13 3 2" xfId="11297"/>
    <cellStyle name="Calculation 2 13 3 2 2" xfId="11298"/>
    <cellStyle name="Calculation 2 13 3 2_Sheet1" xfId="11299"/>
    <cellStyle name="Calculation 2 13 3 3" xfId="11300"/>
    <cellStyle name="Calculation 2 13 3_Sheet1" xfId="11301"/>
    <cellStyle name="Calculation 2 13 4" xfId="11302"/>
    <cellStyle name="Calculation 2 13 4 2" xfId="11303"/>
    <cellStyle name="Calculation 2 13 4 2 2" xfId="11304"/>
    <cellStyle name="Calculation 2 13 4 2_Sheet1" xfId="11305"/>
    <cellStyle name="Calculation 2 13 4 3" xfId="11306"/>
    <cellStyle name="Calculation 2 13 4_Sheet1" xfId="11307"/>
    <cellStyle name="Calculation 2 13 5" xfId="11308"/>
    <cellStyle name="Calculation 2 13_Sheet1" xfId="11309"/>
    <cellStyle name="Calculation 2 14" xfId="11310"/>
    <cellStyle name="Calculation 2 14 2" xfId="11311"/>
    <cellStyle name="Calculation 2 14 2 2" xfId="11312"/>
    <cellStyle name="Calculation 2 14 2 2 2" xfId="11313"/>
    <cellStyle name="Calculation 2 14 2 2_Sheet1" xfId="11314"/>
    <cellStyle name="Calculation 2 14 2 3" xfId="11315"/>
    <cellStyle name="Calculation 2 14 2_Sheet1" xfId="11316"/>
    <cellStyle name="Calculation 2 14 3" xfId="11317"/>
    <cellStyle name="Calculation 2 14 3 2" xfId="11318"/>
    <cellStyle name="Calculation 2 14 3 2 2" xfId="11319"/>
    <cellStyle name="Calculation 2 14 3 2_Sheet1" xfId="11320"/>
    <cellStyle name="Calculation 2 14 3 3" xfId="11321"/>
    <cellStyle name="Calculation 2 14 3_Sheet1" xfId="11322"/>
    <cellStyle name="Calculation 2 14 4" xfId="11323"/>
    <cellStyle name="Calculation 2 14 4 2" xfId="11324"/>
    <cellStyle name="Calculation 2 14 4 2 2" xfId="11325"/>
    <cellStyle name="Calculation 2 14 4 2_Sheet1" xfId="11326"/>
    <cellStyle name="Calculation 2 14 4 3" xfId="11327"/>
    <cellStyle name="Calculation 2 14 4_Sheet1" xfId="11328"/>
    <cellStyle name="Calculation 2 14 5" xfId="11329"/>
    <cellStyle name="Calculation 2 14_Sheet1" xfId="11330"/>
    <cellStyle name="Calculation 2 15" xfId="11331"/>
    <cellStyle name="Calculation 2 15 2" xfId="11332"/>
    <cellStyle name="Calculation 2 15 2 2" xfId="11333"/>
    <cellStyle name="Calculation 2 15 2 2 2" xfId="11334"/>
    <cellStyle name="Calculation 2 15 2 2_Sheet1" xfId="11335"/>
    <cellStyle name="Calculation 2 15 2 3" xfId="11336"/>
    <cellStyle name="Calculation 2 15 2_Sheet1" xfId="11337"/>
    <cellStyle name="Calculation 2 15 3" xfId="11338"/>
    <cellStyle name="Calculation 2 15 3 2" xfId="11339"/>
    <cellStyle name="Calculation 2 15 3 2 2" xfId="11340"/>
    <cellStyle name="Calculation 2 15 3 2_Sheet1" xfId="11341"/>
    <cellStyle name="Calculation 2 15 3 3" xfId="11342"/>
    <cellStyle name="Calculation 2 15 3_Sheet1" xfId="11343"/>
    <cellStyle name="Calculation 2 15 4" xfId="11344"/>
    <cellStyle name="Calculation 2 15 4 2" xfId="11345"/>
    <cellStyle name="Calculation 2 15 4 2 2" xfId="11346"/>
    <cellStyle name="Calculation 2 15 4 2_Sheet1" xfId="11347"/>
    <cellStyle name="Calculation 2 15 4 3" xfId="11348"/>
    <cellStyle name="Calculation 2 15 4_Sheet1" xfId="11349"/>
    <cellStyle name="Calculation 2 15 5" xfId="11350"/>
    <cellStyle name="Calculation 2 15_Sheet1" xfId="11351"/>
    <cellStyle name="Calculation 2 16" xfId="11352"/>
    <cellStyle name="Calculation 2 16 2" xfId="11353"/>
    <cellStyle name="Calculation 2 16 2 2" xfId="11354"/>
    <cellStyle name="Calculation 2 16 2 2 2" xfId="11355"/>
    <cellStyle name="Calculation 2 16 2 2_Sheet1" xfId="11356"/>
    <cellStyle name="Calculation 2 16 2 3" xfId="11357"/>
    <cellStyle name="Calculation 2 16 2_Sheet1" xfId="11358"/>
    <cellStyle name="Calculation 2 16 3" xfId="11359"/>
    <cellStyle name="Calculation 2 16 3 2" xfId="11360"/>
    <cellStyle name="Calculation 2 16 3 2 2" xfId="11361"/>
    <cellStyle name="Calculation 2 16 3 2_Sheet1" xfId="11362"/>
    <cellStyle name="Calculation 2 16 3 3" xfId="11363"/>
    <cellStyle name="Calculation 2 16 3_Sheet1" xfId="11364"/>
    <cellStyle name="Calculation 2 16 4" xfId="11365"/>
    <cellStyle name="Calculation 2 16 4 2" xfId="11366"/>
    <cellStyle name="Calculation 2 16 4 2 2" xfId="11367"/>
    <cellStyle name="Calculation 2 16 4 2_Sheet1" xfId="11368"/>
    <cellStyle name="Calculation 2 16 4 3" xfId="11369"/>
    <cellStyle name="Calculation 2 16 4_Sheet1" xfId="11370"/>
    <cellStyle name="Calculation 2 16 5" xfId="11371"/>
    <cellStyle name="Calculation 2 16_Sheet1" xfId="11372"/>
    <cellStyle name="Calculation 2 17" xfId="11373"/>
    <cellStyle name="Calculation 2 17 2" xfId="11374"/>
    <cellStyle name="Calculation 2 17 2 2" xfId="11375"/>
    <cellStyle name="Calculation 2 17 2 2 2" xfId="11376"/>
    <cellStyle name="Calculation 2 17 2 2_Sheet1" xfId="11377"/>
    <cellStyle name="Calculation 2 17 2 3" xfId="11378"/>
    <cellStyle name="Calculation 2 17 2_Sheet1" xfId="11379"/>
    <cellStyle name="Calculation 2 17 3" xfId="11380"/>
    <cellStyle name="Calculation 2 17 3 2" xfId="11381"/>
    <cellStyle name="Calculation 2 17 3 2 2" xfId="11382"/>
    <cellStyle name="Calculation 2 17 3 2_Sheet1" xfId="11383"/>
    <cellStyle name="Calculation 2 17 3 3" xfId="11384"/>
    <cellStyle name="Calculation 2 17 3_Sheet1" xfId="11385"/>
    <cellStyle name="Calculation 2 17 4" xfId="11386"/>
    <cellStyle name="Calculation 2 17 4 2" xfId="11387"/>
    <cellStyle name="Calculation 2 17 4 2 2" xfId="11388"/>
    <cellStyle name="Calculation 2 17 4 2_Sheet1" xfId="11389"/>
    <cellStyle name="Calculation 2 17 4 3" xfId="11390"/>
    <cellStyle name="Calculation 2 17 4_Sheet1" xfId="11391"/>
    <cellStyle name="Calculation 2 17 5" xfId="11392"/>
    <cellStyle name="Calculation 2 17_Sheet1" xfId="11393"/>
    <cellStyle name="Calculation 2 18" xfId="11394"/>
    <cellStyle name="Calculation 2 18 2" xfId="11395"/>
    <cellStyle name="Calculation 2 18 2 2" xfId="11396"/>
    <cellStyle name="Calculation 2 18 2 2 2" xfId="11397"/>
    <cellStyle name="Calculation 2 18 2 2_Sheet1" xfId="11398"/>
    <cellStyle name="Calculation 2 18 2 3" xfId="11399"/>
    <cellStyle name="Calculation 2 18 2_Sheet1" xfId="11400"/>
    <cellStyle name="Calculation 2 18 3" xfId="11401"/>
    <cellStyle name="Calculation 2 18 3 2" xfId="11402"/>
    <cellStyle name="Calculation 2 18 3 2 2" xfId="11403"/>
    <cellStyle name="Calculation 2 18 3 2_Sheet1" xfId="11404"/>
    <cellStyle name="Calculation 2 18 3 3" xfId="11405"/>
    <cellStyle name="Calculation 2 18 3_Sheet1" xfId="11406"/>
    <cellStyle name="Calculation 2 18 4" xfId="11407"/>
    <cellStyle name="Calculation 2 18 4 2" xfId="11408"/>
    <cellStyle name="Calculation 2 18 4 2 2" xfId="11409"/>
    <cellStyle name="Calculation 2 18 4 2_Sheet1" xfId="11410"/>
    <cellStyle name="Calculation 2 18 4 3" xfId="11411"/>
    <cellStyle name="Calculation 2 18 4_Sheet1" xfId="11412"/>
    <cellStyle name="Calculation 2 18 5" xfId="11413"/>
    <cellStyle name="Calculation 2 18_Sheet1" xfId="11414"/>
    <cellStyle name="Calculation 2 19" xfId="11415"/>
    <cellStyle name="Calculation 2 19 2" xfId="11416"/>
    <cellStyle name="Calculation 2 19 2 2" xfId="11417"/>
    <cellStyle name="Calculation 2 19 2 2 2" xfId="11418"/>
    <cellStyle name="Calculation 2 19 2 2_Sheet1" xfId="11419"/>
    <cellStyle name="Calculation 2 19 2 3" xfId="11420"/>
    <cellStyle name="Calculation 2 19 2_Sheet1" xfId="11421"/>
    <cellStyle name="Calculation 2 19 3" xfId="11422"/>
    <cellStyle name="Calculation 2 19 3 2" xfId="11423"/>
    <cellStyle name="Calculation 2 19 3 2 2" xfId="11424"/>
    <cellStyle name="Calculation 2 19 3 2_Sheet1" xfId="11425"/>
    <cellStyle name="Calculation 2 19 3 3" xfId="11426"/>
    <cellStyle name="Calculation 2 19 3_Sheet1" xfId="11427"/>
    <cellStyle name="Calculation 2 19 4" xfId="11428"/>
    <cellStyle name="Calculation 2 19 4 2" xfId="11429"/>
    <cellStyle name="Calculation 2 19 4 2 2" xfId="11430"/>
    <cellStyle name="Calculation 2 19 4 2_Sheet1" xfId="11431"/>
    <cellStyle name="Calculation 2 19 4 3" xfId="11432"/>
    <cellStyle name="Calculation 2 19 4_Sheet1" xfId="11433"/>
    <cellStyle name="Calculation 2 19 5" xfId="11434"/>
    <cellStyle name="Calculation 2 19_Sheet1" xfId="11435"/>
    <cellStyle name="Calculation 2 2" xfId="11436"/>
    <cellStyle name="Calculation 2 2 10" xfId="11437"/>
    <cellStyle name="Calculation 2 2 10 2" xfId="11438"/>
    <cellStyle name="Calculation 2 2 10 2 2" xfId="11439"/>
    <cellStyle name="Calculation 2 2 10 2 2 2" xfId="11440"/>
    <cellStyle name="Calculation 2 2 10 2 2_Sheet1" xfId="11441"/>
    <cellStyle name="Calculation 2 2 10 2 3" xfId="11442"/>
    <cellStyle name="Calculation 2 2 10 2_Sheet1" xfId="11443"/>
    <cellStyle name="Calculation 2 2 10 3" xfId="11444"/>
    <cellStyle name="Calculation 2 2 10 3 2" xfId="11445"/>
    <cellStyle name="Calculation 2 2 10 3 2 2" xfId="11446"/>
    <cellStyle name="Calculation 2 2 10 3 2_Sheet1" xfId="11447"/>
    <cellStyle name="Calculation 2 2 10 3 3" xfId="11448"/>
    <cellStyle name="Calculation 2 2 10 3_Sheet1" xfId="11449"/>
    <cellStyle name="Calculation 2 2 10 4" xfId="11450"/>
    <cellStyle name="Calculation 2 2 10 4 2" xfId="11451"/>
    <cellStyle name="Calculation 2 2 10 4 2 2" xfId="11452"/>
    <cellStyle name="Calculation 2 2 10 4 2_Sheet1" xfId="11453"/>
    <cellStyle name="Calculation 2 2 10 4 3" xfId="11454"/>
    <cellStyle name="Calculation 2 2 10 4_Sheet1" xfId="11455"/>
    <cellStyle name="Calculation 2 2 10 5" xfId="11456"/>
    <cellStyle name="Calculation 2 2 10_Sheet1" xfId="11457"/>
    <cellStyle name="Calculation 2 2 11" xfId="11458"/>
    <cellStyle name="Calculation 2 2 11 2" xfId="11459"/>
    <cellStyle name="Calculation 2 2 11 2 2" xfId="11460"/>
    <cellStyle name="Calculation 2 2 11 2 2 2" xfId="11461"/>
    <cellStyle name="Calculation 2 2 11 2 2_Sheet1" xfId="11462"/>
    <cellStyle name="Calculation 2 2 11 2 3" xfId="11463"/>
    <cellStyle name="Calculation 2 2 11 2_Sheet1" xfId="11464"/>
    <cellStyle name="Calculation 2 2 11 3" xfId="11465"/>
    <cellStyle name="Calculation 2 2 11 3 2" xfId="11466"/>
    <cellStyle name="Calculation 2 2 11 3 2 2" xfId="11467"/>
    <cellStyle name="Calculation 2 2 11 3 2_Sheet1" xfId="11468"/>
    <cellStyle name="Calculation 2 2 11 3 3" xfId="11469"/>
    <cellStyle name="Calculation 2 2 11 3_Sheet1" xfId="11470"/>
    <cellStyle name="Calculation 2 2 11 4" xfId="11471"/>
    <cellStyle name="Calculation 2 2 11 4 2" xfId="11472"/>
    <cellStyle name="Calculation 2 2 11 4 2 2" xfId="11473"/>
    <cellStyle name="Calculation 2 2 11 4 2_Sheet1" xfId="11474"/>
    <cellStyle name="Calculation 2 2 11 4 3" xfId="11475"/>
    <cellStyle name="Calculation 2 2 11 4_Sheet1" xfId="11476"/>
    <cellStyle name="Calculation 2 2 11 5" xfId="11477"/>
    <cellStyle name="Calculation 2 2 11_Sheet1" xfId="11478"/>
    <cellStyle name="Calculation 2 2 12" xfId="11479"/>
    <cellStyle name="Calculation 2 2 12 2" xfId="11480"/>
    <cellStyle name="Calculation 2 2 12 2 2" xfId="11481"/>
    <cellStyle name="Calculation 2 2 12 2 2 2" xfId="11482"/>
    <cellStyle name="Calculation 2 2 12 2 2_Sheet1" xfId="11483"/>
    <cellStyle name="Calculation 2 2 12 2 3" xfId="11484"/>
    <cellStyle name="Calculation 2 2 12 2_Sheet1" xfId="11485"/>
    <cellStyle name="Calculation 2 2 12 3" xfId="11486"/>
    <cellStyle name="Calculation 2 2 12 3 2" xfId="11487"/>
    <cellStyle name="Calculation 2 2 12 3 2 2" xfId="11488"/>
    <cellStyle name="Calculation 2 2 12 3 2_Sheet1" xfId="11489"/>
    <cellStyle name="Calculation 2 2 12 3 3" xfId="11490"/>
    <cellStyle name="Calculation 2 2 12 3_Sheet1" xfId="11491"/>
    <cellStyle name="Calculation 2 2 12 4" xfId="11492"/>
    <cellStyle name="Calculation 2 2 12 4 2" xfId="11493"/>
    <cellStyle name="Calculation 2 2 12 4 2 2" xfId="11494"/>
    <cellStyle name="Calculation 2 2 12 4 2_Sheet1" xfId="11495"/>
    <cellStyle name="Calculation 2 2 12 4 3" xfId="11496"/>
    <cellStyle name="Calculation 2 2 12 4_Sheet1" xfId="11497"/>
    <cellStyle name="Calculation 2 2 12 5" xfId="11498"/>
    <cellStyle name="Calculation 2 2 12_Sheet1" xfId="11499"/>
    <cellStyle name="Calculation 2 2 13" xfId="11500"/>
    <cellStyle name="Calculation 2 2 13 2" xfId="11501"/>
    <cellStyle name="Calculation 2 2 13 2 2" xfId="11502"/>
    <cellStyle name="Calculation 2 2 13 2 2 2" xfId="11503"/>
    <cellStyle name="Calculation 2 2 13 2 2_Sheet1" xfId="11504"/>
    <cellStyle name="Calculation 2 2 13 2 3" xfId="11505"/>
    <cellStyle name="Calculation 2 2 13 2_Sheet1" xfId="11506"/>
    <cellStyle name="Calculation 2 2 13 3" xfId="11507"/>
    <cellStyle name="Calculation 2 2 13 3 2" xfId="11508"/>
    <cellStyle name="Calculation 2 2 13 3 2 2" xfId="11509"/>
    <cellStyle name="Calculation 2 2 13 3 2_Sheet1" xfId="11510"/>
    <cellStyle name="Calculation 2 2 13 3 3" xfId="11511"/>
    <cellStyle name="Calculation 2 2 13 3_Sheet1" xfId="11512"/>
    <cellStyle name="Calculation 2 2 13 4" xfId="11513"/>
    <cellStyle name="Calculation 2 2 13 4 2" xfId="11514"/>
    <cellStyle name="Calculation 2 2 13 4 2 2" xfId="11515"/>
    <cellStyle name="Calculation 2 2 13 4 2_Sheet1" xfId="11516"/>
    <cellStyle name="Calculation 2 2 13 4 3" xfId="11517"/>
    <cellStyle name="Calculation 2 2 13 4_Sheet1" xfId="11518"/>
    <cellStyle name="Calculation 2 2 13 5" xfId="11519"/>
    <cellStyle name="Calculation 2 2 13_Sheet1" xfId="11520"/>
    <cellStyle name="Calculation 2 2 14" xfId="11521"/>
    <cellStyle name="Calculation 2 2 14 2" xfId="11522"/>
    <cellStyle name="Calculation 2 2 14 2 2" xfId="11523"/>
    <cellStyle name="Calculation 2 2 14 2 2 2" xfId="11524"/>
    <cellStyle name="Calculation 2 2 14 2 2_Sheet1" xfId="11525"/>
    <cellStyle name="Calculation 2 2 14 2 3" xfId="11526"/>
    <cellStyle name="Calculation 2 2 14 2_Sheet1" xfId="11527"/>
    <cellStyle name="Calculation 2 2 14 3" xfId="11528"/>
    <cellStyle name="Calculation 2 2 14 3 2" xfId="11529"/>
    <cellStyle name="Calculation 2 2 14 3 2 2" xfId="11530"/>
    <cellStyle name="Calculation 2 2 14 3 2_Sheet1" xfId="11531"/>
    <cellStyle name="Calculation 2 2 14 3 3" xfId="11532"/>
    <cellStyle name="Calculation 2 2 14 3_Sheet1" xfId="11533"/>
    <cellStyle name="Calculation 2 2 14 4" xfId="11534"/>
    <cellStyle name="Calculation 2 2 14 4 2" xfId="11535"/>
    <cellStyle name="Calculation 2 2 14 4 2 2" xfId="11536"/>
    <cellStyle name="Calculation 2 2 14 4 2_Sheet1" xfId="11537"/>
    <cellStyle name="Calculation 2 2 14 4 3" xfId="11538"/>
    <cellStyle name="Calculation 2 2 14 4_Sheet1" xfId="11539"/>
    <cellStyle name="Calculation 2 2 14 5" xfId="11540"/>
    <cellStyle name="Calculation 2 2 14_Sheet1" xfId="11541"/>
    <cellStyle name="Calculation 2 2 15" xfId="11542"/>
    <cellStyle name="Calculation 2 2 15 2" xfId="11543"/>
    <cellStyle name="Calculation 2 2 15 2 2" xfId="11544"/>
    <cellStyle name="Calculation 2 2 15 2 2 2" xfId="11545"/>
    <cellStyle name="Calculation 2 2 15 2 2_Sheet1" xfId="11546"/>
    <cellStyle name="Calculation 2 2 15 2 3" xfId="11547"/>
    <cellStyle name="Calculation 2 2 15 2_Sheet1" xfId="11548"/>
    <cellStyle name="Calculation 2 2 15 3" xfId="11549"/>
    <cellStyle name="Calculation 2 2 15 3 2" xfId="11550"/>
    <cellStyle name="Calculation 2 2 15 3 2 2" xfId="11551"/>
    <cellStyle name="Calculation 2 2 15 3 2_Sheet1" xfId="11552"/>
    <cellStyle name="Calculation 2 2 15 3 3" xfId="11553"/>
    <cellStyle name="Calculation 2 2 15 3_Sheet1" xfId="11554"/>
    <cellStyle name="Calculation 2 2 15 4" xfId="11555"/>
    <cellStyle name="Calculation 2 2 15 4 2" xfId="11556"/>
    <cellStyle name="Calculation 2 2 15 4 2 2" xfId="11557"/>
    <cellStyle name="Calculation 2 2 15 4 2_Sheet1" xfId="11558"/>
    <cellStyle name="Calculation 2 2 15 4 3" xfId="11559"/>
    <cellStyle name="Calculation 2 2 15 4_Sheet1" xfId="11560"/>
    <cellStyle name="Calculation 2 2 15 5" xfId="11561"/>
    <cellStyle name="Calculation 2 2 15_Sheet1" xfId="11562"/>
    <cellStyle name="Calculation 2 2 16" xfId="11563"/>
    <cellStyle name="Calculation 2 2 16 2" xfId="11564"/>
    <cellStyle name="Calculation 2 2 16 2 2" xfId="11565"/>
    <cellStyle name="Calculation 2 2 16 2 2 2" xfId="11566"/>
    <cellStyle name="Calculation 2 2 16 2 2_Sheet1" xfId="11567"/>
    <cellStyle name="Calculation 2 2 16 2 3" xfId="11568"/>
    <cellStyle name="Calculation 2 2 16 2_Sheet1" xfId="11569"/>
    <cellStyle name="Calculation 2 2 16 3" xfId="11570"/>
    <cellStyle name="Calculation 2 2 16 3 2" xfId="11571"/>
    <cellStyle name="Calculation 2 2 16 3 2 2" xfId="11572"/>
    <cellStyle name="Calculation 2 2 16 3 2_Sheet1" xfId="11573"/>
    <cellStyle name="Calculation 2 2 16 3 3" xfId="11574"/>
    <cellStyle name="Calculation 2 2 16 3_Sheet1" xfId="11575"/>
    <cellStyle name="Calculation 2 2 16 4" xfId="11576"/>
    <cellStyle name="Calculation 2 2 16 4 2" xfId="11577"/>
    <cellStyle name="Calculation 2 2 16 4 2 2" xfId="11578"/>
    <cellStyle name="Calculation 2 2 16 4 2_Sheet1" xfId="11579"/>
    <cellStyle name="Calculation 2 2 16 4 3" xfId="11580"/>
    <cellStyle name="Calculation 2 2 16 4_Sheet1" xfId="11581"/>
    <cellStyle name="Calculation 2 2 16 5" xfId="11582"/>
    <cellStyle name="Calculation 2 2 16_Sheet1" xfId="11583"/>
    <cellStyle name="Calculation 2 2 17" xfId="11584"/>
    <cellStyle name="Calculation 2 2 17 2" xfId="11585"/>
    <cellStyle name="Calculation 2 2 17 2 2" xfId="11586"/>
    <cellStyle name="Calculation 2 2 17 2 2 2" xfId="11587"/>
    <cellStyle name="Calculation 2 2 17 2 2_Sheet1" xfId="11588"/>
    <cellStyle name="Calculation 2 2 17 2 3" xfId="11589"/>
    <cellStyle name="Calculation 2 2 17 2_Sheet1" xfId="11590"/>
    <cellStyle name="Calculation 2 2 17 3" xfId="11591"/>
    <cellStyle name="Calculation 2 2 17 3 2" xfId="11592"/>
    <cellStyle name="Calculation 2 2 17 3 2 2" xfId="11593"/>
    <cellStyle name="Calculation 2 2 17 3 2_Sheet1" xfId="11594"/>
    <cellStyle name="Calculation 2 2 17 3 3" xfId="11595"/>
    <cellStyle name="Calculation 2 2 17 3_Sheet1" xfId="11596"/>
    <cellStyle name="Calculation 2 2 17 4" xfId="11597"/>
    <cellStyle name="Calculation 2 2 17 4 2" xfId="11598"/>
    <cellStyle name="Calculation 2 2 17 4 2 2" xfId="11599"/>
    <cellStyle name="Calculation 2 2 17 4 2_Sheet1" xfId="11600"/>
    <cellStyle name="Calculation 2 2 17 4 3" xfId="11601"/>
    <cellStyle name="Calculation 2 2 17 4_Sheet1" xfId="11602"/>
    <cellStyle name="Calculation 2 2 17 5" xfId="11603"/>
    <cellStyle name="Calculation 2 2 17_Sheet1" xfId="11604"/>
    <cellStyle name="Calculation 2 2 18" xfId="11605"/>
    <cellStyle name="Calculation 2 2 18 2" xfId="11606"/>
    <cellStyle name="Calculation 2 2 18 2 2" xfId="11607"/>
    <cellStyle name="Calculation 2 2 18 2 2 2" xfId="11608"/>
    <cellStyle name="Calculation 2 2 18 2 2_Sheet1" xfId="11609"/>
    <cellStyle name="Calculation 2 2 18 2 3" xfId="11610"/>
    <cellStyle name="Calculation 2 2 18 2_Sheet1" xfId="11611"/>
    <cellStyle name="Calculation 2 2 18 3" xfId="11612"/>
    <cellStyle name="Calculation 2 2 18 3 2" xfId="11613"/>
    <cellStyle name="Calculation 2 2 18 3 2 2" xfId="11614"/>
    <cellStyle name="Calculation 2 2 18 3 2_Sheet1" xfId="11615"/>
    <cellStyle name="Calculation 2 2 18 3 3" xfId="11616"/>
    <cellStyle name="Calculation 2 2 18 3_Sheet1" xfId="11617"/>
    <cellStyle name="Calculation 2 2 18 4" xfId="11618"/>
    <cellStyle name="Calculation 2 2 18 4 2" xfId="11619"/>
    <cellStyle name="Calculation 2 2 18 4 2 2" xfId="11620"/>
    <cellStyle name="Calculation 2 2 18 4 2_Sheet1" xfId="11621"/>
    <cellStyle name="Calculation 2 2 18 4 3" xfId="11622"/>
    <cellStyle name="Calculation 2 2 18 4_Sheet1" xfId="11623"/>
    <cellStyle name="Calculation 2 2 18 5" xfId="11624"/>
    <cellStyle name="Calculation 2 2 18_Sheet1" xfId="11625"/>
    <cellStyle name="Calculation 2 2 19" xfId="11626"/>
    <cellStyle name="Calculation 2 2 19 2" xfId="11627"/>
    <cellStyle name="Calculation 2 2 19 2 2" xfId="11628"/>
    <cellStyle name="Calculation 2 2 19 2 2 2" xfId="11629"/>
    <cellStyle name="Calculation 2 2 19 2 2_Sheet1" xfId="11630"/>
    <cellStyle name="Calculation 2 2 19 2 3" xfId="11631"/>
    <cellStyle name="Calculation 2 2 19 2_Sheet1" xfId="11632"/>
    <cellStyle name="Calculation 2 2 19 3" xfId="11633"/>
    <cellStyle name="Calculation 2 2 19 3 2" xfId="11634"/>
    <cellStyle name="Calculation 2 2 19 3 2 2" xfId="11635"/>
    <cellStyle name="Calculation 2 2 19 3 2_Sheet1" xfId="11636"/>
    <cellStyle name="Calculation 2 2 19 3 3" xfId="11637"/>
    <cellStyle name="Calculation 2 2 19 3_Sheet1" xfId="11638"/>
    <cellStyle name="Calculation 2 2 19 4" xfId="11639"/>
    <cellStyle name="Calculation 2 2 19 4 2" xfId="11640"/>
    <cellStyle name="Calculation 2 2 19 4 2 2" xfId="11641"/>
    <cellStyle name="Calculation 2 2 19 4 2_Sheet1" xfId="11642"/>
    <cellStyle name="Calculation 2 2 19 4 3" xfId="11643"/>
    <cellStyle name="Calculation 2 2 19 4_Sheet1" xfId="11644"/>
    <cellStyle name="Calculation 2 2 19 5" xfId="11645"/>
    <cellStyle name="Calculation 2 2 19_Sheet1" xfId="11646"/>
    <cellStyle name="Calculation 2 2 2" xfId="11647"/>
    <cellStyle name="Calculation 2 2 2 2" xfId="11648"/>
    <cellStyle name="Calculation 2 2 2 2 2" xfId="11649"/>
    <cellStyle name="Calculation 2 2 2 2 2 2" xfId="11650"/>
    <cellStyle name="Calculation 2 2 2 2 2_Sheet1" xfId="11651"/>
    <cellStyle name="Calculation 2 2 2 2 3" xfId="11652"/>
    <cellStyle name="Calculation 2 2 2 2_Sheet1" xfId="11653"/>
    <cellStyle name="Calculation 2 2 2 3" xfId="11654"/>
    <cellStyle name="Calculation 2 2 2 3 2" xfId="11655"/>
    <cellStyle name="Calculation 2 2 2 3 2 2" xfId="11656"/>
    <cellStyle name="Calculation 2 2 2 3 2_Sheet1" xfId="11657"/>
    <cellStyle name="Calculation 2 2 2 3 3" xfId="11658"/>
    <cellStyle name="Calculation 2 2 2 3_Sheet1" xfId="11659"/>
    <cellStyle name="Calculation 2 2 2 4" xfId="11660"/>
    <cellStyle name="Calculation 2 2 2 4 2" xfId="11661"/>
    <cellStyle name="Calculation 2 2 2 4 2 2" xfId="11662"/>
    <cellStyle name="Calculation 2 2 2 4 2_Sheet1" xfId="11663"/>
    <cellStyle name="Calculation 2 2 2 4 3" xfId="11664"/>
    <cellStyle name="Calculation 2 2 2 4_Sheet1" xfId="11665"/>
    <cellStyle name="Calculation 2 2 2 5" xfId="11666"/>
    <cellStyle name="Calculation 2 2 2_Sheet1" xfId="11667"/>
    <cellStyle name="Calculation 2 2 20" xfId="11668"/>
    <cellStyle name="Calculation 2 2 20 2" xfId="11669"/>
    <cellStyle name="Calculation 2 2 20 2 2" xfId="11670"/>
    <cellStyle name="Calculation 2 2 20 2 2 2" xfId="11671"/>
    <cellStyle name="Calculation 2 2 20 2 2_Sheet1" xfId="11672"/>
    <cellStyle name="Calculation 2 2 20 2 3" xfId="11673"/>
    <cellStyle name="Calculation 2 2 20 2_Sheet1" xfId="11674"/>
    <cellStyle name="Calculation 2 2 20 3" xfId="11675"/>
    <cellStyle name="Calculation 2 2 20 3 2" xfId="11676"/>
    <cellStyle name="Calculation 2 2 20 3 2 2" xfId="11677"/>
    <cellStyle name="Calculation 2 2 20 3 2_Sheet1" xfId="11678"/>
    <cellStyle name="Calculation 2 2 20 3 3" xfId="11679"/>
    <cellStyle name="Calculation 2 2 20 3_Sheet1" xfId="11680"/>
    <cellStyle name="Calculation 2 2 20 4" xfId="11681"/>
    <cellStyle name="Calculation 2 2 20 4 2" xfId="11682"/>
    <cellStyle name="Calculation 2 2 20 4 2 2" xfId="11683"/>
    <cellStyle name="Calculation 2 2 20 4 2_Sheet1" xfId="11684"/>
    <cellStyle name="Calculation 2 2 20 4 3" xfId="11685"/>
    <cellStyle name="Calculation 2 2 20 4_Sheet1" xfId="11686"/>
    <cellStyle name="Calculation 2 2 20 5" xfId="11687"/>
    <cellStyle name="Calculation 2 2 20_Sheet1" xfId="11688"/>
    <cellStyle name="Calculation 2 2 21" xfId="11689"/>
    <cellStyle name="Calculation 2 2 21 2" xfId="11690"/>
    <cellStyle name="Calculation 2 2 21 2 2" xfId="11691"/>
    <cellStyle name="Calculation 2 2 21 2 2 2" xfId="11692"/>
    <cellStyle name="Calculation 2 2 21 2 2_Sheet1" xfId="11693"/>
    <cellStyle name="Calculation 2 2 21 2 3" xfId="11694"/>
    <cellStyle name="Calculation 2 2 21 2_Sheet1" xfId="11695"/>
    <cellStyle name="Calculation 2 2 21 3" xfId="11696"/>
    <cellStyle name="Calculation 2 2 21 3 2" xfId="11697"/>
    <cellStyle name="Calculation 2 2 21 3 2 2" xfId="11698"/>
    <cellStyle name="Calculation 2 2 21 3 2_Sheet1" xfId="11699"/>
    <cellStyle name="Calculation 2 2 21 3 3" xfId="11700"/>
    <cellStyle name="Calculation 2 2 21 3_Sheet1" xfId="11701"/>
    <cellStyle name="Calculation 2 2 21 4" xfId="11702"/>
    <cellStyle name="Calculation 2 2 21 4 2" xfId="11703"/>
    <cellStyle name="Calculation 2 2 21 4 2 2" xfId="11704"/>
    <cellStyle name="Calculation 2 2 21 4 2_Sheet1" xfId="11705"/>
    <cellStyle name="Calculation 2 2 21 4 3" xfId="11706"/>
    <cellStyle name="Calculation 2 2 21 4_Sheet1" xfId="11707"/>
    <cellStyle name="Calculation 2 2 21 5" xfId="11708"/>
    <cellStyle name="Calculation 2 2 21_Sheet1" xfId="11709"/>
    <cellStyle name="Calculation 2 2 22" xfId="11710"/>
    <cellStyle name="Calculation 2 2 22 2" xfId="11711"/>
    <cellStyle name="Calculation 2 2 22 2 2" xfId="11712"/>
    <cellStyle name="Calculation 2 2 22 2 2 2" xfId="11713"/>
    <cellStyle name="Calculation 2 2 22 2 2_Sheet1" xfId="11714"/>
    <cellStyle name="Calculation 2 2 22 2 3" xfId="11715"/>
    <cellStyle name="Calculation 2 2 22 2_Sheet1" xfId="11716"/>
    <cellStyle name="Calculation 2 2 22 3" xfId="11717"/>
    <cellStyle name="Calculation 2 2 22 3 2" xfId="11718"/>
    <cellStyle name="Calculation 2 2 22 3 2 2" xfId="11719"/>
    <cellStyle name="Calculation 2 2 22 3 2_Sheet1" xfId="11720"/>
    <cellStyle name="Calculation 2 2 22 3 3" xfId="11721"/>
    <cellStyle name="Calculation 2 2 22 3_Sheet1" xfId="11722"/>
    <cellStyle name="Calculation 2 2 22 4" xfId="11723"/>
    <cellStyle name="Calculation 2 2 22 4 2" xfId="11724"/>
    <cellStyle name="Calculation 2 2 22 4 2 2" xfId="11725"/>
    <cellStyle name="Calculation 2 2 22 4 2_Sheet1" xfId="11726"/>
    <cellStyle name="Calculation 2 2 22 4 3" xfId="11727"/>
    <cellStyle name="Calculation 2 2 22 4_Sheet1" xfId="11728"/>
    <cellStyle name="Calculation 2 2 22 5" xfId="11729"/>
    <cellStyle name="Calculation 2 2 22_Sheet1" xfId="11730"/>
    <cellStyle name="Calculation 2 2 23" xfId="11731"/>
    <cellStyle name="Calculation 2 2 23 2" xfId="11732"/>
    <cellStyle name="Calculation 2 2 23 2 2" xfId="11733"/>
    <cellStyle name="Calculation 2 2 23 2_Sheet1" xfId="11734"/>
    <cellStyle name="Calculation 2 2 23 3" xfId="11735"/>
    <cellStyle name="Calculation 2 2 23_Sheet1" xfId="11736"/>
    <cellStyle name="Calculation 2 2 24" xfId="11737"/>
    <cellStyle name="Calculation 2 2 24 2" xfId="11738"/>
    <cellStyle name="Calculation 2 2 24 2 2" xfId="11739"/>
    <cellStyle name="Calculation 2 2 24 2_Sheet1" xfId="11740"/>
    <cellStyle name="Calculation 2 2 24 3" xfId="11741"/>
    <cellStyle name="Calculation 2 2 24_Sheet1" xfId="11742"/>
    <cellStyle name="Calculation 2 2 25" xfId="11743"/>
    <cellStyle name="Calculation 2 2 25 2" xfId="11744"/>
    <cellStyle name="Calculation 2 2 25 2 2" xfId="11745"/>
    <cellStyle name="Calculation 2 2 25 2_Sheet1" xfId="11746"/>
    <cellStyle name="Calculation 2 2 25 3" xfId="11747"/>
    <cellStyle name="Calculation 2 2 25_Sheet1" xfId="11748"/>
    <cellStyle name="Calculation 2 2 26" xfId="11749"/>
    <cellStyle name="Calculation 2 2 3" xfId="11750"/>
    <cellStyle name="Calculation 2 2 3 2" xfId="11751"/>
    <cellStyle name="Calculation 2 2 3 2 2" xfId="11752"/>
    <cellStyle name="Calculation 2 2 3 2 2 2" xfId="11753"/>
    <cellStyle name="Calculation 2 2 3 2 2_Sheet1" xfId="11754"/>
    <cellStyle name="Calculation 2 2 3 2 3" xfId="11755"/>
    <cellStyle name="Calculation 2 2 3 2_Sheet1" xfId="11756"/>
    <cellStyle name="Calculation 2 2 3 3" xfId="11757"/>
    <cellStyle name="Calculation 2 2 3 3 2" xfId="11758"/>
    <cellStyle name="Calculation 2 2 3 3 2 2" xfId="11759"/>
    <cellStyle name="Calculation 2 2 3 3 2_Sheet1" xfId="11760"/>
    <cellStyle name="Calculation 2 2 3 3 3" xfId="11761"/>
    <cellStyle name="Calculation 2 2 3 3_Sheet1" xfId="11762"/>
    <cellStyle name="Calculation 2 2 3 4" xfId="11763"/>
    <cellStyle name="Calculation 2 2 3 4 2" xfId="11764"/>
    <cellStyle name="Calculation 2 2 3 4 2 2" xfId="11765"/>
    <cellStyle name="Calculation 2 2 3 4 2_Sheet1" xfId="11766"/>
    <cellStyle name="Calculation 2 2 3 4 3" xfId="11767"/>
    <cellStyle name="Calculation 2 2 3 4_Sheet1" xfId="11768"/>
    <cellStyle name="Calculation 2 2 3 5" xfId="11769"/>
    <cellStyle name="Calculation 2 2 3_Sheet1" xfId="11770"/>
    <cellStyle name="Calculation 2 2 4" xfId="11771"/>
    <cellStyle name="Calculation 2 2 4 2" xfId="11772"/>
    <cellStyle name="Calculation 2 2 4 2 2" xfId="11773"/>
    <cellStyle name="Calculation 2 2 4 2 2 2" xfId="11774"/>
    <cellStyle name="Calculation 2 2 4 2 2_Sheet1" xfId="11775"/>
    <cellStyle name="Calculation 2 2 4 2 3" xfId="11776"/>
    <cellStyle name="Calculation 2 2 4 2_Sheet1" xfId="11777"/>
    <cellStyle name="Calculation 2 2 4 3" xfId="11778"/>
    <cellStyle name="Calculation 2 2 4 3 2" xfId="11779"/>
    <cellStyle name="Calculation 2 2 4 3 2 2" xfId="11780"/>
    <cellStyle name="Calculation 2 2 4 3 2_Sheet1" xfId="11781"/>
    <cellStyle name="Calculation 2 2 4 3 3" xfId="11782"/>
    <cellStyle name="Calculation 2 2 4 3_Sheet1" xfId="11783"/>
    <cellStyle name="Calculation 2 2 4 4" xfId="11784"/>
    <cellStyle name="Calculation 2 2 4 4 2" xfId="11785"/>
    <cellStyle name="Calculation 2 2 4 4 2 2" xfId="11786"/>
    <cellStyle name="Calculation 2 2 4 4 2_Sheet1" xfId="11787"/>
    <cellStyle name="Calculation 2 2 4 4 3" xfId="11788"/>
    <cellStyle name="Calculation 2 2 4 4_Sheet1" xfId="11789"/>
    <cellStyle name="Calculation 2 2 4 5" xfId="11790"/>
    <cellStyle name="Calculation 2 2 4_Sheet1" xfId="11791"/>
    <cellStyle name="Calculation 2 2 5" xfId="11792"/>
    <cellStyle name="Calculation 2 2 5 2" xfId="11793"/>
    <cellStyle name="Calculation 2 2 5 2 2" xfId="11794"/>
    <cellStyle name="Calculation 2 2 5 2 2 2" xfId="11795"/>
    <cellStyle name="Calculation 2 2 5 2 2_Sheet1" xfId="11796"/>
    <cellStyle name="Calculation 2 2 5 2 3" xfId="11797"/>
    <cellStyle name="Calculation 2 2 5 2_Sheet1" xfId="11798"/>
    <cellStyle name="Calculation 2 2 5 3" xfId="11799"/>
    <cellStyle name="Calculation 2 2 5 3 2" xfId="11800"/>
    <cellStyle name="Calculation 2 2 5 3 2 2" xfId="11801"/>
    <cellStyle name="Calculation 2 2 5 3 2_Sheet1" xfId="11802"/>
    <cellStyle name="Calculation 2 2 5 3 3" xfId="11803"/>
    <cellStyle name="Calculation 2 2 5 3_Sheet1" xfId="11804"/>
    <cellStyle name="Calculation 2 2 5 4" xfId="11805"/>
    <cellStyle name="Calculation 2 2 5 4 2" xfId="11806"/>
    <cellStyle name="Calculation 2 2 5 4 2 2" xfId="11807"/>
    <cellStyle name="Calculation 2 2 5 4 2_Sheet1" xfId="11808"/>
    <cellStyle name="Calculation 2 2 5 4 3" xfId="11809"/>
    <cellStyle name="Calculation 2 2 5 4_Sheet1" xfId="11810"/>
    <cellStyle name="Calculation 2 2 5 5" xfId="11811"/>
    <cellStyle name="Calculation 2 2 5_Sheet1" xfId="11812"/>
    <cellStyle name="Calculation 2 2 6" xfId="11813"/>
    <cellStyle name="Calculation 2 2 6 2" xfId="11814"/>
    <cellStyle name="Calculation 2 2 6 2 2" xfId="11815"/>
    <cellStyle name="Calculation 2 2 6 2 2 2" xfId="11816"/>
    <cellStyle name="Calculation 2 2 6 2 2_Sheet1" xfId="11817"/>
    <cellStyle name="Calculation 2 2 6 2 3" xfId="11818"/>
    <cellStyle name="Calculation 2 2 6 2_Sheet1" xfId="11819"/>
    <cellStyle name="Calculation 2 2 6 3" xfId="11820"/>
    <cellStyle name="Calculation 2 2 6 3 2" xfId="11821"/>
    <cellStyle name="Calculation 2 2 6 3 2 2" xfId="11822"/>
    <cellStyle name="Calculation 2 2 6 3 2_Sheet1" xfId="11823"/>
    <cellStyle name="Calculation 2 2 6 3 3" xfId="11824"/>
    <cellStyle name="Calculation 2 2 6 3_Sheet1" xfId="11825"/>
    <cellStyle name="Calculation 2 2 6 4" xfId="11826"/>
    <cellStyle name="Calculation 2 2 6 4 2" xfId="11827"/>
    <cellStyle name="Calculation 2 2 6 4 2 2" xfId="11828"/>
    <cellStyle name="Calculation 2 2 6 4 2_Sheet1" xfId="11829"/>
    <cellStyle name="Calculation 2 2 6 4 3" xfId="11830"/>
    <cellStyle name="Calculation 2 2 6 4_Sheet1" xfId="11831"/>
    <cellStyle name="Calculation 2 2 6 5" xfId="11832"/>
    <cellStyle name="Calculation 2 2 6_Sheet1" xfId="11833"/>
    <cellStyle name="Calculation 2 2 7" xfId="11834"/>
    <cellStyle name="Calculation 2 2 7 2" xfId="11835"/>
    <cellStyle name="Calculation 2 2 7 2 2" xfId="11836"/>
    <cellStyle name="Calculation 2 2 7 2 2 2" xfId="11837"/>
    <cellStyle name="Calculation 2 2 7 2 2_Sheet1" xfId="11838"/>
    <cellStyle name="Calculation 2 2 7 2 3" xfId="11839"/>
    <cellStyle name="Calculation 2 2 7 2_Sheet1" xfId="11840"/>
    <cellStyle name="Calculation 2 2 7 3" xfId="11841"/>
    <cellStyle name="Calculation 2 2 7 3 2" xfId="11842"/>
    <cellStyle name="Calculation 2 2 7 3 2 2" xfId="11843"/>
    <cellStyle name="Calculation 2 2 7 3 2_Sheet1" xfId="11844"/>
    <cellStyle name="Calculation 2 2 7 3 3" xfId="11845"/>
    <cellStyle name="Calculation 2 2 7 3_Sheet1" xfId="11846"/>
    <cellStyle name="Calculation 2 2 7 4" xfId="11847"/>
    <cellStyle name="Calculation 2 2 7 4 2" xfId="11848"/>
    <cellStyle name="Calculation 2 2 7 4 2 2" xfId="11849"/>
    <cellStyle name="Calculation 2 2 7 4 2_Sheet1" xfId="11850"/>
    <cellStyle name="Calculation 2 2 7 4 3" xfId="11851"/>
    <cellStyle name="Calculation 2 2 7 4_Sheet1" xfId="11852"/>
    <cellStyle name="Calculation 2 2 7 5" xfId="11853"/>
    <cellStyle name="Calculation 2 2 7_Sheet1" xfId="11854"/>
    <cellStyle name="Calculation 2 2 8" xfId="11855"/>
    <cellStyle name="Calculation 2 2 8 2" xfId="11856"/>
    <cellStyle name="Calculation 2 2 8 2 2" xfId="11857"/>
    <cellStyle name="Calculation 2 2 8 2 2 2" xfId="11858"/>
    <cellStyle name="Calculation 2 2 8 2 2_Sheet1" xfId="11859"/>
    <cellStyle name="Calculation 2 2 8 2 3" xfId="11860"/>
    <cellStyle name="Calculation 2 2 8 2_Sheet1" xfId="11861"/>
    <cellStyle name="Calculation 2 2 8 3" xfId="11862"/>
    <cellStyle name="Calculation 2 2 8 3 2" xfId="11863"/>
    <cellStyle name="Calculation 2 2 8 3 2 2" xfId="11864"/>
    <cellStyle name="Calculation 2 2 8 3 2_Sheet1" xfId="11865"/>
    <cellStyle name="Calculation 2 2 8 3 3" xfId="11866"/>
    <cellStyle name="Calculation 2 2 8 3_Sheet1" xfId="11867"/>
    <cellStyle name="Calculation 2 2 8 4" xfId="11868"/>
    <cellStyle name="Calculation 2 2 8 4 2" xfId="11869"/>
    <cellStyle name="Calculation 2 2 8 4 2 2" xfId="11870"/>
    <cellStyle name="Calculation 2 2 8 4 2_Sheet1" xfId="11871"/>
    <cellStyle name="Calculation 2 2 8 4 3" xfId="11872"/>
    <cellStyle name="Calculation 2 2 8 4_Sheet1" xfId="11873"/>
    <cellStyle name="Calculation 2 2 8 5" xfId="11874"/>
    <cellStyle name="Calculation 2 2 8_Sheet1" xfId="11875"/>
    <cellStyle name="Calculation 2 2 9" xfId="11876"/>
    <cellStyle name="Calculation 2 2 9 2" xfId="11877"/>
    <cellStyle name="Calculation 2 2 9 2 2" xfId="11878"/>
    <cellStyle name="Calculation 2 2 9 2 2 2" xfId="11879"/>
    <cellStyle name="Calculation 2 2 9 2 2_Sheet1" xfId="11880"/>
    <cellStyle name="Calculation 2 2 9 2 3" xfId="11881"/>
    <cellStyle name="Calculation 2 2 9 2_Sheet1" xfId="11882"/>
    <cellStyle name="Calculation 2 2 9 3" xfId="11883"/>
    <cellStyle name="Calculation 2 2 9 3 2" xfId="11884"/>
    <cellStyle name="Calculation 2 2 9 3 2 2" xfId="11885"/>
    <cellStyle name="Calculation 2 2 9 3 2_Sheet1" xfId="11886"/>
    <cellStyle name="Calculation 2 2 9 3 3" xfId="11887"/>
    <cellStyle name="Calculation 2 2 9 3_Sheet1" xfId="11888"/>
    <cellStyle name="Calculation 2 2 9 4" xfId="11889"/>
    <cellStyle name="Calculation 2 2 9 4 2" xfId="11890"/>
    <cellStyle name="Calculation 2 2 9 4 2 2" xfId="11891"/>
    <cellStyle name="Calculation 2 2 9 4 2_Sheet1" xfId="11892"/>
    <cellStyle name="Calculation 2 2 9 4 3" xfId="11893"/>
    <cellStyle name="Calculation 2 2 9 4_Sheet1" xfId="11894"/>
    <cellStyle name="Calculation 2 2 9 5" xfId="11895"/>
    <cellStyle name="Calculation 2 2 9_Sheet1" xfId="11896"/>
    <cellStyle name="Calculation 2 2_Sheet1" xfId="11897"/>
    <cellStyle name="Calculation 2 20" xfId="11898"/>
    <cellStyle name="Calculation 2 20 2" xfId="11899"/>
    <cellStyle name="Calculation 2 20 2 2" xfId="11900"/>
    <cellStyle name="Calculation 2 20 2 2 2" xfId="11901"/>
    <cellStyle name="Calculation 2 20 2 2_Sheet1" xfId="11902"/>
    <cellStyle name="Calculation 2 20 2 3" xfId="11903"/>
    <cellStyle name="Calculation 2 20 2_Sheet1" xfId="11904"/>
    <cellStyle name="Calculation 2 20 3" xfId="11905"/>
    <cellStyle name="Calculation 2 20 3 2" xfId="11906"/>
    <cellStyle name="Calculation 2 20 3 2 2" xfId="11907"/>
    <cellStyle name="Calculation 2 20 3 2_Sheet1" xfId="11908"/>
    <cellStyle name="Calculation 2 20 3 3" xfId="11909"/>
    <cellStyle name="Calculation 2 20 3_Sheet1" xfId="11910"/>
    <cellStyle name="Calculation 2 20 4" xfId="11911"/>
    <cellStyle name="Calculation 2 20 4 2" xfId="11912"/>
    <cellStyle name="Calculation 2 20 4 2 2" xfId="11913"/>
    <cellStyle name="Calculation 2 20 4 2_Sheet1" xfId="11914"/>
    <cellStyle name="Calculation 2 20 4 3" xfId="11915"/>
    <cellStyle name="Calculation 2 20 4_Sheet1" xfId="11916"/>
    <cellStyle name="Calculation 2 20 5" xfId="11917"/>
    <cellStyle name="Calculation 2 20_Sheet1" xfId="11918"/>
    <cellStyle name="Calculation 2 21" xfId="11919"/>
    <cellStyle name="Calculation 2 21 2" xfId="11920"/>
    <cellStyle name="Calculation 2 21 2 2" xfId="11921"/>
    <cellStyle name="Calculation 2 21 2 2 2" xfId="11922"/>
    <cellStyle name="Calculation 2 21 2 2_Sheet1" xfId="11923"/>
    <cellStyle name="Calculation 2 21 2 3" xfId="11924"/>
    <cellStyle name="Calculation 2 21 2_Sheet1" xfId="11925"/>
    <cellStyle name="Calculation 2 21 3" xfId="11926"/>
    <cellStyle name="Calculation 2 21 3 2" xfId="11927"/>
    <cellStyle name="Calculation 2 21 3 2 2" xfId="11928"/>
    <cellStyle name="Calculation 2 21 3 2_Sheet1" xfId="11929"/>
    <cellStyle name="Calculation 2 21 3 3" xfId="11930"/>
    <cellStyle name="Calculation 2 21 3_Sheet1" xfId="11931"/>
    <cellStyle name="Calculation 2 21 4" xfId="11932"/>
    <cellStyle name="Calculation 2 21 4 2" xfId="11933"/>
    <cellStyle name="Calculation 2 21 4 2 2" xfId="11934"/>
    <cellStyle name="Calculation 2 21 4 2_Sheet1" xfId="11935"/>
    <cellStyle name="Calculation 2 21 4 3" xfId="11936"/>
    <cellStyle name="Calculation 2 21 4_Sheet1" xfId="11937"/>
    <cellStyle name="Calculation 2 21 5" xfId="11938"/>
    <cellStyle name="Calculation 2 21_Sheet1" xfId="11939"/>
    <cellStyle name="Calculation 2 22" xfId="11940"/>
    <cellStyle name="Calculation 2 22 2" xfId="11941"/>
    <cellStyle name="Calculation 2 22 2 2" xfId="11942"/>
    <cellStyle name="Calculation 2 22 2 2 2" xfId="11943"/>
    <cellStyle name="Calculation 2 22 2 2_Sheet1" xfId="11944"/>
    <cellStyle name="Calculation 2 22 2 3" xfId="11945"/>
    <cellStyle name="Calculation 2 22 2_Sheet1" xfId="11946"/>
    <cellStyle name="Calculation 2 22 3" xfId="11947"/>
    <cellStyle name="Calculation 2 22 3 2" xfId="11948"/>
    <cellStyle name="Calculation 2 22 3 2 2" xfId="11949"/>
    <cellStyle name="Calculation 2 22 3 2_Sheet1" xfId="11950"/>
    <cellStyle name="Calculation 2 22 3 3" xfId="11951"/>
    <cellStyle name="Calculation 2 22 3_Sheet1" xfId="11952"/>
    <cellStyle name="Calculation 2 22 4" xfId="11953"/>
    <cellStyle name="Calculation 2 22 4 2" xfId="11954"/>
    <cellStyle name="Calculation 2 22 4 2 2" xfId="11955"/>
    <cellStyle name="Calculation 2 22 4 2_Sheet1" xfId="11956"/>
    <cellStyle name="Calculation 2 22 4 3" xfId="11957"/>
    <cellStyle name="Calculation 2 22 4_Sheet1" xfId="11958"/>
    <cellStyle name="Calculation 2 22 5" xfId="11959"/>
    <cellStyle name="Calculation 2 22_Sheet1" xfId="11960"/>
    <cellStyle name="Calculation 2 23" xfId="11961"/>
    <cellStyle name="Calculation 2 23 2" xfId="11962"/>
    <cellStyle name="Calculation 2 23 2 2" xfId="11963"/>
    <cellStyle name="Calculation 2 23 2 2 2" xfId="11964"/>
    <cellStyle name="Calculation 2 23 2 2_Sheet1" xfId="11965"/>
    <cellStyle name="Calculation 2 23 2 3" xfId="11966"/>
    <cellStyle name="Calculation 2 23 2_Sheet1" xfId="11967"/>
    <cellStyle name="Calculation 2 23 3" xfId="11968"/>
    <cellStyle name="Calculation 2 23 3 2" xfId="11969"/>
    <cellStyle name="Calculation 2 23 3 2 2" xfId="11970"/>
    <cellStyle name="Calculation 2 23 3 2_Sheet1" xfId="11971"/>
    <cellStyle name="Calculation 2 23 3 3" xfId="11972"/>
    <cellStyle name="Calculation 2 23 3_Sheet1" xfId="11973"/>
    <cellStyle name="Calculation 2 23 4" xfId="11974"/>
    <cellStyle name="Calculation 2 23 4 2" xfId="11975"/>
    <cellStyle name="Calculation 2 23 4 2 2" xfId="11976"/>
    <cellStyle name="Calculation 2 23 4 2_Sheet1" xfId="11977"/>
    <cellStyle name="Calculation 2 23 4 3" xfId="11978"/>
    <cellStyle name="Calculation 2 23 4_Sheet1" xfId="11979"/>
    <cellStyle name="Calculation 2 23 5" xfId="11980"/>
    <cellStyle name="Calculation 2 23_Sheet1" xfId="11981"/>
    <cellStyle name="Calculation 2 24" xfId="11982"/>
    <cellStyle name="Calculation 2 24 2" xfId="11983"/>
    <cellStyle name="Calculation 2 24 2 2" xfId="11984"/>
    <cellStyle name="Calculation 2 24 2 2 2" xfId="11985"/>
    <cellStyle name="Calculation 2 24 2 2_Sheet1" xfId="11986"/>
    <cellStyle name="Calculation 2 24 2 3" xfId="11987"/>
    <cellStyle name="Calculation 2 24 2_Sheet1" xfId="11988"/>
    <cellStyle name="Calculation 2 24 3" xfId="11989"/>
    <cellStyle name="Calculation 2 24 3 2" xfId="11990"/>
    <cellStyle name="Calculation 2 24 3 2 2" xfId="11991"/>
    <cellStyle name="Calculation 2 24 3 2_Sheet1" xfId="11992"/>
    <cellStyle name="Calculation 2 24 3 3" xfId="11993"/>
    <cellStyle name="Calculation 2 24 3_Sheet1" xfId="11994"/>
    <cellStyle name="Calculation 2 24 4" xfId="11995"/>
    <cellStyle name="Calculation 2 24 4 2" xfId="11996"/>
    <cellStyle name="Calculation 2 24 4 2 2" xfId="11997"/>
    <cellStyle name="Calculation 2 24 4 2_Sheet1" xfId="11998"/>
    <cellStyle name="Calculation 2 24 4 3" xfId="11999"/>
    <cellStyle name="Calculation 2 24 4_Sheet1" xfId="12000"/>
    <cellStyle name="Calculation 2 24 5" xfId="12001"/>
    <cellStyle name="Calculation 2 24_Sheet1" xfId="12002"/>
    <cellStyle name="Calculation 2 25" xfId="12003"/>
    <cellStyle name="Calculation 2 25 2" xfId="12004"/>
    <cellStyle name="Calculation 2 25 2 2" xfId="12005"/>
    <cellStyle name="Calculation 2 25 2 2 2" xfId="12006"/>
    <cellStyle name="Calculation 2 25 2 2_Sheet1" xfId="12007"/>
    <cellStyle name="Calculation 2 25 2 3" xfId="12008"/>
    <cellStyle name="Calculation 2 25 2_Sheet1" xfId="12009"/>
    <cellStyle name="Calculation 2 25 3" xfId="12010"/>
    <cellStyle name="Calculation 2 25 3 2" xfId="12011"/>
    <cellStyle name="Calculation 2 25 3 2 2" xfId="12012"/>
    <cellStyle name="Calculation 2 25 3 2_Sheet1" xfId="12013"/>
    <cellStyle name="Calculation 2 25 3 3" xfId="12014"/>
    <cellStyle name="Calculation 2 25 3_Sheet1" xfId="12015"/>
    <cellStyle name="Calculation 2 25 4" xfId="12016"/>
    <cellStyle name="Calculation 2 25 4 2" xfId="12017"/>
    <cellStyle name="Calculation 2 25 4 2 2" xfId="12018"/>
    <cellStyle name="Calculation 2 25 4 2_Sheet1" xfId="12019"/>
    <cellStyle name="Calculation 2 25 4 3" xfId="12020"/>
    <cellStyle name="Calculation 2 25 4_Sheet1" xfId="12021"/>
    <cellStyle name="Calculation 2 25 5" xfId="12022"/>
    <cellStyle name="Calculation 2 25_Sheet1" xfId="12023"/>
    <cellStyle name="Calculation 2 26" xfId="12024"/>
    <cellStyle name="Calculation 2 26 2" xfId="12025"/>
    <cellStyle name="Calculation 2 26 2 2" xfId="12026"/>
    <cellStyle name="Calculation 2 26 2 2 2" xfId="12027"/>
    <cellStyle name="Calculation 2 26 2 2_Sheet1" xfId="12028"/>
    <cellStyle name="Calculation 2 26 2 3" xfId="12029"/>
    <cellStyle name="Calculation 2 26 2_Sheet1" xfId="12030"/>
    <cellStyle name="Calculation 2 26 3" xfId="12031"/>
    <cellStyle name="Calculation 2 26 3 2" xfId="12032"/>
    <cellStyle name="Calculation 2 26 3 2 2" xfId="12033"/>
    <cellStyle name="Calculation 2 26 3 2_Sheet1" xfId="12034"/>
    <cellStyle name="Calculation 2 26 3 3" xfId="12035"/>
    <cellStyle name="Calculation 2 26 3_Sheet1" xfId="12036"/>
    <cellStyle name="Calculation 2 26 4" xfId="12037"/>
    <cellStyle name="Calculation 2 26 4 2" xfId="12038"/>
    <cellStyle name="Calculation 2 26 4 2 2" xfId="12039"/>
    <cellStyle name="Calculation 2 26 4 2_Sheet1" xfId="12040"/>
    <cellStyle name="Calculation 2 26 4 3" xfId="12041"/>
    <cellStyle name="Calculation 2 26 4_Sheet1" xfId="12042"/>
    <cellStyle name="Calculation 2 26 5" xfId="12043"/>
    <cellStyle name="Calculation 2 26_Sheet1" xfId="12044"/>
    <cellStyle name="Calculation 2 27" xfId="12045"/>
    <cellStyle name="Calculation 2 27 2" xfId="12046"/>
    <cellStyle name="Calculation 2 27 2 2" xfId="12047"/>
    <cellStyle name="Calculation 2 27 2 2 2" xfId="12048"/>
    <cellStyle name="Calculation 2 27 2 2_Sheet1" xfId="12049"/>
    <cellStyle name="Calculation 2 27 2 3" xfId="12050"/>
    <cellStyle name="Calculation 2 27 2_Sheet1" xfId="12051"/>
    <cellStyle name="Calculation 2 27 3" xfId="12052"/>
    <cellStyle name="Calculation 2 27 3 2" xfId="12053"/>
    <cellStyle name="Calculation 2 27 3 2 2" xfId="12054"/>
    <cellStyle name="Calculation 2 27 3 2_Sheet1" xfId="12055"/>
    <cellStyle name="Calculation 2 27 3 3" xfId="12056"/>
    <cellStyle name="Calculation 2 27 3_Sheet1" xfId="12057"/>
    <cellStyle name="Calculation 2 27 4" xfId="12058"/>
    <cellStyle name="Calculation 2 27 4 2" xfId="12059"/>
    <cellStyle name="Calculation 2 27 4 2 2" xfId="12060"/>
    <cellStyle name="Calculation 2 27 4 2_Sheet1" xfId="12061"/>
    <cellStyle name="Calculation 2 27 4 3" xfId="12062"/>
    <cellStyle name="Calculation 2 27 4_Sheet1" xfId="12063"/>
    <cellStyle name="Calculation 2 27 5" xfId="12064"/>
    <cellStyle name="Calculation 2 27_Sheet1" xfId="12065"/>
    <cellStyle name="Calculation 2 28" xfId="12066"/>
    <cellStyle name="Calculation 2 28 2" xfId="12067"/>
    <cellStyle name="Calculation 2 28 2 2" xfId="12068"/>
    <cellStyle name="Calculation 2 28 2 2 2" xfId="12069"/>
    <cellStyle name="Calculation 2 28 2 2_Sheet1" xfId="12070"/>
    <cellStyle name="Calculation 2 28 2 3" xfId="12071"/>
    <cellStyle name="Calculation 2 28 2_Sheet1" xfId="12072"/>
    <cellStyle name="Calculation 2 28 3" xfId="12073"/>
    <cellStyle name="Calculation 2 28 3 2" xfId="12074"/>
    <cellStyle name="Calculation 2 28 3 2 2" xfId="12075"/>
    <cellStyle name="Calculation 2 28 3 2_Sheet1" xfId="12076"/>
    <cellStyle name="Calculation 2 28 3 3" xfId="12077"/>
    <cellStyle name="Calculation 2 28 3_Sheet1" xfId="12078"/>
    <cellStyle name="Calculation 2 28 4" xfId="12079"/>
    <cellStyle name="Calculation 2 28 4 2" xfId="12080"/>
    <cellStyle name="Calculation 2 28 4 2 2" xfId="12081"/>
    <cellStyle name="Calculation 2 28 4 2_Sheet1" xfId="12082"/>
    <cellStyle name="Calculation 2 28 4 3" xfId="12083"/>
    <cellStyle name="Calculation 2 28 4_Sheet1" xfId="12084"/>
    <cellStyle name="Calculation 2 28 5" xfId="12085"/>
    <cellStyle name="Calculation 2 28_Sheet1" xfId="12086"/>
    <cellStyle name="Calculation 2 29" xfId="12087"/>
    <cellStyle name="Calculation 2 29 2" xfId="12088"/>
    <cellStyle name="Calculation 2 29 2 2" xfId="12089"/>
    <cellStyle name="Calculation 2 29 2 2 2" xfId="12090"/>
    <cellStyle name="Calculation 2 29 2 2_Sheet1" xfId="12091"/>
    <cellStyle name="Calculation 2 29 2 3" xfId="12092"/>
    <cellStyle name="Calculation 2 29 2_Sheet1" xfId="12093"/>
    <cellStyle name="Calculation 2 29 3" xfId="12094"/>
    <cellStyle name="Calculation 2 29 3 2" xfId="12095"/>
    <cellStyle name="Calculation 2 29 3 2 2" xfId="12096"/>
    <cellStyle name="Calculation 2 29 3 2_Sheet1" xfId="12097"/>
    <cellStyle name="Calculation 2 29 3 3" xfId="12098"/>
    <cellStyle name="Calculation 2 29 3_Sheet1" xfId="12099"/>
    <cellStyle name="Calculation 2 29 4" xfId="12100"/>
    <cellStyle name="Calculation 2 29 4 2" xfId="12101"/>
    <cellStyle name="Calculation 2 29 4 2 2" xfId="12102"/>
    <cellStyle name="Calculation 2 29 4 2_Sheet1" xfId="12103"/>
    <cellStyle name="Calculation 2 29 4 3" xfId="12104"/>
    <cellStyle name="Calculation 2 29 4_Sheet1" xfId="12105"/>
    <cellStyle name="Calculation 2 29 5" xfId="12106"/>
    <cellStyle name="Calculation 2 29_Sheet1" xfId="12107"/>
    <cellStyle name="Calculation 2 3" xfId="12108"/>
    <cellStyle name="Calculation 2 3 10" xfId="12109"/>
    <cellStyle name="Calculation 2 3 10 2" xfId="12110"/>
    <cellStyle name="Calculation 2 3 10 2 2" xfId="12111"/>
    <cellStyle name="Calculation 2 3 10 2_Sheet1" xfId="12112"/>
    <cellStyle name="Calculation 2 3 10 3" xfId="12113"/>
    <cellStyle name="Calculation 2 3 10_Sheet1" xfId="12114"/>
    <cellStyle name="Calculation 2 3 11" xfId="12115"/>
    <cellStyle name="Calculation 2 3 11 2" xfId="12116"/>
    <cellStyle name="Calculation 2 3 11 2 2" xfId="12117"/>
    <cellStyle name="Calculation 2 3 11 2_Sheet1" xfId="12118"/>
    <cellStyle name="Calculation 2 3 11 3" xfId="12119"/>
    <cellStyle name="Calculation 2 3 11_Sheet1" xfId="12120"/>
    <cellStyle name="Calculation 2 3 12" xfId="12121"/>
    <cellStyle name="Calculation 2 3 12 2" xfId="12122"/>
    <cellStyle name="Calculation 2 3 12 2 2" xfId="12123"/>
    <cellStyle name="Calculation 2 3 12 2_Sheet1" xfId="12124"/>
    <cellStyle name="Calculation 2 3 12 3" xfId="12125"/>
    <cellStyle name="Calculation 2 3 12_Sheet1" xfId="12126"/>
    <cellStyle name="Calculation 2 3 13" xfId="12127"/>
    <cellStyle name="Calculation 2 3 2" xfId="12128"/>
    <cellStyle name="Calculation 2 3 2 2" xfId="12129"/>
    <cellStyle name="Calculation 2 3 2 2 2" xfId="12130"/>
    <cellStyle name="Calculation 2 3 2 2 2 2" xfId="12131"/>
    <cellStyle name="Calculation 2 3 2 2 2_Sheet1" xfId="12132"/>
    <cellStyle name="Calculation 2 3 2 2 3" xfId="12133"/>
    <cellStyle name="Calculation 2 3 2 2_Sheet1" xfId="12134"/>
    <cellStyle name="Calculation 2 3 2 3" xfId="12135"/>
    <cellStyle name="Calculation 2 3 2 3 2" xfId="12136"/>
    <cellStyle name="Calculation 2 3 2 3 2 2" xfId="12137"/>
    <cellStyle name="Calculation 2 3 2 3 2_Sheet1" xfId="12138"/>
    <cellStyle name="Calculation 2 3 2 3 3" xfId="12139"/>
    <cellStyle name="Calculation 2 3 2 3_Sheet1" xfId="12140"/>
    <cellStyle name="Calculation 2 3 2 4" xfId="12141"/>
    <cellStyle name="Calculation 2 3 2 4 2" xfId="12142"/>
    <cellStyle name="Calculation 2 3 2 4 2 2" xfId="12143"/>
    <cellStyle name="Calculation 2 3 2 4 2_Sheet1" xfId="12144"/>
    <cellStyle name="Calculation 2 3 2 4 3" xfId="12145"/>
    <cellStyle name="Calculation 2 3 2 4_Sheet1" xfId="12146"/>
    <cellStyle name="Calculation 2 3 2 5" xfId="12147"/>
    <cellStyle name="Calculation 2 3 2_Sheet1" xfId="12148"/>
    <cellStyle name="Calculation 2 3 3" xfId="12149"/>
    <cellStyle name="Calculation 2 3 3 2" xfId="12150"/>
    <cellStyle name="Calculation 2 3 3 2 2" xfId="12151"/>
    <cellStyle name="Calculation 2 3 3 2 2 2" xfId="12152"/>
    <cellStyle name="Calculation 2 3 3 2 2_Sheet1" xfId="12153"/>
    <cellStyle name="Calculation 2 3 3 2 3" xfId="12154"/>
    <cellStyle name="Calculation 2 3 3 2_Sheet1" xfId="12155"/>
    <cellStyle name="Calculation 2 3 3 3" xfId="12156"/>
    <cellStyle name="Calculation 2 3 3 3 2" xfId="12157"/>
    <cellStyle name="Calculation 2 3 3 3 2 2" xfId="12158"/>
    <cellStyle name="Calculation 2 3 3 3 2_Sheet1" xfId="12159"/>
    <cellStyle name="Calculation 2 3 3 3 3" xfId="12160"/>
    <cellStyle name="Calculation 2 3 3 3_Sheet1" xfId="12161"/>
    <cellStyle name="Calculation 2 3 3 4" xfId="12162"/>
    <cellStyle name="Calculation 2 3 3 4 2" xfId="12163"/>
    <cellStyle name="Calculation 2 3 3 4 2 2" xfId="12164"/>
    <cellStyle name="Calculation 2 3 3 4 2_Sheet1" xfId="12165"/>
    <cellStyle name="Calculation 2 3 3 4 3" xfId="12166"/>
    <cellStyle name="Calculation 2 3 3 4_Sheet1" xfId="12167"/>
    <cellStyle name="Calculation 2 3 3 5" xfId="12168"/>
    <cellStyle name="Calculation 2 3 3_Sheet1" xfId="12169"/>
    <cellStyle name="Calculation 2 3 4" xfId="12170"/>
    <cellStyle name="Calculation 2 3 4 2" xfId="12171"/>
    <cellStyle name="Calculation 2 3 4 2 2" xfId="12172"/>
    <cellStyle name="Calculation 2 3 4 2 2 2" xfId="12173"/>
    <cellStyle name="Calculation 2 3 4 2 2_Sheet1" xfId="12174"/>
    <cellStyle name="Calculation 2 3 4 2 3" xfId="12175"/>
    <cellStyle name="Calculation 2 3 4 2_Sheet1" xfId="12176"/>
    <cellStyle name="Calculation 2 3 4 3" xfId="12177"/>
    <cellStyle name="Calculation 2 3 4 3 2" xfId="12178"/>
    <cellStyle name="Calculation 2 3 4 3 2 2" xfId="12179"/>
    <cellStyle name="Calculation 2 3 4 3 2_Sheet1" xfId="12180"/>
    <cellStyle name="Calculation 2 3 4 3 3" xfId="12181"/>
    <cellStyle name="Calculation 2 3 4 3_Sheet1" xfId="12182"/>
    <cellStyle name="Calculation 2 3 4 4" xfId="12183"/>
    <cellStyle name="Calculation 2 3 4 4 2" xfId="12184"/>
    <cellStyle name="Calculation 2 3 4 4 2 2" xfId="12185"/>
    <cellStyle name="Calculation 2 3 4 4 2_Sheet1" xfId="12186"/>
    <cellStyle name="Calculation 2 3 4 4 3" xfId="12187"/>
    <cellStyle name="Calculation 2 3 4 4_Sheet1" xfId="12188"/>
    <cellStyle name="Calculation 2 3 4 5" xfId="12189"/>
    <cellStyle name="Calculation 2 3 4_Sheet1" xfId="12190"/>
    <cellStyle name="Calculation 2 3 5" xfId="12191"/>
    <cellStyle name="Calculation 2 3 5 2" xfId="12192"/>
    <cellStyle name="Calculation 2 3 5 2 2" xfId="12193"/>
    <cellStyle name="Calculation 2 3 5 2 2 2" xfId="12194"/>
    <cellStyle name="Calculation 2 3 5 2 2_Sheet1" xfId="12195"/>
    <cellStyle name="Calculation 2 3 5 2 3" xfId="12196"/>
    <cellStyle name="Calculation 2 3 5 2_Sheet1" xfId="12197"/>
    <cellStyle name="Calculation 2 3 5 3" xfId="12198"/>
    <cellStyle name="Calculation 2 3 5 3 2" xfId="12199"/>
    <cellStyle name="Calculation 2 3 5 3 2 2" xfId="12200"/>
    <cellStyle name="Calculation 2 3 5 3 2_Sheet1" xfId="12201"/>
    <cellStyle name="Calculation 2 3 5 3 3" xfId="12202"/>
    <cellStyle name="Calculation 2 3 5 3_Sheet1" xfId="12203"/>
    <cellStyle name="Calculation 2 3 5 4" xfId="12204"/>
    <cellStyle name="Calculation 2 3 5 4 2" xfId="12205"/>
    <cellStyle name="Calculation 2 3 5 4 2 2" xfId="12206"/>
    <cellStyle name="Calculation 2 3 5 4 2_Sheet1" xfId="12207"/>
    <cellStyle name="Calculation 2 3 5 4 3" xfId="12208"/>
    <cellStyle name="Calculation 2 3 5 4_Sheet1" xfId="12209"/>
    <cellStyle name="Calculation 2 3 5 5" xfId="12210"/>
    <cellStyle name="Calculation 2 3 5_Sheet1" xfId="12211"/>
    <cellStyle name="Calculation 2 3 6" xfId="12212"/>
    <cellStyle name="Calculation 2 3 6 2" xfId="12213"/>
    <cellStyle name="Calculation 2 3 6 2 2" xfId="12214"/>
    <cellStyle name="Calculation 2 3 6 2 2 2" xfId="12215"/>
    <cellStyle name="Calculation 2 3 6 2 2_Sheet1" xfId="12216"/>
    <cellStyle name="Calculation 2 3 6 2 3" xfId="12217"/>
    <cellStyle name="Calculation 2 3 6 2_Sheet1" xfId="12218"/>
    <cellStyle name="Calculation 2 3 6 3" xfId="12219"/>
    <cellStyle name="Calculation 2 3 6 3 2" xfId="12220"/>
    <cellStyle name="Calculation 2 3 6 3 2 2" xfId="12221"/>
    <cellStyle name="Calculation 2 3 6 3 2_Sheet1" xfId="12222"/>
    <cellStyle name="Calculation 2 3 6 3 3" xfId="12223"/>
    <cellStyle name="Calculation 2 3 6 3_Sheet1" xfId="12224"/>
    <cellStyle name="Calculation 2 3 6 4" xfId="12225"/>
    <cellStyle name="Calculation 2 3 6 4 2" xfId="12226"/>
    <cellStyle name="Calculation 2 3 6 4 2 2" xfId="12227"/>
    <cellStyle name="Calculation 2 3 6 4 2_Sheet1" xfId="12228"/>
    <cellStyle name="Calculation 2 3 6 4 3" xfId="12229"/>
    <cellStyle name="Calculation 2 3 6 4_Sheet1" xfId="12230"/>
    <cellStyle name="Calculation 2 3 6 5" xfId="12231"/>
    <cellStyle name="Calculation 2 3 6_Sheet1" xfId="12232"/>
    <cellStyle name="Calculation 2 3 7" xfId="12233"/>
    <cellStyle name="Calculation 2 3 7 2" xfId="12234"/>
    <cellStyle name="Calculation 2 3 7 2 2" xfId="12235"/>
    <cellStyle name="Calculation 2 3 7 2 2 2" xfId="12236"/>
    <cellStyle name="Calculation 2 3 7 2 2_Sheet1" xfId="12237"/>
    <cellStyle name="Calculation 2 3 7 2 3" xfId="12238"/>
    <cellStyle name="Calculation 2 3 7 2_Sheet1" xfId="12239"/>
    <cellStyle name="Calculation 2 3 7 3" xfId="12240"/>
    <cellStyle name="Calculation 2 3 7 3 2" xfId="12241"/>
    <cellStyle name="Calculation 2 3 7 3 2 2" xfId="12242"/>
    <cellStyle name="Calculation 2 3 7 3 2_Sheet1" xfId="12243"/>
    <cellStyle name="Calculation 2 3 7 3 3" xfId="12244"/>
    <cellStyle name="Calculation 2 3 7 3_Sheet1" xfId="12245"/>
    <cellStyle name="Calculation 2 3 7 4" xfId="12246"/>
    <cellStyle name="Calculation 2 3 7 4 2" xfId="12247"/>
    <cellStyle name="Calculation 2 3 7 4 2 2" xfId="12248"/>
    <cellStyle name="Calculation 2 3 7 4 2_Sheet1" xfId="12249"/>
    <cellStyle name="Calculation 2 3 7 4 3" xfId="12250"/>
    <cellStyle name="Calculation 2 3 7 4_Sheet1" xfId="12251"/>
    <cellStyle name="Calculation 2 3 7 5" xfId="12252"/>
    <cellStyle name="Calculation 2 3 7_Sheet1" xfId="12253"/>
    <cellStyle name="Calculation 2 3 8" xfId="12254"/>
    <cellStyle name="Calculation 2 3 8 2" xfId="12255"/>
    <cellStyle name="Calculation 2 3 8 2 2" xfId="12256"/>
    <cellStyle name="Calculation 2 3 8 2 2 2" xfId="12257"/>
    <cellStyle name="Calculation 2 3 8 2 2_Sheet1" xfId="12258"/>
    <cellStyle name="Calculation 2 3 8 2 3" xfId="12259"/>
    <cellStyle name="Calculation 2 3 8 2_Sheet1" xfId="12260"/>
    <cellStyle name="Calculation 2 3 8 3" xfId="12261"/>
    <cellStyle name="Calculation 2 3 8 3 2" xfId="12262"/>
    <cellStyle name="Calculation 2 3 8 3 2 2" xfId="12263"/>
    <cellStyle name="Calculation 2 3 8 3 2_Sheet1" xfId="12264"/>
    <cellStyle name="Calculation 2 3 8 3 3" xfId="12265"/>
    <cellStyle name="Calculation 2 3 8 3_Sheet1" xfId="12266"/>
    <cellStyle name="Calculation 2 3 8 4" xfId="12267"/>
    <cellStyle name="Calculation 2 3 8 4 2" xfId="12268"/>
    <cellStyle name="Calculation 2 3 8 4 2 2" xfId="12269"/>
    <cellStyle name="Calculation 2 3 8 4 2_Sheet1" xfId="12270"/>
    <cellStyle name="Calculation 2 3 8 4 3" xfId="12271"/>
    <cellStyle name="Calculation 2 3 8 4_Sheet1" xfId="12272"/>
    <cellStyle name="Calculation 2 3 8 5" xfId="12273"/>
    <cellStyle name="Calculation 2 3 8_Sheet1" xfId="12274"/>
    <cellStyle name="Calculation 2 3 9" xfId="12275"/>
    <cellStyle name="Calculation 2 3 9 2" xfId="12276"/>
    <cellStyle name="Calculation 2 3 9 2 2" xfId="12277"/>
    <cellStyle name="Calculation 2 3 9 2 2 2" xfId="12278"/>
    <cellStyle name="Calculation 2 3 9 2 2_Sheet1" xfId="12279"/>
    <cellStyle name="Calculation 2 3 9 2 3" xfId="12280"/>
    <cellStyle name="Calculation 2 3 9 2_Sheet1" xfId="12281"/>
    <cellStyle name="Calculation 2 3 9 3" xfId="12282"/>
    <cellStyle name="Calculation 2 3 9 3 2" xfId="12283"/>
    <cellStyle name="Calculation 2 3 9 3 2 2" xfId="12284"/>
    <cellStyle name="Calculation 2 3 9 3 2_Sheet1" xfId="12285"/>
    <cellStyle name="Calculation 2 3 9 3 3" xfId="12286"/>
    <cellStyle name="Calculation 2 3 9 3_Sheet1" xfId="12287"/>
    <cellStyle name="Calculation 2 3 9 4" xfId="12288"/>
    <cellStyle name="Calculation 2 3 9 4 2" xfId="12289"/>
    <cellStyle name="Calculation 2 3 9 4 2 2" xfId="12290"/>
    <cellStyle name="Calculation 2 3 9 4 2_Sheet1" xfId="12291"/>
    <cellStyle name="Calculation 2 3 9 4 3" xfId="12292"/>
    <cellStyle name="Calculation 2 3 9 4_Sheet1" xfId="12293"/>
    <cellStyle name="Calculation 2 3 9 5" xfId="12294"/>
    <cellStyle name="Calculation 2 3 9_Sheet1" xfId="12295"/>
    <cellStyle name="Calculation 2 3_Sheet1" xfId="12296"/>
    <cellStyle name="Calculation 2 30" xfId="12297"/>
    <cellStyle name="Calculation 2 30 2" xfId="12298"/>
    <cellStyle name="Calculation 2 30 2 2" xfId="12299"/>
    <cellStyle name="Calculation 2 30 2 2 2" xfId="12300"/>
    <cellStyle name="Calculation 2 30 2 2_Sheet1" xfId="12301"/>
    <cellStyle name="Calculation 2 30 2 3" xfId="12302"/>
    <cellStyle name="Calculation 2 30 2_Sheet1" xfId="12303"/>
    <cellStyle name="Calculation 2 30 3" xfId="12304"/>
    <cellStyle name="Calculation 2 30 3 2" xfId="12305"/>
    <cellStyle name="Calculation 2 30 3 2 2" xfId="12306"/>
    <cellStyle name="Calculation 2 30 3 2_Sheet1" xfId="12307"/>
    <cellStyle name="Calculation 2 30 3 3" xfId="12308"/>
    <cellStyle name="Calculation 2 30 3_Sheet1" xfId="12309"/>
    <cellStyle name="Calculation 2 30 4" xfId="12310"/>
    <cellStyle name="Calculation 2 30 4 2" xfId="12311"/>
    <cellStyle name="Calculation 2 30 4 2 2" xfId="12312"/>
    <cellStyle name="Calculation 2 30 4 2_Sheet1" xfId="12313"/>
    <cellStyle name="Calculation 2 30 4 3" xfId="12314"/>
    <cellStyle name="Calculation 2 30 4_Sheet1" xfId="12315"/>
    <cellStyle name="Calculation 2 30 5" xfId="12316"/>
    <cellStyle name="Calculation 2 30_Sheet1" xfId="12317"/>
    <cellStyle name="Calculation 2 31" xfId="12318"/>
    <cellStyle name="Calculation 2 31 2" xfId="12319"/>
    <cellStyle name="Calculation 2 31 2 2" xfId="12320"/>
    <cellStyle name="Calculation 2 31 2 2 2" xfId="12321"/>
    <cellStyle name="Calculation 2 31 2 2_Sheet1" xfId="12322"/>
    <cellStyle name="Calculation 2 31 2 3" xfId="12323"/>
    <cellStyle name="Calculation 2 31 2_Sheet1" xfId="12324"/>
    <cellStyle name="Calculation 2 31 3" xfId="12325"/>
    <cellStyle name="Calculation 2 31 3 2" xfId="12326"/>
    <cellStyle name="Calculation 2 31 3 2 2" xfId="12327"/>
    <cellStyle name="Calculation 2 31 3 2_Sheet1" xfId="12328"/>
    <cellStyle name="Calculation 2 31 3 3" xfId="12329"/>
    <cellStyle name="Calculation 2 31 3_Sheet1" xfId="12330"/>
    <cellStyle name="Calculation 2 31 4" xfId="12331"/>
    <cellStyle name="Calculation 2 31 4 2" xfId="12332"/>
    <cellStyle name="Calculation 2 31 4 2 2" xfId="12333"/>
    <cellStyle name="Calculation 2 31 4 2_Sheet1" xfId="12334"/>
    <cellStyle name="Calculation 2 31 4 3" xfId="12335"/>
    <cellStyle name="Calculation 2 31 4_Sheet1" xfId="12336"/>
    <cellStyle name="Calculation 2 31 5" xfId="12337"/>
    <cellStyle name="Calculation 2 31_Sheet1" xfId="12338"/>
    <cellStyle name="Calculation 2 32" xfId="12339"/>
    <cellStyle name="Calculation 2 32 2" xfId="12340"/>
    <cellStyle name="Calculation 2 32 2 2" xfId="12341"/>
    <cellStyle name="Calculation 2 32 2 2 2" xfId="12342"/>
    <cellStyle name="Calculation 2 32 2 2_Sheet1" xfId="12343"/>
    <cellStyle name="Calculation 2 32 2 3" xfId="12344"/>
    <cellStyle name="Calculation 2 32 2_Sheet1" xfId="12345"/>
    <cellStyle name="Calculation 2 32 3" xfId="12346"/>
    <cellStyle name="Calculation 2 32 3 2" xfId="12347"/>
    <cellStyle name="Calculation 2 32 3 2 2" xfId="12348"/>
    <cellStyle name="Calculation 2 32 3 2_Sheet1" xfId="12349"/>
    <cellStyle name="Calculation 2 32 3 3" xfId="12350"/>
    <cellStyle name="Calculation 2 32 3_Sheet1" xfId="12351"/>
    <cellStyle name="Calculation 2 32 4" xfId="12352"/>
    <cellStyle name="Calculation 2 32 4 2" xfId="12353"/>
    <cellStyle name="Calculation 2 32 4 2 2" xfId="12354"/>
    <cellStyle name="Calculation 2 32 4 2_Sheet1" xfId="12355"/>
    <cellStyle name="Calculation 2 32 4 3" xfId="12356"/>
    <cellStyle name="Calculation 2 32 4_Sheet1" xfId="12357"/>
    <cellStyle name="Calculation 2 32 5" xfId="12358"/>
    <cellStyle name="Calculation 2 32_Sheet1" xfId="12359"/>
    <cellStyle name="Calculation 2 33" xfId="12360"/>
    <cellStyle name="Calculation 2 33 2" xfId="12361"/>
    <cellStyle name="Calculation 2 33 2 2" xfId="12362"/>
    <cellStyle name="Calculation 2 33 2 2 2" xfId="12363"/>
    <cellStyle name="Calculation 2 33 2 2_Sheet1" xfId="12364"/>
    <cellStyle name="Calculation 2 33 2 3" xfId="12365"/>
    <cellStyle name="Calculation 2 33 2_Sheet1" xfId="12366"/>
    <cellStyle name="Calculation 2 33 3" xfId="12367"/>
    <cellStyle name="Calculation 2 33 3 2" xfId="12368"/>
    <cellStyle name="Calculation 2 33 3 2 2" xfId="12369"/>
    <cellStyle name="Calculation 2 33 3 2_Sheet1" xfId="12370"/>
    <cellStyle name="Calculation 2 33 3 3" xfId="12371"/>
    <cellStyle name="Calculation 2 33 3_Sheet1" xfId="12372"/>
    <cellStyle name="Calculation 2 33 4" xfId="12373"/>
    <cellStyle name="Calculation 2 33 4 2" xfId="12374"/>
    <cellStyle name="Calculation 2 33 4 2 2" xfId="12375"/>
    <cellStyle name="Calculation 2 33 4 2_Sheet1" xfId="12376"/>
    <cellStyle name="Calculation 2 33 4 3" xfId="12377"/>
    <cellStyle name="Calculation 2 33 4_Sheet1" xfId="12378"/>
    <cellStyle name="Calculation 2 33 5" xfId="12379"/>
    <cellStyle name="Calculation 2 33_Sheet1" xfId="12380"/>
    <cellStyle name="Calculation 2 34" xfId="12381"/>
    <cellStyle name="Calculation 2 34 2" xfId="12382"/>
    <cellStyle name="Calculation 2 34 2 2" xfId="12383"/>
    <cellStyle name="Calculation 2 34 2 2 2" xfId="12384"/>
    <cellStyle name="Calculation 2 34 2 2_Sheet1" xfId="12385"/>
    <cellStyle name="Calculation 2 34 2 3" xfId="12386"/>
    <cellStyle name="Calculation 2 34 2_Sheet1" xfId="12387"/>
    <cellStyle name="Calculation 2 34 3" xfId="12388"/>
    <cellStyle name="Calculation 2 34 3 2" xfId="12389"/>
    <cellStyle name="Calculation 2 34 3 2 2" xfId="12390"/>
    <cellStyle name="Calculation 2 34 3 2_Sheet1" xfId="12391"/>
    <cellStyle name="Calculation 2 34 3 3" xfId="12392"/>
    <cellStyle name="Calculation 2 34 3_Sheet1" xfId="12393"/>
    <cellStyle name="Calculation 2 34 4" xfId="12394"/>
    <cellStyle name="Calculation 2 34 4 2" xfId="12395"/>
    <cellStyle name="Calculation 2 34 4 2 2" xfId="12396"/>
    <cellStyle name="Calculation 2 34 4 2_Sheet1" xfId="12397"/>
    <cellStyle name="Calculation 2 34 4 3" xfId="12398"/>
    <cellStyle name="Calculation 2 34 4_Sheet1" xfId="12399"/>
    <cellStyle name="Calculation 2 34 5" xfId="12400"/>
    <cellStyle name="Calculation 2 34_Sheet1" xfId="12401"/>
    <cellStyle name="Calculation 2 35" xfId="12402"/>
    <cellStyle name="Calculation 2 35 2" xfId="12403"/>
    <cellStyle name="Calculation 2 35 2 2" xfId="12404"/>
    <cellStyle name="Calculation 2 35 2 2 2" xfId="12405"/>
    <cellStyle name="Calculation 2 35 2 2_Sheet1" xfId="12406"/>
    <cellStyle name="Calculation 2 35 2 3" xfId="12407"/>
    <cellStyle name="Calculation 2 35 2_Sheet1" xfId="12408"/>
    <cellStyle name="Calculation 2 35 3" xfId="12409"/>
    <cellStyle name="Calculation 2 35 3 2" xfId="12410"/>
    <cellStyle name="Calculation 2 35 3 2 2" xfId="12411"/>
    <cellStyle name="Calculation 2 35 3 2_Sheet1" xfId="12412"/>
    <cellStyle name="Calculation 2 35 3 3" xfId="12413"/>
    <cellStyle name="Calculation 2 35 3_Sheet1" xfId="12414"/>
    <cellStyle name="Calculation 2 35 4" xfId="12415"/>
    <cellStyle name="Calculation 2 35 4 2" xfId="12416"/>
    <cellStyle name="Calculation 2 35 4 2 2" xfId="12417"/>
    <cellStyle name="Calculation 2 35 4 2_Sheet1" xfId="12418"/>
    <cellStyle name="Calculation 2 35 4 3" xfId="12419"/>
    <cellStyle name="Calculation 2 35 4_Sheet1" xfId="12420"/>
    <cellStyle name="Calculation 2 35 5" xfId="12421"/>
    <cellStyle name="Calculation 2 35_Sheet1" xfId="12422"/>
    <cellStyle name="Calculation 2 36" xfId="12423"/>
    <cellStyle name="Calculation 2 36 2" xfId="12424"/>
    <cellStyle name="Calculation 2 36 2 2" xfId="12425"/>
    <cellStyle name="Calculation 2 36 2 2 2" xfId="12426"/>
    <cellStyle name="Calculation 2 36 2 2_Sheet1" xfId="12427"/>
    <cellStyle name="Calculation 2 36 2 3" xfId="12428"/>
    <cellStyle name="Calculation 2 36 2_Sheet1" xfId="12429"/>
    <cellStyle name="Calculation 2 36 3" xfId="12430"/>
    <cellStyle name="Calculation 2 36 3 2" xfId="12431"/>
    <cellStyle name="Calculation 2 36 3 2 2" xfId="12432"/>
    <cellStyle name="Calculation 2 36 3 2_Sheet1" xfId="12433"/>
    <cellStyle name="Calculation 2 36 3 3" xfId="12434"/>
    <cellStyle name="Calculation 2 36 3_Sheet1" xfId="12435"/>
    <cellStyle name="Calculation 2 36 4" xfId="12436"/>
    <cellStyle name="Calculation 2 36 4 2" xfId="12437"/>
    <cellStyle name="Calculation 2 36 4 2 2" xfId="12438"/>
    <cellStyle name="Calculation 2 36 4 2_Sheet1" xfId="12439"/>
    <cellStyle name="Calculation 2 36 4 3" xfId="12440"/>
    <cellStyle name="Calculation 2 36 4_Sheet1" xfId="12441"/>
    <cellStyle name="Calculation 2 36 5" xfId="12442"/>
    <cellStyle name="Calculation 2 36_Sheet1" xfId="12443"/>
    <cellStyle name="Calculation 2 37" xfId="12444"/>
    <cellStyle name="Calculation 2 37 2" xfId="12445"/>
    <cellStyle name="Calculation 2 37 2 2" xfId="12446"/>
    <cellStyle name="Calculation 2 37 2_Sheet1" xfId="12447"/>
    <cellStyle name="Calculation 2 37 3" xfId="12448"/>
    <cellStyle name="Calculation 2 37_Sheet1" xfId="12449"/>
    <cellStyle name="Calculation 2 38" xfId="12450"/>
    <cellStyle name="Calculation 2 38 2" xfId="12451"/>
    <cellStyle name="Calculation 2 38 2 2" xfId="12452"/>
    <cellStyle name="Calculation 2 38 2_Sheet1" xfId="12453"/>
    <cellStyle name="Calculation 2 38 3" xfId="12454"/>
    <cellStyle name="Calculation 2 38_Sheet1" xfId="12455"/>
    <cellStyle name="Calculation 2 39" xfId="12456"/>
    <cellStyle name="Calculation 2 39 2" xfId="12457"/>
    <cellStyle name="Calculation 2 39 2 2" xfId="12458"/>
    <cellStyle name="Calculation 2 39 2_Sheet1" xfId="12459"/>
    <cellStyle name="Calculation 2 39 3" xfId="12460"/>
    <cellStyle name="Calculation 2 39_Sheet1" xfId="12461"/>
    <cellStyle name="Calculation 2 4" xfId="12462"/>
    <cellStyle name="Calculation 2 4 10" xfId="12463"/>
    <cellStyle name="Calculation 2 4 10 2" xfId="12464"/>
    <cellStyle name="Calculation 2 4 10 2 2" xfId="12465"/>
    <cellStyle name="Calculation 2 4 10 2_Sheet1" xfId="12466"/>
    <cellStyle name="Calculation 2 4 10 3" xfId="12467"/>
    <cellStyle name="Calculation 2 4 10_Sheet1" xfId="12468"/>
    <cellStyle name="Calculation 2 4 11" xfId="12469"/>
    <cellStyle name="Calculation 2 4 11 2" xfId="12470"/>
    <cellStyle name="Calculation 2 4 11 2 2" xfId="12471"/>
    <cellStyle name="Calculation 2 4 11 2_Sheet1" xfId="12472"/>
    <cellStyle name="Calculation 2 4 11 3" xfId="12473"/>
    <cellStyle name="Calculation 2 4 11_Sheet1" xfId="12474"/>
    <cellStyle name="Calculation 2 4 12" xfId="12475"/>
    <cellStyle name="Calculation 2 4 12 2" xfId="12476"/>
    <cellStyle name="Calculation 2 4 12 2 2" xfId="12477"/>
    <cellStyle name="Calculation 2 4 12 2_Sheet1" xfId="12478"/>
    <cellStyle name="Calculation 2 4 12 3" xfId="12479"/>
    <cellStyle name="Calculation 2 4 12_Sheet1" xfId="12480"/>
    <cellStyle name="Calculation 2 4 13" xfId="12481"/>
    <cellStyle name="Calculation 2 4 2" xfId="12482"/>
    <cellStyle name="Calculation 2 4 2 2" xfId="12483"/>
    <cellStyle name="Calculation 2 4 2 2 2" xfId="12484"/>
    <cellStyle name="Calculation 2 4 2 2 2 2" xfId="12485"/>
    <cellStyle name="Calculation 2 4 2 2 2_Sheet1" xfId="12486"/>
    <cellStyle name="Calculation 2 4 2 2 3" xfId="12487"/>
    <cellStyle name="Calculation 2 4 2 2_Sheet1" xfId="12488"/>
    <cellStyle name="Calculation 2 4 2 3" xfId="12489"/>
    <cellStyle name="Calculation 2 4 2 3 2" xfId="12490"/>
    <cellStyle name="Calculation 2 4 2 3 2 2" xfId="12491"/>
    <cellStyle name="Calculation 2 4 2 3 2_Sheet1" xfId="12492"/>
    <cellStyle name="Calculation 2 4 2 3 3" xfId="12493"/>
    <cellStyle name="Calculation 2 4 2 3_Sheet1" xfId="12494"/>
    <cellStyle name="Calculation 2 4 2 4" xfId="12495"/>
    <cellStyle name="Calculation 2 4 2 4 2" xfId="12496"/>
    <cellStyle name="Calculation 2 4 2 4 2 2" xfId="12497"/>
    <cellStyle name="Calculation 2 4 2 4 2_Sheet1" xfId="12498"/>
    <cellStyle name="Calculation 2 4 2 4 3" xfId="12499"/>
    <cellStyle name="Calculation 2 4 2 4_Sheet1" xfId="12500"/>
    <cellStyle name="Calculation 2 4 2 5" xfId="12501"/>
    <cellStyle name="Calculation 2 4 2_Sheet1" xfId="12502"/>
    <cellStyle name="Calculation 2 4 3" xfId="12503"/>
    <cellStyle name="Calculation 2 4 3 2" xfId="12504"/>
    <cellStyle name="Calculation 2 4 3 2 2" xfId="12505"/>
    <cellStyle name="Calculation 2 4 3 2 2 2" xfId="12506"/>
    <cellStyle name="Calculation 2 4 3 2 2_Sheet1" xfId="12507"/>
    <cellStyle name="Calculation 2 4 3 2 3" xfId="12508"/>
    <cellStyle name="Calculation 2 4 3 2_Sheet1" xfId="12509"/>
    <cellStyle name="Calculation 2 4 3 3" xfId="12510"/>
    <cellStyle name="Calculation 2 4 3 3 2" xfId="12511"/>
    <cellStyle name="Calculation 2 4 3 3 2 2" xfId="12512"/>
    <cellStyle name="Calculation 2 4 3 3 2_Sheet1" xfId="12513"/>
    <cellStyle name="Calculation 2 4 3 3 3" xfId="12514"/>
    <cellStyle name="Calculation 2 4 3 3_Sheet1" xfId="12515"/>
    <cellStyle name="Calculation 2 4 3 4" xfId="12516"/>
    <cellStyle name="Calculation 2 4 3 4 2" xfId="12517"/>
    <cellStyle name="Calculation 2 4 3 4 2 2" xfId="12518"/>
    <cellStyle name="Calculation 2 4 3 4 2_Sheet1" xfId="12519"/>
    <cellStyle name="Calculation 2 4 3 4 3" xfId="12520"/>
    <cellStyle name="Calculation 2 4 3 4_Sheet1" xfId="12521"/>
    <cellStyle name="Calculation 2 4 3 5" xfId="12522"/>
    <cellStyle name="Calculation 2 4 3_Sheet1" xfId="12523"/>
    <cellStyle name="Calculation 2 4 4" xfId="12524"/>
    <cellStyle name="Calculation 2 4 4 2" xfId="12525"/>
    <cellStyle name="Calculation 2 4 4 2 2" xfId="12526"/>
    <cellStyle name="Calculation 2 4 4 2 2 2" xfId="12527"/>
    <cellStyle name="Calculation 2 4 4 2 2_Sheet1" xfId="12528"/>
    <cellStyle name="Calculation 2 4 4 2 3" xfId="12529"/>
    <cellStyle name="Calculation 2 4 4 2_Sheet1" xfId="12530"/>
    <cellStyle name="Calculation 2 4 4 3" xfId="12531"/>
    <cellStyle name="Calculation 2 4 4 3 2" xfId="12532"/>
    <cellStyle name="Calculation 2 4 4 3 2 2" xfId="12533"/>
    <cellStyle name="Calculation 2 4 4 3 2_Sheet1" xfId="12534"/>
    <cellStyle name="Calculation 2 4 4 3 3" xfId="12535"/>
    <cellStyle name="Calculation 2 4 4 3_Sheet1" xfId="12536"/>
    <cellStyle name="Calculation 2 4 4 4" xfId="12537"/>
    <cellStyle name="Calculation 2 4 4 4 2" xfId="12538"/>
    <cellStyle name="Calculation 2 4 4 4 2 2" xfId="12539"/>
    <cellStyle name="Calculation 2 4 4 4 2_Sheet1" xfId="12540"/>
    <cellStyle name="Calculation 2 4 4 4 3" xfId="12541"/>
    <cellStyle name="Calculation 2 4 4 4_Sheet1" xfId="12542"/>
    <cellStyle name="Calculation 2 4 4 5" xfId="12543"/>
    <cellStyle name="Calculation 2 4 4_Sheet1" xfId="12544"/>
    <cellStyle name="Calculation 2 4 5" xfId="12545"/>
    <cellStyle name="Calculation 2 4 5 2" xfId="12546"/>
    <cellStyle name="Calculation 2 4 5 2 2" xfId="12547"/>
    <cellStyle name="Calculation 2 4 5 2 2 2" xfId="12548"/>
    <cellStyle name="Calculation 2 4 5 2 2_Sheet1" xfId="12549"/>
    <cellStyle name="Calculation 2 4 5 2 3" xfId="12550"/>
    <cellStyle name="Calculation 2 4 5 2_Sheet1" xfId="12551"/>
    <cellStyle name="Calculation 2 4 5 3" xfId="12552"/>
    <cellStyle name="Calculation 2 4 5 3 2" xfId="12553"/>
    <cellStyle name="Calculation 2 4 5 3 2 2" xfId="12554"/>
    <cellStyle name="Calculation 2 4 5 3 2_Sheet1" xfId="12555"/>
    <cellStyle name="Calculation 2 4 5 3 3" xfId="12556"/>
    <cellStyle name="Calculation 2 4 5 3_Sheet1" xfId="12557"/>
    <cellStyle name="Calculation 2 4 5 4" xfId="12558"/>
    <cellStyle name="Calculation 2 4 5 4 2" xfId="12559"/>
    <cellStyle name="Calculation 2 4 5 4 2 2" xfId="12560"/>
    <cellStyle name="Calculation 2 4 5 4 2_Sheet1" xfId="12561"/>
    <cellStyle name="Calculation 2 4 5 4 3" xfId="12562"/>
    <cellStyle name="Calculation 2 4 5 4_Sheet1" xfId="12563"/>
    <cellStyle name="Calculation 2 4 5 5" xfId="12564"/>
    <cellStyle name="Calculation 2 4 5_Sheet1" xfId="12565"/>
    <cellStyle name="Calculation 2 4 6" xfId="12566"/>
    <cellStyle name="Calculation 2 4 6 2" xfId="12567"/>
    <cellStyle name="Calculation 2 4 6 2 2" xfId="12568"/>
    <cellStyle name="Calculation 2 4 6 2 2 2" xfId="12569"/>
    <cellStyle name="Calculation 2 4 6 2 2_Sheet1" xfId="12570"/>
    <cellStyle name="Calculation 2 4 6 2 3" xfId="12571"/>
    <cellStyle name="Calculation 2 4 6 2_Sheet1" xfId="12572"/>
    <cellStyle name="Calculation 2 4 6 3" xfId="12573"/>
    <cellStyle name="Calculation 2 4 6 3 2" xfId="12574"/>
    <cellStyle name="Calculation 2 4 6 3 2 2" xfId="12575"/>
    <cellStyle name="Calculation 2 4 6 3 2_Sheet1" xfId="12576"/>
    <cellStyle name="Calculation 2 4 6 3 3" xfId="12577"/>
    <cellStyle name="Calculation 2 4 6 3_Sheet1" xfId="12578"/>
    <cellStyle name="Calculation 2 4 6 4" xfId="12579"/>
    <cellStyle name="Calculation 2 4 6 4 2" xfId="12580"/>
    <cellStyle name="Calculation 2 4 6 4 2 2" xfId="12581"/>
    <cellStyle name="Calculation 2 4 6 4 2_Sheet1" xfId="12582"/>
    <cellStyle name="Calculation 2 4 6 4 3" xfId="12583"/>
    <cellStyle name="Calculation 2 4 6 4_Sheet1" xfId="12584"/>
    <cellStyle name="Calculation 2 4 6 5" xfId="12585"/>
    <cellStyle name="Calculation 2 4 6_Sheet1" xfId="12586"/>
    <cellStyle name="Calculation 2 4 7" xfId="12587"/>
    <cellStyle name="Calculation 2 4 7 2" xfId="12588"/>
    <cellStyle name="Calculation 2 4 7 2 2" xfId="12589"/>
    <cellStyle name="Calculation 2 4 7 2 2 2" xfId="12590"/>
    <cellStyle name="Calculation 2 4 7 2 2_Sheet1" xfId="12591"/>
    <cellStyle name="Calculation 2 4 7 2 3" xfId="12592"/>
    <cellStyle name="Calculation 2 4 7 2_Sheet1" xfId="12593"/>
    <cellStyle name="Calculation 2 4 7 3" xfId="12594"/>
    <cellStyle name="Calculation 2 4 7 3 2" xfId="12595"/>
    <cellStyle name="Calculation 2 4 7 3 2 2" xfId="12596"/>
    <cellStyle name="Calculation 2 4 7 3 2_Sheet1" xfId="12597"/>
    <cellStyle name="Calculation 2 4 7 3 3" xfId="12598"/>
    <cellStyle name="Calculation 2 4 7 3_Sheet1" xfId="12599"/>
    <cellStyle name="Calculation 2 4 7 4" xfId="12600"/>
    <cellStyle name="Calculation 2 4 7 4 2" xfId="12601"/>
    <cellStyle name="Calculation 2 4 7 4 2 2" xfId="12602"/>
    <cellStyle name="Calculation 2 4 7 4 2_Sheet1" xfId="12603"/>
    <cellStyle name="Calculation 2 4 7 4 3" xfId="12604"/>
    <cellStyle name="Calculation 2 4 7 4_Sheet1" xfId="12605"/>
    <cellStyle name="Calculation 2 4 7 5" xfId="12606"/>
    <cellStyle name="Calculation 2 4 7_Sheet1" xfId="12607"/>
    <cellStyle name="Calculation 2 4 8" xfId="12608"/>
    <cellStyle name="Calculation 2 4 8 2" xfId="12609"/>
    <cellStyle name="Calculation 2 4 8 2 2" xfId="12610"/>
    <cellStyle name="Calculation 2 4 8 2 2 2" xfId="12611"/>
    <cellStyle name="Calculation 2 4 8 2 2_Sheet1" xfId="12612"/>
    <cellStyle name="Calculation 2 4 8 2 3" xfId="12613"/>
    <cellStyle name="Calculation 2 4 8 2_Sheet1" xfId="12614"/>
    <cellStyle name="Calculation 2 4 8 3" xfId="12615"/>
    <cellStyle name="Calculation 2 4 8 3 2" xfId="12616"/>
    <cellStyle name="Calculation 2 4 8 3 2 2" xfId="12617"/>
    <cellStyle name="Calculation 2 4 8 3 2_Sheet1" xfId="12618"/>
    <cellStyle name="Calculation 2 4 8 3 3" xfId="12619"/>
    <cellStyle name="Calculation 2 4 8 3_Sheet1" xfId="12620"/>
    <cellStyle name="Calculation 2 4 8 4" xfId="12621"/>
    <cellStyle name="Calculation 2 4 8 4 2" xfId="12622"/>
    <cellStyle name="Calculation 2 4 8 4 2 2" xfId="12623"/>
    <cellStyle name="Calculation 2 4 8 4 2_Sheet1" xfId="12624"/>
    <cellStyle name="Calculation 2 4 8 4 3" xfId="12625"/>
    <cellStyle name="Calculation 2 4 8 4_Sheet1" xfId="12626"/>
    <cellStyle name="Calculation 2 4 8 5" xfId="12627"/>
    <cellStyle name="Calculation 2 4 8_Sheet1" xfId="12628"/>
    <cellStyle name="Calculation 2 4 9" xfId="12629"/>
    <cellStyle name="Calculation 2 4 9 2" xfId="12630"/>
    <cellStyle name="Calculation 2 4 9 2 2" xfId="12631"/>
    <cellStyle name="Calculation 2 4 9 2 2 2" xfId="12632"/>
    <cellStyle name="Calculation 2 4 9 2 2_Sheet1" xfId="12633"/>
    <cellStyle name="Calculation 2 4 9 2 3" xfId="12634"/>
    <cellStyle name="Calculation 2 4 9 2_Sheet1" xfId="12635"/>
    <cellStyle name="Calculation 2 4 9 3" xfId="12636"/>
    <cellStyle name="Calculation 2 4 9 3 2" xfId="12637"/>
    <cellStyle name="Calculation 2 4 9 3 2 2" xfId="12638"/>
    <cellStyle name="Calculation 2 4 9 3 2_Sheet1" xfId="12639"/>
    <cellStyle name="Calculation 2 4 9 3 3" xfId="12640"/>
    <cellStyle name="Calculation 2 4 9 3_Sheet1" xfId="12641"/>
    <cellStyle name="Calculation 2 4 9 4" xfId="12642"/>
    <cellStyle name="Calculation 2 4 9 4 2" xfId="12643"/>
    <cellStyle name="Calculation 2 4 9 4 2 2" xfId="12644"/>
    <cellStyle name="Calculation 2 4 9 4 2_Sheet1" xfId="12645"/>
    <cellStyle name="Calculation 2 4 9 4 3" xfId="12646"/>
    <cellStyle name="Calculation 2 4 9 4_Sheet1" xfId="12647"/>
    <cellStyle name="Calculation 2 4 9 5" xfId="12648"/>
    <cellStyle name="Calculation 2 4 9_Sheet1" xfId="12649"/>
    <cellStyle name="Calculation 2 4_Sheet1" xfId="12650"/>
    <cellStyle name="Calculation 2 40" xfId="12651"/>
    <cellStyle name="Calculation 2 5" xfId="12652"/>
    <cellStyle name="Calculation 2 5 10" xfId="12653"/>
    <cellStyle name="Calculation 2 5 10 2" xfId="12654"/>
    <cellStyle name="Calculation 2 5 10 2 2" xfId="12655"/>
    <cellStyle name="Calculation 2 5 10 2_Sheet1" xfId="12656"/>
    <cellStyle name="Calculation 2 5 10 3" xfId="12657"/>
    <cellStyle name="Calculation 2 5 10_Sheet1" xfId="12658"/>
    <cellStyle name="Calculation 2 5 11" xfId="12659"/>
    <cellStyle name="Calculation 2 5 11 2" xfId="12660"/>
    <cellStyle name="Calculation 2 5 11 2 2" xfId="12661"/>
    <cellStyle name="Calculation 2 5 11 2_Sheet1" xfId="12662"/>
    <cellStyle name="Calculation 2 5 11 3" xfId="12663"/>
    <cellStyle name="Calculation 2 5 11_Sheet1" xfId="12664"/>
    <cellStyle name="Calculation 2 5 12" xfId="12665"/>
    <cellStyle name="Calculation 2 5 12 2" xfId="12666"/>
    <cellStyle name="Calculation 2 5 12 2 2" xfId="12667"/>
    <cellStyle name="Calculation 2 5 12 2_Sheet1" xfId="12668"/>
    <cellStyle name="Calculation 2 5 12 3" xfId="12669"/>
    <cellStyle name="Calculation 2 5 12_Sheet1" xfId="12670"/>
    <cellStyle name="Calculation 2 5 13" xfId="12671"/>
    <cellStyle name="Calculation 2 5 2" xfId="12672"/>
    <cellStyle name="Calculation 2 5 2 2" xfId="12673"/>
    <cellStyle name="Calculation 2 5 2 2 2" xfId="12674"/>
    <cellStyle name="Calculation 2 5 2 2 2 2" xfId="12675"/>
    <cellStyle name="Calculation 2 5 2 2 2_Sheet1" xfId="12676"/>
    <cellStyle name="Calculation 2 5 2 2 3" xfId="12677"/>
    <cellStyle name="Calculation 2 5 2 2_Sheet1" xfId="12678"/>
    <cellStyle name="Calculation 2 5 2 3" xfId="12679"/>
    <cellStyle name="Calculation 2 5 2 3 2" xfId="12680"/>
    <cellStyle name="Calculation 2 5 2 3 2 2" xfId="12681"/>
    <cellStyle name="Calculation 2 5 2 3 2_Sheet1" xfId="12682"/>
    <cellStyle name="Calculation 2 5 2 3 3" xfId="12683"/>
    <cellStyle name="Calculation 2 5 2 3_Sheet1" xfId="12684"/>
    <cellStyle name="Calculation 2 5 2 4" xfId="12685"/>
    <cellStyle name="Calculation 2 5 2 4 2" xfId="12686"/>
    <cellStyle name="Calculation 2 5 2 4 2 2" xfId="12687"/>
    <cellStyle name="Calculation 2 5 2 4 2_Sheet1" xfId="12688"/>
    <cellStyle name="Calculation 2 5 2 4 3" xfId="12689"/>
    <cellStyle name="Calculation 2 5 2 4_Sheet1" xfId="12690"/>
    <cellStyle name="Calculation 2 5 2 5" xfId="12691"/>
    <cellStyle name="Calculation 2 5 2_Sheet1" xfId="12692"/>
    <cellStyle name="Calculation 2 5 3" xfId="12693"/>
    <cellStyle name="Calculation 2 5 3 2" xfId="12694"/>
    <cellStyle name="Calculation 2 5 3 2 2" xfId="12695"/>
    <cellStyle name="Calculation 2 5 3 2 2 2" xfId="12696"/>
    <cellStyle name="Calculation 2 5 3 2 2_Sheet1" xfId="12697"/>
    <cellStyle name="Calculation 2 5 3 2 3" xfId="12698"/>
    <cellStyle name="Calculation 2 5 3 2_Sheet1" xfId="12699"/>
    <cellStyle name="Calculation 2 5 3 3" xfId="12700"/>
    <cellStyle name="Calculation 2 5 3 3 2" xfId="12701"/>
    <cellStyle name="Calculation 2 5 3 3 2 2" xfId="12702"/>
    <cellStyle name="Calculation 2 5 3 3 2_Sheet1" xfId="12703"/>
    <cellStyle name="Calculation 2 5 3 3 3" xfId="12704"/>
    <cellStyle name="Calculation 2 5 3 3_Sheet1" xfId="12705"/>
    <cellStyle name="Calculation 2 5 3 4" xfId="12706"/>
    <cellStyle name="Calculation 2 5 3 4 2" xfId="12707"/>
    <cellStyle name="Calculation 2 5 3 4 2 2" xfId="12708"/>
    <cellStyle name="Calculation 2 5 3 4 2_Sheet1" xfId="12709"/>
    <cellStyle name="Calculation 2 5 3 4 3" xfId="12710"/>
    <cellStyle name="Calculation 2 5 3 4_Sheet1" xfId="12711"/>
    <cellStyle name="Calculation 2 5 3 5" xfId="12712"/>
    <cellStyle name="Calculation 2 5 3_Sheet1" xfId="12713"/>
    <cellStyle name="Calculation 2 5 4" xfId="12714"/>
    <cellStyle name="Calculation 2 5 4 2" xfId="12715"/>
    <cellStyle name="Calculation 2 5 4 2 2" xfId="12716"/>
    <cellStyle name="Calculation 2 5 4 2 2 2" xfId="12717"/>
    <cellStyle name="Calculation 2 5 4 2 2_Sheet1" xfId="12718"/>
    <cellStyle name="Calculation 2 5 4 2 3" xfId="12719"/>
    <cellStyle name="Calculation 2 5 4 2_Sheet1" xfId="12720"/>
    <cellStyle name="Calculation 2 5 4 3" xfId="12721"/>
    <cellStyle name="Calculation 2 5 4 3 2" xfId="12722"/>
    <cellStyle name="Calculation 2 5 4 3 2 2" xfId="12723"/>
    <cellStyle name="Calculation 2 5 4 3 2_Sheet1" xfId="12724"/>
    <cellStyle name="Calculation 2 5 4 3 3" xfId="12725"/>
    <cellStyle name="Calculation 2 5 4 3_Sheet1" xfId="12726"/>
    <cellStyle name="Calculation 2 5 4 4" xfId="12727"/>
    <cellStyle name="Calculation 2 5 4 4 2" xfId="12728"/>
    <cellStyle name="Calculation 2 5 4 4 2 2" xfId="12729"/>
    <cellStyle name="Calculation 2 5 4 4 2_Sheet1" xfId="12730"/>
    <cellStyle name="Calculation 2 5 4 4 3" xfId="12731"/>
    <cellStyle name="Calculation 2 5 4 4_Sheet1" xfId="12732"/>
    <cellStyle name="Calculation 2 5 4 5" xfId="12733"/>
    <cellStyle name="Calculation 2 5 4_Sheet1" xfId="12734"/>
    <cellStyle name="Calculation 2 5 5" xfId="12735"/>
    <cellStyle name="Calculation 2 5 5 2" xfId="12736"/>
    <cellStyle name="Calculation 2 5 5 2 2" xfId="12737"/>
    <cellStyle name="Calculation 2 5 5 2 2 2" xfId="12738"/>
    <cellStyle name="Calculation 2 5 5 2 2_Sheet1" xfId="12739"/>
    <cellStyle name="Calculation 2 5 5 2 3" xfId="12740"/>
    <cellStyle name="Calculation 2 5 5 2_Sheet1" xfId="12741"/>
    <cellStyle name="Calculation 2 5 5 3" xfId="12742"/>
    <cellStyle name="Calculation 2 5 5 3 2" xfId="12743"/>
    <cellStyle name="Calculation 2 5 5 3 2 2" xfId="12744"/>
    <cellStyle name="Calculation 2 5 5 3 2_Sheet1" xfId="12745"/>
    <cellStyle name="Calculation 2 5 5 3 3" xfId="12746"/>
    <cellStyle name="Calculation 2 5 5 3_Sheet1" xfId="12747"/>
    <cellStyle name="Calculation 2 5 5 4" xfId="12748"/>
    <cellStyle name="Calculation 2 5 5 4 2" xfId="12749"/>
    <cellStyle name="Calculation 2 5 5 4 2 2" xfId="12750"/>
    <cellStyle name="Calculation 2 5 5 4 2_Sheet1" xfId="12751"/>
    <cellStyle name="Calculation 2 5 5 4 3" xfId="12752"/>
    <cellStyle name="Calculation 2 5 5 4_Sheet1" xfId="12753"/>
    <cellStyle name="Calculation 2 5 5 5" xfId="12754"/>
    <cellStyle name="Calculation 2 5 5_Sheet1" xfId="12755"/>
    <cellStyle name="Calculation 2 5 6" xfId="12756"/>
    <cellStyle name="Calculation 2 5 6 2" xfId="12757"/>
    <cellStyle name="Calculation 2 5 6 2 2" xfId="12758"/>
    <cellStyle name="Calculation 2 5 6 2 2 2" xfId="12759"/>
    <cellStyle name="Calculation 2 5 6 2 2_Sheet1" xfId="12760"/>
    <cellStyle name="Calculation 2 5 6 2 3" xfId="12761"/>
    <cellStyle name="Calculation 2 5 6 2_Sheet1" xfId="12762"/>
    <cellStyle name="Calculation 2 5 6 3" xfId="12763"/>
    <cellStyle name="Calculation 2 5 6 3 2" xfId="12764"/>
    <cellStyle name="Calculation 2 5 6 3 2 2" xfId="12765"/>
    <cellStyle name="Calculation 2 5 6 3 2_Sheet1" xfId="12766"/>
    <cellStyle name="Calculation 2 5 6 3 3" xfId="12767"/>
    <cellStyle name="Calculation 2 5 6 3_Sheet1" xfId="12768"/>
    <cellStyle name="Calculation 2 5 6 4" xfId="12769"/>
    <cellStyle name="Calculation 2 5 6 4 2" xfId="12770"/>
    <cellStyle name="Calculation 2 5 6 4 2 2" xfId="12771"/>
    <cellStyle name="Calculation 2 5 6 4 2_Sheet1" xfId="12772"/>
    <cellStyle name="Calculation 2 5 6 4 3" xfId="12773"/>
    <cellStyle name="Calculation 2 5 6 4_Sheet1" xfId="12774"/>
    <cellStyle name="Calculation 2 5 6 5" xfId="12775"/>
    <cellStyle name="Calculation 2 5 6_Sheet1" xfId="12776"/>
    <cellStyle name="Calculation 2 5 7" xfId="12777"/>
    <cellStyle name="Calculation 2 5 7 2" xfId="12778"/>
    <cellStyle name="Calculation 2 5 7 2 2" xfId="12779"/>
    <cellStyle name="Calculation 2 5 7 2 2 2" xfId="12780"/>
    <cellStyle name="Calculation 2 5 7 2 2_Sheet1" xfId="12781"/>
    <cellStyle name="Calculation 2 5 7 2 3" xfId="12782"/>
    <cellStyle name="Calculation 2 5 7 2_Sheet1" xfId="12783"/>
    <cellStyle name="Calculation 2 5 7 3" xfId="12784"/>
    <cellStyle name="Calculation 2 5 7 3 2" xfId="12785"/>
    <cellStyle name="Calculation 2 5 7 3 2 2" xfId="12786"/>
    <cellStyle name="Calculation 2 5 7 3 2_Sheet1" xfId="12787"/>
    <cellStyle name="Calculation 2 5 7 3 3" xfId="12788"/>
    <cellStyle name="Calculation 2 5 7 3_Sheet1" xfId="12789"/>
    <cellStyle name="Calculation 2 5 7 4" xfId="12790"/>
    <cellStyle name="Calculation 2 5 7 4 2" xfId="12791"/>
    <cellStyle name="Calculation 2 5 7 4 2 2" xfId="12792"/>
    <cellStyle name="Calculation 2 5 7 4 2_Sheet1" xfId="12793"/>
    <cellStyle name="Calculation 2 5 7 4 3" xfId="12794"/>
    <cellStyle name="Calculation 2 5 7 4_Sheet1" xfId="12795"/>
    <cellStyle name="Calculation 2 5 7 5" xfId="12796"/>
    <cellStyle name="Calculation 2 5 7_Sheet1" xfId="12797"/>
    <cellStyle name="Calculation 2 5 8" xfId="12798"/>
    <cellStyle name="Calculation 2 5 8 2" xfId="12799"/>
    <cellStyle name="Calculation 2 5 8 2 2" xfId="12800"/>
    <cellStyle name="Calculation 2 5 8 2 2 2" xfId="12801"/>
    <cellStyle name="Calculation 2 5 8 2 2_Sheet1" xfId="12802"/>
    <cellStyle name="Calculation 2 5 8 2 3" xfId="12803"/>
    <cellStyle name="Calculation 2 5 8 2_Sheet1" xfId="12804"/>
    <cellStyle name="Calculation 2 5 8 3" xfId="12805"/>
    <cellStyle name="Calculation 2 5 8 3 2" xfId="12806"/>
    <cellStyle name="Calculation 2 5 8 3 2 2" xfId="12807"/>
    <cellStyle name="Calculation 2 5 8 3 2_Sheet1" xfId="12808"/>
    <cellStyle name="Calculation 2 5 8 3 3" xfId="12809"/>
    <cellStyle name="Calculation 2 5 8 3_Sheet1" xfId="12810"/>
    <cellStyle name="Calculation 2 5 8 4" xfId="12811"/>
    <cellStyle name="Calculation 2 5 8 4 2" xfId="12812"/>
    <cellStyle name="Calculation 2 5 8 4 2 2" xfId="12813"/>
    <cellStyle name="Calculation 2 5 8 4 2_Sheet1" xfId="12814"/>
    <cellStyle name="Calculation 2 5 8 4 3" xfId="12815"/>
    <cellStyle name="Calculation 2 5 8 4_Sheet1" xfId="12816"/>
    <cellStyle name="Calculation 2 5 8 5" xfId="12817"/>
    <cellStyle name="Calculation 2 5 8_Sheet1" xfId="12818"/>
    <cellStyle name="Calculation 2 5 9" xfId="12819"/>
    <cellStyle name="Calculation 2 5 9 2" xfId="12820"/>
    <cellStyle name="Calculation 2 5 9 2 2" xfId="12821"/>
    <cellStyle name="Calculation 2 5 9 2 2 2" xfId="12822"/>
    <cellStyle name="Calculation 2 5 9 2 2_Sheet1" xfId="12823"/>
    <cellStyle name="Calculation 2 5 9 2 3" xfId="12824"/>
    <cellStyle name="Calculation 2 5 9 2_Sheet1" xfId="12825"/>
    <cellStyle name="Calculation 2 5 9 3" xfId="12826"/>
    <cellStyle name="Calculation 2 5 9 3 2" xfId="12827"/>
    <cellStyle name="Calculation 2 5 9 3 2 2" xfId="12828"/>
    <cellStyle name="Calculation 2 5 9 3 2_Sheet1" xfId="12829"/>
    <cellStyle name="Calculation 2 5 9 3 3" xfId="12830"/>
    <cellStyle name="Calculation 2 5 9 3_Sheet1" xfId="12831"/>
    <cellStyle name="Calculation 2 5 9 4" xfId="12832"/>
    <cellStyle name="Calculation 2 5 9 4 2" xfId="12833"/>
    <cellStyle name="Calculation 2 5 9 4 2 2" xfId="12834"/>
    <cellStyle name="Calculation 2 5 9 4 2_Sheet1" xfId="12835"/>
    <cellStyle name="Calculation 2 5 9 4 3" xfId="12836"/>
    <cellStyle name="Calculation 2 5 9 4_Sheet1" xfId="12837"/>
    <cellStyle name="Calculation 2 5 9 5" xfId="12838"/>
    <cellStyle name="Calculation 2 5 9_Sheet1" xfId="12839"/>
    <cellStyle name="Calculation 2 5_Sheet1" xfId="12840"/>
    <cellStyle name="Calculation 2 6" xfId="12841"/>
    <cellStyle name="Calculation 2 6 10" xfId="12842"/>
    <cellStyle name="Calculation 2 6 10 2" xfId="12843"/>
    <cellStyle name="Calculation 2 6 10 2 2" xfId="12844"/>
    <cellStyle name="Calculation 2 6 10 2_Sheet1" xfId="12845"/>
    <cellStyle name="Calculation 2 6 10 3" xfId="12846"/>
    <cellStyle name="Calculation 2 6 10_Sheet1" xfId="12847"/>
    <cellStyle name="Calculation 2 6 11" xfId="12848"/>
    <cellStyle name="Calculation 2 6 11 2" xfId="12849"/>
    <cellStyle name="Calculation 2 6 11 2 2" xfId="12850"/>
    <cellStyle name="Calculation 2 6 11 2_Sheet1" xfId="12851"/>
    <cellStyle name="Calculation 2 6 11 3" xfId="12852"/>
    <cellStyle name="Calculation 2 6 11_Sheet1" xfId="12853"/>
    <cellStyle name="Calculation 2 6 12" xfId="12854"/>
    <cellStyle name="Calculation 2 6 12 2" xfId="12855"/>
    <cellStyle name="Calculation 2 6 12 2 2" xfId="12856"/>
    <cellStyle name="Calculation 2 6 12 2_Sheet1" xfId="12857"/>
    <cellStyle name="Calculation 2 6 12 3" xfId="12858"/>
    <cellStyle name="Calculation 2 6 12_Sheet1" xfId="12859"/>
    <cellStyle name="Calculation 2 6 13" xfId="12860"/>
    <cellStyle name="Calculation 2 6 2" xfId="12861"/>
    <cellStyle name="Calculation 2 6 2 2" xfId="12862"/>
    <cellStyle name="Calculation 2 6 2 2 2" xfId="12863"/>
    <cellStyle name="Calculation 2 6 2 2 2 2" xfId="12864"/>
    <cellStyle name="Calculation 2 6 2 2 2_Sheet1" xfId="12865"/>
    <cellStyle name="Calculation 2 6 2 2 3" xfId="12866"/>
    <cellStyle name="Calculation 2 6 2 2_Sheet1" xfId="12867"/>
    <cellStyle name="Calculation 2 6 2 3" xfId="12868"/>
    <cellStyle name="Calculation 2 6 2 3 2" xfId="12869"/>
    <cellStyle name="Calculation 2 6 2 3 2 2" xfId="12870"/>
    <cellStyle name="Calculation 2 6 2 3 2_Sheet1" xfId="12871"/>
    <cellStyle name="Calculation 2 6 2 3 3" xfId="12872"/>
    <cellStyle name="Calculation 2 6 2 3_Sheet1" xfId="12873"/>
    <cellStyle name="Calculation 2 6 2 4" xfId="12874"/>
    <cellStyle name="Calculation 2 6 2 4 2" xfId="12875"/>
    <cellStyle name="Calculation 2 6 2 4 2 2" xfId="12876"/>
    <cellStyle name="Calculation 2 6 2 4 2_Sheet1" xfId="12877"/>
    <cellStyle name="Calculation 2 6 2 4 3" xfId="12878"/>
    <cellStyle name="Calculation 2 6 2 4_Sheet1" xfId="12879"/>
    <cellStyle name="Calculation 2 6 2 5" xfId="12880"/>
    <cellStyle name="Calculation 2 6 2_Sheet1" xfId="12881"/>
    <cellStyle name="Calculation 2 6 3" xfId="12882"/>
    <cellStyle name="Calculation 2 6 3 2" xfId="12883"/>
    <cellStyle name="Calculation 2 6 3 2 2" xfId="12884"/>
    <cellStyle name="Calculation 2 6 3 2 2 2" xfId="12885"/>
    <cellStyle name="Calculation 2 6 3 2 2_Sheet1" xfId="12886"/>
    <cellStyle name="Calculation 2 6 3 2 3" xfId="12887"/>
    <cellStyle name="Calculation 2 6 3 2_Sheet1" xfId="12888"/>
    <cellStyle name="Calculation 2 6 3 3" xfId="12889"/>
    <cellStyle name="Calculation 2 6 3 3 2" xfId="12890"/>
    <cellStyle name="Calculation 2 6 3 3 2 2" xfId="12891"/>
    <cellStyle name="Calculation 2 6 3 3 2_Sheet1" xfId="12892"/>
    <cellStyle name="Calculation 2 6 3 3 3" xfId="12893"/>
    <cellStyle name="Calculation 2 6 3 3_Sheet1" xfId="12894"/>
    <cellStyle name="Calculation 2 6 3 4" xfId="12895"/>
    <cellStyle name="Calculation 2 6 3 4 2" xfId="12896"/>
    <cellStyle name="Calculation 2 6 3 4 2 2" xfId="12897"/>
    <cellStyle name="Calculation 2 6 3 4 2_Sheet1" xfId="12898"/>
    <cellStyle name="Calculation 2 6 3 4 3" xfId="12899"/>
    <cellStyle name="Calculation 2 6 3 4_Sheet1" xfId="12900"/>
    <cellStyle name="Calculation 2 6 3 5" xfId="12901"/>
    <cellStyle name="Calculation 2 6 3_Sheet1" xfId="12902"/>
    <cellStyle name="Calculation 2 6 4" xfId="12903"/>
    <cellStyle name="Calculation 2 6 4 2" xfId="12904"/>
    <cellStyle name="Calculation 2 6 4 2 2" xfId="12905"/>
    <cellStyle name="Calculation 2 6 4 2 2 2" xfId="12906"/>
    <cellStyle name="Calculation 2 6 4 2 2_Sheet1" xfId="12907"/>
    <cellStyle name="Calculation 2 6 4 2 3" xfId="12908"/>
    <cellStyle name="Calculation 2 6 4 2_Sheet1" xfId="12909"/>
    <cellStyle name="Calculation 2 6 4 3" xfId="12910"/>
    <cellStyle name="Calculation 2 6 4 3 2" xfId="12911"/>
    <cellStyle name="Calculation 2 6 4 3 2 2" xfId="12912"/>
    <cellStyle name="Calculation 2 6 4 3 2_Sheet1" xfId="12913"/>
    <cellStyle name="Calculation 2 6 4 3 3" xfId="12914"/>
    <cellStyle name="Calculation 2 6 4 3_Sheet1" xfId="12915"/>
    <cellStyle name="Calculation 2 6 4 4" xfId="12916"/>
    <cellStyle name="Calculation 2 6 4 4 2" xfId="12917"/>
    <cellStyle name="Calculation 2 6 4 4 2 2" xfId="12918"/>
    <cellStyle name="Calculation 2 6 4 4 2_Sheet1" xfId="12919"/>
    <cellStyle name="Calculation 2 6 4 4 3" xfId="12920"/>
    <cellStyle name="Calculation 2 6 4 4_Sheet1" xfId="12921"/>
    <cellStyle name="Calculation 2 6 4 5" xfId="12922"/>
    <cellStyle name="Calculation 2 6 4_Sheet1" xfId="12923"/>
    <cellStyle name="Calculation 2 6 5" xfId="12924"/>
    <cellStyle name="Calculation 2 6 5 2" xfId="12925"/>
    <cellStyle name="Calculation 2 6 5 2 2" xfId="12926"/>
    <cellStyle name="Calculation 2 6 5 2 2 2" xfId="12927"/>
    <cellStyle name="Calculation 2 6 5 2 2_Sheet1" xfId="12928"/>
    <cellStyle name="Calculation 2 6 5 2 3" xfId="12929"/>
    <cellStyle name="Calculation 2 6 5 2_Sheet1" xfId="12930"/>
    <cellStyle name="Calculation 2 6 5 3" xfId="12931"/>
    <cellStyle name="Calculation 2 6 5 3 2" xfId="12932"/>
    <cellStyle name="Calculation 2 6 5 3 2 2" xfId="12933"/>
    <cellStyle name="Calculation 2 6 5 3 2_Sheet1" xfId="12934"/>
    <cellStyle name="Calculation 2 6 5 3 3" xfId="12935"/>
    <cellStyle name="Calculation 2 6 5 3_Sheet1" xfId="12936"/>
    <cellStyle name="Calculation 2 6 5 4" xfId="12937"/>
    <cellStyle name="Calculation 2 6 5 4 2" xfId="12938"/>
    <cellStyle name="Calculation 2 6 5 4 2 2" xfId="12939"/>
    <cellStyle name="Calculation 2 6 5 4 2_Sheet1" xfId="12940"/>
    <cellStyle name="Calculation 2 6 5 4 3" xfId="12941"/>
    <cellStyle name="Calculation 2 6 5 4_Sheet1" xfId="12942"/>
    <cellStyle name="Calculation 2 6 5 5" xfId="12943"/>
    <cellStyle name="Calculation 2 6 5_Sheet1" xfId="12944"/>
    <cellStyle name="Calculation 2 6 6" xfId="12945"/>
    <cellStyle name="Calculation 2 6 6 2" xfId="12946"/>
    <cellStyle name="Calculation 2 6 6 2 2" xfId="12947"/>
    <cellStyle name="Calculation 2 6 6 2 2 2" xfId="12948"/>
    <cellStyle name="Calculation 2 6 6 2 2_Sheet1" xfId="12949"/>
    <cellStyle name="Calculation 2 6 6 2 3" xfId="12950"/>
    <cellStyle name="Calculation 2 6 6 2_Sheet1" xfId="12951"/>
    <cellStyle name="Calculation 2 6 6 3" xfId="12952"/>
    <cellStyle name="Calculation 2 6 6 3 2" xfId="12953"/>
    <cellStyle name="Calculation 2 6 6 3 2 2" xfId="12954"/>
    <cellStyle name="Calculation 2 6 6 3 2_Sheet1" xfId="12955"/>
    <cellStyle name="Calculation 2 6 6 3 3" xfId="12956"/>
    <cellStyle name="Calculation 2 6 6 3_Sheet1" xfId="12957"/>
    <cellStyle name="Calculation 2 6 6 4" xfId="12958"/>
    <cellStyle name="Calculation 2 6 6 4 2" xfId="12959"/>
    <cellStyle name="Calculation 2 6 6 4 2 2" xfId="12960"/>
    <cellStyle name="Calculation 2 6 6 4 2_Sheet1" xfId="12961"/>
    <cellStyle name="Calculation 2 6 6 4 3" xfId="12962"/>
    <cellStyle name="Calculation 2 6 6 4_Sheet1" xfId="12963"/>
    <cellStyle name="Calculation 2 6 6 5" xfId="12964"/>
    <cellStyle name="Calculation 2 6 6_Sheet1" xfId="12965"/>
    <cellStyle name="Calculation 2 6 7" xfId="12966"/>
    <cellStyle name="Calculation 2 6 7 2" xfId="12967"/>
    <cellStyle name="Calculation 2 6 7 2 2" xfId="12968"/>
    <cellStyle name="Calculation 2 6 7 2 2 2" xfId="12969"/>
    <cellStyle name="Calculation 2 6 7 2 2_Sheet1" xfId="12970"/>
    <cellStyle name="Calculation 2 6 7 2 3" xfId="12971"/>
    <cellStyle name="Calculation 2 6 7 2_Sheet1" xfId="12972"/>
    <cellStyle name="Calculation 2 6 7 3" xfId="12973"/>
    <cellStyle name="Calculation 2 6 7 3 2" xfId="12974"/>
    <cellStyle name="Calculation 2 6 7 3 2 2" xfId="12975"/>
    <cellStyle name="Calculation 2 6 7 3 2_Sheet1" xfId="12976"/>
    <cellStyle name="Calculation 2 6 7 3 3" xfId="12977"/>
    <cellStyle name="Calculation 2 6 7 3_Sheet1" xfId="12978"/>
    <cellStyle name="Calculation 2 6 7 4" xfId="12979"/>
    <cellStyle name="Calculation 2 6 7 4 2" xfId="12980"/>
    <cellStyle name="Calculation 2 6 7 4 2 2" xfId="12981"/>
    <cellStyle name="Calculation 2 6 7 4 2_Sheet1" xfId="12982"/>
    <cellStyle name="Calculation 2 6 7 4 3" xfId="12983"/>
    <cellStyle name="Calculation 2 6 7 4_Sheet1" xfId="12984"/>
    <cellStyle name="Calculation 2 6 7 5" xfId="12985"/>
    <cellStyle name="Calculation 2 6 7_Sheet1" xfId="12986"/>
    <cellStyle name="Calculation 2 6 8" xfId="12987"/>
    <cellStyle name="Calculation 2 6 8 2" xfId="12988"/>
    <cellStyle name="Calculation 2 6 8 2 2" xfId="12989"/>
    <cellStyle name="Calculation 2 6 8 2 2 2" xfId="12990"/>
    <cellStyle name="Calculation 2 6 8 2 2_Sheet1" xfId="12991"/>
    <cellStyle name="Calculation 2 6 8 2 3" xfId="12992"/>
    <cellStyle name="Calculation 2 6 8 2_Sheet1" xfId="12993"/>
    <cellStyle name="Calculation 2 6 8 3" xfId="12994"/>
    <cellStyle name="Calculation 2 6 8 3 2" xfId="12995"/>
    <cellStyle name="Calculation 2 6 8 3 2 2" xfId="12996"/>
    <cellStyle name="Calculation 2 6 8 3 2_Sheet1" xfId="12997"/>
    <cellStyle name="Calculation 2 6 8 3 3" xfId="12998"/>
    <cellStyle name="Calculation 2 6 8 3_Sheet1" xfId="12999"/>
    <cellStyle name="Calculation 2 6 8 4" xfId="13000"/>
    <cellStyle name="Calculation 2 6 8 4 2" xfId="13001"/>
    <cellStyle name="Calculation 2 6 8 4 2 2" xfId="13002"/>
    <cellStyle name="Calculation 2 6 8 4 2_Sheet1" xfId="13003"/>
    <cellStyle name="Calculation 2 6 8 4 3" xfId="13004"/>
    <cellStyle name="Calculation 2 6 8 4_Sheet1" xfId="13005"/>
    <cellStyle name="Calculation 2 6 8 5" xfId="13006"/>
    <cellStyle name="Calculation 2 6 8_Sheet1" xfId="13007"/>
    <cellStyle name="Calculation 2 6 9" xfId="13008"/>
    <cellStyle name="Calculation 2 6 9 2" xfId="13009"/>
    <cellStyle name="Calculation 2 6 9 2 2" xfId="13010"/>
    <cellStyle name="Calculation 2 6 9 2 2 2" xfId="13011"/>
    <cellStyle name="Calculation 2 6 9 2 2_Sheet1" xfId="13012"/>
    <cellStyle name="Calculation 2 6 9 2 3" xfId="13013"/>
    <cellStyle name="Calculation 2 6 9 2_Sheet1" xfId="13014"/>
    <cellStyle name="Calculation 2 6 9 3" xfId="13015"/>
    <cellStyle name="Calculation 2 6 9 3 2" xfId="13016"/>
    <cellStyle name="Calculation 2 6 9 3 2 2" xfId="13017"/>
    <cellStyle name="Calculation 2 6 9 3 2_Sheet1" xfId="13018"/>
    <cellStyle name="Calculation 2 6 9 3 3" xfId="13019"/>
    <cellStyle name="Calculation 2 6 9 3_Sheet1" xfId="13020"/>
    <cellStyle name="Calculation 2 6 9 4" xfId="13021"/>
    <cellStyle name="Calculation 2 6 9 4 2" xfId="13022"/>
    <cellStyle name="Calculation 2 6 9 4 2 2" xfId="13023"/>
    <cellStyle name="Calculation 2 6 9 4 2_Sheet1" xfId="13024"/>
    <cellStyle name="Calculation 2 6 9 4 3" xfId="13025"/>
    <cellStyle name="Calculation 2 6 9 4_Sheet1" xfId="13026"/>
    <cellStyle name="Calculation 2 6 9 5" xfId="13027"/>
    <cellStyle name="Calculation 2 6 9_Sheet1" xfId="13028"/>
    <cellStyle name="Calculation 2 6_Sheet1" xfId="13029"/>
    <cellStyle name="Calculation 2 7" xfId="13030"/>
    <cellStyle name="Calculation 2 7 2" xfId="13031"/>
    <cellStyle name="Calculation 2 7 2 2" xfId="13032"/>
    <cellStyle name="Calculation 2 7 2 2 2" xfId="13033"/>
    <cellStyle name="Calculation 2 7 2 2_Sheet1" xfId="13034"/>
    <cellStyle name="Calculation 2 7 2 3" xfId="13035"/>
    <cellStyle name="Calculation 2 7 2_Sheet1" xfId="13036"/>
    <cellStyle name="Calculation 2 7 3" xfId="13037"/>
    <cellStyle name="Calculation 2 7 3 2" xfId="13038"/>
    <cellStyle name="Calculation 2 7 3 2 2" xfId="13039"/>
    <cellStyle name="Calculation 2 7 3 2_Sheet1" xfId="13040"/>
    <cellStyle name="Calculation 2 7 3 3" xfId="13041"/>
    <cellStyle name="Calculation 2 7 3_Sheet1" xfId="13042"/>
    <cellStyle name="Calculation 2 7 4" xfId="13043"/>
    <cellStyle name="Calculation 2 7 4 2" xfId="13044"/>
    <cellStyle name="Calculation 2 7 4 2 2" xfId="13045"/>
    <cellStyle name="Calculation 2 7 4 2_Sheet1" xfId="13046"/>
    <cellStyle name="Calculation 2 7 4 3" xfId="13047"/>
    <cellStyle name="Calculation 2 7 4_Sheet1" xfId="13048"/>
    <cellStyle name="Calculation 2 7 5" xfId="13049"/>
    <cellStyle name="Calculation 2 7_Sheet1" xfId="13050"/>
    <cellStyle name="Calculation 2 8" xfId="13051"/>
    <cellStyle name="Calculation 2 8 2" xfId="13052"/>
    <cellStyle name="Calculation 2 8 2 2" xfId="13053"/>
    <cellStyle name="Calculation 2 8 2 2 2" xfId="13054"/>
    <cellStyle name="Calculation 2 8 2 2_Sheet1" xfId="13055"/>
    <cellStyle name="Calculation 2 8 2 3" xfId="13056"/>
    <cellStyle name="Calculation 2 8 2_Sheet1" xfId="13057"/>
    <cellStyle name="Calculation 2 8 3" xfId="13058"/>
    <cellStyle name="Calculation 2 8 3 2" xfId="13059"/>
    <cellStyle name="Calculation 2 8 3 2 2" xfId="13060"/>
    <cellStyle name="Calculation 2 8 3 2_Sheet1" xfId="13061"/>
    <cellStyle name="Calculation 2 8 3 3" xfId="13062"/>
    <cellStyle name="Calculation 2 8 3_Sheet1" xfId="13063"/>
    <cellStyle name="Calculation 2 8 4" xfId="13064"/>
    <cellStyle name="Calculation 2 8 4 2" xfId="13065"/>
    <cellStyle name="Calculation 2 8 4 2 2" xfId="13066"/>
    <cellStyle name="Calculation 2 8 4 2_Sheet1" xfId="13067"/>
    <cellStyle name="Calculation 2 8 4 3" xfId="13068"/>
    <cellStyle name="Calculation 2 8 4_Sheet1" xfId="13069"/>
    <cellStyle name="Calculation 2 8 5" xfId="13070"/>
    <cellStyle name="Calculation 2 8_Sheet1" xfId="13071"/>
    <cellStyle name="Calculation 2 9" xfId="13072"/>
    <cellStyle name="Calculation 2 9 2" xfId="13073"/>
    <cellStyle name="Calculation 2 9 2 2" xfId="13074"/>
    <cellStyle name="Calculation 2 9 2 2 2" xfId="13075"/>
    <cellStyle name="Calculation 2 9 2 2_Sheet1" xfId="13076"/>
    <cellStyle name="Calculation 2 9 2 3" xfId="13077"/>
    <cellStyle name="Calculation 2 9 2_Sheet1" xfId="13078"/>
    <cellStyle name="Calculation 2 9 3" xfId="13079"/>
    <cellStyle name="Calculation 2 9 3 2" xfId="13080"/>
    <cellStyle name="Calculation 2 9 3 2 2" xfId="13081"/>
    <cellStyle name="Calculation 2 9 3 2_Sheet1" xfId="13082"/>
    <cellStyle name="Calculation 2 9 3 3" xfId="13083"/>
    <cellStyle name="Calculation 2 9 3_Sheet1" xfId="13084"/>
    <cellStyle name="Calculation 2 9 4" xfId="13085"/>
    <cellStyle name="Calculation 2 9 4 2" xfId="13086"/>
    <cellStyle name="Calculation 2 9 4 2 2" xfId="13087"/>
    <cellStyle name="Calculation 2 9 4 2_Sheet1" xfId="13088"/>
    <cellStyle name="Calculation 2 9 4 3" xfId="13089"/>
    <cellStyle name="Calculation 2 9 4_Sheet1" xfId="13090"/>
    <cellStyle name="Calculation 2 9 5" xfId="13091"/>
    <cellStyle name="Calculation 2 9_Sheet1" xfId="13092"/>
    <cellStyle name="Calculation 2_Laporan Aspal Per Bulan 2009" xfId="13093"/>
    <cellStyle name="Calculation 3" xfId="13094"/>
    <cellStyle name="Calculation 3 10" xfId="13095"/>
    <cellStyle name="Calculation 3 2" xfId="13096"/>
    <cellStyle name="Calculation 3 2 2" xfId="13097"/>
    <cellStyle name="Calculation 3 2 2 2" xfId="13098"/>
    <cellStyle name="Calculation 3 2 2 2 2" xfId="13099"/>
    <cellStyle name="Calculation 3 2 2 2_Sheet1" xfId="13100"/>
    <cellStyle name="Calculation 3 2 2 3" xfId="13101"/>
    <cellStyle name="Calculation 3 2 2_Sheet1" xfId="13102"/>
    <cellStyle name="Calculation 3 2 3" xfId="13103"/>
    <cellStyle name="Calculation 3 2 3 2" xfId="13104"/>
    <cellStyle name="Calculation 3 2 3 2 2" xfId="13105"/>
    <cellStyle name="Calculation 3 2 3 2_Sheet1" xfId="13106"/>
    <cellStyle name="Calculation 3 2 3 3" xfId="13107"/>
    <cellStyle name="Calculation 3 2 3_Sheet1" xfId="13108"/>
    <cellStyle name="Calculation 3 2 4" xfId="13109"/>
    <cellStyle name="Calculation 3 2 4 2" xfId="13110"/>
    <cellStyle name="Calculation 3 2 4 2 2" xfId="13111"/>
    <cellStyle name="Calculation 3 2 4 2_Sheet1" xfId="13112"/>
    <cellStyle name="Calculation 3 2 4 3" xfId="13113"/>
    <cellStyle name="Calculation 3 2 4_Sheet1" xfId="13114"/>
    <cellStyle name="Calculation 3 2 5" xfId="13115"/>
    <cellStyle name="Calculation 3 2 5 2" xfId="13116"/>
    <cellStyle name="Calculation 3 2 5_Sheet1" xfId="13117"/>
    <cellStyle name="Calculation 3 2 6" xfId="13118"/>
    <cellStyle name="Calculation 3 2_Sheet1" xfId="13119"/>
    <cellStyle name="Calculation 3 3" xfId="13120"/>
    <cellStyle name="Calculation 3 3 2" xfId="13121"/>
    <cellStyle name="Calculation 3 3 2 2" xfId="13122"/>
    <cellStyle name="Calculation 3 3 2 2 2" xfId="13123"/>
    <cellStyle name="Calculation 3 3 2 2_Sheet1" xfId="13124"/>
    <cellStyle name="Calculation 3 3 2 3" xfId="13125"/>
    <cellStyle name="Calculation 3 3 2_Sheet1" xfId="13126"/>
    <cellStyle name="Calculation 3 3 3" xfId="13127"/>
    <cellStyle name="Calculation 3 3 3 2" xfId="13128"/>
    <cellStyle name="Calculation 3 3 3 2 2" xfId="13129"/>
    <cellStyle name="Calculation 3 3 3 2_Sheet1" xfId="13130"/>
    <cellStyle name="Calculation 3 3 3 3" xfId="13131"/>
    <cellStyle name="Calculation 3 3 3_Sheet1" xfId="13132"/>
    <cellStyle name="Calculation 3 3 4" xfId="13133"/>
    <cellStyle name="Calculation 3 3 4 2" xfId="13134"/>
    <cellStyle name="Calculation 3 3 4 2 2" xfId="13135"/>
    <cellStyle name="Calculation 3 3 4 2_Sheet1" xfId="13136"/>
    <cellStyle name="Calculation 3 3 4 3" xfId="13137"/>
    <cellStyle name="Calculation 3 3 4_Sheet1" xfId="13138"/>
    <cellStyle name="Calculation 3 3 5" xfId="13139"/>
    <cellStyle name="Calculation 3 3 5 2" xfId="13140"/>
    <cellStyle name="Calculation 3 3 5_Sheet1" xfId="13141"/>
    <cellStyle name="Calculation 3 3 6" xfId="13142"/>
    <cellStyle name="Calculation 3 3_Sheet1" xfId="13143"/>
    <cellStyle name="Calculation 3 4" xfId="13144"/>
    <cellStyle name="Calculation 3 4 2" xfId="13145"/>
    <cellStyle name="Calculation 3 4 2 2" xfId="13146"/>
    <cellStyle name="Calculation 3 4 2 2 2" xfId="13147"/>
    <cellStyle name="Calculation 3 4 2 2_Sheet1" xfId="13148"/>
    <cellStyle name="Calculation 3 4 2 3" xfId="13149"/>
    <cellStyle name="Calculation 3 4 2_Sheet1" xfId="13150"/>
    <cellStyle name="Calculation 3 4 3" xfId="13151"/>
    <cellStyle name="Calculation 3 4 3 2" xfId="13152"/>
    <cellStyle name="Calculation 3 4 3 2 2" xfId="13153"/>
    <cellStyle name="Calculation 3 4 3 2_Sheet1" xfId="13154"/>
    <cellStyle name="Calculation 3 4 3 3" xfId="13155"/>
    <cellStyle name="Calculation 3 4 3_Sheet1" xfId="13156"/>
    <cellStyle name="Calculation 3 4 4" xfId="13157"/>
    <cellStyle name="Calculation 3 4 4 2" xfId="13158"/>
    <cellStyle name="Calculation 3 4 4 2 2" xfId="13159"/>
    <cellStyle name="Calculation 3 4 4 2_Sheet1" xfId="13160"/>
    <cellStyle name="Calculation 3 4 4 3" xfId="13161"/>
    <cellStyle name="Calculation 3 4 4_Sheet1" xfId="13162"/>
    <cellStyle name="Calculation 3 4 5" xfId="13163"/>
    <cellStyle name="Calculation 3 4 5 2" xfId="13164"/>
    <cellStyle name="Calculation 3 4 5_Sheet1" xfId="13165"/>
    <cellStyle name="Calculation 3 4 6" xfId="13166"/>
    <cellStyle name="Calculation 3 4_Sheet1" xfId="13167"/>
    <cellStyle name="Calculation 3 5" xfId="13168"/>
    <cellStyle name="Calculation 3 5 2" xfId="13169"/>
    <cellStyle name="Calculation 3 5 2 2" xfId="13170"/>
    <cellStyle name="Calculation 3 5 2 2 2" xfId="13171"/>
    <cellStyle name="Calculation 3 5 2 2_Sheet1" xfId="13172"/>
    <cellStyle name="Calculation 3 5 2 3" xfId="13173"/>
    <cellStyle name="Calculation 3 5 2_Sheet1" xfId="13174"/>
    <cellStyle name="Calculation 3 5 3" xfId="13175"/>
    <cellStyle name="Calculation 3 5 3 2" xfId="13176"/>
    <cellStyle name="Calculation 3 5 3 2 2" xfId="13177"/>
    <cellStyle name="Calculation 3 5 3 2_Sheet1" xfId="13178"/>
    <cellStyle name="Calculation 3 5 3 3" xfId="13179"/>
    <cellStyle name="Calculation 3 5 3_Sheet1" xfId="13180"/>
    <cellStyle name="Calculation 3 5 4" xfId="13181"/>
    <cellStyle name="Calculation 3 5 4 2" xfId="13182"/>
    <cellStyle name="Calculation 3 5 4 2 2" xfId="13183"/>
    <cellStyle name="Calculation 3 5 4 2_Sheet1" xfId="13184"/>
    <cellStyle name="Calculation 3 5 4 3" xfId="13185"/>
    <cellStyle name="Calculation 3 5 4_Sheet1" xfId="13186"/>
    <cellStyle name="Calculation 3 5 5" xfId="13187"/>
    <cellStyle name="Calculation 3 5 5 2" xfId="13188"/>
    <cellStyle name="Calculation 3 5 5_Sheet1" xfId="13189"/>
    <cellStyle name="Calculation 3 5 6" xfId="13190"/>
    <cellStyle name="Calculation 3 5_Sheet1" xfId="13191"/>
    <cellStyle name="Calculation 3 6" xfId="13192"/>
    <cellStyle name="Calculation 3 6 2" xfId="13193"/>
    <cellStyle name="Calculation 3 6 2 2" xfId="13194"/>
    <cellStyle name="Calculation 3 6 2_Sheet1" xfId="13195"/>
    <cellStyle name="Calculation 3 6 3" xfId="13196"/>
    <cellStyle name="Calculation 3 6_Sheet1" xfId="13197"/>
    <cellStyle name="Calculation 3 7" xfId="13198"/>
    <cellStyle name="Calculation 3 7 2" xfId="13199"/>
    <cellStyle name="Calculation 3 7 2 2" xfId="13200"/>
    <cellStyle name="Calculation 3 7 2_Sheet1" xfId="13201"/>
    <cellStyle name="Calculation 3 7 3" xfId="13202"/>
    <cellStyle name="Calculation 3 7_Sheet1" xfId="13203"/>
    <cellStyle name="Calculation 3 8" xfId="13204"/>
    <cellStyle name="Calculation 3 8 2" xfId="13205"/>
    <cellStyle name="Calculation 3 8 2 2" xfId="13206"/>
    <cellStyle name="Calculation 3 8 2_Sheet1" xfId="13207"/>
    <cellStyle name="Calculation 3 8 3" xfId="13208"/>
    <cellStyle name="Calculation 3 8_Sheet1" xfId="13209"/>
    <cellStyle name="Calculation 3 9" xfId="13210"/>
    <cellStyle name="Calculation 3 9 2" xfId="13211"/>
    <cellStyle name="Calculation 3 9_Sheet1" xfId="13212"/>
    <cellStyle name="Calculation 3_Laporan Aspal Per Bulan 2009" xfId="13213"/>
    <cellStyle name="Calculation 4" xfId="13214"/>
    <cellStyle name="Calculation 4 2" xfId="13215"/>
    <cellStyle name="Calculation 4 2 2" xfId="13216"/>
    <cellStyle name="Calculation 4 2 2 2" xfId="13217"/>
    <cellStyle name="Calculation 4 2 2 2 2" xfId="13218"/>
    <cellStyle name="Calculation 4 2 2 2_Sheet1" xfId="13219"/>
    <cellStyle name="Calculation 4 2 2 3" xfId="13220"/>
    <cellStyle name="Calculation 4 2 2_Sheet1" xfId="13221"/>
    <cellStyle name="Calculation 4 2 3" xfId="13222"/>
    <cellStyle name="Calculation 4 2 3 2" xfId="13223"/>
    <cellStyle name="Calculation 4 2 3 2 2" xfId="13224"/>
    <cellStyle name="Calculation 4 2 3 2_Sheet1" xfId="13225"/>
    <cellStyle name="Calculation 4 2 3 3" xfId="13226"/>
    <cellStyle name="Calculation 4 2 3_Sheet1" xfId="13227"/>
    <cellStyle name="Calculation 4 2 4" xfId="13228"/>
    <cellStyle name="Calculation 4 2 4 2" xfId="13229"/>
    <cellStyle name="Calculation 4 2 4 2 2" xfId="13230"/>
    <cellStyle name="Calculation 4 2 4 2_Sheet1" xfId="13231"/>
    <cellStyle name="Calculation 4 2 4 3" xfId="13232"/>
    <cellStyle name="Calculation 4 2 4_Sheet1" xfId="13233"/>
    <cellStyle name="Calculation 4 2 5" xfId="13234"/>
    <cellStyle name="Calculation 4 2 5 2" xfId="13235"/>
    <cellStyle name="Calculation 4 2 5_Sheet1" xfId="13236"/>
    <cellStyle name="Calculation 4 2 6" xfId="13237"/>
    <cellStyle name="Calculation 4 2_Sheet1" xfId="13238"/>
    <cellStyle name="Calculation 4 3" xfId="13239"/>
    <cellStyle name="Calculation 4 3 2" xfId="13240"/>
    <cellStyle name="Calculation 4 3 2 2" xfId="13241"/>
    <cellStyle name="Calculation 4 3 2 2 2" xfId="13242"/>
    <cellStyle name="Calculation 4 3 2 2_Sheet1" xfId="13243"/>
    <cellStyle name="Calculation 4 3 2 3" xfId="13244"/>
    <cellStyle name="Calculation 4 3 2_Sheet1" xfId="13245"/>
    <cellStyle name="Calculation 4 3 3" xfId="13246"/>
    <cellStyle name="Calculation 4 3 3 2" xfId="13247"/>
    <cellStyle name="Calculation 4 3 3 2 2" xfId="13248"/>
    <cellStyle name="Calculation 4 3 3 2_Sheet1" xfId="13249"/>
    <cellStyle name="Calculation 4 3 3 3" xfId="13250"/>
    <cellStyle name="Calculation 4 3 3_Sheet1" xfId="13251"/>
    <cellStyle name="Calculation 4 3 4" xfId="13252"/>
    <cellStyle name="Calculation 4 3 4 2" xfId="13253"/>
    <cellStyle name="Calculation 4 3 4 2 2" xfId="13254"/>
    <cellStyle name="Calculation 4 3 4 2_Sheet1" xfId="13255"/>
    <cellStyle name="Calculation 4 3 4 3" xfId="13256"/>
    <cellStyle name="Calculation 4 3 4_Sheet1" xfId="13257"/>
    <cellStyle name="Calculation 4 3 5" xfId="13258"/>
    <cellStyle name="Calculation 4 3_Sheet1" xfId="13259"/>
    <cellStyle name="Calculation 4 4" xfId="13260"/>
    <cellStyle name="Calculation 4 4 2" xfId="13261"/>
    <cellStyle name="Calculation 4 4 2 2" xfId="13262"/>
    <cellStyle name="Calculation 4 4 2 2 2" xfId="13263"/>
    <cellStyle name="Calculation 4 4 2 2_Sheet1" xfId="13264"/>
    <cellStyle name="Calculation 4 4 2 3" xfId="13265"/>
    <cellStyle name="Calculation 4 4 2_Sheet1" xfId="13266"/>
    <cellStyle name="Calculation 4 4 3" xfId="13267"/>
    <cellStyle name="Calculation 4 4 3 2" xfId="13268"/>
    <cellStyle name="Calculation 4 4 3 2 2" xfId="13269"/>
    <cellStyle name="Calculation 4 4 3 2_Sheet1" xfId="13270"/>
    <cellStyle name="Calculation 4 4 3 3" xfId="13271"/>
    <cellStyle name="Calculation 4 4 3_Sheet1" xfId="13272"/>
    <cellStyle name="Calculation 4 4 4" xfId="13273"/>
    <cellStyle name="Calculation 4 4 4 2" xfId="13274"/>
    <cellStyle name="Calculation 4 4 4 2 2" xfId="13275"/>
    <cellStyle name="Calculation 4 4 4 2_Sheet1" xfId="13276"/>
    <cellStyle name="Calculation 4 4 4 3" xfId="13277"/>
    <cellStyle name="Calculation 4 4 4_Sheet1" xfId="13278"/>
    <cellStyle name="Calculation 4 4 5" xfId="13279"/>
    <cellStyle name="Calculation 4 4_Sheet1" xfId="13280"/>
    <cellStyle name="Calculation 4 5" xfId="13281"/>
    <cellStyle name="Calculation 4 5 2" xfId="13282"/>
    <cellStyle name="Calculation 4 5 2 2" xfId="13283"/>
    <cellStyle name="Calculation 4 5 2_Sheet1" xfId="13284"/>
    <cellStyle name="Calculation 4 5 3" xfId="13285"/>
    <cellStyle name="Calculation 4 5_Sheet1" xfId="13286"/>
    <cellStyle name="Calculation 4 6" xfId="13287"/>
    <cellStyle name="Calculation 4 6 2" xfId="13288"/>
    <cellStyle name="Calculation 4 6 2 2" xfId="13289"/>
    <cellStyle name="Calculation 4 6 2_Sheet1" xfId="13290"/>
    <cellStyle name="Calculation 4 6 3" xfId="13291"/>
    <cellStyle name="Calculation 4 6_Sheet1" xfId="13292"/>
    <cellStyle name="Calculation 4 7" xfId="13293"/>
    <cellStyle name="Calculation 4 7 2" xfId="13294"/>
    <cellStyle name="Calculation 4 7 2 2" xfId="13295"/>
    <cellStyle name="Calculation 4 7 2_Sheet1" xfId="13296"/>
    <cellStyle name="Calculation 4 7 3" xfId="13297"/>
    <cellStyle name="Calculation 4 7_Sheet1" xfId="13298"/>
    <cellStyle name="Calculation 4 8" xfId="13299"/>
    <cellStyle name="Calculation 4_Laporan Aspal Per Bulan 2009" xfId="13300"/>
    <cellStyle name="Calculation 5" xfId="13301"/>
    <cellStyle name="Calculation 5 2" xfId="13302"/>
    <cellStyle name="Calculation 5 2 2" xfId="13303"/>
    <cellStyle name="Calculation 5 2 2 2" xfId="13304"/>
    <cellStyle name="Calculation 5 2 2 2 2" xfId="13305"/>
    <cellStyle name="Calculation 5 2 2 2_Sheet1" xfId="13306"/>
    <cellStyle name="Calculation 5 2 2 3" xfId="13307"/>
    <cellStyle name="Calculation 5 2 2_Sheet1" xfId="13308"/>
    <cellStyle name="Calculation 5 2 3" xfId="13309"/>
    <cellStyle name="Calculation 5 2 3 2" xfId="13310"/>
    <cellStyle name="Calculation 5 2 3 2 2" xfId="13311"/>
    <cellStyle name="Calculation 5 2 3 2_Sheet1" xfId="13312"/>
    <cellStyle name="Calculation 5 2 3 3" xfId="13313"/>
    <cellStyle name="Calculation 5 2 3_Sheet1" xfId="13314"/>
    <cellStyle name="Calculation 5 2 4" xfId="13315"/>
    <cellStyle name="Calculation 5 2 4 2" xfId="13316"/>
    <cellStyle name="Calculation 5 2 4 2 2" xfId="13317"/>
    <cellStyle name="Calculation 5 2 4 2_Sheet1" xfId="13318"/>
    <cellStyle name="Calculation 5 2 4 3" xfId="13319"/>
    <cellStyle name="Calculation 5 2 4_Sheet1" xfId="13320"/>
    <cellStyle name="Calculation 5 2 5" xfId="13321"/>
    <cellStyle name="Calculation 5 2_Sheet1" xfId="13322"/>
    <cellStyle name="Calculation 5 3" xfId="13323"/>
    <cellStyle name="Calculation 5 3 2" xfId="13324"/>
    <cellStyle name="Calculation 5 3 2 2" xfId="13325"/>
    <cellStyle name="Calculation 5 3 2 2 2" xfId="13326"/>
    <cellStyle name="Calculation 5 3 2 2_Sheet1" xfId="13327"/>
    <cellStyle name="Calculation 5 3 2 3" xfId="13328"/>
    <cellStyle name="Calculation 5 3 2_Sheet1" xfId="13329"/>
    <cellStyle name="Calculation 5 3 3" xfId="13330"/>
    <cellStyle name="Calculation 5 3 3 2" xfId="13331"/>
    <cellStyle name="Calculation 5 3 3 2 2" xfId="13332"/>
    <cellStyle name="Calculation 5 3 3 2_Sheet1" xfId="13333"/>
    <cellStyle name="Calculation 5 3 3 3" xfId="13334"/>
    <cellStyle name="Calculation 5 3 3_Sheet1" xfId="13335"/>
    <cellStyle name="Calculation 5 3 4" xfId="13336"/>
    <cellStyle name="Calculation 5 3 4 2" xfId="13337"/>
    <cellStyle name="Calculation 5 3 4 2 2" xfId="13338"/>
    <cellStyle name="Calculation 5 3 4 2_Sheet1" xfId="13339"/>
    <cellStyle name="Calculation 5 3 4 3" xfId="13340"/>
    <cellStyle name="Calculation 5 3 4_Sheet1" xfId="13341"/>
    <cellStyle name="Calculation 5 3 5" xfId="13342"/>
    <cellStyle name="Calculation 5 3_Sheet1" xfId="13343"/>
    <cellStyle name="Calculation 5 4" xfId="13344"/>
    <cellStyle name="Calculation 5 4 2" xfId="13345"/>
    <cellStyle name="Calculation 5 4 2 2" xfId="13346"/>
    <cellStyle name="Calculation 5 4 2_Sheet1" xfId="13347"/>
    <cellStyle name="Calculation 5 4 3" xfId="13348"/>
    <cellStyle name="Calculation 5 4_Sheet1" xfId="13349"/>
    <cellStyle name="Calculation 5 5" xfId="13350"/>
    <cellStyle name="Calculation 5 5 2" xfId="13351"/>
    <cellStyle name="Calculation 5 5 2 2" xfId="13352"/>
    <cellStyle name="Calculation 5 5 2_Sheet1" xfId="13353"/>
    <cellStyle name="Calculation 5 5 3" xfId="13354"/>
    <cellStyle name="Calculation 5 5_Sheet1" xfId="13355"/>
    <cellStyle name="Calculation 5 6" xfId="13356"/>
    <cellStyle name="Calculation 5 6 2" xfId="13357"/>
    <cellStyle name="Calculation 5 6 2 2" xfId="13358"/>
    <cellStyle name="Calculation 5 6 2_Sheet1" xfId="13359"/>
    <cellStyle name="Calculation 5 6 3" xfId="13360"/>
    <cellStyle name="Calculation 5 6_Sheet1" xfId="13361"/>
    <cellStyle name="Calculation 5 7" xfId="13362"/>
    <cellStyle name="Calculation 5_Sheet1" xfId="13363"/>
    <cellStyle name="Calculation 6" xfId="13364"/>
    <cellStyle name="Calculation 6 2" xfId="13365"/>
    <cellStyle name="Calculation 6 2 2" xfId="13366"/>
    <cellStyle name="Calculation 6 2 2 2" xfId="13367"/>
    <cellStyle name="Calculation 6 2 2 2 2" xfId="13368"/>
    <cellStyle name="Calculation 6 2 2 2_Sheet1" xfId="13369"/>
    <cellStyle name="Calculation 6 2 2 3" xfId="13370"/>
    <cellStyle name="Calculation 6 2 2_Sheet1" xfId="13371"/>
    <cellStyle name="Calculation 6 2 3" xfId="13372"/>
    <cellStyle name="Calculation 6 2 3 2" xfId="13373"/>
    <cellStyle name="Calculation 6 2 3 2 2" xfId="13374"/>
    <cellStyle name="Calculation 6 2 3 2_Sheet1" xfId="13375"/>
    <cellStyle name="Calculation 6 2 3 3" xfId="13376"/>
    <cellStyle name="Calculation 6 2 3_Sheet1" xfId="13377"/>
    <cellStyle name="Calculation 6 2 4" xfId="13378"/>
    <cellStyle name="Calculation 6 2 4 2" xfId="13379"/>
    <cellStyle name="Calculation 6 2 4 2 2" xfId="13380"/>
    <cellStyle name="Calculation 6 2 4 2_Sheet1" xfId="13381"/>
    <cellStyle name="Calculation 6 2 4 3" xfId="13382"/>
    <cellStyle name="Calculation 6 2 4_Sheet1" xfId="13383"/>
    <cellStyle name="Calculation 6 2 5" xfId="13384"/>
    <cellStyle name="Calculation 6 2_Sheet1" xfId="13385"/>
    <cellStyle name="Calculation 6 3" xfId="13386"/>
    <cellStyle name="Calculation 6 3 2" xfId="13387"/>
    <cellStyle name="Calculation 6 3 2 2" xfId="13388"/>
    <cellStyle name="Calculation 6 3 2_Sheet1" xfId="13389"/>
    <cellStyle name="Calculation 6 3 3" xfId="13390"/>
    <cellStyle name="Calculation 6 3_Sheet1" xfId="13391"/>
    <cellStyle name="Calculation 6 4" xfId="13392"/>
    <cellStyle name="Calculation 6 4 2" xfId="13393"/>
    <cellStyle name="Calculation 6 4 2 2" xfId="13394"/>
    <cellStyle name="Calculation 6 4 2_Sheet1" xfId="13395"/>
    <cellStyle name="Calculation 6 4 3" xfId="13396"/>
    <cellStyle name="Calculation 6 4_Sheet1" xfId="13397"/>
    <cellStyle name="Calculation 6 5" xfId="13398"/>
    <cellStyle name="Calculation 6 5 2" xfId="13399"/>
    <cellStyle name="Calculation 6 5 2 2" xfId="13400"/>
    <cellStyle name="Calculation 6 5 2_Sheet1" xfId="13401"/>
    <cellStyle name="Calculation 6 5 3" xfId="13402"/>
    <cellStyle name="Calculation 6 5_Sheet1" xfId="13403"/>
    <cellStyle name="Calculation 6 6" xfId="13404"/>
    <cellStyle name="Calculation 6_Sheet1" xfId="13405"/>
    <cellStyle name="Calculation 7" xfId="13406"/>
    <cellStyle name="Calculation 7 2" xfId="13407"/>
    <cellStyle name="Calculation 7 2 2" xfId="13408"/>
    <cellStyle name="Calculation 7 2 2 2" xfId="13409"/>
    <cellStyle name="Calculation 7 2 2_Sheet1" xfId="13410"/>
    <cellStyle name="Calculation 7 2 3" xfId="13411"/>
    <cellStyle name="Calculation 7 2_Sheet1" xfId="13412"/>
    <cellStyle name="Calculation 7 3" xfId="13413"/>
    <cellStyle name="Calculation 7 3 2" xfId="13414"/>
    <cellStyle name="Calculation 7 3 2 2" xfId="13415"/>
    <cellStyle name="Calculation 7 3 2_Sheet1" xfId="13416"/>
    <cellStyle name="Calculation 7 3 3" xfId="13417"/>
    <cellStyle name="Calculation 7 3_Sheet1" xfId="13418"/>
    <cellStyle name="Calculation 7 4" xfId="13419"/>
    <cellStyle name="Calculation 7 4 2" xfId="13420"/>
    <cellStyle name="Calculation 7 4 2 2" xfId="13421"/>
    <cellStyle name="Calculation 7 4 2_Sheet1" xfId="13422"/>
    <cellStyle name="Calculation 7 4 3" xfId="13423"/>
    <cellStyle name="Calculation 7 4_Sheet1" xfId="13424"/>
    <cellStyle name="Calculation 7 5" xfId="13425"/>
    <cellStyle name="Calculation 7_Sheet1" xfId="13426"/>
    <cellStyle name="Calculation 8" xfId="13427"/>
    <cellStyle name="Calculation 8 2" xfId="13428"/>
    <cellStyle name="Calculation 8 2 2" xfId="13429"/>
    <cellStyle name="Calculation 8 2 2 2" xfId="13430"/>
    <cellStyle name="Calculation 8 2 2_Sheet1" xfId="13431"/>
    <cellStyle name="Calculation 8 2 3" xfId="13432"/>
    <cellStyle name="Calculation 8 2_Sheet1" xfId="13433"/>
    <cellStyle name="Calculation 8 3" xfId="13434"/>
    <cellStyle name="Calculation 8 3 2" xfId="13435"/>
    <cellStyle name="Calculation 8 3 2 2" xfId="13436"/>
    <cellStyle name="Calculation 8 3 2_Sheet1" xfId="13437"/>
    <cellStyle name="Calculation 8 3 3" xfId="13438"/>
    <cellStyle name="Calculation 8 3_Sheet1" xfId="13439"/>
    <cellStyle name="Calculation 8 4" xfId="13440"/>
    <cellStyle name="Calculation 8 4 2" xfId="13441"/>
    <cellStyle name="Calculation 8 4 2 2" xfId="13442"/>
    <cellStyle name="Calculation 8 4 2_Sheet1" xfId="13443"/>
    <cellStyle name="Calculation 8 4 3" xfId="13444"/>
    <cellStyle name="Calculation 8 4_Sheet1" xfId="13445"/>
    <cellStyle name="Calculation 8 5" xfId="13446"/>
    <cellStyle name="Calculation 8_Sheet1" xfId="13447"/>
    <cellStyle name="Calculation 9" xfId="13448"/>
    <cellStyle name="Calculation 9 2" xfId="13449"/>
    <cellStyle name="Calculation 9_Sheet1" xfId="13450"/>
    <cellStyle name="Case" xfId="13451"/>
    <cellStyle name="Case 2" xfId="13452"/>
    <cellStyle name="Case 3" xfId="13453"/>
    <cellStyle name="Case_Sheet1" xfId="13454"/>
    <cellStyle name="Catatan" xfId="13455"/>
    <cellStyle name="Catatan 2" xfId="13456"/>
    <cellStyle name="Catatan 2 2" xfId="13457"/>
    <cellStyle name="Catatan 2_Sheet1" xfId="13458"/>
    <cellStyle name="Catatan 3" xfId="13459"/>
    <cellStyle name="Catatan_Sheet1" xfId="13460"/>
    <cellStyle name="category" xfId="13461"/>
    <cellStyle name="cc0 -CalComma" xfId="13462"/>
    <cellStyle name="cc1 -CalComma" xfId="13463"/>
    <cellStyle name="cc2 -CalComma" xfId="13464"/>
    <cellStyle name="cc3 -CalComma" xfId="13465"/>
    <cellStyle name="cc4 -CalComma" xfId="13466"/>
    <cellStyle name="cdDMMY -CalDate" xfId="13467"/>
    <cellStyle name="cdDMMYHM -CalDateTime" xfId="13468"/>
    <cellStyle name="cdDMY -CalDate" xfId="13469"/>
    <cellStyle name="cdMDY -CalDate" xfId="13470"/>
    <cellStyle name="cdMMY -CalDate" xfId="13471"/>
    <cellStyle name="cdMMYc-CalDateC" xfId="13472"/>
    <cellStyle name="Cek Sel" xfId="13473"/>
    <cellStyle name="Centered Heading" xfId="13474"/>
    <cellStyle name="Cents" xfId="13475"/>
    <cellStyle name="cf0 -CalFixed" xfId="13476"/>
    <cellStyle name="Changeable" xfId="13477"/>
    <cellStyle name="Changed" xfId="13478"/>
    <cellStyle name="Chart %" xfId="13479"/>
    <cellStyle name="Chart % 2" xfId="13480"/>
    <cellStyle name="Chart %_Sheet1" xfId="13481"/>
    <cellStyle name="chart no." xfId="13482"/>
    <cellStyle name="chart no. 2" xfId="13483"/>
    <cellStyle name="chart no._Sheet1" xfId="13484"/>
    <cellStyle name="Chart Title" xfId="13485"/>
    <cellStyle name="Check Cell 2" xfId="13486"/>
    <cellStyle name="Check Cell 2 2" xfId="13487"/>
    <cellStyle name="Check Cell 2 3" xfId="13488"/>
    <cellStyle name="Check Cell 2 4" xfId="13489"/>
    <cellStyle name="Check Cell 2 5" xfId="13490"/>
    <cellStyle name="Check Cell 2 6" xfId="13491"/>
    <cellStyle name="Check Cell 2_Laporan Aspal Per Bulan 2009" xfId="13492"/>
    <cellStyle name="Check Cell 3" xfId="13493"/>
    <cellStyle name="Check Cell 3 2" xfId="13494"/>
    <cellStyle name="Check Cell 3 3" xfId="13495"/>
    <cellStyle name="Check Cell 3 4" xfId="13496"/>
    <cellStyle name="Check Cell 3 5" xfId="13497"/>
    <cellStyle name="Check Cell 3 6" xfId="13498"/>
    <cellStyle name="Check Cell 3_Laporan Aspal Per Bulan 2009" xfId="13499"/>
    <cellStyle name="Check Cell 4" xfId="13500"/>
    <cellStyle name="Check Cell 4 2" xfId="13501"/>
    <cellStyle name="Check Cell 4 3" xfId="13502"/>
    <cellStyle name="Check Cell 4 4" xfId="13503"/>
    <cellStyle name="Check Cell 4_Laporan Aspal Per Bulan 2009" xfId="13504"/>
    <cellStyle name="Check Cell 5" xfId="13505"/>
    <cellStyle name="Check Cell 5 2" xfId="13506"/>
    <cellStyle name="Check Cell 5 3" xfId="13507"/>
    <cellStyle name="Check Cell 5_Sheet1" xfId="13508"/>
    <cellStyle name="Check Cell 6" xfId="13509"/>
    <cellStyle name="Check Cell 6 2" xfId="13510"/>
    <cellStyle name="Check Cell 6_Sheet1" xfId="13511"/>
    <cellStyle name="Check Cell 7" xfId="13512"/>
    <cellStyle name="Check Cell 8" xfId="13513"/>
    <cellStyle name="Checksum" xfId="13514"/>
    <cellStyle name="cmHM  -CalTime" xfId="13515"/>
    <cellStyle name="cmHM24+ -CalTime" xfId="13516"/>
    <cellStyle name="Co. Names" xfId="13517"/>
    <cellStyle name="Co. Names - Bold" xfId="13518"/>
    <cellStyle name="Co. Names_Beer_Public_Comps4" xfId="13519"/>
    <cellStyle name="COL HEADINGS" xfId="13520"/>
    <cellStyle name="Column Heading_intmodel_aw 5" xfId="13521"/>
    <cellStyle name="Column_Title" xfId="13522"/>
    <cellStyle name="Comma" xfId="49413" builtinId="3"/>
    <cellStyle name="Comma  - Style1" xfId="13523"/>
    <cellStyle name="Comma  - Style1 2" xfId="13524"/>
    <cellStyle name="Comma  - Style1_Sheet1" xfId="13525"/>
    <cellStyle name="Comma  - Style2" xfId="13526"/>
    <cellStyle name="Comma  - Style3" xfId="13527"/>
    <cellStyle name="Comma  - Style4" xfId="13528"/>
    <cellStyle name="Comma  - Style5" xfId="13529"/>
    <cellStyle name="Comma  - Style6" xfId="13530"/>
    <cellStyle name="Comma  - Style7" xfId="13531"/>
    <cellStyle name="Comma  - Style8" xfId="13532"/>
    <cellStyle name="Comma - Style1" xfId="13533"/>
    <cellStyle name="Comma - Style1 2" xfId="13534"/>
    <cellStyle name="Comma - Style1 3" xfId="13535"/>
    <cellStyle name="Comma - Style1 4" xfId="13536"/>
    <cellStyle name="Comma - Style1 5" xfId="13537"/>
    <cellStyle name="Comma - Style1_Book1" xfId="13538"/>
    <cellStyle name="Comma - Style2" xfId="13539"/>
    <cellStyle name="Comma - Style2 2" xfId="13540"/>
    <cellStyle name="Comma - Style2 3" xfId="13541"/>
    <cellStyle name="Comma - Style2 4" xfId="13542"/>
    <cellStyle name="Comma - Style2 5" xfId="13543"/>
    <cellStyle name="Comma - Style2_Book1" xfId="13544"/>
    <cellStyle name="Comma - Style3" xfId="13545"/>
    <cellStyle name="Comma - Style3 2" xfId="13546"/>
    <cellStyle name="Comma - Style3 3" xfId="13547"/>
    <cellStyle name="Comma - Style3 4" xfId="13548"/>
    <cellStyle name="Comma - Style3 5" xfId="13549"/>
    <cellStyle name="Comma - Style3_Book1" xfId="13550"/>
    <cellStyle name="Comma - Style4" xfId="13551"/>
    <cellStyle name="Comma - Style4 2" xfId="13552"/>
    <cellStyle name="Comma - Style4 3" xfId="13553"/>
    <cellStyle name="Comma - Style4 4" xfId="13554"/>
    <cellStyle name="Comma - Style4 5" xfId="13555"/>
    <cellStyle name="Comma - Style4_Book1" xfId="13556"/>
    <cellStyle name="Comma - Style5" xfId="13557"/>
    <cellStyle name="Comma - Style5 2" xfId="13558"/>
    <cellStyle name="Comma - Style5 3" xfId="13559"/>
    <cellStyle name="Comma - Style5 4" xfId="13560"/>
    <cellStyle name="Comma - Style5 5" xfId="13561"/>
    <cellStyle name="Comma - Style5_Book1" xfId="13562"/>
    <cellStyle name="Comma - Style6" xfId="13563"/>
    <cellStyle name="Comma - Style6 2" xfId="13564"/>
    <cellStyle name="Comma - Style6 3" xfId="13565"/>
    <cellStyle name="Comma - Style6 4" xfId="13566"/>
    <cellStyle name="Comma - Style6 5" xfId="13567"/>
    <cellStyle name="Comma - Style6_Book1" xfId="13568"/>
    <cellStyle name="Comma - Style7" xfId="13569"/>
    <cellStyle name="Comma - Style7 2" xfId="13570"/>
    <cellStyle name="Comma - Style7 3" xfId="13571"/>
    <cellStyle name="Comma - Style7 4" xfId="13572"/>
    <cellStyle name="Comma - Style7 5" xfId="13573"/>
    <cellStyle name="Comma - Style7_Book1" xfId="13574"/>
    <cellStyle name="Comma - Style8" xfId="13575"/>
    <cellStyle name="Comma - Style8 2" xfId="13576"/>
    <cellStyle name="Comma - Style8 3" xfId="13577"/>
    <cellStyle name="Comma - Style8 4" xfId="13578"/>
    <cellStyle name="Comma - Style8 5" xfId="13579"/>
    <cellStyle name="Comma - Style8_Book1" xfId="13580"/>
    <cellStyle name="Comma %" xfId="13581"/>
    <cellStyle name="Comma [0] 10" xfId="13582"/>
    <cellStyle name="Comma [0] 10 2" xfId="13583"/>
    <cellStyle name="Comma [0] 10 2 2" xfId="13584"/>
    <cellStyle name="Comma [0] 10 2 2 2" xfId="13585"/>
    <cellStyle name="Comma [0] 10 2 2_Sheet1" xfId="13586"/>
    <cellStyle name="Comma [0] 10 2_Sheet1" xfId="13587"/>
    <cellStyle name="Comma [0] 10 3" xfId="13588"/>
    <cellStyle name="Comma [0] 10 3 2" xfId="13589"/>
    <cellStyle name="Comma [0] 10 3 2 2" xfId="13590"/>
    <cellStyle name="Comma [0] 10 3 2_Sheet1" xfId="13591"/>
    <cellStyle name="Comma [0] 10 3_Sheet1" xfId="13592"/>
    <cellStyle name="Comma [0] 10 4" xfId="13593"/>
    <cellStyle name="Comma [0] 10 4 2" xfId="13594"/>
    <cellStyle name="Comma [0] 10 4_Sheet1" xfId="13595"/>
    <cellStyle name="Comma [0] 10_Sheet1" xfId="13596"/>
    <cellStyle name="Comma [0] 11" xfId="13597"/>
    <cellStyle name="Comma [0] 11 2" xfId="13598"/>
    <cellStyle name="Comma [0] 11_Sheet1" xfId="13599"/>
    <cellStyle name="Comma [0] 12" xfId="13600"/>
    <cellStyle name="Comma [0] 12 2" xfId="13601"/>
    <cellStyle name="Comma [0] 12 3" xfId="13602"/>
    <cellStyle name="Comma [0] 12_Sheet1" xfId="13603"/>
    <cellStyle name="Comma [0] 13" xfId="13604"/>
    <cellStyle name="Comma [0] 13 2" xfId="13605"/>
    <cellStyle name="Comma [0] 13_Sheet1" xfId="13606"/>
    <cellStyle name="Comma [0] 14" xfId="13607"/>
    <cellStyle name="Comma [0] 14 2" xfId="13608"/>
    <cellStyle name="Comma [0] 14_Sheet1" xfId="13609"/>
    <cellStyle name="Comma [0] 15" xfId="13610"/>
    <cellStyle name="Comma [0] 15 2" xfId="13611"/>
    <cellStyle name="Comma [0] 15_Sheet1" xfId="13612"/>
    <cellStyle name="Comma [0] 16" xfId="13613"/>
    <cellStyle name="Comma [0] 16 2" xfId="13614"/>
    <cellStyle name="Comma [0] 16 2 2" xfId="13615"/>
    <cellStyle name="Comma [0] 16 2 2 2" xfId="13616"/>
    <cellStyle name="Comma [0] 16 2 2 3" xfId="13617"/>
    <cellStyle name="Comma [0] 16 2 2 4" xfId="13618"/>
    <cellStyle name="Comma [0] 16 2 2 5" xfId="13619"/>
    <cellStyle name="Comma [0] 16 2 2 6" xfId="13620"/>
    <cellStyle name="Comma [0] 16 2 2_Sheet1" xfId="13621"/>
    <cellStyle name="Comma [0] 16 2 3" xfId="13622"/>
    <cellStyle name="Comma [0] 16 2 3 2" xfId="13623"/>
    <cellStyle name="Comma [0] 16 2 3 3" xfId="13624"/>
    <cellStyle name="Comma [0] 16 2 3 4" xfId="13625"/>
    <cellStyle name="Comma [0] 16 2 3 5" xfId="13626"/>
    <cellStyle name="Comma [0] 16 2 3 6" xfId="13627"/>
    <cellStyle name="Comma [0] 16 2 3_Sheet1" xfId="13628"/>
    <cellStyle name="Comma [0] 16 2 4" xfId="13629"/>
    <cellStyle name="Comma [0] 16 2 5" xfId="13630"/>
    <cellStyle name="Comma [0] 16 2 6" xfId="13631"/>
    <cellStyle name="Comma [0] 16 2 7" xfId="13632"/>
    <cellStyle name="Comma [0] 16 2 8" xfId="13633"/>
    <cellStyle name="Comma [0] 16 2_Sheet1" xfId="13634"/>
    <cellStyle name="Comma [0] 16 3" xfId="13635"/>
    <cellStyle name="Comma [0] 16 3 2" xfId="13636"/>
    <cellStyle name="Comma [0] 16 3_Sheet1" xfId="13637"/>
    <cellStyle name="Comma [0] 16 4" xfId="13638"/>
    <cellStyle name="Comma [0] 16 5" xfId="13639"/>
    <cellStyle name="Comma [0] 16 6" xfId="13640"/>
    <cellStyle name="Comma [0] 16 7" xfId="13641"/>
    <cellStyle name="Comma [0] 16_Sheet1" xfId="13642"/>
    <cellStyle name="Comma [0] 17" xfId="13643"/>
    <cellStyle name="Comma [0] 17 2" xfId="13644"/>
    <cellStyle name="Comma [0] 17_Sheet1" xfId="13645"/>
    <cellStyle name="Comma [0] 18" xfId="13646"/>
    <cellStyle name="Comma [0] 19" xfId="13647"/>
    <cellStyle name="Comma [0] 19 2" xfId="13648"/>
    <cellStyle name="Comma [0] 19_Sheet1" xfId="13649"/>
    <cellStyle name="Comma [0] 2" xfId="13650"/>
    <cellStyle name="Comma [0] 2 10" xfId="13651"/>
    <cellStyle name="Comma [0] 2 11" xfId="13652"/>
    <cellStyle name="Comma [0] 2 12" xfId="13653"/>
    <cellStyle name="Comma [0] 2 13" xfId="13654"/>
    <cellStyle name="Comma [0] 2 14" xfId="13655"/>
    <cellStyle name="Comma [0] 2 15" xfId="13656"/>
    <cellStyle name="Comma [0] 2 16" xfId="13657"/>
    <cellStyle name="Comma [0] 2 17" xfId="13658"/>
    <cellStyle name="Comma [0] 2 18" xfId="13659"/>
    <cellStyle name="Comma [0] 2 19" xfId="13660"/>
    <cellStyle name="Comma [0] 2 2" xfId="13661"/>
    <cellStyle name="Comma [0] 2 2 10" xfId="13662"/>
    <cellStyle name="Comma [0] 2 2 11" xfId="13663"/>
    <cellStyle name="Comma [0] 2 2 12" xfId="13664"/>
    <cellStyle name="Comma [0] 2 2 13" xfId="13665"/>
    <cellStyle name="Comma [0] 2 2 14" xfId="13666"/>
    <cellStyle name="Comma [0] 2 2 15" xfId="13667"/>
    <cellStyle name="Comma [0] 2 2 16" xfId="13668"/>
    <cellStyle name="Comma [0] 2 2 17" xfId="13669"/>
    <cellStyle name="Comma [0] 2 2 18" xfId="13670"/>
    <cellStyle name="Comma [0] 2 2 19" xfId="13671"/>
    <cellStyle name="Comma [0] 2 2 2" xfId="13672"/>
    <cellStyle name="Comma [0] 2 2 2 2" xfId="13673"/>
    <cellStyle name="Comma [0] 2 2 2 2 2" xfId="13674"/>
    <cellStyle name="Comma [0] 2 2 2 2 2 2" xfId="13675"/>
    <cellStyle name="Comma [0] 2 2 2 2 2_Sheet1" xfId="13676"/>
    <cellStyle name="Comma [0] 2 2 2 2_Sheet1" xfId="13677"/>
    <cellStyle name="Comma [0] 2 2 2 3" xfId="13678"/>
    <cellStyle name="Comma [0] 2 2 2_Sheet1" xfId="13679"/>
    <cellStyle name="Comma [0] 2 2 20" xfId="13680"/>
    <cellStyle name="Comma [0] 2 2 21" xfId="13681"/>
    <cellStyle name="Comma [0] 2 2 22" xfId="13682"/>
    <cellStyle name="Comma [0] 2 2 23" xfId="13683"/>
    <cellStyle name="Comma [0] 2 2 3" xfId="13684"/>
    <cellStyle name="Comma [0] 2 2 3 2" xfId="13685"/>
    <cellStyle name="Comma [0] 2 2 3 3" xfId="13686"/>
    <cellStyle name="Comma [0] 2 2 3 4" xfId="13687"/>
    <cellStyle name="Comma [0] 2 2 3 5" xfId="13688"/>
    <cellStyle name="Comma [0] 2 2 3 6" xfId="13689"/>
    <cellStyle name="Comma [0] 2 2 3_Sheet1" xfId="13690"/>
    <cellStyle name="Comma [0] 2 2 4" xfId="13691"/>
    <cellStyle name="Comma [0] 2 2 4 2" xfId="13692"/>
    <cellStyle name="Comma [0] 2 2 4 3" xfId="13693"/>
    <cellStyle name="Comma [0] 2 2 4 4" xfId="13694"/>
    <cellStyle name="Comma [0] 2 2 4 5" xfId="13695"/>
    <cellStyle name="Comma [0] 2 2 4 6" xfId="13696"/>
    <cellStyle name="Comma [0] 2 2 4_Sheet1" xfId="13697"/>
    <cellStyle name="Comma [0] 2 2 5" xfId="13698"/>
    <cellStyle name="Comma [0] 2 2 6" xfId="13699"/>
    <cellStyle name="Comma [0] 2 2 7" xfId="13700"/>
    <cellStyle name="Comma [0] 2 2 8" xfId="13701"/>
    <cellStyle name="Comma [0] 2 2 9" xfId="13702"/>
    <cellStyle name="Comma [0] 2 2_Cash Flow Petroneks_Induk+Konsol" xfId="13703"/>
    <cellStyle name="Comma [0] 2 20" xfId="13704"/>
    <cellStyle name="Comma [0] 2 21" xfId="13705"/>
    <cellStyle name="Comma [0] 2 22" xfId="13706"/>
    <cellStyle name="Comma [0] 2 23" xfId="13707"/>
    <cellStyle name="Comma [0] 2 24" xfId="13708"/>
    <cellStyle name="Comma [0] 2 25" xfId="13709"/>
    <cellStyle name="Comma [0] 2 26" xfId="13710"/>
    <cellStyle name="Comma [0] 2 27" xfId="13711"/>
    <cellStyle name="Comma [0] 2 28" xfId="13712"/>
    <cellStyle name="Comma [0] 2 29" xfId="13713"/>
    <cellStyle name="Comma [0] 2 3" xfId="13714"/>
    <cellStyle name="Comma [0] 2 3 10" xfId="13715"/>
    <cellStyle name="Comma [0] 2 3 11" xfId="13716"/>
    <cellStyle name="Comma [0] 2 3 12" xfId="13717"/>
    <cellStyle name="Comma [0] 2 3 13" xfId="13718"/>
    <cellStyle name="Comma [0] 2 3 14" xfId="13719"/>
    <cellStyle name="Comma [0] 2 3 15" xfId="13720"/>
    <cellStyle name="Comma [0] 2 3 16" xfId="13721"/>
    <cellStyle name="Comma [0] 2 3 17" xfId="13722"/>
    <cellStyle name="Comma [0] 2 3 18" xfId="13723"/>
    <cellStyle name="Comma [0] 2 3 2" xfId="13724"/>
    <cellStyle name="Comma [0] 2 3 3" xfId="13725"/>
    <cellStyle name="Comma [0] 2 3 4" xfId="13726"/>
    <cellStyle name="Comma [0] 2 3 5" xfId="13727"/>
    <cellStyle name="Comma [0] 2 3 6" xfId="13728"/>
    <cellStyle name="Comma [0] 2 3 7" xfId="13729"/>
    <cellStyle name="Comma [0] 2 3 8" xfId="13730"/>
    <cellStyle name="Comma [0] 2 3 9" xfId="13731"/>
    <cellStyle name="Comma [0] 2 3_Sheet1" xfId="13732"/>
    <cellStyle name="Comma [0] 2 30" xfId="13733"/>
    <cellStyle name="Comma [0] 2 31" xfId="13734"/>
    <cellStyle name="Comma [0] 2 32" xfId="13735"/>
    <cellStyle name="Comma [0] 2 33" xfId="13736"/>
    <cellStyle name="Comma [0] 2 34" xfId="13737"/>
    <cellStyle name="Comma [0] 2 35" xfId="13738"/>
    <cellStyle name="Comma [0] 2 36" xfId="13739"/>
    <cellStyle name="Comma [0] 2 37" xfId="13740"/>
    <cellStyle name="Comma [0] 2 38" xfId="13741"/>
    <cellStyle name="Comma [0] 2 39" xfId="13742"/>
    <cellStyle name="Comma [0] 2 4" xfId="13743"/>
    <cellStyle name="Comma [0] 2 4 10" xfId="13744"/>
    <cellStyle name="Comma [0] 2 4 11" xfId="13745"/>
    <cellStyle name="Comma [0] 2 4 12" xfId="13746"/>
    <cellStyle name="Comma [0] 2 4 13" xfId="13747"/>
    <cellStyle name="Comma [0] 2 4 14" xfId="13748"/>
    <cellStyle name="Comma [0] 2 4 15" xfId="13749"/>
    <cellStyle name="Comma [0] 2 4 16" xfId="13750"/>
    <cellStyle name="Comma [0] 2 4 17" xfId="13751"/>
    <cellStyle name="Comma [0] 2 4 18" xfId="13752"/>
    <cellStyle name="Comma [0] 2 4 2" xfId="13753"/>
    <cellStyle name="Comma [0] 2 4 3" xfId="13754"/>
    <cellStyle name="Comma [0] 2 4 4" xfId="13755"/>
    <cellStyle name="Comma [0] 2 4 5" xfId="13756"/>
    <cellStyle name="Comma [0] 2 4 6" xfId="13757"/>
    <cellStyle name="Comma [0] 2 4 7" xfId="13758"/>
    <cellStyle name="Comma [0] 2 4 8" xfId="13759"/>
    <cellStyle name="Comma [0] 2 4 9" xfId="13760"/>
    <cellStyle name="Comma [0] 2 4_Sheet1" xfId="13761"/>
    <cellStyle name="Comma [0] 2 40" xfId="13762"/>
    <cellStyle name="Comma [0] 2 41" xfId="13763"/>
    <cellStyle name="Comma [0] 2 42" xfId="13764"/>
    <cellStyle name="Comma [0] 2 43" xfId="13765"/>
    <cellStyle name="Comma [0] 2 44" xfId="13766"/>
    <cellStyle name="Comma [0] 2 45" xfId="13767"/>
    <cellStyle name="Comma [0] 2 46" xfId="13768"/>
    <cellStyle name="Comma [0] 2 47" xfId="13769"/>
    <cellStyle name="Comma [0] 2 48" xfId="13770"/>
    <cellStyle name="Comma [0] 2 49" xfId="13771"/>
    <cellStyle name="Comma [0] 2 5" xfId="13772"/>
    <cellStyle name="Comma [0] 2 5 10" xfId="13773"/>
    <cellStyle name="Comma [0] 2 5 11" xfId="13774"/>
    <cellStyle name="Comma [0] 2 5 12" xfId="13775"/>
    <cellStyle name="Comma [0] 2 5 13" xfId="13776"/>
    <cellStyle name="Comma [0] 2 5 14" xfId="13777"/>
    <cellStyle name="Comma [0] 2 5 15" xfId="13778"/>
    <cellStyle name="Comma [0] 2 5 16" xfId="13779"/>
    <cellStyle name="Comma [0] 2 5 17" xfId="13780"/>
    <cellStyle name="Comma [0] 2 5 18" xfId="13781"/>
    <cellStyle name="Comma [0] 2 5 2" xfId="13782"/>
    <cellStyle name="Comma [0] 2 5 3" xfId="13783"/>
    <cellStyle name="Comma [0] 2 5 4" xfId="13784"/>
    <cellStyle name="Comma [0] 2 5 5" xfId="13785"/>
    <cellStyle name="Comma [0] 2 5 6" xfId="13786"/>
    <cellStyle name="Comma [0] 2 5 7" xfId="13787"/>
    <cellStyle name="Comma [0] 2 5 8" xfId="13788"/>
    <cellStyle name="Comma [0] 2 5 9" xfId="13789"/>
    <cellStyle name="Comma [0] 2 5_Sheet1" xfId="13790"/>
    <cellStyle name="Comma [0] 2 50" xfId="13791"/>
    <cellStyle name="Comma [0] 2 51" xfId="13792"/>
    <cellStyle name="Comma [0] 2 52" xfId="13793"/>
    <cellStyle name="Comma [0] 2 53" xfId="13794"/>
    <cellStyle name="Comma [0] 2 54" xfId="13795"/>
    <cellStyle name="Comma [0] 2 55" xfId="13796"/>
    <cellStyle name="Comma [0] 2 56" xfId="13797"/>
    <cellStyle name="Comma [0] 2 57" xfId="13798"/>
    <cellStyle name="Comma [0] 2 58" xfId="13799"/>
    <cellStyle name="Comma [0] 2 59" xfId="13800"/>
    <cellStyle name="Comma [0] 2 6" xfId="13801"/>
    <cellStyle name="Comma [0] 2 6 10" xfId="13802"/>
    <cellStyle name="Comma [0] 2 6 11" xfId="13803"/>
    <cellStyle name="Comma [0] 2 6 12" xfId="13804"/>
    <cellStyle name="Comma [0] 2 6 13" xfId="13805"/>
    <cellStyle name="Comma [0] 2 6 14" xfId="13806"/>
    <cellStyle name="Comma [0] 2 6 15" xfId="13807"/>
    <cellStyle name="Comma [0] 2 6 16" xfId="13808"/>
    <cellStyle name="Comma [0] 2 6 17" xfId="13809"/>
    <cellStyle name="Comma [0] 2 6 18" xfId="13810"/>
    <cellStyle name="Comma [0] 2 6 2" xfId="13811"/>
    <cellStyle name="Comma [0] 2 6 3" xfId="13812"/>
    <cellStyle name="Comma [0] 2 6 4" xfId="13813"/>
    <cellStyle name="Comma [0] 2 6 5" xfId="13814"/>
    <cellStyle name="Comma [0] 2 6 6" xfId="13815"/>
    <cellStyle name="Comma [0] 2 6 7" xfId="13816"/>
    <cellStyle name="Comma [0] 2 6 8" xfId="13817"/>
    <cellStyle name="Comma [0] 2 6 9" xfId="13818"/>
    <cellStyle name="Comma [0] 2 6_Sheet1" xfId="13819"/>
    <cellStyle name="Comma [0] 2 60" xfId="13820"/>
    <cellStyle name="Comma [0] 2 61" xfId="13821"/>
    <cellStyle name="Comma [0] 2 62" xfId="13822"/>
    <cellStyle name="Comma [0] 2 63" xfId="13823"/>
    <cellStyle name="Comma [0] 2 64" xfId="13824"/>
    <cellStyle name="Comma [0] 2 65" xfId="13825"/>
    <cellStyle name="Comma [0] 2 66" xfId="13826"/>
    <cellStyle name="Comma [0] 2 67" xfId="13827"/>
    <cellStyle name="Comma [0] 2 68" xfId="13828"/>
    <cellStyle name="Comma [0] 2 69" xfId="13829"/>
    <cellStyle name="Comma [0] 2 7" xfId="13830"/>
    <cellStyle name="Comma [0] 2 7 10" xfId="13831"/>
    <cellStyle name="Comma [0] 2 7 11" xfId="13832"/>
    <cellStyle name="Comma [0] 2 7 12" xfId="13833"/>
    <cellStyle name="Comma [0] 2 7 13" xfId="13834"/>
    <cellStyle name="Comma [0] 2 7 14" xfId="13835"/>
    <cellStyle name="Comma [0] 2 7 15" xfId="13836"/>
    <cellStyle name="Comma [0] 2 7 16" xfId="13837"/>
    <cellStyle name="Comma [0] 2 7 17" xfId="13838"/>
    <cellStyle name="Comma [0] 2 7 18" xfId="13839"/>
    <cellStyle name="Comma [0] 2 7 2" xfId="13840"/>
    <cellStyle name="Comma [0] 2 7 3" xfId="13841"/>
    <cellStyle name="Comma [0] 2 7 4" xfId="13842"/>
    <cellStyle name="Comma [0] 2 7 5" xfId="13843"/>
    <cellStyle name="Comma [0] 2 7 6" xfId="13844"/>
    <cellStyle name="Comma [0] 2 7 7" xfId="13845"/>
    <cellStyle name="Comma [0] 2 7 8" xfId="13846"/>
    <cellStyle name="Comma [0] 2 7 9" xfId="13847"/>
    <cellStyle name="Comma [0] 2 7_Sheet1" xfId="13848"/>
    <cellStyle name="Comma [0] 2 70" xfId="13849"/>
    <cellStyle name="Comma [0] 2 71" xfId="13850"/>
    <cellStyle name="Comma [0] 2 72" xfId="13851"/>
    <cellStyle name="Comma [0] 2 73" xfId="13852"/>
    <cellStyle name="Comma [0] 2 74" xfId="13853"/>
    <cellStyle name="Comma [0] 2 8" xfId="13854"/>
    <cellStyle name="Comma [0] 2 9" xfId="13855"/>
    <cellStyle name="Comma [0] 2_CBD-WBN-halmahera -email orek2an" xfId="13856"/>
    <cellStyle name="Comma [0] 20" xfId="13857"/>
    <cellStyle name="Comma [0] 21" xfId="13858"/>
    <cellStyle name="Comma [0] 22" xfId="13859"/>
    <cellStyle name="Comma [0] 23" xfId="13860"/>
    <cellStyle name="Comma [0] 24" xfId="13861"/>
    <cellStyle name="Comma [0] 25" xfId="13862"/>
    <cellStyle name="Comma [0] 26" xfId="13863"/>
    <cellStyle name="Comma [0] 27" xfId="13864"/>
    <cellStyle name="Comma [0] 28" xfId="13865"/>
    <cellStyle name="Comma [0] 29" xfId="13866"/>
    <cellStyle name="Comma [0] 3" xfId="13867"/>
    <cellStyle name="Comma [0] 3 10" xfId="13868"/>
    <cellStyle name="Comma [0] 3 11" xfId="13869"/>
    <cellStyle name="Comma [0] 3 12" xfId="13870"/>
    <cellStyle name="Comma [0] 3 13" xfId="13871"/>
    <cellStyle name="Comma [0] 3 14" xfId="13872"/>
    <cellStyle name="Comma [0] 3 15" xfId="13873"/>
    <cellStyle name="Comma [0] 3 16" xfId="13874"/>
    <cellStyle name="Comma [0] 3 17" xfId="13875"/>
    <cellStyle name="Comma [0] 3 18" xfId="13876"/>
    <cellStyle name="Comma [0] 3 19" xfId="13877"/>
    <cellStyle name="Comma [0] 3 2" xfId="13878"/>
    <cellStyle name="Comma [0] 3 2 2" xfId="13879"/>
    <cellStyle name="Comma [0] 3 2 3" xfId="13880"/>
    <cellStyle name="Comma [0] 3 2 4" xfId="13881"/>
    <cellStyle name="Comma [0] 3 2 5" xfId="13882"/>
    <cellStyle name="Comma [0] 3 2 6" xfId="13883"/>
    <cellStyle name="Comma [0] 3 2 7" xfId="13884"/>
    <cellStyle name="Comma [0] 3 2_Sheet1" xfId="13885"/>
    <cellStyle name="Comma [0] 3 20" xfId="13886"/>
    <cellStyle name="Comma [0] 3 21" xfId="13887"/>
    <cellStyle name="Comma [0] 3 22" xfId="13888"/>
    <cellStyle name="Comma [0] 3 23" xfId="13889"/>
    <cellStyle name="Comma [0] 3 24" xfId="13890"/>
    <cellStyle name="Comma [0] 3 25" xfId="13891"/>
    <cellStyle name="Comma [0] 3 26" xfId="13892"/>
    <cellStyle name="Comma [0] 3 27" xfId="13893"/>
    <cellStyle name="Comma [0] 3 28" xfId="13894"/>
    <cellStyle name="Comma [0] 3 29" xfId="13895"/>
    <cellStyle name="Comma [0] 3 3" xfId="13896"/>
    <cellStyle name="Comma [0] 3 30" xfId="13897"/>
    <cellStyle name="Comma [0] 3 31" xfId="13898"/>
    <cellStyle name="Comma [0] 3 32" xfId="13899"/>
    <cellStyle name="Comma [0] 3 4" xfId="13900"/>
    <cellStyle name="Comma [0] 3 5" xfId="13901"/>
    <cellStyle name="Comma [0] 3 6" xfId="13902"/>
    <cellStyle name="Comma [0] 3 7" xfId="13903"/>
    <cellStyle name="Comma [0] 3 8" xfId="13904"/>
    <cellStyle name="Comma [0] 3 9" xfId="13905"/>
    <cellStyle name="Comma [0] 3_Cash Flow Petroneks_Induk+Konsol" xfId="13906"/>
    <cellStyle name="Comma [0] 30" xfId="13907"/>
    <cellStyle name="Comma [0] 31" xfId="13908"/>
    <cellStyle name="Comma [0] 32" xfId="13909"/>
    <cellStyle name="Comma [0] 33" xfId="13910"/>
    <cellStyle name="Comma [0] 34" xfId="13911"/>
    <cellStyle name="Comma [0] 35" xfId="13912"/>
    <cellStyle name="Comma [0] 36" xfId="13913"/>
    <cellStyle name="Comma [0] 36 2" xfId="13914"/>
    <cellStyle name="Comma [0] 36 3" xfId="13915"/>
    <cellStyle name="Comma [0] 36 4" xfId="13916"/>
    <cellStyle name="Comma [0] 37" xfId="13917"/>
    <cellStyle name="Comma [0] 39" xfId="49415"/>
    <cellStyle name="Comma [0] 4" xfId="13918"/>
    <cellStyle name="Comma [0] 4 2" xfId="13919"/>
    <cellStyle name="Comma [0] 4 2 2" xfId="13920"/>
    <cellStyle name="Comma [0] 4 2 2 2" xfId="13921"/>
    <cellStyle name="Comma [0] 4 2 2_Sheet1" xfId="13922"/>
    <cellStyle name="Comma [0] 4 2 3" xfId="13923"/>
    <cellStyle name="Comma [0] 4 2_Sheet1" xfId="13924"/>
    <cellStyle name="Comma [0] 4 3" xfId="13925"/>
    <cellStyle name="Comma [0] 4 3 2" xfId="13926"/>
    <cellStyle name="Comma [0] 4 3_Sheet1" xfId="13927"/>
    <cellStyle name="Comma [0] 4 4" xfId="13928"/>
    <cellStyle name="Comma [0] 4 4 2" xfId="13929"/>
    <cellStyle name="Comma [0] 4 4 3" xfId="13930"/>
    <cellStyle name="Comma [0] 4 4 4" xfId="13931"/>
    <cellStyle name="Comma [0] 4 4 5" xfId="13932"/>
    <cellStyle name="Comma [0] 4 4 6" xfId="13933"/>
    <cellStyle name="Comma [0] 4 4_Sheet1" xfId="13934"/>
    <cellStyle name="Comma [0] 4 5" xfId="13935"/>
    <cellStyle name="Comma [0] 4 6" xfId="13936"/>
    <cellStyle name="Comma [0] 4 7" xfId="13937"/>
    <cellStyle name="Comma [0] 4 8" xfId="13938"/>
    <cellStyle name="Comma [0] 4 9" xfId="13939"/>
    <cellStyle name="Comma [0] 4_Cash Flow Petroneks_Induk+Konsol" xfId="13940"/>
    <cellStyle name="Comma [0] 5" xfId="13941"/>
    <cellStyle name="Comma [0] 5 10" xfId="13942"/>
    <cellStyle name="Comma [0] 5 11" xfId="13943"/>
    <cellStyle name="Comma [0] 5 12" xfId="13944"/>
    <cellStyle name="Comma [0] 5 13" xfId="13945"/>
    <cellStyle name="Comma [0] 5 14" xfId="13946"/>
    <cellStyle name="Comma [0] 5 15" xfId="13947"/>
    <cellStyle name="Comma [0] 5 16" xfId="13948"/>
    <cellStyle name="Comma [0] 5 17" xfId="13949"/>
    <cellStyle name="Comma [0] 5 18" xfId="13950"/>
    <cellStyle name="Comma [0] 5 19" xfId="13951"/>
    <cellStyle name="Comma [0] 5 2" xfId="13952"/>
    <cellStyle name="Comma [0] 5 2 2" xfId="13953"/>
    <cellStyle name="Comma [0] 5 2 3" xfId="13954"/>
    <cellStyle name="Comma [0] 5 2_Sheet1" xfId="13955"/>
    <cellStyle name="Comma [0] 5 20" xfId="13956"/>
    <cellStyle name="Comma [0] 5 21" xfId="13957"/>
    <cellStyle name="Comma [0] 5 22" xfId="13958"/>
    <cellStyle name="Comma [0] 5 23" xfId="13959"/>
    <cellStyle name="Comma [0] 5 24" xfId="13960"/>
    <cellStyle name="Comma [0] 5 25" xfId="13961"/>
    <cellStyle name="Comma [0] 5 26" xfId="13962"/>
    <cellStyle name="Comma [0] 5 27" xfId="13963"/>
    <cellStyle name="Comma [0] 5 28" xfId="13964"/>
    <cellStyle name="Comma [0] 5 29" xfId="13965"/>
    <cellStyle name="Comma [0] 5 3" xfId="13966"/>
    <cellStyle name="Comma [0] 5 30" xfId="13967"/>
    <cellStyle name="Comma [0] 5 31" xfId="13968"/>
    <cellStyle name="Comma [0] 5 32" xfId="13969"/>
    <cellStyle name="Comma [0] 5 33" xfId="13970"/>
    <cellStyle name="Comma [0] 5 34" xfId="13971"/>
    <cellStyle name="Comma [0] 5 35" xfId="13972"/>
    <cellStyle name="Comma [0] 5 36" xfId="13973"/>
    <cellStyle name="Comma [0] 5 37" xfId="13974"/>
    <cellStyle name="Comma [0] 5 38" xfId="13975"/>
    <cellStyle name="Comma [0] 5 39" xfId="13976"/>
    <cellStyle name="Comma [0] 5 4" xfId="13977"/>
    <cellStyle name="Comma [0] 5 40" xfId="13978"/>
    <cellStyle name="Comma [0] 5 41" xfId="13979"/>
    <cellStyle name="Comma [0] 5 42" xfId="13980"/>
    <cellStyle name="Comma [0] 5 43" xfId="13981"/>
    <cellStyle name="Comma [0] 5 44" xfId="13982"/>
    <cellStyle name="Comma [0] 5 45" xfId="13983"/>
    <cellStyle name="Comma [0] 5 46" xfId="13984"/>
    <cellStyle name="Comma [0] 5 47" xfId="13985"/>
    <cellStyle name="Comma [0] 5 48" xfId="13986"/>
    <cellStyle name="Comma [0] 5 49" xfId="13987"/>
    <cellStyle name="Comma [0] 5 5" xfId="13988"/>
    <cellStyle name="Comma [0] 5 6" xfId="13989"/>
    <cellStyle name="Comma [0] 5 7" xfId="13990"/>
    <cellStyle name="Comma [0] 5 8" xfId="13991"/>
    <cellStyle name="Comma [0] 5 9" xfId="13992"/>
    <cellStyle name="Comma [0] 5_Schedule MP (2)" xfId="13993"/>
    <cellStyle name="Comma [0] 6" xfId="13994"/>
    <cellStyle name="Comma [0] 6 2" xfId="13995"/>
    <cellStyle name="Comma [0] 6 2 2" xfId="13996"/>
    <cellStyle name="Comma [0] 6 2 3" xfId="13997"/>
    <cellStyle name="Comma [0] 6 2_Sheet1" xfId="13998"/>
    <cellStyle name="Comma [0] 6 3" xfId="13999"/>
    <cellStyle name="Comma [0] 6 4" xfId="14000"/>
    <cellStyle name="Comma [0] 6_Sheet1" xfId="14001"/>
    <cellStyle name="Comma [0] 7" xfId="14002"/>
    <cellStyle name="Comma [0] 7 2" xfId="14003"/>
    <cellStyle name="Comma [0] 7 3" xfId="14004"/>
    <cellStyle name="Comma [0] 7 4" xfId="14005"/>
    <cellStyle name="Comma [0] 7_Sheet1" xfId="14006"/>
    <cellStyle name="Comma [0] 8" xfId="14007"/>
    <cellStyle name="Comma [0] 8 2" xfId="14008"/>
    <cellStyle name="Comma [0] 8_Sheet1" xfId="14009"/>
    <cellStyle name="Comma [0] 9" xfId="14010"/>
    <cellStyle name="Comma [0] 9 2" xfId="14011"/>
    <cellStyle name="Comma [0] 9 2 2" xfId="14012"/>
    <cellStyle name="Comma [0] 9 2 2 2" xfId="14013"/>
    <cellStyle name="Comma [0] 9 2 2 2 2" xfId="14014"/>
    <cellStyle name="Comma [0] 9 2 2 2_Sheet1" xfId="14015"/>
    <cellStyle name="Comma [0] 9 2 2_Sheet1" xfId="14016"/>
    <cellStyle name="Comma [0] 9 2_Sheet1" xfId="14017"/>
    <cellStyle name="Comma [0] 9 3" xfId="14018"/>
    <cellStyle name="Comma [0] 9_Sheet1" xfId="14019"/>
    <cellStyle name="Comma [00]" xfId="14020"/>
    <cellStyle name="Comma [00] 2" xfId="14021"/>
    <cellStyle name="Comma [00] 3" xfId="14022"/>
    <cellStyle name="Comma [00] 3 2" xfId="14023"/>
    <cellStyle name="Comma [00] 3_Sheet1" xfId="14024"/>
    <cellStyle name="Comma [00] 4" xfId="14025"/>
    <cellStyle name="Comma [00]_04. OB Hauling Distance" xfId="14026"/>
    <cellStyle name="Comma [1]" xfId="14027"/>
    <cellStyle name="Comma [1] 2" xfId="14028"/>
    <cellStyle name="Comma [1]_Sheet1" xfId="14029"/>
    <cellStyle name="Comma [2]" xfId="14030"/>
    <cellStyle name="Comma [2] 2" xfId="14031"/>
    <cellStyle name="Comma [2] 2 2" xfId="14032"/>
    <cellStyle name="Comma [2] 2_Sheet1" xfId="14033"/>
    <cellStyle name="Comma [2] 3" xfId="14034"/>
    <cellStyle name="Comma [2] 4" xfId="14035"/>
    <cellStyle name="Comma [2] 5" xfId="14036"/>
    <cellStyle name="Comma [2] 6" xfId="14037"/>
    <cellStyle name="Comma [2] 7" xfId="14038"/>
    <cellStyle name="Comma [2]_Sheet1" xfId="14039"/>
    <cellStyle name="Comma [3]" xfId="14040"/>
    <cellStyle name="Comma [3] 2" xfId="14041"/>
    <cellStyle name="Comma [3]_Sheet1" xfId="14042"/>
    <cellStyle name="Comma 0.0" xfId="14043"/>
    <cellStyle name="Comma 0.0%" xfId="14044"/>
    <cellStyle name="Comma 0.0_Sheet1" xfId="14045"/>
    <cellStyle name="Comma 0.00" xfId="14046"/>
    <cellStyle name="Comma 0.00%" xfId="14047"/>
    <cellStyle name="Comma 0.00_Sheet1" xfId="14048"/>
    <cellStyle name="Comma 0.000" xfId="14049"/>
    <cellStyle name="Comma 0.000%" xfId="14050"/>
    <cellStyle name="Comma 0.000_Sheet1" xfId="14051"/>
    <cellStyle name="Comma 10" xfId="14052"/>
    <cellStyle name="Comma 10 10" xfId="14053"/>
    <cellStyle name="Comma 10 10 2" xfId="14054"/>
    <cellStyle name="Comma 10 10 3" xfId="14055"/>
    <cellStyle name="Comma 10 10 4" xfId="14056"/>
    <cellStyle name="Comma 10 10 5" xfId="14057"/>
    <cellStyle name="Comma 10 10 6" xfId="14058"/>
    <cellStyle name="Comma 10 10 7" xfId="14059"/>
    <cellStyle name="Comma 10 10_Sheet1" xfId="14060"/>
    <cellStyle name="Comma 10 11" xfId="14061"/>
    <cellStyle name="Comma 10 11 2" xfId="14062"/>
    <cellStyle name="Comma 10 11 3" xfId="14063"/>
    <cellStyle name="Comma 10 11 4" xfId="14064"/>
    <cellStyle name="Comma 10 11 5" xfId="14065"/>
    <cellStyle name="Comma 10 11 6" xfId="14066"/>
    <cellStyle name="Comma 10 11 7" xfId="14067"/>
    <cellStyle name="Comma 10 11_Sheet1" xfId="14068"/>
    <cellStyle name="Comma 10 12" xfId="14069"/>
    <cellStyle name="Comma 10 12 2" xfId="14070"/>
    <cellStyle name="Comma 10 12 3" xfId="14071"/>
    <cellStyle name="Comma 10 12 4" xfId="14072"/>
    <cellStyle name="Comma 10 12 5" xfId="14073"/>
    <cellStyle name="Comma 10 12 6" xfId="14074"/>
    <cellStyle name="Comma 10 12 7" xfId="14075"/>
    <cellStyle name="Comma 10 12_Sheet1" xfId="14076"/>
    <cellStyle name="Comma 10 13" xfId="14077"/>
    <cellStyle name="Comma 10 13 2" xfId="14078"/>
    <cellStyle name="Comma 10 13 3" xfId="14079"/>
    <cellStyle name="Comma 10 13 4" xfId="14080"/>
    <cellStyle name="Comma 10 13 5" xfId="14081"/>
    <cellStyle name="Comma 10 13 6" xfId="14082"/>
    <cellStyle name="Comma 10 13 7" xfId="14083"/>
    <cellStyle name="Comma 10 13_Sheet1" xfId="14084"/>
    <cellStyle name="Comma 10 14" xfId="14085"/>
    <cellStyle name="Comma 10 14 2" xfId="14086"/>
    <cellStyle name="Comma 10 14 3" xfId="14087"/>
    <cellStyle name="Comma 10 14 4" xfId="14088"/>
    <cellStyle name="Comma 10 14 5" xfId="14089"/>
    <cellStyle name="Comma 10 14 6" xfId="14090"/>
    <cellStyle name="Comma 10 14 7" xfId="14091"/>
    <cellStyle name="Comma 10 14_Sheet1" xfId="14092"/>
    <cellStyle name="Comma 10 15" xfId="14093"/>
    <cellStyle name="Comma 10 15 2" xfId="14094"/>
    <cellStyle name="Comma 10 15 3" xfId="14095"/>
    <cellStyle name="Comma 10 15 4" xfId="14096"/>
    <cellStyle name="Comma 10 15 5" xfId="14097"/>
    <cellStyle name="Comma 10 15 6" xfId="14098"/>
    <cellStyle name="Comma 10 15 7" xfId="14099"/>
    <cellStyle name="Comma 10 15_Sheet1" xfId="14100"/>
    <cellStyle name="Comma 10 16" xfId="14101"/>
    <cellStyle name="Comma 10 16 2" xfId="14102"/>
    <cellStyle name="Comma 10 16 3" xfId="14103"/>
    <cellStyle name="Comma 10 16 4" xfId="14104"/>
    <cellStyle name="Comma 10 16 5" xfId="14105"/>
    <cellStyle name="Comma 10 16 6" xfId="14106"/>
    <cellStyle name="Comma 10 16 7" xfId="14107"/>
    <cellStyle name="Comma 10 16_Sheet1" xfId="14108"/>
    <cellStyle name="Comma 10 17" xfId="14109"/>
    <cellStyle name="Comma 10 17 2" xfId="14110"/>
    <cellStyle name="Comma 10 17 3" xfId="14111"/>
    <cellStyle name="Comma 10 17 4" xfId="14112"/>
    <cellStyle name="Comma 10 17 5" xfId="14113"/>
    <cellStyle name="Comma 10 17 6" xfId="14114"/>
    <cellStyle name="Comma 10 17 7" xfId="14115"/>
    <cellStyle name="Comma 10 17_Sheet1" xfId="14116"/>
    <cellStyle name="Comma 10 18" xfId="14117"/>
    <cellStyle name="Comma 10 18 2" xfId="14118"/>
    <cellStyle name="Comma 10 18 3" xfId="14119"/>
    <cellStyle name="Comma 10 18 4" xfId="14120"/>
    <cellStyle name="Comma 10 18 5" xfId="14121"/>
    <cellStyle name="Comma 10 18 6" xfId="14122"/>
    <cellStyle name="Comma 10 18 7" xfId="14123"/>
    <cellStyle name="Comma 10 18_Sheet1" xfId="14124"/>
    <cellStyle name="Comma 10 19" xfId="14125"/>
    <cellStyle name="Comma 10 19 2" xfId="14126"/>
    <cellStyle name="Comma 10 19 3" xfId="14127"/>
    <cellStyle name="Comma 10 19 4" xfId="14128"/>
    <cellStyle name="Comma 10 19 5" xfId="14129"/>
    <cellStyle name="Comma 10 19 6" xfId="14130"/>
    <cellStyle name="Comma 10 19 7" xfId="14131"/>
    <cellStyle name="Comma 10 19_Sheet1" xfId="14132"/>
    <cellStyle name="Comma 10 2" xfId="14133"/>
    <cellStyle name="Comma 10 2 10" xfId="14134"/>
    <cellStyle name="Comma 10 2 11" xfId="14135"/>
    <cellStyle name="Comma 10 2 12" xfId="14136"/>
    <cellStyle name="Comma 10 2 13" xfId="14137"/>
    <cellStyle name="Comma 10 2 2" xfId="14138"/>
    <cellStyle name="Comma 10 2 2 2" xfId="14139"/>
    <cellStyle name="Comma 10 2 2 3" xfId="14140"/>
    <cellStyle name="Comma 10 2 2 4" xfId="14141"/>
    <cellStyle name="Comma 10 2 2 5" xfId="14142"/>
    <cellStyle name="Comma 10 2 2 6" xfId="14143"/>
    <cellStyle name="Comma 10 2 2 7" xfId="14144"/>
    <cellStyle name="Comma 10 2 2_Sheet1" xfId="14145"/>
    <cellStyle name="Comma 10 2 3" xfId="14146"/>
    <cellStyle name="Comma 10 2 3 2" xfId="14147"/>
    <cellStyle name="Comma 10 2 3 3" xfId="14148"/>
    <cellStyle name="Comma 10 2 3 4" xfId="14149"/>
    <cellStyle name="Comma 10 2 3 5" xfId="14150"/>
    <cellStyle name="Comma 10 2 3 6" xfId="14151"/>
    <cellStyle name="Comma 10 2 3 7" xfId="14152"/>
    <cellStyle name="Comma 10 2 3_Sheet1" xfId="14153"/>
    <cellStyle name="Comma 10 2 4" xfId="14154"/>
    <cellStyle name="Comma 10 2 4 2" xfId="14155"/>
    <cellStyle name="Comma 10 2 4 3" xfId="14156"/>
    <cellStyle name="Comma 10 2 4 4" xfId="14157"/>
    <cellStyle name="Comma 10 2 4 5" xfId="14158"/>
    <cellStyle name="Comma 10 2 4 6" xfId="14159"/>
    <cellStyle name="Comma 10 2 4 7" xfId="14160"/>
    <cellStyle name="Comma 10 2 4_Sheet1" xfId="14161"/>
    <cellStyle name="Comma 10 2 5" xfId="14162"/>
    <cellStyle name="Comma 10 2 5 2" xfId="14163"/>
    <cellStyle name="Comma 10 2 5 3" xfId="14164"/>
    <cellStyle name="Comma 10 2 5 4" xfId="14165"/>
    <cellStyle name="Comma 10 2 5 5" xfId="14166"/>
    <cellStyle name="Comma 10 2 5 6" xfId="14167"/>
    <cellStyle name="Comma 10 2 5 7" xfId="14168"/>
    <cellStyle name="Comma 10 2 5_Sheet1" xfId="14169"/>
    <cellStyle name="Comma 10 2 6" xfId="14170"/>
    <cellStyle name="Comma 10 2 6 2" xfId="14171"/>
    <cellStyle name="Comma 10 2 6 3" xfId="14172"/>
    <cellStyle name="Comma 10 2 6 4" xfId="14173"/>
    <cellStyle name="Comma 10 2 6 5" xfId="14174"/>
    <cellStyle name="Comma 10 2 6 6" xfId="14175"/>
    <cellStyle name="Comma 10 2 6 7" xfId="14176"/>
    <cellStyle name="Comma 10 2 6_Sheet1" xfId="14177"/>
    <cellStyle name="Comma 10 2 7" xfId="14178"/>
    <cellStyle name="Comma 10 2 7 2" xfId="14179"/>
    <cellStyle name="Comma 10 2 7 3" xfId="14180"/>
    <cellStyle name="Comma 10 2 7 4" xfId="14181"/>
    <cellStyle name="Comma 10 2 7 5" xfId="14182"/>
    <cellStyle name="Comma 10 2 7 6" xfId="14183"/>
    <cellStyle name="Comma 10 2 7 7" xfId="14184"/>
    <cellStyle name="Comma 10 2 7_Sheet1" xfId="14185"/>
    <cellStyle name="Comma 10 2 8" xfId="14186"/>
    <cellStyle name="Comma 10 2 9" xfId="14187"/>
    <cellStyle name="Comma 10 2_Sheet1" xfId="14188"/>
    <cellStyle name="Comma 10 20" xfId="14189"/>
    <cellStyle name="Comma 10 20 2" xfId="14190"/>
    <cellStyle name="Comma 10 20 3" xfId="14191"/>
    <cellStyle name="Comma 10 20 4" xfId="14192"/>
    <cellStyle name="Comma 10 20 5" xfId="14193"/>
    <cellStyle name="Comma 10 20 6" xfId="14194"/>
    <cellStyle name="Comma 10 20 7" xfId="14195"/>
    <cellStyle name="Comma 10 20_Sheet1" xfId="14196"/>
    <cellStyle name="Comma 10 21" xfId="14197"/>
    <cellStyle name="Comma 10 21 2" xfId="14198"/>
    <cellStyle name="Comma 10 21 3" xfId="14199"/>
    <cellStyle name="Comma 10 21 4" xfId="14200"/>
    <cellStyle name="Comma 10 21 5" xfId="14201"/>
    <cellStyle name="Comma 10 21 6" xfId="14202"/>
    <cellStyle name="Comma 10 21 7" xfId="14203"/>
    <cellStyle name="Comma 10 21_Sheet1" xfId="14204"/>
    <cellStyle name="Comma 10 22" xfId="14205"/>
    <cellStyle name="Comma 10 22 2" xfId="14206"/>
    <cellStyle name="Comma 10 22 3" xfId="14207"/>
    <cellStyle name="Comma 10 22 4" xfId="14208"/>
    <cellStyle name="Comma 10 22 5" xfId="14209"/>
    <cellStyle name="Comma 10 22 6" xfId="14210"/>
    <cellStyle name="Comma 10 22 7" xfId="14211"/>
    <cellStyle name="Comma 10 22_Sheet1" xfId="14212"/>
    <cellStyle name="Comma 10 23" xfId="14213"/>
    <cellStyle name="Comma 10 23 2" xfId="14214"/>
    <cellStyle name="Comma 10 23 3" xfId="14215"/>
    <cellStyle name="Comma 10 23 4" xfId="14216"/>
    <cellStyle name="Comma 10 23 5" xfId="14217"/>
    <cellStyle name="Comma 10 23 6" xfId="14218"/>
    <cellStyle name="Comma 10 23 7" xfId="14219"/>
    <cellStyle name="Comma 10 23_Sheet1" xfId="14220"/>
    <cellStyle name="Comma 10 24" xfId="14221"/>
    <cellStyle name="Comma 10 24 2" xfId="14222"/>
    <cellStyle name="Comma 10 24 3" xfId="14223"/>
    <cellStyle name="Comma 10 24 4" xfId="14224"/>
    <cellStyle name="Comma 10 24 5" xfId="14225"/>
    <cellStyle name="Comma 10 24 6" xfId="14226"/>
    <cellStyle name="Comma 10 24 7" xfId="14227"/>
    <cellStyle name="Comma 10 24_Sheet1" xfId="14228"/>
    <cellStyle name="Comma 10 25" xfId="14229"/>
    <cellStyle name="Comma 10 26" xfId="14230"/>
    <cellStyle name="Comma 10 3" xfId="14231"/>
    <cellStyle name="Comma 10 3 2" xfId="14232"/>
    <cellStyle name="Comma 10 3 3" xfId="14233"/>
    <cellStyle name="Comma 10 3 4" xfId="14234"/>
    <cellStyle name="Comma 10 3 5" xfId="14235"/>
    <cellStyle name="Comma 10 3 6" xfId="14236"/>
    <cellStyle name="Comma 10 3 7" xfId="14237"/>
    <cellStyle name="Comma 10 3_Sheet1" xfId="14238"/>
    <cellStyle name="Comma 10 4" xfId="14239"/>
    <cellStyle name="Comma 10 4 2" xfId="14240"/>
    <cellStyle name="Comma 10 4 3" xfId="14241"/>
    <cellStyle name="Comma 10 4 4" xfId="14242"/>
    <cellStyle name="Comma 10 4 5" xfId="14243"/>
    <cellStyle name="Comma 10 4 6" xfId="14244"/>
    <cellStyle name="Comma 10 4 7" xfId="14245"/>
    <cellStyle name="Comma 10 4_Sheet1" xfId="14246"/>
    <cellStyle name="Comma 10 5" xfId="14247"/>
    <cellStyle name="Comma 10 5 2" xfId="14248"/>
    <cellStyle name="Comma 10 5 3" xfId="14249"/>
    <cellStyle name="Comma 10 5 4" xfId="14250"/>
    <cellStyle name="Comma 10 5 5" xfId="14251"/>
    <cellStyle name="Comma 10 5 6" xfId="14252"/>
    <cellStyle name="Comma 10 5 7" xfId="14253"/>
    <cellStyle name="Comma 10 5_Sheet1" xfId="14254"/>
    <cellStyle name="Comma 10 6" xfId="14255"/>
    <cellStyle name="Comma 10 6 2" xfId="14256"/>
    <cellStyle name="Comma 10 6 3" xfId="14257"/>
    <cellStyle name="Comma 10 6 4" xfId="14258"/>
    <cellStyle name="Comma 10 6 5" xfId="14259"/>
    <cellStyle name="Comma 10 6 6" xfId="14260"/>
    <cellStyle name="Comma 10 6 7" xfId="14261"/>
    <cellStyle name="Comma 10 6_Sheet1" xfId="14262"/>
    <cellStyle name="Comma 10 7" xfId="14263"/>
    <cellStyle name="Comma 10 7 2" xfId="14264"/>
    <cellStyle name="Comma 10 7 3" xfId="14265"/>
    <cellStyle name="Comma 10 7 4" xfId="14266"/>
    <cellStyle name="Comma 10 7 5" xfId="14267"/>
    <cellStyle name="Comma 10 7 6" xfId="14268"/>
    <cellStyle name="Comma 10 7 7" xfId="14269"/>
    <cellStyle name="Comma 10 7_Sheet1" xfId="14270"/>
    <cellStyle name="Comma 10 8" xfId="14271"/>
    <cellStyle name="Comma 10 8 2" xfId="14272"/>
    <cellStyle name="Comma 10 8 3" xfId="14273"/>
    <cellStyle name="Comma 10 8 4" xfId="14274"/>
    <cellStyle name="Comma 10 8 5" xfId="14275"/>
    <cellStyle name="Comma 10 8 6" xfId="14276"/>
    <cellStyle name="Comma 10 8 7" xfId="14277"/>
    <cellStyle name="Comma 10 8_Sheet1" xfId="14278"/>
    <cellStyle name="Comma 10 9" xfId="14279"/>
    <cellStyle name="Comma 10 9 2" xfId="14280"/>
    <cellStyle name="Comma 10 9 3" xfId="14281"/>
    <cellStyle name="Comma 10 9 4" xfId="14282"/>
    <cellStyle name="Comma 10 9 5" xfId="14283"/>
    <cellStyle name="Comma 10 9 6" xfId="14284"/>
    <cellStyle name="Comma 10 9 7" xfId="14285"/>
    <cellStyle name="Comma 10 9_Sheet1" xfId="14286"/>
    <cellStyle name="Comma 10_Schedule MP (2)" xfId="14287"/>
    <cellStyle name="Comma 100" xfId="14288"/>
    <cellStyle name="Comma 101" xfId="14289"/>
    <cellStyle name="Comma 102" xfId="14290"/>
    <cellStyle name="Comma 103" xfId="14291"/>
    <cellStyle name="Comma 104" xfId="14292"/>
    <cellStyle name="Comma 105" xfId="14293"/>
    <cellStyle name="Comma 106" xfId="14294"/>
    <cellStyle name="Comma 107" xfId="14295"/>
    <cellStyle name="Comma 108" xfId="14296"/>
    <cellStyle name="Comma 109" xfId="14297"/>
    <cellStyle name="Comma 11" xfId="14298"/>
    <cellStyle name="Comma 11 10" xfId="14299"/>
    <cellStyle name="Comma 11 10 2" xfId="14300"/>
    <cellStyle name="Comma 11 10 3" xfId="14301"/>
    <cellStyle name="Comma 11 10 4" xfId="14302"/>
    <cellStyle name="Comma 11 10 5" xfId="14303"/>
    <cellStyle name="Comma 11 10 6" xfId="14304"/>
    <cellStyle name="Comma 11 10 7" xfId="14305"/>
    <cellStyle name="Comma 11 10_Sheet1" xfId="14306"/>
    <cellStyle name="Comma 11 11" xfId="14307"/>
    <cellStyle name="Comma 11 11 2" xfId="14308"/>
    <cellStyle name="Comma 11 11 3" xfId="14309"/>
    <cellStyle name="Comma 11 11 4" xfId="14310"/>
    <cellStyle name="Comma 11 11 5" xfId="14311"/>
    <cellStyle name="Comma 11 11 6" xfId="14312"/>
    <cellStyle name="Comma 11 11 7" xfId="14313"/>
    <cellStyle name="Comma 11 11_Sheet1" xfId="14314"/>
    <cellStyle name="Comma 11 12" xfId="14315"/>
    <cellStyle name="Comma 11 12 2" xfId="14316"/>
    <cellStyle name="Comma 11 12 3" xfId="14317"/>
    <cellStyle name="Comma 11 12 4" xfId="14318"/>
    <cellStyle name="Comma 11 12 5" xfId="14319"/>
    <cellStyle name="Comma 11 12 6" xfId="14320"/>
    <cellStyle name="Comma 11 12 7" xfId="14321"/>
    <cellStyle name="Comma 11 12_Sheet1" xfId="14322"/>
    <cellStyle name="Comma 11 13" xfId="14323"/>
    <cellStyle name="Comma 11 13 2" xfId="14324"/>
    <cellStyle name="Comma 11 13 3" xfId="14325"/>
    <cellStyle name="Comma 11 13 4" xfId="14326"/>
    <cellStyle name="Comma 11 13 5" xfId="14327"/>
    <cellStyle name="Comma 11 13 6" xfId="14328"/>
    <cellStyle name="Comma 11 13 7" xfId="14329"/>
    <cellStyle name="Comma 11 13_Sheet1" xfId="14330"/>
    <cellStyle name="Comma 11 14" xfId="14331"/>
    <cellStyle name="Comma 11 14 2" xfId="14332"/>
    <cellStyle name="Comma 11 14 3" xfId="14333"/>
    <cellStyle name="Comma 11 14 4" xfId="14334"/>
    <cellStyle name="Comma 11 14 5" xfId="14335"/>
    <cellStyle name="Comma 11 14 6" xfId="14336"/>
    <cellStyle name="Comma 11 14 7" xfId="14337"/>
    <cellStyle name="Comma 11 14_Sheet1" xfId="14338"/>
    <cellStyle name="Comma 11 15" xfId="14339"/>
    <cellStyle name="Comma 11 15 2" xfId="14340"/>
    <cellStyle name="Comma 11 15 3" xfId="14341"/>
    <cellStyle name="Comma 11 15 4" xfId="14342"/>
    <cellStyle name="Comma 11 15 5" xfId="14343"/>
    <cellStyle name="Comma 11 15 6" xfId="14344"/>
    <cellStyle name="Comma 11 15 7" xfId="14345"/>
    <cellStyle name="Comma 11 15_Sheet1" xfId="14346"/>
    <cellStyle name="Comma 11 16" xfId="14347"/>
    <cellStyle name="Comma 11 16 2" xfId="14348"/>
    <cellStyle name="Comma 11 16 3" xfId="14349"/>
    <cellStyle name="Comma 11 16 4" xfId="14350"/>
    <cellStyle name="Comma 11 16 5" xfId="14351"/>
    <cellStyle name="Comma 11 16 6" xfId="14352"/>
    <cellStyle name="Comma 11 16 7" xfId="14353"/>
    <cellStyle name="Comma 11 16_Sheet1" xfId="14354"/>
    <cellStyle name="Comma 11 17" xfId="14355"/>
    <cellStyle name="Comma 11 17 2" xfId="14356"/>
    <cellStyle name="Comma 11 17 3" xfId="14357"/>
    <cellStyle name="Comma 11 17 4" xfId="14358"/>
    <cellStyle name="Comma 11 17 5" xfId="14359"/>
    <cellStyle name="Comma 11 17 6" xfId="14360"/>
    <cellStyle name="Comma 11 17 7" xfId="14361"/>
    <cellStyle name="Comma 11 17_Sheet1" xfId="14362"/>
    <cellStyle name="Comma 11 18" xfId="14363"/>
    <cellStyle name="Comma 11 18 2" xfId="14364"/>
    <cellStyle name="Comma 11 18 3" xfId="14365"/>
    <cellStyle name="Comma 11 18 4" xfId="14366"/>
    <cellStyle name="Comma 11 18 5" xfId="14367"/>
    <cellStyle name="Comma 11 18 6" xfId="14368"/>
    <cellStyle name="Comma 11 18 7" xfId="14369"/>
    <cellStyle name="Comma 11 18_Sheet1" xfId="14370"/>
    <cellStyle name="Comma 11 19" xfId="14371"/>
    <cellStyle name="Comma 11 19 2" xfId="14372"/>
    <cellStyle name="Comma 11 19 3" xfId="14373"/>
    <cellStyle name="Comma 11 19 4" xfId="14374"/>
    <cellStyle name="Comma 11 19 5" xfId="14375"/>
    <cellStyle name="Comma 11 19 6" xfId="14376"/>
    <cellStyle name="Comma 11 19 7" xfId="14377"/>
    <cellStyle name="Comma 11 19_Sheet1" xfId="14378"/>
    <cellStyle name="Comma 11 2" xfId="14379"/>
    <cellStyle name="Comma 11 2 10" xfId="14380"/>
    <cellStyle name="Comma 11 2 11" xfId="14381"/>
    <cellStyle name="Comma 11 2 12" xfId="14382"/>
    <cellStyle name="Comma 11 2 13" xfId="14383"/>
    <cellStyle name="Comma 11 2 2" xfId="14384"/>
    <cellStyle name="Comma 11 2 2 2" xfId="14385"/>
    <cellStyle name="Comma 11 2 2 3" xfId="14386"/>
    <cellStyle name="Comma 11 2 2 4" xfId="14387"/>
    <cellStyle name="Comma 11 2 2 5" xfId="14388"/>
    <cellStyle name="Comma 11 2 2 6" xfId="14389"/>
    <cellStyle name="Comma 11 2 2 7" xfId="14390"/>
    <cellStyle name="Comma 11 2 2_Sheet1" xfId="14391"/>
    <cellStyle name="Comma 11 2 3" xfId="14392"/>
    <cellStyle name="Comma 11 2 3 2" xfId="14393"/>
    <cellStyle name="Comma 11 2 3 3" xfId="14394"/>
    <cellStyle name="Comma 11 2 3 4" xfId="14395"/>
    <cellStyle name="Comma 11 2 3 5" xfId="14396"/>
    <cellStyle name="Comma 11 2 3 6" xfId="14397"/>
    <cellStyle name="Comma 11 2 3 7" xfId="14398"/>
    <cellStyle name="Comma 11 2 3_Sheet1" xfId="14399"/>
    <cellStyle name="Comma 11 2 4" xfId="14400"/>
    <cellStyle name="Comma 11 2 4 2" xfId="14401"/>
    <cellStyle name="Comma 11 2 4 3" xfId="14402"/>
    <cellStyle name="Comma 11 2 4 4" xfId="14403"/>
    <cellStyle name="Comma 11 2 4 5" xfId="14404"/>
    <cellStyle name="Comma 11 2 4 6" xfId="14405"/>
    <cellStyle name="Comma 11 2 4 7" xfId="14406"/>
    <cellStyle name="Comma 11 2 4_Sheet1" xfId="14407"/>
    <cellStyle name="Comma 11 2 5" xfId="14408"/>
    <cellStyle name="Comma 11 2 5 2" xfId="14409"/>
    <cellStyle name="Comma 11 2 5 3" xfId="14410"/>
    <cellStyle name="Comma 11 2 5 4" xfId="14411"/>
    <cellStyle name="Comma 11 2 5 5" xfId="14412"/>
    <cellStyle name="Comma 11 2 5 6" xfId="14413"/>
    <cellStyle name="Comma 11 2 5 7" xfId="14414"/>
    <cellStyle name="Comma 11 2 5_Sheet1" xfId="14415"/>
    <cellStyle name="Comma 11 2 6" xfId="14416"/>
    <cellStyle name="Comma 11 2 6 2" xfId="14417"/>
    <cellStyle name="Comma 11 2 6 3" xfId="14418"/>
    <cellStyle name="Comma 11 2 6 4" xfId="14419"/>
    <cellStyle name="Comma 11 2 6 5" xfId="14420"/>
    <cellStyle name="Comma 11 2 6 6" xfId="14421"/>
    <cellStyle name="Comma 11 2 6 7" xfId="14422"/>
    <cellStyle name="Comma 11 2 6_Sheet1" xfId="14423"/>
    <cellStyle name="Comma 11 2 7" xfId="14424"/>
    <cellStyle name="Comma 11 2 7 2" xfId="14425"/>
    <cellStyle name="Comma 11 2 7 3" xfId="14426"/>
    <cellStyle name="Comma 11 2 7 4" xfId="14427"/>
    <cellStyle name="Comma 11 2 7 5" xfId="14428"/>
    <cellStyle name="Comma 11 2 7 6" xfId="14429"/>
    <cellStyle name="Comma 11 2 7 7" xfId="14430"/>
    <cellStyle name="Comma 11 2 7_Sheet1" xfId="14431"/>
    <cellStyle name="Comma 11 2 8" xfId="14432"/>
    <cellStyle name="Comma 11 2 9" xfId="14433"/>
    <cellStyle name="Comma 11 2_Sheet1" xfId="14434"/>
    <cellStyle name="Comma 11 20" xfId="14435"/>
    <cellStyle name="Comma 11 20 2" xfId="14436"/>
    <cellStyle name="Comma 11 20 3" xfId="14437"/>
    <cellStyle name="Comma 11 20 4" xfId="14438"/>
    <cellStyle name="Comma 11 20 5" xfId="14439"/>
    <cellStyle name="Comma 11 20 6" xfId="14440"/>
    <cellStyle name="Comma 11 20 7" xfId="14441"/>
    <cellStyle name="Comma 11 20_Sheet1" xfId="14442"/>
    <cellStyle name="Comma 11 21" xfId="14443"/>
    <cellStyle name="Comma 11 21 2" xfId="14444"/>
    <cellStyle name="Comma 11 21 3" xfId="14445"/>
    <cellStyle name="Comma 11 21 4" xfId="14446"/>
    <cellStyle name="Comma 11 21 5" xfId="14447"/>
    <cellStyle name="Comma 11 21 6" xfId="14448"/>
    <cellStyle name="Comma 11 21 7" xfId="14449"/>
    <cellStyle name="Comma 11 21_Sheet1" xfId="14450"/>
    <cellStyle name="Comma 11 22" xfId="14451"/>
    <cellStyle name="Comma 11 22 2" xfId="14452"/>
    <cellStyle name="Comma 11 22 3" xfId="14453"/>
    <cellStyle name="Comma 11 22 4" xfId="14454"/>
    <cellStyle name="Comma 11 22 5" xfId="14455"/>
    <cellStyle name="Comma 11 22 6" xfId="14456"/>
    <cellStyle name="Comma 11 22 7" xfId="14457"/>
    <cellStyle name="Comma 11 22_Sheet1" xfId="14458"/>
    <cellStyle name="Comma 11 23" xfId="14459"/>
    <cellStyle name="Comma 11 23 2" xfId="14460"/>
    <cellStyle name="Comma 11 23 3" xfId="14461"/>
    <cellStyle name="Comma 11 23 4" xfId="14462"/>
    <cellStyle name="Comma 11 23 5" xfId="14463"/>
    <cellStyle name="Comma 11 23 6" xfId="14464"/>
    <cellStyle name="Comma 11 23 7" xfId="14465"/>
    <cellStyle name="Comma 11 23_Sheet1" xfId="14466"/>
    <cellStyle name="Comma 11 24" xfId="14467"/>
    <cellStyle name="Comma 11 24 2" xfId="14468"/>
    <cellStyle name="Comma 11 24 3" xfId="14469"/>
    <cellStyle name="Comma 11 24 4" xfId="14470"/>
    <cellStyle name="Comma 11 24 5" xfId="14471"/>
    <cellStyle name="Comma 11 24 6" xfId="14472"/>
    <cellStyle name="Comma 11 24 7" xfId="14473"/>
    <cellStyle name="Comma 11 24_Sheet1" xfId="14474"/>
    <cellStyle name="Comma 11 3" xfId="14475"/>
    <cellStyle name="Comma 11 3 2" xfId="14476"/>
    <cellStyle name="Comma 11 3 3" xfId="14477"/>
    <cellStyle name="Comma 11 3 4" xfId="14478"/>
    <cellStyle name="Comma 11 3 5" xfId="14479"/>
    <cellStyle name="Comma 11 3 6" xfId="14480"/>
    <cellStyle name="Comma 11 3 7" xfId="14481"/>
    <cellStyle name="Comma 11 3_Sheet1" xfId="14482"/>
    <cellStyle name="Comma 11 4" xfId="14483"/>
    <cellStyle name="Comma 11 4 2" xfId="14484"/>
    <cellStyle name="Comma 11 4 3" xfId="14485"/>
    <cellStyle name="Comma 11 4 4" xfId="14486"/>
    <cellStyle name="Comma 11 4 5" xfId="14487"/>
    <cellStyle name="Comma 11 4 6" xfId="14488"/>
    <cellStyle name="Comma 11 4 7" xfId="14489"/>
    <cellStyle name="Comma 11 4_Sheet1" xfId="14490"/>
    <cellStyle name="Comma 11 5" xfId="14491"/>
    <cellStyle name="Comma 11 5 2" xfId="14492"/>
    <cellStyle name="Comma 11 5 3" xfId="14493"/>
    <cellStyle name="Comma 11 5 4" xfId="14494"/>
    <cellStyle name="Comma 11 5 5" xfId="14495"/>
    <cellStyle name="Comma 11 5 6" xfId="14496"/>
    <cellStyle name="Comma 11 5 7" xfId="14497"/>
    <cellStyle name="Comma 11 5_Sheet1" xfId="14498"/>
    <cellStyle name="Comma 11 6" xfId="14499"/>
    <cellStyle name="Comma 11 6 2" xfId="14500"/>
    <cellStyle name="Comma 11 6 3" xfId="14501"/>
    <cellStyle name="Comma 11 6 4" xfId="14502"/>
    <cellStyle name="Comma 11 6 5" xfId="14503"/>
    <cellStyle name="Comma 11 6 6" xfId="14504"/>
    <cellStyle name="Comma 11 6 7" xfId="14505"/>
    <cellStyle name="Comma 11 6_Sheet1" xfId="14506"/>
    <cellStyle name="Comma 11 7" xfId="14507"/>
    <cellStyle name="Comma 11 7 2" xfId="14508"/>
    <cellStyle name="Comma 11 7 3" xfId="14509"/>
    <cellStyle name="Comma 11 7 4" xfId="14510"/>
    <cellStyle name="Comma 11 7 5" xfId="14511"/>
    <cellStyle name="Comma 11 7 6" xfId="14512"/>
    <cellStyle name="Comma 11 7 7" xfId="14513"/>
    <cellStyle name="Comma 11 7_Sheet1" xfId="14514"/>
    <cellStyle name="Comma 11 8" xfId="14515"/>
    <cellStyle name="Comma 11 8 2" xfId="14516"/>
    <cellStyle name="Comma 11 8 3" xfId="14517"/>
    <cellStyle name="Comma 11 8 4" xfId="14518"/>
    <cellStyle name="Comma 11 8 5" xfId="14519"/>
    <cellStyle name="Comma 11 8 6" xfId="14520"/>
    <cellStyle name="Comma 11 8 7" xfId="14521"/>
    <cellStyle name="Comma 11 8_Sheet1" xfId="14522"/>
    <cellStyle name="Comma 11 9" xfId="14523"/>
    <cellStyle name="Comma 11 9 2" xfId="14524"/>
    <cellStyle name="Comma 11 9 3" xfId="14525"/>
    <cellStyle name="Comma 11 9 4" xfId="14526"/>
    <cellStyle name="Comma 11 9 5" xfId="14527"/>
    <cellStyle name="Comma 11 9 6" xfId="14528"/>
    <cellStyle name="Comma 11 9 7" xfId="14529"/>
    <cellStyle name="Comma 11 9_Sheet1" xfId="14530"/>
    <cellStyle name="Comma 11_Sheet1" xfId="14531"/>
    <cellStyle name="Comma 110" xfId="14532"/>
    <cellStyle name="Comma 111" xfId="14533"/>
    <cellStyle name="Comma 112" xfId="14534"/>
    <cellStyle name="Comma 113" xfId="14535"/>
    <cellStyle name="Comma 114" xfId="14536"/>
    <cellStyle name="Comma 115" xfId="14537"/>
    <cellStyle name="Comma 116" xfId="14538"/>
    <cellStyle name="Comma 117" xfId="14539"/>
    <cellStyle name="Comma 118" xfId="14540"/>
    <cellStyle name="Comma 119" xfId="14541"/>
    <cellStyle name="Comma 12" xfId="14542"/>
    <cellStyle name="Comma 12 10" xfId="14543"/>
    <cellStyle name="Comma 12 10 2" xfId="14544"/>
    <cellStyle name="Comma 12 10 3" xfId="14545"/>
    <cellStyle name="Comma 12 10 4" xfId="14546"/>
    <cellStyle name="Comma 12 10 5" xfId="14547"/>
    <cellStyle name="Comma 12 10 6" xfId="14548"/>
    <cellStyle name="Comma 12 10 7" xfId="14549"/>
    <cellStyle name="Comma 12 10_Sheet1" xfId="14550"/>
    <cellStyle name="Comma 12 11" xfId="14551"/>
    <cellStyle name="Comma 12 11 2" xfId="14552"/>
    <cellStyle name="Comma 12 11 3" xfId="14553"/>
    <cellStyle name="Comma 12 11 4" xfId="14554"/>
    <cellStyle name="Comma 12 11 5" xfId="14555"/>
    <cellStyle name="Comma 12 11 6" xfId="14556"/>
    <cellStyle name="Comma 12 11 7" xfId="14557"/>
    <cellStyle name="Comma 12 11_Sheet1" xfId="14558"/>
    <cellStyle name="Comma 12 12" xfId="14559"/>
    <cellStyle name="Comma 12 12 2" xfId="14560"/>
    <cellStyle name="Comma 12 12 3" xfId="14561"/>
    <cellStyle name="Comma 12 12 4" xfId="14562"/>
    <cellStyle name="Comma 12 12 5" xfId="14563"/>
    <cellStyle name="Comma 12 12 6" xfId="14564"/>
    <cellStyle name="Comma 12 12 7" xfId="14565"/>
    <cellStyle name="Comma 12 12_Sheet1" xfId="14566"/>
    <cellStyle name="Comma 12 13" xfId="14567"/>
    <cellStyle name="Comma 12 13 2" xfId="14568"/>
    <cellStyle name="Comma 12 13 3" xfId="14569"/>
    <cellStyle name="Comma 12 13 4" xfId="14570"/>
    <cellStyle name="Comma 12 13 5" xfId="14571"/>
    <cellStyle name="Comma 12 13 6" xfId="14572"/>
    <cellStyle name="Comma 12 13 7" xfId="14573"/>
    <cellStyle name="Comma 12 13_Sheet1" xfId="14574"/>
    <cellStyle name="Comma 12 14" xfId="14575"/>
    <cellStyle name="Comma 12 14 2" xfId="14576"/>
    <cellStyle name="Comma 12 14 3" xfId="14577"/>
    <cellStyle name="Comma 12 14 4" xfId="14578"/>
    <cellStyle name="Comma 12 14 5" xfId="14579"/>
    <cellStyle name="Comma 12 14 6" xfId="14580"/>
    <cellStyle name="Comma 12 14 7" xfId="14581"/>
    <cellStyle name="Comma 12 14_Sheet1" xfId="14582"/>
    <cellStyle name="Comma 12 15" xfId="14583"/>
    <cellStyle name="Comma 12 15 2" xfId="14584"/>
    <cellStyle name="Comma 12 15 3" xfId="14585"/>
    <cellStyle name="Comma 12 15 4" xfId="14586"/>
    <cellStyle name="Comma 12 15 5" xfId="14587"/>
    <cellStyle name="Comma 12 15 6" xfId="14588"/>
    <cellStyle name="Comma 12 15 7" xfId="14589"/>
    <cellStyle name="Comma 12 15_Sheet1" xfId="14590"/>
    <cellStyle name="Comma 12 16" xfId="14591"/>
    <cellStyle name="Comma 12 16 2" xfId="14592"/>
    <cellStyle name="Comma 12 16 3" xfId="14593"/>
    <cellStyle name="Comma 12 16 4" xfId="14594"/>
    <cellStyle name="Comma 12 16 5" xfId="14595"/>
    <cellStyle name="Comma 12 16 6" xfId="14596"/>
    <cellStyle name="Comma 12 16 7" xfId="14597"/>
    <cellStyle name="Comma 12 16_Sheet1" xfId="14598"/>
    <cellStyle name="Comma 12 17" xfId="14599"/>
    <cellStyle name="Comma 12 17 2" xfId="14600"/>
    <cellStyle name="Comma 12 17 3" xfId="14601"/>
    <cellStyle name="Comma 12 17 4" xfId="14602"/>
    <cellStyle name="Comma 12 17 5" xfId="14603"/>
    <cellStyle name="Comma 12 17 6" xfId="14604"/>
    <cellStyle name="Comma 12 17 7" xfId="14605"/>
    <cellStyle name="Comma 12 17_Sheet1" xfId="14606"/>
    <cellStyle name="Comma 12 18" xfId="14607"/>
    <cellStyle name="Comma 12 18 2" xfId="14608"/>
    <cellStyle name="Comma 12 18 3" xfId="14609"/>
    <cellStyle name="Comma 12 18 4" xfId="14610"/>
    <cellStyle name="Comma 12 18 5" xfId="14611"/>
    <cellStyle name="Comma 12 18 6" xfId="14612"/>
    <cellStyle name="Comma 12 18 7" xfId="14613"/>
    <cellStyle name="Comma 12 18_Sheet1" xfId="14614"/>
    <cellStyle name="Comma 12 19" xfId="14615"/>
    <cellStyle name="Comma 12 19 2" xfId="14616"/>
    <cellStyle name="Comma 12 19 3" xfId="14617"/>
    <cellStyle name="Comma 12 19 4" xfId="14618"/>
    <cellStyle name="Comma 12 19 5" xfId="14619"/>
    <cellStyle name="Comma 12 19 6" xfId="14620"/>
    <cellStyle name="Comma 12 19 7" xfId="14621"/>
    <cellStyle name="Comma 12 19_Sheet1" xfId="14622"/>
    <cellStyle name="Comma 12 2" xfId="14623"/>
    <cellStyle name="Comma 12 2 10" xfId="14624"/>
    <cellStyle name="Comma 12 2 11" xfId="14625"/>
    <cellStyle name="Comma 12 2 12" xfId="14626"/>
    <cellStyle name="Comma 12 2 13" xfId="14627"/>
    <cellStyle name="Comma 12 2 14" xfId="14628"/>
    <cellStyle name="Comma 12 2 2" xfId="14629"/>
    <cellStyle name="Comma 12 2 2 2" xfId="14630"/>
    <cellStyle name="Comma 12 2 2 3" xfId="14631"/>
    <cellStyle name="Comma 12 2 2 4" xfId="14632"/>
    <cellStyle name="Comma 12 2 2 5" xfId="14633"/>
    <cellStyle name="Comma 12 2 2 6" xfId="14634"/>
    <cellStyle name="Comma 12 2 2 7" xfId="14635"/>
    <cellStyle name="Comma 12 2 2_Sheet1" xfId="14636"/>
    <cellStyle name="Comma 12 2 3" xfId="14637"/>
    <cellStyle name="Comma 12 2 3 2" xfId="14638"/>
    <cellStyle name="Comma 12 2 3 3" xfId="14639"/>
    <cellStyle name="Comma 12 2 3 4" xfId="14640"/>
    <cellStyle name="Comma 12 2 3 5" xfId="14641"/>
    <cellStyle name="Comma 12 2 3 6" xfId="14642"/>
    <cellStyle name="Comma 12 2 3 7" xfId="14643"/>
    <cellStyle name="Comma 12 2 3_Sheet1" xfId="14644"/>
    <cellStyle name="Comma 12 2 4" xfId="14645"/>
    <cellStyle name="Comma 12 2 4 2" xfId="14646"/>
    <cellStyle name="Comma 12 2 4 3" xfId="14647"/>
    <cellStyle name="Comma 12 2 4 4" xfId="14648"/>
    <cellStyle name="Comma 12 2 4 5" xfId="14649"/>
    <cellStyle name="Comma 12 2 4 6" xfId="14650"/>
    <cellStyle name="Comma 12 2 4 7" xfId="14651"/>
    <cellStyle name="Comma 12 2 4_Sheet1" xfId="14652"/>
    <cellStyle name="Comma 12 2 5" xfId="14653"/>
    <cellStyle name="Comma 12 2 5 2" xfId="14654"/>
    <cellStyle name="Comma 12 2 5 3" xfId="14655"/>
    <cellStyle name="Comma 12 2 5 4" xfId="14656"/>
    <cellStyle name="Comma 12 2 5 5" xfId="14657"/>
    <cellStyle name="Comma 12 2 5 6" xfId="14658"/>
    <cellStyle name="Comma 12 2 5 7" xfId="14659"/>
    <cellStyle name="Comma 12 2 5_Sheet1" xfId="14660"/>
    <cellStyle name="Comma 12 2 6" xfId="14661"/>
    <cellStyle name="Comma 12 2 6 2" xfId="14662"/>
    <cellStyle name="Comma 12 2 6 3" xfId="14663"/>
    <cellStyle name="Comma 12 2 6 4" xfId="14664"/>
    <cellStyle name="Comma 12 2 6 5" xfId="14665"/>
    <cellStyle name="Comma 12 2 6 6" xfId="14666"/>
    <cellStyle name="Comma 12 2 6 7" xfId="14667"/>
    <cellStyle name="Comma 12 2 6_Sheet1" xfId="14668"/>
    <cellStyle name="Comma 12 2 7" xfId="14669"/>
    <cellStyle name="Comma 12 2 7 2" xfId="14670"/>
    <cellStyle name="Comma 12 2 7 3" xfId="14671"/>
    <cellStyle name="Comma 12 2 7 4" xfId="14672"/>
    <cellStyle name="Comma 12 2 7 5" xfId="14673"/>
    <cellStyle name="Comma 12 2 7 6" xfId="14674"/>
    <cellStyle name="Comma 12 2 7 7" xfId="14675"/>
    <cellStyle name="Comma 12 2 7_Sheet1" xfId="14676"/>
    <cellStyle name="Comma 12 2 8" xfId="14677"/>
    <cellStyle name="Comma 12 2 9" xfId="14678"/>
    <cellStyle name="Comma 12 2_Sheet1" xfId="14679"/>
    <cellStyle name="Comma 12 20" xfId="14680"/>
    <cellStyle name="Comma 12 20 2" xfId="14681"/>
    <cellStyle name="Comma 12 20 3" xfId="14682"/>
    <cellStyle name="Comma 12 20 4" xfId="14683"/>
    <cellStyle name="Comma 12 20 5" xfId="14684"/>
    <cellStyle name="Comma 12 20 6" xfId="14685"/>
    <cellStyle name="Comma 12 20 7" xfId="14686"/>
    <cellStyle name="Comma 12 20_Sheet1" xfId="14687"/>
    <cellStyle name="Comma 12 21" xfId="14688"/>
    <cellStyle name="Comma 12 21 2" xfId="14689"/>
    <cellStyle name="Comma 12 21 3" xfId="14690"/>
    <cellStyle name="Comma 12 21 4" xfId="14691"/>
    <cellStyle name="Comma 12 21 5" xfId="14692"/>
    <cellStyle name="Comma 12 21 6" xfId="14693"/>
    <cellStyle name="Comma 12 21 7" xfId="14694"/>
    <cellStyle name="Comma 12 21_Sheet1" xfId="14695"/>
    <cellStyle name="Comma 12 22" xfId="14696"/>
    <cellStyle name="Comma 12 22 2" xfId="14697"/>
    <cellStyle name="Comma 12 22 3" xfId="14698"/>
    <cellStyle name="Comma 12 22 4" xfId="14699"/>
    <cellStyle name="Comma 12 22 5" xfId="14700"/>
    <cellStyle name="Comma 12 22 6" xfId="14701"/>
    <cellStyle name="Comma 12 22 7" xfId="14702"/>
    <cellStyle name="Comma 12 22_Sheet1" xfId="14703"/>
    <cellStyle name="Comma 12 23" xfId="14704"/>
    <cellStyle name="Comma 12 23 2" xfId="14705"/>
    <cellStyle name="Comma 12 23 3" xfId="14706"/>
    <cellStyle name="Comma 12 23 4" xfId="14707"/>
    <cellStyle name="Comma 12 23 5" xfId="14708"/>
    <cellStyle name="Comma 12 23 6" xfId="14709"/>
    <cellStyle name="Comma 12 23 7" xfId="14710"/>
    <cellStyle name="Comma 12 23_Sheet1" xfId="14711"/>
    <cellStyle name="Comma 12 24" xfId="14712"/>
    <cellStyle name="Comma 12 24 2" xfId="14713"/>
    <cellStyle name="Comma 12 24 3" xfId="14714"/>
    <cellStyle name="Comma 12 24 4" xfId="14715"/>
    <cellStyle name="Comma 12 24 5" xfId="14716"/>
    <cellStyle name="Comma 12 24 6" xfId="14717"/>
    <cellStyle name="Comma 12 24 7" xfId="14718"/>
    <cellStyle name="Comma 12 24_Sheet1" xfId="14719"/>
    <cellStyle name="Comma 12 25" xfId="14720"/>
    <cellStyle name="Comma 12 26" xfId="14721"/>
    <cellStyle name="Comma 12 3" xfId="14722"/>
    <cellStyle name="Comma 12 3 2" xfId="14723"/>
    <cellStyle name="Comma 12 3 3" xfId="14724"/>
    <cellStyle name="Comma 12 3 4" xfId="14725"/>
    <cellStyle name="Comma 12 3 5" xfId="14726"/>
    <cellStyle name="Comma 12 3 6" xfId="14727"/>
    <cellStyle name="Comma 12 3 7" xfId="14728"/>
    <cellStyle name="Comma 12 3 8" xfId="14729"/>
    <cellStyle name="Comma 12 3_Sheet1" xfId="14730"/>
    <cellStyle name="Comma 12 4" xfId="14731"/>
    <cellStyle name="Comma 12 4 2" xfId="14732"/>
    <cellStyle name="Comma 12 4 3" xfId="14733"/>
    <cellStyle name="Comma 12 4 4" xfId="14734"/>
    <cellStyle name="Comma 12 4 5" xfId="14735"/>
    <cellStyle name="Comma 12 4 6" xfId="14736"/>
    <cellStyle name="Comma 12 4 7" xfId="14737"/>
    <cellStyle name="Comma 12 4_Sheet1" xfId="14738"/>
    <cellStyle name="Comma 12 5" xfId="14739"/>
    <cellStyle name="Comma 12 5 2" xfId="14740"/>
    <cellStyle name="Comma 12 5 3" xfId="14741"/>
    <cellStyle name="Comma 12 5 4" xfId="14742"/>
    <cellStyle name="Comma 12 5 5" xfId="14743"/>
    <cellStyle name="Comma 12 5 6" xfId="14744"/>
    <cellStyle name="Comma 12 5 7" xfId="14745"/>
    <cellStyle name="Comma 12 5_Sheet1" xfId="14746"/>
    <cellStyle name="Comma 12 6" xfId="14747"/>
    <cellStyle name="Comma 12 6 2" xfId="14748"/>
    <cellStyle name="Comma 12 6 3" xfId="14749"/>
    <cellStyle name="Comma 12 6 4" xfId="14750"/>
    <cellStyle name="Comma 12 6 5" xfId="14751"/>
    <cellStyle name="Comma 12 6 6" xfId="14752"/>
    <cellStyle name="Comma 12 6 7" xfId="14753"/>
    <cellStyle name="Comma 12 6_Sheet1" xfId="14754"/>
    <cellStyle name="Comma 12 7" xfId="14755"/>
    <cellStyle name="Comma 12 7 2" xfId="14756"/>
    <cellStyle name="Comma 12 7 3" xfId="14757"/>
    <cellStyle name="Comma 12 7 4" xfId="14758"/>
    <cellStyle name="Comma 12 7 5" xfId="14759"/>
    <cellStyle name="Comma 12 7 6" xfId="14760"/>
    <cellStyle name="Comma 12 7 7" xfId="14761"/>
    <cellStyle name="Comma 12 7_Sheet1" xfId="14762"/>
    <cellStyle name="Comma 12 8" xfId="14763"/>
    <cellStyle name="Comma 12 8 2" xfId="14764"/>
    <cellStyle name="Comma 12 8 3" xfId="14765"/>
    <cellStyle name="Comma 12 8 4" xfId="14766"/>
    <cellStyle name="Comma 12 8 5" xfId="14767"/>
    <cellStyle name="Comma 12 8 6" xfId="14768"/>
    <cellStyle name="Comma 12 8 7" xfId="14769"/>
    <cellStyle name="Comma 12 8_Sheet1" xfId="14770"/>
    <cellStyle name="Comma 12 9" xfId="14771"/>
    <cellStyle name="Comma 12 9 2" xfId="14772"/>
    <cellStyle name="Comma 12 9 3" xfId="14773"/>
    <cellStyle name="Comma 12 9 4" xfId="14774"/>
    <cellStyle name="Comma 12 9 5" xfId="14775"/>
    <cellStyle name="Comma 12 9 6" xfId="14776"/>
    <cellStyle name="Comma 12 9 7" xfId="14777"/>
    <cellStyle name="Comma 12 9_Sheet1" xfId="14778"/>
    <cellStyle name="Comma 12_Schedule MP (2)" xfId="14779"/>
    <cellStyle name="Comma 120" xfId="14780"/>
    <cellStyle name="Comma 121" xfId="14781"/>
    <cellStyle name="Comma 122" xfId="14782"/>
    <cellStyle name="Comma 123" xfId="14783"/>
    <cellStyle name="Comma 124" xfId="14784"/>
    <cellStyle name="Comma 125" xfId="14785"/>
    <cellStyle name="Comma 126" xfId="14786"/>
    <cellStyle name="Comma 127" xfId="14787"/>
    <cellStyle name="Comma 128" xfId="14788"/>
    <cellStyle name="Comma 129" xfId="14789"/>
    <cellStyle name="Comma 13" xfId="14790"/>
    <cellStyle name="Comma 13 10" xfId="14791"/>
    <cellStyle name="Comma 13 10 2" xfId="14792"/>
    <cellStyle name="Comma 13 10 3" xfId="14793"/>
    <cellStyle name="Comma 13 10 4" xfId="14794"/>
    <cellStyle name="Comma 13 10 5" xfId="14795"/>
    <cellStyle name="Comma 13 10 6" xfId="14796"/>
    <cellStyle name="Comma 13 10 7" xfId="14797"/>
    <cellStyle name="Comma 13 10_Sheet1" xfId="14798"/>
    <cellStyle name="Comma 13 11" xfId="14799"/>
    <cellStyle name="Comma 13 11 2" xfId="14800"/>
    <cellStyle name="Comma 13 11 3" xfId="14801"/>
    <cellStyle name="Comma 13 11 4" xfId="14802"/>
    <cellStyle name="Comma 13 11 5" xfId="14803"/>
    <cellStyle name="Comma 13 11 6" xfId="14804"/>
    <cellStyle name="Comma 13 11 7" xfId="14805"/>
    <cellStyle name="Comma 13 11_Sheet1" xfId="14806"/>
    <cellStyle name="Comma 13 12" xfId="14807"/>
    <cellStyle name="Comma 13 12 2" xfId="14808"/>
    <cellStyle name="Comma 13 12 3" xfId="14809"/>
    <cellStyle name="Comma 13 12 4" xfId="14810"/>
    <cellStyle name="Comma 13 12 5" xfId="14811"/>
    <cellStyle name="Comma 13 12 6" xfId="14812"/>
    <cellStyle name="Comma 13 12 7" xfId="14813"/>
    <cellStyle name="Comma 13 12_Sheet1" xfId="14814"/>
    <cellStyle name="Comma 13 13" xfId="14815"/>
    <cellStyle name="Comma 13 13 2" xfId="14816"/>
    <cellStyle name="Comma 13 13 3" xfId="14817"/>
    <cellStyle name="Comma 13 13 4" xfId="14818"/>
    <cellStyle name="Comma 13 13 5" xfId="14819"/>
    <cellStyle name="Comma 13 13 6" xfId="14820"/>
    <cellStyle name="Comma 13 13 7" xfId="14821"/>
    <cellStyle name="Comma 13 13_Sheet1" xfId="14822"/>
    <cellStyle name="Comma 13 14" xfId="14823"/>
    <cellStyle name="Comma 13 14 2" xfId="14824"/>
    <cellStyle name="Comma 13 14 3" xfId="14825"/>
    <cellStyle name="Comma 13 14 4" xfId="14826"/>
    <cellStyle name="Comma 13 14 5" xfId="14827"/>
    <cellStyle name="Comma 13 14 6" xfId="14828"/>
    <cellStyle name="Comma 13 14 7" xfId="14829"/>
    <cellStyle name="Comma 13 14_Sheet1" xfId="14830"/>
    <cellStyle name="Comma 13 15" xfId="14831"/>
    <cellStyle name="Comma 13 15 2" xfId="14832"/>
    <cellStyle name="Comma 13 15 3" xfId="14833"/>
    <cellStyle name="Comma 13 15 4" xfId="14834"/>
    <cellStyle name="Comma 13 15 5" xfId="14835"/>
    <cellStyle name="Comma 13 15 6" xfId="14836"/>
    <cellStyle name="Comma 13 15 7" xfId="14837"/>
    <cellStyle name="Comma 13 15_Sheet1" xfId="14838"/>
    <cellStyle name="Comma 13 16" xfId="14839"/>
    <cellStyle name="Comma 13 16 2" xfId="14840"/>
    <cellStyle name="Comma 13 16 3" xfId="14841"/>
    <cellStyle name="Comma 13 16 4" xfId="14842"/>
    <cellStyle name="Comma 13 16 5" xfId="14843"/>
    <cellStyle name="Comma 13 16 6" xfId="14844"/>
    <cellStyle name="Comma 13 16 7" xfId="14845"/>
    <cellStyle name="Comma 13 16_Sheet1" xfId="14846"/>
    <cellStyle name="Comma 13 17" xfId="14847"/>
    <cellStyle name="Comma 13 17 2" xfId="14848"/>
    <cellStyle name="Comma 13 17 3" xfId="14849"/>
    <cellStyle name="Comma 13 17 4" xfId="14850"/>
    <cellStyle name="Comma 13 17 5" xfId="14851"/>
    <cellStyle name="Comma 13 17 6" xfId="14852"/>
    <cellStyle name="Comma 13 17 7" xfId="14853"/>
    <cellStyle name="Comma 13 17_Sheet1" xfId="14854"/>
    <cellStyle name="Comma 13 18" xfId="14855"/>
    <cellStyle name="Comma 13 18 2" xfId="14856"/>
    <cellStyle name="Comma 13 18 3" xfId="14857"/>
    <cellStyle name="Comma 13 18 4" xfId="14858"/>
    <cellStyle name="Comma 13 18 5" xfId="14859"/>
    <cellStyle name="Comma 13 18 6" xfId="14860"/>
    <cellStyle name="Comma 13 18 7" xfId="14861"/>
    <cellStyle name="Comma 13 18_Sheet1" xfId="14862"/>
    <cellStyle name="Comma 13 19" xfId="14863"/>
    <cellStyle name="Comma 13 19 2" xfId="14864"/>
    <cellStyle name="Comma 13 19 3" xfId="14865"/>
    <cellStyle name="Comma 13 19 4" xfId="14866"/>
    <cellStyle name="Comma 13 19 5" xfId="14867"/>
    <cellStyle name="Comma 13 19 6" xfId="14868"/>
    <cellStyle name="Comma 13 19 7" xfId="14869"/>
    <cellStyle name="Comma 13 19_Sheet1" xfId="14870"/>
    <cellStyle name="Comma 13 2" xfId="14871"/>
    <cellStyle name="Comma 13 2 10" xfId="14872"/>
    <cellStyle name="Comma 13 2 11" xfId="14873"/>
    <cellStyle name="Comma 13 2 12" xfId="14874"/>
    <cellStyle name="Comma 13 2 13" xfId="14875"/>
    <cellStyle name="Comma 13 2 2" xfId="14876"/>
    <cellStyle name="Comma 13 2 2 2" xfId="14877"/>
    <cellStyle name="Comma 13 2 2 3" xfId="14878"/>
    <cellStyle name="Comma 13 2 2 4" xfId="14879"/>
    <cellStyle name="Comma 13 2 2 5" xfId="14880"/>
    <cellStyle name="Comma 13 2 2 6" xfId="14881"/>
    <cellStyle name="Comma 13 2 2 7" xfId="14882"/>
    <cellStyle name="Comma 13 2 2_Sheet1" xfId="14883"/>
    <cellStyle name="Comma 13 2 3" xfId="14884"/>
    <cellStyle name="Comma 13 2 3 2" xfId="14885"/>
    <cellStyle name="Comma 13 2 3 3" xfId="14886"/>
    <cellStyle name="Comma 13 2 3 4" xfId="14887"/>
    <cellStyle name="Comma 13 2 3 5" xfId="14888"/>
    <cellStyle name="Comma 13 2 3 6" xfId="14889"/>
    <cellStyle name="Comma 13 2 3 7" xfId="14890"/>
    <cellStyle name="Comma 13 2 3_Sheet1" xfId="14891"/>
    <cellStyle name="Comma 13 2 4" xfId="14892"/>
    <cellStyle name="Comma 13 2 4 2" xfId="14893"/>
    <cellStyle name="Comma 13 2 4 3" xfId="14894"/>
    <cellStyle name="Comma 13 2 4 4" xfId="14895"/>
    <cellStyle name="Comma 13 2 4 5" xfId="14896"/>
    <cellStyle name="Comma 13 2 4 6" xfId="14897"/>
    <cellStyle name="Comma 13 2 4 7" xfId="14898"/>
    <cellStyle name="Comma 13 2 4_Sheet1" xfId="14899"/>
    <cellStyle name="Comma 13 2 5" xfId="14900"/>
    <cellStyle name="Comma 13 2 5 2" xfId="14901"/>
    <cellStyle name="Comma 13 2 5 3" xfId="14902"/>
    <cellStyle name="Comma 13 2 5 4" xfId="14903"/>
    <cellStyle name="Comma 13 2 5 5" xfId="14904"/>
    <cellStyle name="Comma 13 2 5 6" xfId="14905"/>
    <cellStyle name="Comma 13 2 5 7" xfId="14906"/>
    <cellStyle name="Comma 13 2 5_Sheet1" xfId="14907"/>
    <cellStyle name="Comma 13 2 6" xfId="14908"/>
    <cellStyle name="Comma 13 2 6 2" xfId="14909"/>
    <cellStyle name="Comma 13 2 6 3" xfId="14910"/>
    <cellStyle name="Comma 13 2 6 4" xfId="14911"/>
    <cellStyle name="Comma 13 2 6 5" xfId="14912"/>
    <cellStyle name="Comma 13 2 6 6" xfId="14913"/>
    <cellStyle name="Comma 13 2 6 7" xfId="14914"/>
    <cellStyle name="Comma 13 2 6_Sheet1" xfId="14915"/>
    <cellStyle name="Comma 13 2 7" xfId="14916"/>
    <cellStyle name="Comma 13 2 7 2" xfId="14917"/>
    <cellStyle name="Comma 13 2 7 3" xfId="14918"/>
    <cellStyle name="Comma 13 2 7 4" xfId="14919"/>
    <cellStyle name="Comma 13 2 7 5" xfId="14920"/>
    <cellStyle name="Comma 13 2 7 6" xfId="14921"/>
    <cellStyle name="Comma 13 2 7 7" xfId="14922"/>
    <cellStyle name="Comma 13 2 7_Sheet1" xfId="14923"/>
    <cellStyle name="Comma 13 2 8" xfId="14924"/>
    <cellStyle name="Comma 13 2 9" xfId="14925"/>
    <cellStyle name="Comma 13 2_Sheet1" xfId="14926"/>
    <cellStyle name="Comma 13 20" xfId="14927"/>
    <cellStyle name="Comma 13 20 2" xfId="14928"/>
    <cellStyle name="Comma 13 20 3" xfId="14929"/>
    <cellStyle name="Comma 13 20 4" xfId="14930"/>
    <cellStyle name="Comma 13 20 5" xfId="14931"/>
    <cellStyle name="Comma 13 20 6" xfId="14932"/>
    <cellStyle name="Comma 13 20 7" xfId="14933"/>
    <cellStyle name="Comma 13 20_Sheet1" xfId="14934"/>
    <cellStyle name="Comma 13 21" xfId="14935"/>
    <cellStyle name="Comma 13 21 2" xfId="14936"/>
    <cellStyle name="Comma 13 21 3" xfId="14937"/>
    <cellStyle name="Comma 13 21 4" xfId="14938"/>
    <cellStyle name="Comma 13 21 5" xfId="14939"/>
    <cellStyle name="Comma 13 21 6" xfId="14940"/>
    <cellStyle name="Comma 13 21 7" xfId="14941"/>
    <cellStyle name="Comma 13 21_Sheet1" xfId="14942"/>
    <cellStyle name="Comma 13 22" xfId="14943"/>
    <cellStyle name="Comma 13 22 2" xfId="14944"/>
    <cellStyle name="Comma 13 22 3" xfId="14945"/>
    <cellStyle name="Comma 13 22 4" xfId="14946"/>
    <cellStyle name="Comma 13 22 5" xfId="14947"/>
    <cellStyle name="Comma 13 22 6" xfId="14948"/>
    <cellStyle name="Comma 13 22 7" xfId="14949"/>
    <cellStyle name="Comma 13 22_Sheet1" xfId="14950"/>
    <cellStyle name="Comma 13 23" xfId="14951"/>
    <cellStyle name="Comma 13 23 2" xfId="14952"/>
    <cellStyle name="Comma 13 23 3" xfId="14953"/>
    <cellStyle name="Comma 13 23 4" xfId="14954"/>
    <cellStyle name="Comma 13 23 5" xfId="14955"/>
    <cellStyle name="Comma 13 23 6" xfId="14956"/>
    <cellStyle name="Comma 13 23 7" xfId="14957"/>
    <cellStyle name="Comma 13 23_Sheet1" xfId="14958"/>
    <cellStyle name="Comma 13 24" xfId="14959"/>
    <cellStyle name="Comma 13 24 2" xfId="14960"/>
    <cellStyle name="Comma 13 24 3" xfId="14961"/>
    <cellStyle name="Comma 13 24 4" xfId="14962"/>
    <cellStyle name="Comma 13 24 5" xfId="14963"/>
    <cellStyle name="Comma 13 24 6" xfId="14964"/>
    <cellStyle name="Comma 13 24 7" xfId="14965"/>
    <cellStyle name="Comma 13 24_Sheet1" xfId="14966"/>
    <cellStyle name="Comma 13 3" xfId="14967"/>
    <cellStyle name="Comma 13 3 2" xfId="14968"/>
    <cellStyle name="Comma 13 3 3" xfId="14969"/>
    <cellStyle name="Comma 13 3 4" xfId="14970"/>
    <cellStyle name="Comma 13 3 5" xfId="14971"/>
    <cellStyle name="Comma 13 3 6" xfId="14972"/>
    <cellStyle name="Comma 13 3 7" xfId="14973"/>
    <cellStyle name="Comma 13 3_Sheet1" xfId="14974"/>
    <cellStyle name="Comma 13 4" xfId="14975"/>
    <cellStyle name="Comma 13 4 2" xfId="14976"/>
    <cellStyle name="Comma 13 4 3" xfId="14977"/>
    <cellStyle name="Comma 13 4 4" xfId="14978"/>
    <cellStyle name="Comma 13 4 5" xfId="14979"/>
    <cellStyle name="Comma 13 4 6" xfId="14980"/>
    <cellStyle name="Comma 13 4 7" xfId="14981"/>
    <cellStyle name="Comma 13 4_Sheet1" xfId="14982"/>
    <cellStyle name="Comma 13 5" xfId="14983"/>
    <cellStyle name="Comma 13 5 2" xfId="14984"/>
    <cellStyle name="Comma 13 5 3" xfId="14985"/>
    <cellStyle name="Comma 13 5 4" xfId="14986"/>
    <cellStyle name="Comma 13 5 5" xfId="14987"/>
    <cellStyle name="Comma 13 5 6" xfId="14988"/>
    <cellStyle name="Comma 13 5 7" xfId="14989"/>
    <cellStyle name="Comma 13 5_Sheet1" xfId="14990"/>
    <cellStyle name="Comma 13 6" xfId="14991"/>
    <cellStyle name="Comma 13 6 2" xfId="14992"/>
    <cellStyle name="Comma 13 6 3" xfId="14993"/>
    <cellStyle name="Comma 13 6 4" xfId="14994"/>
    <cellStyle name="Comma 13 6 5" xfId="14995"/>
    <cellStyle name="Comma 13 6 6" xfId="14996"/>
    <cellStyle name="Comma 13 6 7" xfId="14997"/>
    <cellStyle name="Comma 13 6_Sheet1" xfId="14998"/>
    <cellStyle name="Comma 13 7" xfId="14999"/>
    <cellStyle name="Comma 13 7 2" xfId="15000"/>
    <cellStyle name="Comma 13 7 3" xfId="15001"/>
    <cellStyle name="Comma 13 7 4" xfId="15002"/>
    <cellStyle name="Comma 13 7 5" xfId="15003"/>
    <cellStyle name="Comma 13 7 6" xfId="15004"/>
    <cellStyle name="Comma 13 7 7" xfId="15005"/>
    <cellStyle name="Comma 13 7_Sheet1" xfId="15006"/>
    <cellStyle name="Comma 13 8" xfId="15007"/>
    <cellStyle name="Comma 13 8 2" xfId="15008"/>
    <cellStyle name="Comma 13 8 3" xfId="15009"/>
    <cellStyle name="Comma 13 8 4" xfId="15010"/>
    <cellStyle name="Comma 13 8 5" xfId="15011"/>
    <cellStyle name="Comma 13 8 6" xfId="15012"/>
    <cellStyle name="Comma 13 8 7" xfId="15013"/>
    <cellStyle name="Comma 13 8_Sheet1" xfId="15014"/>
    <cellStyle name="Comma 13 9" xfId="15015"/>
    <cellStyle name="Comma 13 9 2" xfId="15016"/>
    <cellStyle name="Comma 13 9 3" xfId="15017"/>
    <cellStyle name="Comma 13 9 4" xfId="15018"/>
    <cellStyle name="Comma 13 9 5" xfId="15019"/>
    <cellStyle name="Comma 13 9 6" xfId="15020"/>
    <cellStyle name="Comma 13 9 7" xfId="15021"/>
    <cellStyle name="Comma 13 9_Sheet1" xfId="15022"/>
    <cellStyle name="Comma 13_Sheet1" xfId="15023"/>
    <cellStyle name="Comma 130" xfId="15024"/>
    <cellStyle name="Comma 131" xfId="15025"/>
    <cellStyle name="Comma 132" xfId="15026"/>
    <cellStyle name="Comma 133" xfId="15027"/>
    <cellStyle name="Comma 134" xfId="15028"/>
    <cellStyle name="Comma 135" xfId="15029"/>
    <cellStyle name="Comma 136" xfId="15030"/>
    <cellStyle name="Comma 137" xfId="15031"/>
    <cellStyle name="Comma 138" xfId="15032"/>
    <cellStyle name="Comma 139" xfId="15033"/>
    <cellStyle name="Comma 14" xfId="15034"/>
    <cellStyle name="Comma 14 10" xfId="15035"/>
    <cellStyle name="Comma 14 10 2" xfId="15036"/>
    <cellStyle name="Comma 14 10 3" xfId="15037"/>
    <cellStyle name="Comma 14 10 4" xfId="15038"/>
    <cellStyle name="Comma 14 10 5" xfId="15039"/>
    <cellStyle name="Comma 14 10 6" xfId="15040"/>
    <cellStyle name="Comma 14 10 7" xfId="15041"/>
    <cellStyle name="Comma 14 10_Sheet1" xfId="15042"/>
    <cellStyle name="Comma 14 11" xfId="15043"/>
    <cellStyle name="Comma 14 11 2" xfId="15044"/>
    <cellStyle name="Comma 14 11 3" xfId="15045"/>
    <cellStyle name="Comma 14 11 4" xfId="15046"/>
    <cellStyle name="Comma 14 11 5" xfId="15047"/>
    <cellStyle name="Comma 14 11 6" xfId="15048"/>
    <cellStyle name="Comma 14 11 7" xfId="15049"/>
    <cellStyle name="Comma 14 11_Sheet1" xfId="15050"/>
    <cellStyle name="Comma 14 12" xfId="15051"/>
    <cellStyle name="Comma 14 12 2" xfId="15052"/>
    <cellStyle name="Comma 14 12 3" xfId="15053"/>
    <cellStyle name="Comma 14 12 4" xfId="15054"/>
    <cellStyle name="Comma 14 12 5" xfId="15055"/>
    <cellStyle name="Comma 14 12 6" xfId="15056"/>
    <cellStyle name="Comma 14 12 7" xfId="15057"/>
    <cellStyle name="Comma 14 12_Sheet1" xfId="15058"/>
    <cellStyle name="Comma 14 13" xfId="15059"/>
    <cellStyle name="Comma 14 13 2" xfId="15060"/>
    <cellStyle name="Comma 14 13 3" xfId="15061"/>
    <cellStyle name="Comma 14 13 4" xfId="15062"/>
    <cellStyle name="Comma 14 13 5" xfId="15063"/>
    <cellStyle name="Comma 14 13 6" xfId="15064"/>
    <cellStyle name="Comma 14 13 7" xfId="15065"/>
    <cellStyle name="Comma 14 13_Sheet1" xfId="15066"/>
    <cellStyle name="Comma 14 14" xfId="15067"/>
    <cellStyle name="Comma 14 14 2" xfId="15068"/>
    <cellStyle name="Comma 14 14 3" xfId="15069"/>
    <cellStyle name="Comma 14 14 4" xfId="15070"/>
    <cellStyle name="Comma 14 14 5" xfId="15071"/>
    <cellStyle name="Comma 14 14 6" xfId="15072"/>
    <cellStyle name="Comma 14 14 7" xfId="15073"/>
    <cellStyle name="Comma 14 14_Sheet1" xfId="15074"/>
    <cellStyle name="Comma 14 15" xfId="15075"/>
    <cellStyle name="Comma 14 15 2" xfId="15076"/>
    <cellStyle name="Comma 14 15 3" xfId="15077"/>
    <cellStyle name="Comma 14 15 4" xfId="15078"/>
    <cellStyle name="Comma 14 15 5" xfId="15079"/>
    <cellStyle name="Comma 14 15 6" xfId="15080"/>
    <cellStyle name="Comma 14 15 7" xfId="15081"/>
    <cellStyle name="Comma 14 15_Sheet1" xfId="15082"/>
    <cellStyle name="Comma 14 16" xfId="15083"/>
    <cellStyle name="Comma 14 16 2" xfId="15084"/>
    <cellStyle name="Comma 14 16 3" xfId="15085"/>
    <cellStyle name="Comma 14 16 4" xfId="15086"/>
    <cellStyle name="Comma 14 16 5" xfId="15087"/>
    <cellStyle name="Comma 14 16 6" xfId="15088"/>
    <cellStyle name="Comma 14 16 7" xfId="15089"/>
    <cellStyle name="Comma 14 16_Sheet1" xfId="15090"/>
    <cellStyle name="Comma 14 17" xfId="15091"/>
    <cellStyle name="Comma 14 17 2" xfId="15092"/>
    <cellStyle name="Comma 14 17 3" xfId="15093"/>
    <cellStyle name="Comma 14 17 4" xfId="15094"/>
    <cellStyle name="Comma 14 17 5" xfId="15095"/>
    <cellStyle name="Comma 14 17 6" xfId="15096"/>
    <cellStyle name="Comma 14 17 7" xfId="15097"/>
    <cellStyle name="Comma 14 17_Sheet1" xfId="15098"/>
    <cellStyle name="Comma 14 18" xfId="15099"/>
    <cellStyle name="Comma 14 18 2" xfId="15100"/>
    <cellStyle name="Comma 14 18 3" xfId="15101"/>
    <cellStyle name="Comma 14 18 4" xfId="15102"/>
    <cellStyle name="Comma 14 18 5" xfId="15103"/>
    <cellStyle name="Comma 14 18 6" xfId="15104"/>
    <cellStyle name="Comma 14 18 7" xfId="15105"/>
    <cellStyle name="Comma 14 18_Sheet1" xfId="15106"/>
    <cellStyle name="Comma 14 19" xfId="15107"/>
    <cellStyle name="Comma 14 19 2" xfId="15108"/>
    <cellStyle name="Comma 14 19 3" xfId="15109"/>
    <cellStyle name="Comma 14 19 4" xfId="15110"/>
    <cellStyle name="Comma 14 19 5" xfId="15111"/>
    <cellStyle name="Comma 14 19 6" xfId="15112"/>
    <cellStyle name="Comma 14 19 7" xfId="15113"/>
    <cellStyle name="Comma 14 19_Sheet1" xfId="15114"/>
    <cellStyle name="Comma 14 2" xfId="15115"/>
    <cellStyle name="Comma 14 2 10" xfId="15116"/>
    <cellStyle name="Comma 14 2 11" xfId="15117"/>
    <cellStyle name="Comma 14 2 12" xfId="15118"/>
    <cellStyle name="Comma 14 2 13" xfId="15119"/>
    <cellStyle name="Comma 14 2 2" xfId="15120"/>
    <cellStyle name="Comma 14 2 2 2" xfId="15121"/>
    <cellStyle name="Comma 14 2 2 3" xfId="15122"/>
    <cellStyle name="Comma 14 2 2 4" xfId="15123"/>
    <cellStyle name="Comma 14 2 2 5" xfId="15124"/>
    <cellStyle name="Comma 14 2 2 6" xfId="15125"/>
    <cellStyle name="Comma 14 2 2 7" xfId="15126"/>
    <cellStyle name="Comma 14 2 2_Sheet1" xfId="15127"/>
    <cellStyle name="Comma 14 2 3" xfId="15128"/>
    <cellStyle name="Comma 14 2 3 2" xfId="15129"/>
    <cellStyle name="Comma 14 2 3 3" xfId="15130"/>
    <cellStyle name="Comma 14 2 3 4" xfId="15131"/>
    <cellStyle name="Comma 14 2 3 5" xfId="15132"/>
    <cellStyle name="Comma 14 2 3 6" xfId="15133"/>
    <cellStyle name="Comma 14 2 3 7" xfId="15134"/>
    <cellStyle name="Comma 14 2 3_Sheet1" xfId="15135"/>
    <cellStyle name="Comma 14 2 4" xfId="15136"/>
    <cellStyle name="Comma 14 2 4 2" xfId="15137"/>
    <cellStyle name="Comma 14 2 4 3" xfId="15138"/>
    <cellStyle name="Comma 14 2 4 4" xfId="15139"/>
    <cellStyle name="Comma 14 2 4 5" xfId="15140"/>
    <cellStyle name="Comma 14 2 4 6" xfId="15141"/>
    <cellStyle name="Comma 14 2 4 7" xfId="15142"/>
    <cellStyle name="Comma 14 2 4_Sheet1" xfId="15143"/>
    <cellStyle name="Comma 14 2 5" xfId="15144"/>
    <cellStyle name="Comma 14 2 5 2" xfId="15145"/>
    <cellStyle name="Comma 14 2 5 3" xfId="15146"/>
    <cellStyle name="Comma 14 2 5 4" xfId="15147"/>
    <cellStyle name="Comma 14 2 5 5" xfId="15148"/>
    <cellStyle name="Comma 14 2 5 6" xfId="15149"/>
    <cellStyle name="Comma 14 2 5 7" xfId="15150"/>
    <cellStyle name="Comma 14 2 5_Sheet1" xfId="15151"/>
    <cellStyle name="Comma 14 2 6" xfId="15152"/>
    <cellStyle name="Comma 14 2 6 2" xfId="15153"/>
    <cellStyle name="Comma 14 2 6 3" xfId="15154"/>
    <cellStyle name="Comma 14 2 6 4" xfId="15155"/>
    <cellStyle name="Comma 14 2 6 5" xfId="15156"/>
    <cellStyle name="Comma 14 2 6 6" xfId="15157"/>
    <cellStyle name="Comma 14 2 6 7" xfId="15158"/>
    <cellStyle name="Comma 14 2 6_Sheet1" xfId="15159"/>
    <cellStyle name="Comma 14 2 7" xfId="15160"/>
    <cellStyle name="Comma 14 2 7 2" xfId="15161"/>
    <cellStyle name="Comma 14 2 7 3" xfId="15162"/>
    <cellStyle name="Comma 14 2 7 4" xfId="15163"/>
    <cellStyle name="Comma 14 2 7 5" xfId="15164"/>
    <cellStyle name="Comma 14 2 7 6" xfId="15165"/>
    <cellStyle name="Comma 14 2 7 7" xfId="15166"/>
    <cellStyle name="Comma 14 2 7_Sheet1" xfId="15167"/>
    <cellStyle name="Comma 14 2 8" xfId="15168"/>
    <cellStyle name="Comma 14 2 9" xfId="15169"/>
    <cellStyle name="Comma 14 2_Sheet1" xfId="15170"/>
    <cellStyle name="Comma 14 20" xfId="15171"/>
    <cellStyle name="Comma 14 20 2" xfId="15172"/>
    <cellStyle name="Comma 14 20 3" xfId="15173"/>
    <cellStyle name="Comma 14 20 4" xfId="15174"/>
    <cellStyle name="Comma 14 20 5" xfId="15175"/>
    <cellStyle name="Comma 14 20 6" xfId="15176"/>
    <cellStyle name="Comma 14 20 7" xfId="15177"/>
    <cellStyle name="Comma 14 20_Sheet1" xfId="15178"/>
    <cellStyle name="Comma 14 21" xfId="15179"/>
    <cellStyle name="Comma 14 21 2" xfId="15180"/>
    <cellStyle name="Comma 14 21 3" xfId="15181"/>
    <cellStyle name="Comma 14 21 4" xfId="15182"/>
    <cellStyle name="Comma 14 21 5" xfId="15183"/>
    <cellStyle name="Comma 14 21 6" xfId="15184"/>
    <cellStyle name="Comma 14 21 7" xfId="15185"/>
    <cellStyle name="Comma 14 21_Sheet1" xfId="15186"/>
    <cellStyle name="Comma 14 22" xfId="15187"/>
    <cellStyle name="Comma 14 22 2" xfId="15188"/>
    <cellStyle name="Comma 14 22 3" xfId="15189"/>
    <cellStyle name="Comma 14 22 4" xfId="15190"/>
    <cellStyle name="Comma 14 22 5" xfId="15191"/>
    <cellStyle name="Comma 14 22 6" xfId="15192"/>
    <cellStyle name="Comma 14 22 7" xfId="15193"/>
    <cellStyle name="Comma 14 22_Sheet1" xfId="15194"/>
    <cellStyle name="Comma 14 23" xfId="15195"/>
    <cellStyle name="Comma 14 23 2" xfId="15196"/>
    <cellStyle name="Comma 14 23 3" xfId="15197"/>
    <cellStyle name="Comma 14 23 4" xfId="15198"/>
    <cellStyle name="Comma 14 23 5" xfId="15199"/>
    <cellStyle name="Comma 14 23 6" xfId="15200"/>
    <cellStyle name="Comma 14 23 7" xfId="15201"/>
    <cellStyle name="Comma 14 23_Sheet1" xfId="15202"/>
    <cellStyle name="Comma 14 24" xfId="15203"/>
    <cellStyle name="Comma 14 24 2" xfId="15204"/>
    <cellStyle name="Comma 14 24 3" xfId="15205"/>
    <cellStyle name="Comma 14 24 4" xfId="15206"/>
    <cellStyle name="Comma 14 24 5" xfId="15207"/>
    <cellStyle name="Comma 14 24 6" xfId="15208"/>
    <cellStyle name="Comma 14 24 7" xfId="15209"/>
    <cellStyle name="Comma 14 24_Sheet1" xfId="15210"/>
    <cellStyle name="Comma 14 3" xfId="15211"/>
    <cellStyle name="Comma 14 3 2" xfId="15212"/>
    <cellStyle name="Comma 14 3 3" xfId="15213"/>
    <cellStyle name="Comma 14 3 4" xfId="15214"/>
    <cellStyle name="Comma 14 3 5" xfId="15215"/>
    <cellStyle name="Comma 14 3 6" xfId="15216"/>
    <cellStyle name="Comma 14 3 7" xfId="15217"/>
    <cellStyle name="Comma 14 3_Sheet1" xfId="15218"/>
    <cellStyle name="Comma 14 4" xfId="15219"/>
    <cellStyle name="Comma 14 4 2" xfId="15220"/>
    <cellStyle name="Comma 14 4 3" xfId="15221"/>
    <cellStyle name="Comma 14 4 4" xfId="15222"/>
    <cellStyle name="Comma 14 4 5" xfId="15223"/>
    <cellStyle name="Comma 14 4 6" xfId="15224"/>
    <cellStyle name="Comma 14 4 7" xfId="15225"/>
    <cellStyle name="Comma 14 4_Sheet1" xfId="15226"/>
    <cellStyle name="Comma 14 5" xfId="15227"/>
    <cellStyle name="Comma 14 5 2" xfId="15228"/>
    <cellStyle name="Comma 14 5 3" xfId="15229"/>
    <cellStyle name="Comma 14 5 4" xfId="15230"/>
    <cellStyle name="Comma 14 5 5" xfId="15231"/>
    <cellStyle name="Comma 14 5 6" xfId="15232"/>
    <cellStyle name="Comma 14 5 7" xfId="15233"/>
    <cellStyle name="Comma 14 5_Sheet1" xfId="15234"/>
    <cellStyle name="Comma 14 6" xfId="15235"/>
    <cellStyle name="Comma 14 6 2" xfId="15236"/>
    <cellStyle name="Comma 14 6 3" xfId="15237"/>
    <cellStyle name="Comma 14 6 4" xfId="15238"/>
    <cellStyle name="Comma 14 6 5" xfId="15239"/>
    <cellStyle name="Comma 14 6 6" xfId="15240"/>
    <cellStyle name="Comma 14 6 7" xfId="15241"/>
    <cellStyle name="Comma 14 6_Sheet1" xfId="15242"/>
    <cellStyle name="Comma 14 7" xfId="15243"/>
    <cellStyle name="Comma 14 7 2" xfId="15244"/>
    <cellStyle name="Comma 14 7 3" xfId="15245"/>
    <cellStyle name="Comma 14 7 4" xfId="15246"/>
    <cellStyle name="Comma 14 7 5" xfId="15247"/>
    <cellStyle name="Comma 14 7 6" xfId="15248"/>
    <cellStyle name="Comma 14 7 7" xfId="15249"/>
    <cellStyle name="Comma 14 7_Sheet1" xfId="15250"/>
    <cellStyle name="Comma 14 8" xfId="15251"/>
    <cellStyle name="Comma 14 8 2" xfId="15252"/>
    <cellStyle name="Comma 14 8 3" xfId="15253"/>
    <cellStyle name="Comma 14 8 4" xfId="15254"/>
    <cellStyle name="Comma 14 8 5" xfId="15255"/>
    <cellStyle name="Comma 14 8 6" xfId="15256"/>
    <cellStyle name="Comma 14 8 7" xfId="15257"/>
    <cellStyle name="Comma 14 8_Sheet1" xfId="15258"/>
    <cellStyle name="Comma 14 9" xfId="15259"/>
    <cellStyle name="Comma 14 9 2" xfId="15260"/>
    <cellStyle name="Comma 14 9 3" xfId="15261"/>
    <cellStyle name="Comma 14 9 4" xfId="15262"/>
    <cellStyle name="Comma 14 9 5" xfId="15263"/>
    <cellStyle name="Comma 14 9 6" xfId="15264"/>
    <cellStyle name="Comma 14 9 7" xfId="15265"/>
    <cellStyle name="Comma 14 9_Sheet1" xfId="15266"/>
    <cellStyle name="Comma 14_Sheet1" xfId="15267"/>
    <cellStyle name="Comma 140" xfId="15268"/>
    <cellStyle name="Comma 141" xfId="15269"/>
    <cellStyle name="Comma 142" xfId="15270"/>
    <cellStyle name="Comma 143" xfId="15271"/>
    <cellStyle name="Comma 144" xfId="15272"/>
    <cellStyle name="Comma 145" xfId="15273"/>
    <cellStyle name="Comma 146" xfId="15274"/>
    <cellStyle name="Comma 147" xfId="15275"/>
    <cellStyle name="Comma 148" xfId="15276"/>
    <cellStyle name="Comma 149" xfId="15277"/>
    <cellStyle name="Comma 15" xfId="15278"/>
    <cellStyle name="Comma 15 10" xfId="15279"/>
    <cellStyle name="Comma 15 10 2" xfId="15280"/>
    <cellStyle name="Comma 15 10 3" xfId="15281"/>
    <cellStyle name="Comma 15 10 4" xfId="15282"/>
    <cellStyle name="Comma 15 10 5" xfId="15283"/>
    <cellStyle name="Comma 15 10 6" xfId="15284"/>
    <cellStyle name="Comma 15 10 7" xfId="15285"/>
    <cellStyle name="Comma 15 10_Sheet1" xfId="15286"/>
    <cellStyle name="Comma 15 11" xfId="15287"/>
    <cellStyle name="Comma 15 11 2" xfId="15288"/>
    <cellStyle name="Comma 15 11 3" xfId="15289"/>
    <cellStyle name="Comma 15 11 4" xfId="15290"/>
    <cellStyle name="Comma 15 11 5" xfId="15291"/>
    <cellStyle name="Comma 15 11 6" xfId="15292"/>
    <cellStyle name="Comma 15 11 7" xfId="15293"/>
    <cellStyle name="Comma 15 11_Sheet1" xfId="15294"/>
    <cellStyle name="Comma 15 12" xfId="15295"/>
    <cellStyle name="Comma 15 12 2" xfId="15296"/>
    <cellStyle name="Comma 15 12 3" xfId="15297"/>
    <cellStyle name="Comma 15 12 4" xfId="15298"/>
    <cellStyle name="Comma 15 12 5" xfId="15299"/>
    <cellStyle name="Comma 15 12 6" xfId="15300"/>
    <cellStyle name="Comma 15 12 7" xfId="15301"/>
    <cellStyle name="Comma 15 12_Sheet1" xfId="15302"/>
    <cellStyle name="Comma 15 13" xfId="15303"/>
    <cellStyle name="Comma 15 13 2" xfId="15304"/>
    <cellStyle name="Comma 15 13 3" xfId="15305"/>
    <cellStyle name="Comma 15 13 4" xfId="15306"/>
    <cellStyle name="Comma 15 13 5" xfId="15307"/>
    <cellStyle name="Comma 15 13 6" xfId="15308"/>
    <cellStyle name="Comma 15 13 7" xfId="15309"/>
    <cellStyle name="Comma 15 13_Sheet1" xfId="15310"/>
    <cellStyle name="Comma 15 14" xfId="15311"/>
    <cellStyle name="Comma 15 14 2" xfId="15312"/>
    <cellStyle name="Comma 15 14 3" xfId="15313"/>
    <cellStyle name="Comma 15 14 4" xfId="15314"/>
    <cellStyle name="Comma 15 14 5" xfId="15315"/>
    <cellStyle name="Comma 15 14 6" xfId="15316"/>
    <cellStyle name="Comma 15 14 7" xfId="15317"/>
    <cellStyle name="Comma 15 14_Sheet1" xfId="15318"/>
    <cellStyle name="Comma 15 15" xfId="15319"/>
    <cellStyle name="Comma 15 15 2" xfId="15320"/>
    <cellStyle name="Comma 15 15 3" xfId="15321"/>
    <cellStyle name="Comma 15 15 4" xfId="15322"/>
    <cellStyle name="Comma 15 15 5" xfId="15323"/>
    <cellStyle name="Comma 15 15 6" xfId="15324"/>
    <cellStyle name="Comma 15 15 7" xfId="15325"/>
    <cellStyle name="Comma 15 15_Sheet1" xfId="15326"/>
    <cellStyle name="Comma 15 16" xfId="15327"/>
    <cellStyle name="Comma 15 16 2" xfId="15328"/>
    <cellStyle name="Comma 15 16 3" xfId="15329"/>
    <cellStyle name="Comma 15 16 4" xfId="15330"/>
    <cellStyle name="Comma 15 16 5" xfId="15331"/>
    <cellStyle name="Comma 15 16 6" xfId="15332"/>
    <cellStyle name="Comma 15 16 7" xfId="15333"/>
    <cellStyle name="Comma 15 16_Sheet1" xfId="15334"/>
    <cellStyle name="Comma 15 17" xfId="15335"/>
    <cellStyle name="Comma 15 17 2" xfId="15336"/>
    <cellStyle name="Comma 15 17 3" xfId="15337"/>
    <cellStyle name="Comma 15 17 4" xfId="15338"/>
    <cellStyle name="Comma 15 17 5" xfId="15339"/>
    <cellStyle name="Comma 15 17 6" xfId="15340"/>
    <cellStyle name="Comma 15 17 7" xfId="15341"/>
    <cellStyle name="Comma 15 17_Sheet1" xfId="15342"/>
    <cellStyle name="Comma 15 18" xfId="15343"/>
    <cellStyle name="Comma 15 18 2" xfId="15344"/>
    <cellStyle name="Comma 15 18 3" xfId="15345"/>
    <cellStyle name="Comma 15 18 4" xfId="15346"/>
    <cellStyle name="Comma 15 18 5" xfId="15347"/>
    <cellStyle name="Comma 15 18 6" xfId="15348"/>
    <cellStyle name="Comma 15 18 7" xfId="15349"/>
    <cellStyle name="Comma 15 18_Sheet1" xfId="15350"/>
    <cellStyle name="Comma 15 19" xfId="15351"/>
    <cellStyle name="Comma 15 19 2" xfId="15352"/>
    <cellStyle name="Comma 15 19 3" xfId="15353"/>
    <cellStyle name="Comma 15 19 4" xfId="15354"/>
    <cellStyle name="Comma 15 19 5" xfId="15355"/>
    <cellStyle name="Comma 15 19 6" xfId="15356"/>
    <cellStyle name="Comma 15 19 7" xfId="15357"/>
    <cellStyle name="Comma 15 19_Sheet1" xfId="15358"/>
    <cellStyle name="Comma 15 2" xfId="15359"/>
    <cellStyle name="Comma 15 2 10" xfId="15360"/>
    <cellStyle name="Comma 15 2 11" xfId="15361"/>
    <cellStyle name="Comma 15 2 12" xfId="15362"/>
    <cellStyle name="Comma 15 2 13" xfId="15363"/>
    <cellStyle name="Comma 15 2 2" xfId="15364"/>
    <cellStyle name="Comma 15 2 2 2" xfId="15365"/>
    <cellStyle name="Comma 15 2 2 3" xfId="15366"/>
    <cellStyle name="Comma 15 2 2 4" xfId="15367"/>
    <cellStyle name="Comma 15 2 2 5" xfId="15368"/>
    <cellStyle name="Comma 15 2 2 6" xfId="15369"/>
    <cellStyle name="Comma 15 2 2 7" xfId="15370"/>
    <cellStyle name="Comma 15 2 2_Sheet1" xfId="15371"/>
    <cellStyle name="Comma 15 2 3" xfId="15372"/>
    <cellStyle name="Comma 15 2 3 2" xfId="15373"/>
    <cellStyle name="Comma 15 2 3 3" xfId="15374"/>
    <cellStyle name="Comma 15 2 3 4" xfId="15375"/>
    <cellStyle name="Comma 15 2 3 5" xfId="15376"/>
    <cellStyle name="Comma 15 2 3 6" xfId="15377"/>
    <cellStyle name="Comma 15 2 3 7" xfId="15378"/>
    <cellStyle name="Comma 15 2 3_Sheet1" xfId="15379"/>
    <cellStyle name="Comma 15 2 4" xfId="15380"/>
    <cellStyle name="Comma 15 2 4 2" xfId="15381"/>
    <cellStyle name="Comma 15 2 4 3" xfId="15382"/>
    <cellStyle name="Comma 15 2 4 4" xfId="15383"/>
    <cellStyle name="Comma 15 2 4 5" xfId="15384"/>
    <cellStyle name="Comma 15 2 4 6" xfId="15385"/>
    <cellStyle name="Comma 15 2 4 7" xfId="15386"/>
    <cellStyle name="Comma 15 2 4_Sheet1" xfId="15387"/>
    <cellStyle name="Comma 15 2 5" xfId="15388"/>
    <cellStyle name="Comma 15 2 5 2" xfId="15389"/>
    <cellStyle name="Comma 15 2 5 3" xfId="15390"/>
    <cellStyle name="Comma 15 2 5 4" xfId="15391"/>
    <cellStyle name="Comma 15 2 5 5" xfId="15392"/>
    <cellStyle name="Comma 15 2 5 6" xfId="15393"/>
    <cellStyle name="Comma 15 2 5 7" xfId="15394"/>
    <cellStyle name="Comma 15 2 5_Sheet1" xfId="15395"/>
    <cellStyle name="Comma 15 2 6" xfId="15396"/>
    <cellStyle name="Comma 15 2 6 2" xfId="15397"/>
    <cellStyle name="Comma 15 2 6 3" xfId="15398"/>
    <cellStyle name="Comma 15 2 6 4" xfId="15399"/>
    <cellStyle name="Comma 15 2 6 5" xfId="15400"/>
    <cellStyle name="Comma 15 2 6 6" xfId="15401"/>
    <cellStyle name="Comma 15 2 6 7" xfId="15402"/>
    <cellStyle name="Comma 15 2 6_Sheet1" xfId="15403"/>
    <cellStyle name="Comma 15 2 7" xfId="15404"/>
    <cellStyle name="Comma 15 2 7 2" xfId="15405"/>
    <cellStyle name="Comma 15 2 7 3" xfId="15406"/>
    <cellStyle name="Comma 15 2 7 4" xfId="15407"/>
    <cellStyle name="Comma 15 2 7 5" xfId="15408"/>
    <cellStyle name="Comma 15 2 7 6" xfId="15409"/>
    <cellStyle name="Comma 15 2 7 7" xfId="15410"/>
    <cellStyle name="Comma 15 2 7_Sheet1" xfId="15411"/>
    <cellStyle name="Comma 15 2 8" xfId="15412"/>
    <cellStyle name="Comma 15 2 9" xfId="15413"/>
    <cellStyle name="Comma 15 2_Sheet1" xfId="15414"/>
    <cellStyle name="Comma 15 20" xfId="15415"/>
    <cellStyle name="Comma 15 20 2" xfId="15416"/>
    <cellStyle name="Comma 15 20 3" xfId="15417"/>
    <cellStyle name="Comma 15 20 4" xfId="15418"/>
    <cellStyle name="Comma 15 20 5" xfId="15419"/>
    <cellStyle name="Comma 15 20 6" xfId="15420"/>
    <cellStyle name="Comma 15 20 7" xfId="15421"/>
    <cellStyle name="Comma 15 20_Sheet1" xfId="15422"/>
    <cellStyle name="Comma 15 21" xfId="15423"/>
    <cellStyle name="Comma 15 21 2" xfId="15424"/>
    <cellStyle name="Comma 15 21 3" xfId="15425"/>
    <cellStyle name="Comma 15 21 4" xfId="15426"/>
    <cellStyle name="Comma 15 21 5" xfId="15427"/>
    <cellStyle name="Comma 15 21 6" xfId="15428"/>
    <cellStyle name="Comma 15 21 7" xfId="15429"/>
    <cellStyle name="Comma 15 21_Sheet1" xfId="15430"/>
    <cellStyle name="Comma 15 22" xfId="15431"/>
    <cellStyle name="Comma 15 22 2" xfId="15432"/>
    <cellStyle name="Comma 15 22 3" xfId="15433"/>
    <cellStyle name="Comma 15 22 4" xfId="15434"/>
    <cellStyle name="Comma 15 22 5" xfId="15435"/>
    <cellStyle name="Comma 15 22 6" xfId="15436"/>
    <cellStyle name="Comma 15 22 7" xfId="15437"/>
    <cellStyle name="Comma 15 22_Sheet1" xfId="15438"/>
    <cellStyle name="Comma 15 23" xfId="15439"/>
    <cellStyle name="Comma 15 23 2" xfId="15440"/>
    <cellStyle name="Comma 15 23 3" xfId="15441"/>
    <cellStyle name="Comma 15 23 4" xfId="15442"/>
    <cellStyle name="Comma 15 23 5" xfId="15443"/>
    <cellStyle name="Comma 15 23 6" xfId="15444"/>
    <cellStyle name="Comma 15 23 7" xfId="15445"/>
    <cellStyle name="Comma 15 23_Sheet1" xfId="15446"/>
    <cellStyle name="Comma 15 24" xfId="15447"/>
    <cellStyle name="Comma 15 24 2" xfId="15448"/>
    <cellStyle name="Comma 15 24 3" xfId="15449"/>
    <cellStyle name="Comma 15 24 4" xfId="15450"/>
    <cellStyle name="Comma 15 24 5" xfId="15451"/>
    <cellStyle name="Comma 15 24 6" xfId="15452"/>
    <cellStyle name="Comma 15 24 7" xfId="15453"/>
    <cellStyle name="Comma 15 24_Sheet1" xfId="15454"/>
    <cellStyle name="Comma 15 25" xfId="15455"/>
    <cellStyle name="Comma 15 26" xfId="15456"/>
    <cellStyle name="Comma 15 27" xfId="15457"/>
    <cellStyle name="Comma 15 28" xfId="15458"/>
    <cellStyle name="Comma 15 29" xfId="15459"/>
    <cellStyle name="Comma 15 3" xfId="15460"/>
    <cellStyle name="Comma 15 3 2" xfId="15461"/>
    <cellStyle name="Comma 15 3 3" xfId="15462"/>
    <cellStyle name="Comma 15 3 4" xfId="15463"/>
    <cellStyle name="Comma 15 3 5" xfId="15464"/>
    <cellStyle name="Comma 15 3 6" xfId="15465"/>
    <cellStyle name="Comma 15 3 7" xfId="15466"/>
    <cellStyle name="Comma 15 3 8" xfId="15467"/>
    <cellStyle name="Comma 15 3 8 2" xfId="15468"/>
    <cellStyle name="Comma 15 3 8 3" xfId="15469"/>
    <cellStyle name="Comma 15 3 8_Sheet1" xfId="15470"/>
    <cellStyle name="Comma 15 3_Sheet1" xfId="15471"/>
    <cellStyle name="Comma 15 30" xfId="15472"/>
    <cellStyle name="Comma 15 4" xfId="15473"/>
    <cellStyle name="Comma 15 4 2" xfId="15474"/>
    <cellStyle name="Comma 15 4 3" xfId="15475"/>
    <cellStyle name="Comma 15 4 4" xfId="15476"/>
    <cellStyle name="Comma 15 4 5" xfId="15477"/>
    <cellStyle name="Comma 15 4 6" xfId="15478"/>
    <cellStyle name="Comma 15 4 7" xfId="15479"/>
    <cellStyle name="Comma 15 4_Sheet1" xfId="15480"/>
    <cellStyle name="Comma 15 5" xfId="15481"/>
    <cellStyle name="Comma 15 5 2" xfId="15482"/>
    <cellStyle name="Comma 15 5 3" xfId="15483"/>
    <cellStyle name="Comma 15 5 4" xfId="15484"/>
    <cellStyle name="Comma 15 5 5" xfId="15485"/>
    <cellStyle name="Comma 15 5 6" xfId="15486"/>
    <cellStyle name="Comma 15 5 7" xfId="15487"/>
    <cellStyle name="Comma 15 5_Sheet1" xfId="15488"/>
    <cellStyle name="Comma 15 6" xfId="15489"/>
    <cellStyle name="Comma 15 6 2" xfId="15490"/>
    <cellStyle name="Comma 15 6 3" xfId="15491"/>
    <cellStyle name="Comma 15 6 4" xfId="15492"/>
    <cellStyle name="Comma 15 6 5" xfId="15493"/>
    <cellStyle name="Comma 15 6 6" xfId="15494"/>
    <cellStyle name="Comma 15 6 7" xfId="15495"/>
    <cellStyle name="Comma 15 6_Sheet1" xfId="15496"/>
    <cellStyle name="Comma 15 7" xfId="15497"/>
    <cellStyle name="Comma 15 7 2" xfId="15498"/>
    <cellStyle name="Comma 15 7 3" xfId="15499"/>
    <cellStyle name="Comma 15 7 4" xfId="15500"/>
    <cellStyle name="Comma 15 7 5" xfId="15501"/>
    <cellStyle name="Comma 15 7 6" xfId="15502"/>
    <cellStyle name="Comma 15 7 7" xfId="15503"/>
    <cellStyle name="Comma 15 7_Sheet1" xfId="15504"/>
    <cellStyle name="Comma 15 8" xfId="15505"/>
    <cellStyle name="Comma 15 8 2" xfId="15506"/>
    <cellStyle name="Comma 15 8 3" xfId="15507"/>
    <cellStyle name="Comma 15 8 4" xfId="15508"/>
    <cellStyle name="Comma 15 8 5" xfId="15509"/>
    <cellStyle name="Comma 15 8 6" xfId="15510"/>
    <cellStyle name="Comma 15 8 7" xfId="15511"/>
    <cellStyle name="Comma 15 8_Sheet1" xfId="15512"/>
    <cellStyle name="Comma 15 9" xfId="15513"/>
    <cellStyle name="Comma 15 9 2" xfId="15514"/>
    <cellStyle name="Comma 15 9 3" xfId="15515"/>
    <cellStyle name="Comma 15 9 4" xfId="15516"/>
    <cellStyle name="Comma 15 9 5" xfId="15517"/>
    <cellStyle name="Comma 15 9 6" xfId="15518"/>
    <cellStyle name="Comma 15 9 7" xfId="15519"/>
    <cellStyle name="Comma 15 9_Sheet1" xfId="15520"/>
    <cellStyle name="Comma 15_Sheet1" xfId="15521"/>
    <cellStyle name="Comma 150" xfId="15522"/>
    <cellStyle name="Comma 151" xfId="15523"/>
    <cellStyle name="Comma 152" xfId="15524"/>
    <cellStyle name="Comma 153" xfId="15525"/>
    <cellStyle name="Comma 154" xfId="15526"/>
    <cellStyle name="Comma 155" xfId="15527"/>
    <cellStyle name="Comma 156" xfId="15528"/>
    <cellStyle name="Comma 157" xfId="15529"/>
    <cellStyle name="Comma 158" xfId="15530"/>
    <cellStyle name="Comma 159" xfId="15531"/>
    <cellStyle name="Comma 16" xfId="15532"/>
    <cellStyle name="Comma 16 10" xfId="15533"/>
    <cellStyle name="Comma 16 10 2" xfId="15534"/>
    <cellStyle name="Comma 16 10 3" xfId="15535"/>
    <cellStyle name="Comma 16 10 4" xfId="15536"/>
    <cellStyle name="Comma 16 10 5" xfId="15537"/>
    <cellStyle name="Comma 16 10 6" xfId="15538"/>
    <cellStyle name="Comma 16 10 7" xfId="15539"/>
    <cellStyle name="Comma 16 10_Sheet1" xfId="15540"/>
    <cellStyle name="Comma 16 11" xfId="15541"/>
    <cellStyle name="Comma 16 11 2" xfId="15542"/>
    <cellStyle name="Comma 16 11 3" xfId="15543"/>
    <cellStyle name="Comma 16 11 4" xfId="15544"/>
    <cellStyle name="Comma 16 11 5" xfId="15545"/>
    <cellStyle name="Comma 16 11 6" xfId="15546"/>
    <cellStyle name="Comma 16 11 7" xfId="15547"/>
    <cellStyle name="Comma 16 11_Sheet1" xfId="15548"/>
    <cellStyle name="Comma 16 12" xfId="15549"/>
    <cellStyle name="Comma 16 12 2" xfId="15550"/>
    <cellStyle name="Comma 16 12 3" xfId="15551"/>
    <cellStyle name="Comma 16 12 4" xfId="15552"/>
    <cellStyle name="Comma 16 12 5" xfId="15553"/>
    <cellStyle name="Comma 16 12 6" xfId="15554"/>
    <cellStyle name="Comma 16 12 7" xfId="15555"/>
    <cellStyle name="Comma 16 12_Sheet1" xfId="15556"/>
    <cellStyle name="Comma 16 13" xfId="15557"/>
    <cellStyle name="Comma 16 13 2" xfId="15558"/>
    <cellStyle name="Comma 16 13 3" xfId="15559"/>
    <cellStyle name="Comma 16 13 4" xfId="15560"/>
    <cellStyle name="Comma 16 13 5" xfId="15561"/>
    <cellStyle name="Comma 16 13 6" xfId="15562"/>
    <cellStyle name="Comma 16 13 7" xfId="15563"/>
    <cellStyle name="Comma 16 13_Sheet1" xfId="15564"/>
    <cellStyle name="Comma 16 14" xfId="15565"/>
    <cellStyle name="Comma 16 14 2" xfId="15566"/>
    <cellStyle name="Comma 16 14 3" xfId="15567"/>
    <cellStyle name="Comma 16 14 4" xfId="15568"/>
    <cellStyle name="Comma 16 14 5" xfId="15569"/>
    <cellStyle name="Comma 16 14 6" xfId="15570"/>
    <cellStyle name="Comma 16 14 7" xfId="15571"/>
    <cellStyle name="Comma 16 14_Sheet1" xfId="15572"/>
    <cellStyle name="Comma 16 15" xfId="15573"/>
    <cellStyle name="Comma 16 15 2" xfId="15574"/>
    <cellStyle name="Comma 16 15 3" xfId="15575"/>
    <cellStyle name="Comma 16 15 4" xfId="15576"/>
    <cellStyle name="Comma 16 15 5" xfId="15577"/>
    <cellStyle name="Comma 16 15 6" xfId="15578"/>
    <cellStyle name="Comma 16 15 7" xfId="15579"/>
    <cellStyle name="Comma 16 15_Sheet1" xfId="15580"/>
    <cellStyle name="Comma 16 16" xfId="15581"/>
    <cellStyle name="Comma 16 16 2" xfId="15582"/>
    <cellStyle name="Comma 16 16 3" xfId="15583"/>
    <cellStyle name="Comma 16 16 4" xfId="15584"/>
    <cellStyle name="Comma 16 16 5" xfId="15585"/>
    <cellStyle name="Comma 16 16 6" xfId="15586"/>
    <cellStyle name="Comma 16 16 7" xfId="15587"/>
    <cellStyle name="Comma 16 16_Sheet1" xfId="15588"/>
    <cellStyle name="Comma 16 17" xfId="15589"/>
    <cellStyle name="Comma 16 17 2" xfId="15590"/>
    <cellStyle name="Comma 16 17 3" xfId="15591"/>
    <cellStyle name="Comma 16 17 4" xfId="15592"/>
    <cellStyle name="Comma 16 17 5" xfId="15593"/>
    <cellStyle name="Comma 16 17 6" xfId="15594"/>
    <cellStyle name="Comma 16 17 7" xfId="15595"/>
    <cellStyle name="Comma 16 17_Sheet1" xfId="15596"/>
    <cellStyle name="Comma 16 18" xfId="15597"/>
    <cellStyle name="Comma 16 18 2" xfId="15598"/>
    <cellStyle name="Comma 16 18 3" xfId="15599"/>
    <cellStyle name="Comma 16 18 4" xfId="15600"/>
    <cellStyle name="Comma 16 18 5" xfId="15601"/>
    <cellStyle name="Comma 16 18 6" xfId="15602"/>
    <cellStyle name="Comma 16 18 7" xfId="15603"/>
    <cellStyle name="Comma 16 18_Sheet1" xfId="15604"/>
    <cellStyle name="Comma 16 19" xfId="15605"/>
    <cellStyle name="Comma 16 19 2" xfId="15606"/>
    <cellStyle name="Comma 16 19 3" xfId="15607"/>
    <cellStyle name="Comma 16 19 4" xfId="15608"/>
    <cellStyle name="Comma 16 19 5" xfId="15609"/>
    <cellStyle name="Comma 16 19 6" xfId="15610"/>
    <cellStyle name="Comma 16 19 7" xfId="15611"/>
    <cellStyle name="Comma 16 19_Sheet1" xfId="15612"/>
    <cellStyle name="Comma 16 2" xfId="15613"/>
    <cellStyle name="Comma 16 2 2" xfId="15614"/>
    <cellStyle name="Comma 16 2 3" xfId="15615"/>
    <cellStyle name="Comma 16 2 4" xfId="15616"/>
    <cellStyle name="Comma 16 2 5" xfId="15617"/>
    <cellStyle name="Comma 16 2 6" xfId="15618"/>
    <cellStyle name="Comma 16 2 7" xfId="15619"/>
    <cellStyle name="Comma 16 2_Sheet1" xfId="15620"/>
    <cellStyle name="Comma 16 20" xfId="15621"/>
    <cellStyle name="Comma 16 20 2" xfId="15622"/>
    <cellStyle name="Comma 16 20 3" xfId="15623"/>
    <cellStyle name="Comma 16 20 4" xfId="15624"/>
    <cellStyle name="Comma 16 20 5" xfId="15625"/>
    <cellStyle name="Comma 16 20 6" xfId="15626"/>
    <cellStyle name="Comma 16 20 7" xfId="15627"/>
    <cellStyle name="Comma 16 20_Sheet1" xfId="15628"/>
    <cellStyle name="Comma 16 21" xfId="15629"/>
    <cellStyle name="Comma 16 21 2" xfId="15630"/>
    <cellStyle name="Comma 16 21 3" xfId="15631"/>
    <cellStyle name="Comma 16 21 4" xfId="15632"/>
    <cellStyle name="Comma 16 21 5" xfId="15633"/>
    <cellStyle name="Comma 16 21 6" xfId="15634"/>
    <cellStyle name="Comma 16 21 7" xfId="15635"/>
    <cellStyle name="Comma 16 21_Sheet1" xfId="15636"/>
    <cellStyle name="Comma 16 22" xfId="15637"/>
    <cellStyle name="Comma 16 22 2" xfId="15638"/>
    <cellStyle name="Comma 16 22 3" xfId="15639"/>
    <cellStyle name="Comma 16 22 4" xfId="15640"/>
    <cellStyle name="Comma 16 22 5" xfId="15641"/>
    <cellStyle name="Comma 16 22 6" xfId="15642"/>
    <cellStyle name="Comma 16 22 7" xfId="15643"/>
    <cellStyle name="Comma 16 22_Sheet1" xfId="15644"/>
    <cellStyle name="Comma 16 23" xfId="15645"/>
    <cellStyle name="Comma 16 23 2" xfId="15646"/>
    <cellStyle name="Comma 16 23 3" xfId="15647"/>
    <cellStyle name="Comma 16 23 4" xfId="15648"/>
    <cellStyle name="Comma 16 23 5" xfId="15649"/>
    <cellStyle name="Comma 16 23 6" xfId="15650"/>
    <cellStyle name="Comma 16 23 7" xfId="15651"/>
    <cellStyle name="Comma 16 23_Sheet1" xfId="15652"/>
    <cellStyle name="Comma 16 24" xfId="15653"/>
    <cellStyle name="Comma 16 24 2" xfId="15654"/>
    <cellStyle name="Comma 16 24 3" xfId="15655"/>
    <cellStyle name="Comma 16 24 4" xfId="15656"/>
    <cellStyle name="Comma 16 24 5" xfId="15657"/>
    <cellStyle name="Comma 16 24 6" xfId="15658"/>
    <cellStyle name="Comma 16 24 7" xfId="15659"/>
    <cellStyle name="Comma 16 24_Sheet1" xfId="15660"/>
    <cellStyle name="Comma 16 25" xfId="15661"/>
    <cellStyle name="Comma 16 26" xfId="15662"/>
    <cellStyle name="Comma 16 27" xfId="15663"/>
    <cellStyle name="Comma 16 28" xfId="15664"/>
    <cellStyle name="Comma 16 29" xfId="15665"/>
    <cellStyle name="Comma 16 3" xfId="15666"/>
    <cellStyle name="Comma 16 3 2" xfId="15667"/>
    <cellStyle name="Comma 16 3 3" xfId="15668"/>
    <cellStyle name="Comma 16 3 4" xfId="15669"/>
    <cellStyle name="Comma 16 3 5" xfId="15670"/>
    <cellStyle name="Comma 16 3 6" xfId="15671"/>
    <cellStyle name="Comma 16 3 7" xfId="15672"/>
    <cellStyle name="Comma 16 3_Sheet1" xfId="15673"/>
    <cellStyle name="Comma 16 30" xfId="15674"/>
    <cellStyle name="Comma 16 4" xfId="15675"/>
    <cellStyle name="Comma 16 4 2" xfId="15676"/>
    <cellStyle name="Comma 16 4 3" xfId="15677"/>
    <cellStyle name="Comma 16 4 4" xfId="15678"/>
    <cellStyle name="Comma 16 4 5" xfId="15679"/>
    <cellStyle name="Comma 16 4 6" xfId="15680"/>
    <cellStyle name="Comma 16 4 7" xfId="15681"/>
    <cellStyle name="Comma 16 4_Sheet1" xfId="15682"/>
    <cellStyle name="Comma 16 5" xfId="15683"/>
    <cellStyle name="Comma 16 5 2" xfId="15684"/>
    <cellStyle name="Comma 16 5 3" xfId="15685"/>
    <cellStyle name="Comma 16 5 4" xfId="15686"/>
    <cellStyle name="Comma 16 5 5" xfId="15687"/>
    <cellStyle name="Comma 16 5 6" xfId="15688"/>
    <cellStyle name="Comma 16 5 7" xfId="15689"/>
    <cellStyle name="Comma 16 5_Sheet1" xfId="15690"/>
    <cellStyle name="Comma 16 6" xfId="15691"/>
    <cellStyle name="Comma 16 6 2" xfId="15692"/>
    <cellStyle name="Comma 16 6 3" xfId="15693"/>
    <cellStyle name="Comma 16 6 4" xfId="15694"/>
    <cellStyle name="Comma 16 6 5" xfId="15695"/>
    <cellStyle name="Comma 16 6 6" xfId="15696"/>
    <cellStyle name="Comma 16 6 7" xfId="15697"/>
    <cellStyle name="Comma 16 6_Sheet1" xfId="15698"/>
    <cellStyle name="Comma 16 7" xfId="15699"/>
    <cellStyle name="Comma 16 7 2" xfId="15700"/>
    <cellStyle name="Comma 16 7 3" xfId="15701"/>
    <cellStyle name="Comma 16 7 4" xfId="15702"/>
    <cellStyle name="Comma 16 7 5" xfId="15703"/>
    <cellStyle name="Comma 16 7 6" xfId="15704"/>
    <cellStyle name="Comma 16 7 7" xfId="15705"/>
    <cellStyle name="Comma 16 7_Sheet1" xfId="15706"/>
    <cellStyle name="Comma 16 8" xfId="15707"/>
    <cellStyle name="Comma 16 8 2" xfId="15708"/>
    <cellStyle name="Comma 16 8 3" xfId="15709"/>
    <cellStyle name="Comma 16 8 4" xfId="15710"/>
    <cellStyle name="Comma 16 8 5" xfId="15711"/>
    <cellStyle name="Comma 16 8 6" xfId="15712"/>
    <cellStyle name="Comma 16 8 7" xfId="15713"/>
    <cellStyle name="Comma 16 8_Sheet1" xfId="15714"/>
    <cellStyle name="Comma 16 9" xfId="15715"/>
    <cellStyle name="Comma 16 9 2" xfId="15716"/>
    <cellStyle name="Comma 16 9 3" xfId="15717"/>
    <cellStyle name="Comma 16 9 4" xfId="15718"/>
    <cellStyle name="Comma 16 9 5" xfId="15719"/>
    <cellStyle name="Comma 16 9 6" xfId="15720"/>
    <cellStyle name="Comma 16 9 7" xfId="15721"/>
    <cellStyle name="Comma 16 9_Sheet1" xfId="15722"/>
    <cellStyle name="Comma 16_Sheet1" xfId="15723"/>
    <cellStyle name="Comma 160" xfId="15724"/>
    <cellStyle name="Comma 161" xfId="15725"/>
    <cellStyle name="Comma 162" xfId="15726"/>
    <cellStyle name="Comma 163" xfId="15727"/>
    <cellStyle name="Comma 164" xfId="15728"/>
    <cellStyle name="Comma 165" xfId="15729"/>
    <cellStyle name="Comma 166" xfId="15730"/>
    <cellStyle name="Comma 167" xfId="15731"/>
    <cellStyle name="Comma 168" xfId="15732"/>
    <cellStyle name="Comma 169" xfId="15733"/>
    <cellStyle name="Comma 17" xfId="15734"/>
    <cellStyle name="Comma 17 10" xfId="15735"/>
    <cellStyle name="Comma 17 10 2" xfId="15736"/>
    <cellStyle name="Comma 17 10 3" xfId="15737"/>
    <cellStyle name="Comma 17 10 4" xfId="15738"/>
    <cellStyle name="Comma 17 10 5" xfId="15739"/>
    <cellStyle name="Comma 17 10 6" xfId="15740"/>
    <cellStyle name="Comma 17 10 7" xfId="15741"/>
    <cellStyle name="Comma 17 10_Sheet1" xfId="15742"/>
    <cellStyle name="Comma 17 11" xfId="15743"/>
    <cellStyle name="Comma 17 11 2" xfId="15744"/>
    <cellStyle name="Comma 17 11 3" xfId="15745"/>
    <cellStyle name="Comma 17 11 4" xfId="15746"/>
    <cellStyle name="Comma 17 11 5" xfId="15747"/>
    <cellStyle name="Comma 17 11 6" xfId="15748"/>
    <cellStyle name="Comma 17 11 7" xfId="15749"/>
    <cellStyle name="Comma 17 11_Sheet1" xfId="15750"/>
    <cellStyle name="Comma 17 12" xfId="15751"/>
    <cellStyle name="Comma 17 12 2" xfId="15752"/>
    <cellStyle name="Comma 17 12 3" xfId="15753"/>
    <cellStyle name="Comma 17 12 4" xfId="15754"/>
    <cellStyle name="Comma 17 12 5" xfId="15755"/>
    <cellStyle name="Comma 17 12 6" xfId="15756"/>
    <cellStyle name="Comma 17 12 7" xfId="15757"/>
    <cellStyle name="Comma 17 12_Sheet1" xfId="15758"/>
    <cellStyle name="Comma 17 13" xfId="15759"/>
    <cellStyle name="Comma 17 13 2" xfId="15760"/>
    <cellStyle name="Comma 17 13 3" xfId="15761"/>
    <cellStyle name="Comma 17 13 4" xfId="15762"/>
    <cellStyle name="Comma 17 13 5" xfId="15763"/>
    <cellStyle name="Comma 17 13 6" xfId="15764"/>
    <cellStyle name="Comma 17 13 7" xfId="15765"/>
    <cellStyle name="Comma 17 13_Sheet1" xfId="15766"/>
    <cellStyle name="Comma 17 14" xfId="15767"/>
    <cellStyle name="Comma 17 14 2" xfId="15768"/>
    <cellStyle name="Comma 17 14 3" xfId="15769"/>
    <cellStyle name="Comma 17 14 4" xfId="15770"/>
    <cellStyle name="Comma 17 14 5" xfId="15771"/>
    <cellStyle name="Comma 17 14 6" xfId="15772"/>
    <cellStyle name="Comma 17 14 7" xfId="15773"/>
    <cellStyle name="Comma 17 14_Sheet1" xfId="15774"/>
    <cellStyle name="Comma 17 15" xfId="15775"/>
    <cellStyle name="Comma 17 15 2" xfId="15776"/>
    <cellStyle name="Comma 17 15 3" xfId="15777"/>
    <cellStyle name="Comma 17 15 4" xfId="15778"/>
    <cellStyle name="Comma 17 15 5" xfId="15779"/>
    <cellStyle name="Comma 17 15 6" xfId="15780"/>
    <cellStyle name="Comma 17 15 7" xfId="15781"/>
    <cellStyle name="Comma 17 15_Sheet1" xfId="15782"/>
    <cellStyle name="Comma 17 16" xfId="15783"/>
    <cellStyle name="Comma 17 16 2" xfId="15784"/>
    <cellStyle name="Comma 17 16 3" xfId="15785"/>
    <cellStyle name="Comma 17 16 4" xfId="15786"/>
    <cellStyle name="Comma 17 16 5" xfId="15787"/>
    <cellStyle name="Comma 17 16 6" xfId="15788"/>
    <cellStyle name="Comma 17 16 7" xfId="15789"/>
    <cellStyle name="Comma 17 16_Sheet1" xfId="15790"/>
    <cellStyle name="Comma 17 17" xfId="15791"/>
    <cellStyle name="Comma 17 17 2" xfId="15792"/>
    <cellStyle name="Comma 17 17 3" xfId="15793"/>
    <cellStyle name="Comma 17 17 4" xfId="15794"/>
    <cellStyle name="Comma 17 17 5" xfId="15795"/>
    <cellStyle name="Comma 17 17 6" xfId="15796"/>
    <cellStyle name="Comma 17 17 7" xfId="15797"/>
    <cellStyle name="Comma 17 17_Sheet1" xfId="15798"/>
    <cellStyle name="Comma 17 18" xfId="15799"/>
    <cellStyle name="Comma 17 18 2" xfId="15800"/>
    <cellStyle name="Comma 17 18 3" xfId="15801"/>
    <cellStyle name="Comma 17 18 4" xfId="15802"/>
    <cellStyle name="Comma 17 18 5" xfId="15803"/>
    <cellStyle name="Comma 17 18 6" xfId="15804"/>
    <cellStyle name="Comma 17 18 7" xfId="15805"/>
    <cellStyle name="Comma 17 18_Sheet1" xfId="15806"/>
    <cellStyle name="Comma 17 19" xfId="15807"/>
    <cellStyle name="Comma 17 19 2" xfId="15808"/>
    <cellStyle name="Comma 17 19 3" xfId="15809"/>
    <cellStyle name="Comma 17 19 4" xfId="15810"/>
    <cellStyle name="Comma 17 19 5" xfId="15811"/>
    <cellStyle name="Comma 17 19 6" xfId="15812"/>
    <cellStyle name="Comma 17 19 7" xfId="15813"/>
    <cellStyle name="Comma 17 19_Sheet1" xfId="15814"/>
    <cellStyle name="Comma 17 2" xfId="15815"/>
    <cellStyle name="Comma 17 2 2" xfId="15816"/>
    <cellStyle name="Comma 17 2 3" xfId="15817"/>
    <cellStyle name="Comma 17 2 4" xfId="15818"/>
    <cellStyle name="Comma 17 2 5" xfId="15819"/>
    <cellStyle name="Comma 17 2 6" xfId="15820"/>
    <cellStyle name="Comma 17 2 7" xfId="15821"/>
    <cellStyle name="Comma 17 2_Sheet1" xfId="15822"/>
    <cellStyle name="Comma 17 20" xfId="15823"/>
    <cellStyle name="Comma 17 20 2" xfId="15824"/>
    <cellStyle name="Comma 17 20 3" xfId="15825"/>
    <cellStyle name="Comma 17 20 4" xfId="15826"/>
    <cellStyle name="Comma 17 20 5" xfId="15827"/>
    <cellStyle name="Comma 17 20 6" xfId="15828"/>
    <cellStyle name="Comma 17 20 7" xfId="15829"/>
    <cellStyle name="Comma 17 20_Sheet1" xfId="15830"/>
    <cellStyle name="Comma 17 21" xfId="15831"/>
    <cellStyle name="Comma 17 21 2" xfId="15832"/>
    <cellStyle name="Comma 17 21 3" xfId="15833"/>
    <cellStyle name="Comma 17 21 4" xfId="15834"/>
    <cellStyle name="Comma 17 21 5" xfId="15835"/>
    <cellStyle name="Comma 17 21 6" xfId="15836"/>
    <cellStyle name="Comma 17 21 7" xfId="15837"/>
    <cellStyle name="Comma 17 21_Sheet1" xfId="15838"/>
    <cellStyle name="Comma 17 22" xfId="15839"/>
    <cellStyle name="Comma 17 22 2" xfId="15840"/>
    <cellStyle name="Comma 17 22 3" xfId="15841"/>
    <cellStyle name="Comma 17 22 4" xfId="15842"/>
    <cellStyle name="Comma 17 22 5" xfId="15843"/>
    <cellStyle name="Comma 17 22 6" xfId="15844"/>
    <cellStyle name="Comma 17 22 7" xfId="15845"/>
    <cellStyle name="Comma 17 22_Sheet1" xfId="15846"/>
    <cellStyle name="Comma 17 23" xfId="15847"/>
    <cellStyle name="Comma 17 23 2" xfId="15848"/>
    <cellStyle name="Comma 17 23 3" xfId="15849"/>
    <cellStyle name="Comma 17 23 4" xfId="15850"/>
    <cellStyle name="Comma 17 23 5" xfId="15851"/>
    <cellStyle name="Comma 17 23 6" xfId="15852"/>
    <cellStyle name="Comma 17 23 7" xfId="15853"/>
    <cellStyle name="Comma 17 23_Sheet1" xfId="15854"/>
    <cellStyle name="Comma 17 24" xfId="15855"/>
    <cellStyle name="Comma 17 24 2" xfId="15856"/>
    <cellStyle name="Comma 17 24 3" xfId="15857"/>
    <cellStyle name="Comma 17 24 4" xfId="15858"/>
    <cellStyle name="Comma 17 24 5" xfId="15859"/>
    <cellStyle name="Comma 17 24 6" xfId="15860"/>
    <cellStyle name="Comma 17 24 7" xfId="15861"/>
    <cellStyle name="Comma 17 24_Sheet1" xfId="15862"/>
    <cellStyle name="Comma 17 25" xfId="15863"/>
    <cellStyle name="Comma 17 26" xfId="15864"/>
    <cellStyle name="Comma 17 27" xfId="15865"/>
    <cellStyle name="Comma 17 28" xfId="15866"/>
    <cellStyle name="Comma 17 29" xfId="15867"/>
    <cellStyle name="Comma 17 3" xfId="15868"/>
    <cellStyle name="Comma 17 3 2" xfId="15869"/>
    <cellStyle name="Comma 17 3 3" xfId="15870"/>
    <cellStyle name="Comma 17 3 4" xfId="15871"/>
    <cellStyle name="Comma 17 3 5" xfId="15872"/>
    <cellStyle name="Comma 17 3 6" xfId="15873"/>
    <cellStyle name="Comma 17 3 7" xfId="15874"/>
    <cellStyle name="Comma 17 3_Sheet1" xfId="15875"/>
    <cellStyle name="Comma 17 30" xfId="15876"/>
    <cellStyle name="Comma 17 4" xfId="15877"/>
    <cellStyle name="Comma 17 4 2" xfId="15878"/>
    <cellStyle name="Comma 17 4 3" xfId="15879"/>
    <cellStyle name="Comma 17 4 4" xfId="15880"/>
    <cellStyle name="Comma 17 4 5" xfId="15881"/>
    <cellStyle name="Comma 17 4 6" xfId="15882"/>
    <cellStyle name="Comma 17 4 7" xfId="15883"/>
    <cellStyle name="Comma 17 4_Sheet1" xfId="15884"/>
    <cellStyle name="Comma 17 5" xfId="15885"/>
    <cellStyle name="Comma 17 5 2" xfId="15886"/>
    <cellStyle name="Comma 17 5 3" xfId="15887"/>
    <cellStyle name="Comma 17 5 4" xfId="15888"/>
    <cellStyle name="Comma 17 5 5" xfId="15889"/>
    <cellStyle name="Comma 17 5 6" xfId="15890"/>
    <cellStyle name="Comma 17 5 7" xfId="15891"/>
    <cellStyle name="Comma 17 5_Sheet1" xfId="15892"/>
    <cellStyle name="Comma 17 6" xfId="15893"/>
    <cellStyle name="Comma 17 6 2" xfId="15894"/>
    <cellStyle name="Comma 17 6 3" xfId="15895"/>
    <cellStyle name="Comma 17 6 4" xfId="15896"/>
    <cellStyle name="Comma 17 6 5" xfId="15897"/>
    <cellStyle name="Comma 17 6 6" xfId="15898"/>
    <cellStyle name="Comma 17 6 7" xfId="15899"/>
    <cellStyle name="Comma 17 6_Sheet1" xfId="15900"/>
    <cellStyle name="Comma 17 7" xfId="15901"/>
    <cellStyle name="Comma 17 7 2" xfId="15902"/>
    <cellStyle name="Comma 17 7 3" xfId="15903"/>
    <cellStyle name="Comma 17 7 4" xfId="15904"/>
    <cellStyle name="Comma 17 7 5" xfId="15905"/>
    <cellStyle name="Comma 17 7 6" xfId="15906"/>
    <cellStyle name="Comma 17 7 7" xfId="15907"/>
    <cellStyle name="Comma 17 7_Sheet1" xfId="15908"/>
    <cellStyle name="Comma 17 8" xfId="15909"/>
    <cellStyle name="Comma 17 8 2" xfId="15910"/>
    <cellStyle name="Comma 17 8 3" xfId="15911"/>
    <cellStyle name="Comma 17 8 4" xfId="15912"/>
    <cellStyle name="Comma 17 8 5" xfId="15913"/>
    <cellStyle name="Comma 17 8 6" xfId="15914"/>
    <cellStyle name="Comma 17 8 7" xfId="15915"/>
    <cellStyle name="Comma 17 8_Sheet1" xfId="15916"/>
    <cellStyle name="Comma 17 9" xfId="15917"/>
    <cellStyle name="Comma 17 9 2" xfId="15918"/>
    <cellStyle name="Comma 17 9 3" xfId="15919"/>
    <cellStyle name="Comma 17 9 4" xfId="15920"/>
    <cellStyle name="Comma 17 9 5" xfId="15921"/>
    <cellStyle name="Comma 17 9 6" xfId="15922"/>
    <cellStyle name="Comma 17 9 7" xfId="15923"/>
    <cellStyle name="Comma 17 9_Sheet1" xfId="15924"/>
    <cellStyle name="Comma 17_Sheet1" xfId="15925"/>
    <cellStyle name="Comma 170" xfId="15926"/>
    <cellStyle name="Comma 171" xfId="15927"/>
    <cellStyle name="Comma 172" xfId="15928"/>
    <cellStyle name="Comma 173" xfId="15929"/>
    <cellStyle name="Comma 174" xfId="15930"/>
    <cellStyle name="Comma 175" xfId="15931"/>
    <cellStyle name="Comma 176" xfId="15932"/>
    <cellStyle name="Comma 177" xfId="15933"/>
    <cellStyle name="Comma 178" xfId="15934"/>
    <cellStyle name="Comma 179" xfId="15935"/>
    <cellStyle name="Comma 18" xfId="15936"/>
    <cellStyle name="Comma 18 10" xfId="15937"/>
    <cellStyle name="Comma 18 10 2" xfId="15938"/>
    <cellStyle name="Comma 18 10 3" xfId="15939"/>
    <cellStyle name="Comma 18 10 4" xfId="15940"/>
    <cellStyle name="Comma 18 10 5" xfId="15941"/>
    <cellStyle name="Comma 18 10 6" xfId="15942"/>
    <cellStyle name="Comma 18 10 7" xfId="15943"/>
    <cellStyle name="Comma 18 10_Sheet1" xfId="15944"/>
    <cellStyle name="Comma 18 11" xfId="15945"/>
    <cellStyle name="Comma 18 11 2" xfId="15946"/>
    <cellStyle name="Comma 18 11 3" xfId="15947"/>
    <cellStyle name="Comma 18 11 4" xfId="15948"/>
    <cellStyle name="Comma 18 11 5" xfId="15949"/>
    <cellStyle name="Comma 18 11 6" xfId="15950"/>
    <cellStyle name="Comma 18 11 7" xfId="15951"/>
    <cellStyle name="Comma 18 11_Sheet1" xfId="15952"/>
    <cellStyle name="Comma 18 12" xfId="15953"/>
    <cellStyle name="Comma 18 12 2" xfId="15954"/>
    <cellStyle name="Comma 18 12 3" xfId="15955"/>
    <cellStyle name="Comma 18 12 4" xfId="15956"/>
    <cellStyle name="Comma 18 12 5" xfId="15957"/>
    <cellStyle name="Comma 18 12 6" xfId="15958"/>
    <cellStyle name="Comma 18 12 7" xfId="15959"/>
    <cellStyle name="Comma 18 12_Sheet1" xfId="15960"/>
    <cellStyle name="Comma 18 13" xfId="15961"/>
    <cellStyle name="Comma 18 13 2" xfId="15962"/>
    <cellStyle name="Comma 18 13 3" xfId="15963"/>
    <cellStyle name="Comma 18 13 4" xfId="15964"/>
    <cellStyle name="Comma 18 13 5" xfId="15965"/>
    <cellStyle name="Comma 18 13 6" xfId="15966"/>
    <cellStyle name="Comma 18 13 7" xfId="15967"/>
    <cellStyle name="Comma 18 13_Sheet1" xfId="15968"/>
    <cellStyle name="Comma 18 14" xfId="15969"/>
    <cellStyle name="Comma 18 14 2" xfId="15970"/>
    <cellStyle name="Comma 18 14 3" xfId="15971"/>
    <cellStyle name="Comma 18 14 4" xfId="15972"/>
    <cellStyle name="Comma 18 14 5" xfId="15973"/>
    <cellStyle name="Comma 18 14 6" xfId="15974"/>
    <cellStyle name="Comma 18 14 7" xfId="15975"/>
    <cellStyle name="Comma 18 14_Sheet1" xfId="15976"/>
    <cellStyle name="Comma 18 15" xfId="15977"/>
    <cellStyle name="Comma 18 15 2" xfId="15978"/>
    <cellStyle name="Comma 18 15 3" xfId="15979"/>
    <cellStyle name="Comma 18 15 4" xfId="15980"/>
    <cellStyle name="Comma 18 15 5" xfId="15981"/>
    <cellStyle name="Comma 18 15 6" xfId="15982"/>
    <cellStyle name="Comma 18 15 7" xfId="15983"/>
    <cellStyle name="Comma 18 15_Sheet1" xfId="15984"/>
    <cellStyle name="Comma 18 16" xfId="15985"/>
    <cellStyle name="Comma 18 16 2" xfId="15986"/>
    <cellStyle name="Comma 18 16 3" xfId="15987"/>
    <cellStyle name="Comma 18 16 4" xfId="15988"/>
    <cellStyle name="Comma 18 16 5" xfId="15989"/>
    <cellStyle name="Comma 18 16 6" xfId="15990"/>
    <cellStyle name="Comma 18 16 7" xfId="15991"/>
    <cellStyle name="Comma 18 16_Sheet1" xfId="15992"/>
    <cellStyle name="Comma 18 17" xfId="15993"/>
    <cellStyle name="Comma 18 17 2" xfId="15994"/>
    <cellStyle name="Comma 18 17 3" xfId="15995"/>
    <cellStyle name="Comma 18 17 4" xfId="15996"/>
    <cellStyle name="Comma 18 17 5" xfId="15997"/>
    <cellStyle name="Comma 18 17 6" xfId="15998"/>
    <cellStyle name="Comma 18 17 7" xfId="15999"/>
    <cellStyle name="Comma 18 17_Sheet1" xfId="16000"/>
    <cellStyle name="Comma 18 18" xfId="16001"/>
    <cellStyle name="Comma 18 18 2" xfId="16002"/>
    <cellStyle name="Comma 18 18 3" xfId="16003"/>
    <cellStyle name="Comma 18 18 4" xfId="16004"/>
    <cellStyle name="Comma 18 18 5" xfId="16005"/>
    <cellStyle name="Comma 18 18 6" xfId="16006"/>
    <cellStyle name="Comma 18 18 7" xfId="16007"/>
    <cellStyle name="Comma 18 18_Sheet1" xfId="16008"/>
    <cellStyle name="Comma 18 19" xfId="16009"/>
    <cellStyle name="Comma 18 19 2" xfId="16010"/>
    <cellStyle name="Comma 18 19 3" xfId="16011"/>
    <cellStyle name="Comma 18 19 4" xfId="16012"/>
    <cellStyle name="Comma 18 19 5" xfId="16013"/>
    <cellStyle name="Comma 18 19 6" xfId="16014"/>
    <cellStyle name="Comma 18 19 7" xfId="16015"/>
    <cellStyle name="Comma 18 19_Sheet1" xfId="16016"/>
    <cellStyle name="Comma 18 2" xfId="16017"/>
    <cellStyle name="Comma 18 2 2" xfId="16018"/>
    <cellStyle name="Comma 18 2 3" xfId="16019"/>
    <cellStyle name="Comma 18 2 4" xfId="16020"/>
    <cellStyle name="Comma 18 2 5" xfId="16021"/>
    <cellStyle name="Comma 18 2 6" xfId="16022"/>
    <cellStyle name="Comma 18 2 7" xfId="16023"/>
    <cellStyle name="Comma 18 2_Sheet1" xfId="16024"/>
    <cellStyle name="Comma 18 20" xfId="16025"/>
    <cellStyle name="Comma 18 20 2" xfId="16026"/>
    <cellStyle name="Comma 18 20 3" xfId="16027"/>
    <cellStyle name="Comma 18 20 4" xfId="16028"/>
    <cellStyle name="Comma 18 20 5" xfId="16029"/>
    <cellStyle name="Comma 18 20 6" xfId="16030"/>
    <cellStyle name="Comma 18 20 7" xfId="16031"/>
    <cellStyle name="Comma 18 20_Sheet1" xfId="16032"/>
    <cellStyle name="Comma 18 21" xfId="16033"/>
    <cellStyle name="Comma 18 21 2" xfId="16034"/>
    <cellStyle name="Comma 18 21 3" xfId="16035"/>
    <cellStyle name="Comma 18 21 4" xfId="16036"/>
    <cellStyle name="Comma 18 21 5" xfId="16037"/>
    <cellStyle name="Comma 18 21 6" xfId="16038"/>
    <cellStyle name="Comma 18 21 7" xfId="16039"/>
    <cellStyle name="Comma 18 21_Sheet1" xfId="16040"/>
    <cellStyle name="Comma 18 22" xfId="16041"/>
    <cellStyle name="Comma 18 22 2" xfId="16042"/>
    <cellStyle name="Comma 18 22 3" xfId="16043"/>
    <cellStyle name="Comma 18 22 4" xfId="16044"/>
    <cellStyle name="Comma 18 22 5" xfId="16045"/>
    <cellStyle name="Comma 18 22 6" xfId="16046"/>
    <cellStyle name="Comma 18 22 7" xfId="16047"/>
    <cellStyle name="Comma 18 22_Sheet1" xfId="16048"/>
    <cellStyle name="Comma 18 23" xfId="16049"/>
    <cellStyle name="Comma 18 23 2" xfId="16050"/>
    <cellStyle name="Comma 18 23 3" xfId="16051"/>
    <cellStyle name="Comma 18 23 4" xfId="16052"/>
    <cellStyle name="Comma 18 23 5" xfId="16053"/>
    <cellStyle name="Comma 18 23 6" xfId="16054"/>
    <cellStyle name="Comma 18 23 7" xfId="16055"/>
    <cellStyle name="Comma 18 23_Sheet1" xfId="16056"/>
    <cellStyle name="Comma 18 24" xfId="16057"/>
    <cellStyle name="Comma 18 24 2" xfId="16058"/>
    <cellStyle name="Comma 18 24 3" xfId="16059"/>
    <cellStyle name="Comma 18 24 4" xfId="16060"/>
    <cellStyle name="Comma 18 24 5" xfId="16061"/>
    <cellStyle name="Comma 18 24 6" xfId="16062"/>
    <cellStyle name="Comma 18 24 7" xfId="16063"/>
    <cellStyle name="Comma 18 24_Sheet1" xfId="16064"/>
    <cellStyle name="Comma 18 25" xfId="16065"/>
    <cellStyle name="Comma 18 26" xfId="16066"/>
    <cellStyle name="Comma 18 27" xfId="16067"/>
    <cellStyle name="Comma 18 28" xfId="16068"/>
    <cellStyle name="Comma 18 29" xfId="16069"/>
    <cellStyle name="Comma 18 3" xfId="16070"/>
    <cellStyle name="Comma 18 3 2" xfId="16071"/>
    <cellStyle name="Comma 18 3 3" xfId="16072"/>
    <cellStyle name="Comma 18 3 4" xfId="16073"/>
    <cellStyle name="Comma 18 3 5" xfId="16074"/>
    <cellStyle name="Comma 18 3 6" xfId="16075"/>
    <cellStyle name="Comma 18 3 7" xfId="16076"/>
    <cellStyle name="Comma 18 3_Sheet1" xfId="16077"/>
    <cellStyle name="Comma 18 30" xfId="16078"/>
    <cellStyle name="Comma 18 4" xfId="16079"/>
    <cellStyle name="Comma 18 4 2" xfId="16080"/>
    <cellStyle name="Comma 18 4 3" xfId="16081"/>
    <cellStyle name="Comma 18 4 4" xfId="16082"/>
    <cellStyle name="Comma 18 4 5" xfId="16083"/>
    <cellStyle name="Comma 18 4 6" xfId="16084"/>
    <cellStyle name="Comma 18 4 7" xfId="16085"/>
    <cellStyle name="Comma 18 4_Sheet1" xfId="16086"/>
    <cellStyle name="Comma 18 5" xfId="16087"/>
    <cellStyle name="Comma 18 5 2" xfId="16088"/>
    <cellStyle name="Comma 18 5 3" xfId="16089"/>
    <cellStyle name="Comma 18 5 4" xfId="16090"/>
    <cellStyle name="Comma 18 5 5" xfId="16091"/>
    <cellStyle name="Comma 18 5 6" xfId="16092"/>
    <cellStyle name="Comma 18 5 7" xfId="16093"/>
    <cellStyle name="Comma 18 5_Sheet1" xfId="16094"/>
    <cellStyle name="Comma 18 6" xfId="16095"/>
    <cellStyle name="Comma 18 6 2" xfId="16096"/>
    <cellStyle name="Comma 18 6 3" xfId="16097"/>
    <cellStyle name="Comma 18 6 4" xfId="16098"/>
    <cellStyle name="Comma 18 6 5" xfId="16099"/>
    <cellStyle name="Comma 18 6 6" xfId="16100"/>
    <cellStyle name="Comma 18 6 7" xfId="16101"/>
    <cellStyle name="Comma 18 6_Sheet1" xfId="16102"/>
    <cellStyle name="Comma 18 7" xfId="16103"/>
    <cellStyle name="Comma 18 7 2" xfId="16104"/>
    <cellStyle name="Comma 18 7 3" xfId="16105"/>
    <cellStyle name="Comma 18 7 4" xfId="16106"/>
    <cellStyle name="Comma 18 7 5" xfId="16107"/>
    <cellStyle name="Comma 18 7 6" xfId="16108"/>
    <cellStyle name="Comma 18 7 7" xfId="16109"/>
    <cellStyle name="Comma 18 7_Sheet1" xfId="16110"/>
    <cellStyle name="Comma 18 8" xfId="16111"/>
    <cellStyle name="Comma 18 8 2" xfId="16112"/>
    <cellStyle name="Comma 18 8 3" xfId="16113"/>
    <cellStyle name="Comma 18 8 4" xfId="16114"/>
    <cellStyle name="Comma 18 8 5" xfId="16115"/>
    <cellStyle name="Comma 18 8 6" xfId="16116"/>
    <cellStyle name="Comma 18 8 7" xfId="16117"/>
    <cellStyle name="Comma 18 8_Sheet1" xfId="16118"/>
    <cellStyle name="Comma 18 9" xfId="16119"/>
    <cellStyle name="Comma 18 9 2" xfId="16120"/>
    <cellStyle name="Comma 18 9 3" xfId="16121"/>
    <cellStyle name="Comma 18 9 4" xfId="16122"/>
    <cellStyle name="Comma 18 9 5" xfId="16123"/>
    <cellStyle name="Comma 18 9 6" xfId="16124"/>
    <cellStyle name="Comma 18 9 7" xfId="16125"/>
    <cellStyle name="Comma 18 9_Sheet1" xfId="16126"/>
    <cellStyle name="Comma 18_Sheet1" xfId="16127"/>
    <cellStyle name="Comma 180" xfId="16128"/>
    <cellStyle name="Comma 181" xfId="16129"/>
    <cellStyle name="Comma 182" xfId="16130"/>
    <cellStyle name="Comma 183" xfId="16131"/>
    <cellStyle name="Comma 184" xfId="16132"/>
    <cellStyle name="Comma 185" xfId="16133"/>
    <cellStyle name="Comma 186" xfId="16134"/>
    <cellStyle name="Comma 187" xfId="16135"/>
    <cellStyle name="Comma 188" xfId="16136"/>
    <cellStyle name="Comma 189" xfId="16137"/>
    <cellStyle name="Comma 19" xfId="16138"/>
    <cellStyle name="Comma 19 10" xfId="16139"/>
    <cellStyle name="Comma 19 10 2" xfId="16140"/>
    <cellStyle name="Comma 19 10 3" xfId="16141"/>
    <cellStyle name="Comma 19 10 4" xfId="16142"/>
    <cellStyle name="Comma 19 10 5" xfId="16143"/>
    <cellStyle name="Comma 19 10 6" xfId="16144"/>
    <cellStyle name="Comma 19 10 7" xfId="16145"/>
    <cellStyle name="Comma 19 10_Sheet1" xfId="16146"/>
    <cellStyle name="Comma 19 11" xfId="16147"/>
    <cellStyle name="Comma 19 11 2" xfId="16148"/>
    <cellStyle name="Comma 19 11 3" xfId="16149"/>
    <cellStyle name="Comma 19 11 4" xfId="16150"/>
    <cellStyle name="Comma 19 11 5" xfId="16151"/>
    <cellStyle name="Comma 19 11 6" xfId="16152"/>
    <cellStyle name="Comma 19 11 7" xfId="16153"/>
    <cellStyle name="Comma 19 11_Sheet1" xfId="16154"/>
    <cellStyle name="Comma 19 12" xfId="16155"/>
    <cellStyle name="Comma 19 12 2" xfId="16156"/>
    <cellStyle name="Comma 19 12 3" xfId="16157"/>
    <cellStyle name="Comma 19 12 4" xfId="16158"/>
    <cellStyle name="Comma 19 12 5" xfId="16159"/>
    <cellStyle name="Comma 19 12 6" xfId="16160"/>
    <cellStyle name="Comma 19 12 7" xfId="16161"/>
    <cellStyle name="Comma 19 12_Sheet1" xfId="16162"/>
    <cellStyle name="Comma 19 13" xfId="16163"/>
    <cellStyle name="Comma 19 13 2" xfId="16164"/>
    <cellStyle name="Comma 19 13 3" xfId="16165"/>
    <cellStyle name="Comma 19 13 4" xfId="16166"/>
    <cellStyle name="Comma 19 13 5" xfId="16167"/>
    <cellStyle name="Comma 19 13 6" xfId="16168"/>
    <cellStyle name="Comma 19 13 7" xfId="16169"/>
    <cellStyle name="Comma 19 13_Sheet1" xfId="16170"/>
    <cellStyle name="Comma 19 14" xfId="16171"/>
    <cellStyle name="Comma 19 14 2" xfId="16172"/>
    <cellStyle name="Comma 19 14 3" xfId="16173"/>
    <cellStyle name="Comma 19 14 4" xfId="16174"/>
    <cellStyle name="Comma 19 14 5" xfId="16175"/>
    <cellStyle name="Comma 19 14 6" xfId="16176"/>
    <cellStyle name="Comma 19 14 7" xfId="16177"/>
    <cellStyle name="Comma 19 14_Sheet1" xfId="16178"/>
    <cellStyle name="Comma 19 15" xfId="16179"/>
    <cellStyle name="Comma 19 15 2" xfId="16180"/>
    <cellStyle name="Comma 19 15 3" xfId="16181"/>
    <cellStyle name="Comma 19 15 4" xfId="16182"/>
    <cellStyle name="Comma 19 15 5" xfId="16183"/>
    <cellStyle name="Comma 19 15 6" xfId="16184"/>
    <cellStyle name="Comma 19 15 7" xfId="16185"/>
    <cellStyle name="Comma 19 15_Sheet1" xfId="16186"/>
    <cellStyle name="Comma 19 16" xfId="16187"/>
    <cellStyle name="Comma 19 16 2" xfId="16188"/>
    <cellStyle name="Comma 19 16 3" xfId="16189"/>
    <cellStyle name="Comma 19 16 4" xfId="16190"/>
    <cellStyle name="Comma 19 16 5" xfId="16191"/>
    <cellStyle name="Comma 19 16 6" xfId="16192"/>
    <cellStyle name="Comma 19 16 7" xfId="16193"/>
    <cellStyle name="Comma 19 16_Sheet1" xfId="16194"/>
    <cellStyle name="Comma 19 17" xfId="16195"/>
    <cellStyle name="Comma 19 17 2" xfId="16196"/>
    <cellStyle name="Comma 19 17 3" xfId="16197"/>
    <cellStyle name="Comma 19 17 4" xfId="16198"/>
    <cellStyle name="Comma 19 17 5" xfId="16199"/>
    <cellStyle name="Comma 19 17 6" xfId="16200"/>
    <cellStyle name="Comma 19 17 7" xfId="16201"/>
    <cellStyle name="Comma 19 17_Sheet1" xfId="16202"/>
    <cellStyle name="Comma 19 18" xfId="16203"/>
    <cellStyle name="Comma 19 18 2" xfId="16204"/>
    <cellStyle name="Comma 19 18 3" xfId="16205"/>
    <cellStyle name="Comma 19 18 4" xfId="16206"/>
    <cellStyle name="Comma 19 18 5" xfId="16207"/>
    <cellStyle name="Comma 19 18 6" xfId="16208"/>
    <cellStyle name="Comma 19 18 7" xfId="16209"/>
    <cellStyle name="Comma 19 18_Sheet1" xfId="16210"/>
    <cellStyle name="Comma 19 19" xfId="16211"/>
    <cellStyle name="Comma 19 19 2" xfId="16212"/>
    <cellStyle name="Comma 19 19 3" xfId="16213"/>
    <cellStyle name="Comma 19 19 4" xfId="16214"/>
    <cellStyle name="Comma 19 19 5" xfId="16215"/>
    <cellStyle name="Comma 19 19 6" xfId="16216"/>
    <cellStyle name="Comma 19 19 7" xfId="16217"/>
    <cellStyle name="Comma 19 19_Sheet1" xfId="16218"/>
    <cellStyle name="Comma 19 2" xfId="16219"/>
    <cellStyle name="Comma 19 2 2" xfId="16220"/>
    <cellStyle name="Comma 19 2 3" xfId="16221"/>
    <cellStyle name="Comma 19 2 4" xfId="16222"/>
    <cellStyle name="Comma 19 2 5" xfId="16223"/>
    <cellStyle name="Comma 19 2 6" xfId="16224"/>
    <cellStyle name="Comma 19 2 7" xfId="16225"/>
    <cellStyle name="Comma 19 2_Sheet1" xfId="16226"/>
    <cellStyle name="Comma 19 20" xfId="16227"/>
    <cellStyle name="Comma 19 20 2" xfId="16228"/>
    <cellStyle name="Comma 19 20 3" xfId="16229"/>
    <cellStyle name="Comma 19 20 4" xfId="16230"/>
    <cellStyle name="Comma 19 20 5" xfId="16231"/>
    <cellStyle name="Comma 19 20 6" xfId="16232"/>
    <cellStyle name="Comma 19 20 7" xfId="16233"/>
    <cellStyle name="Comma 19 20_Sheet1" xfId="16234"/>
    <cellStyle name="Comma 19 21" xfId="16235"/>
    <cellStyle name="Comma 19 21 2" xfId="16236"/>
    <cellStyle name="Comma 19 21 3" xfId="16237"/>
    <cellStyle name="Comma 19 21 4" xfId="16238"/>
    <cellStyle name="Comma 19 21 5" xfId="16239"/>
    <cellStyle name="Comma 19 21 6" xfId="16240"/>
    <cellStyle name="Comma 19 21 7" xfId="16241"/>
    <cellStyle name="Comma 19 21_Sheet1" xfId="16242"/>
    <cellStyle name="Comma 19 22" xfId="16243"/>
    <cellStyle name="Comma 19 22 2" xfId="16244"/>
    <cellStyle name="Comma 19 22 3" xfId="16245"/>
    <cellStyle name="Comma 19 22 4" xfId="16246"/>
    <cellStyle name="Comma 19 22 5" xfId="16247"/>
    <cellStyle name="Comma 19 22 6" xfId="16248"/>
    <cellStyle name="Comma 19 22 7" xfId="16249"/>
    <cellStyle name="Comma 19 22_Sheet1" xfId="16250"/>
    <cellStyle name="Comma 19 23" xfId="16251"/>
    <cellStyle name="Comma 19 23 2" xfId="16252"/>
    <cellStyle name="Comma 19 23 3" xfId="16253"/>
    <cellStyle name="Comma 19 23 4" xfId="16254"/>
    <cellStyle name="Comma 19 23 5" xfId="16255"/>
    <cellStyle name="Comma 19 23 6" xfId="16256"/>
    <cellStyle name="Comma 19 23 7" xfId="16257"/>
    <cellStyle name="Comma 19 23_Sheet1" xfId="16258"/>
    <cellStyle name="Comma 19 24" xfId="16259"/>
    <cellStyle name="Comma 19 24 2" xfId="16260"/>
    <cellStyle name="Comma 19 24 3" xfId="16261"/>
    <cellStyle name="Comma 19 24 4" xfId="16262"/>
    <cellStyle name="Comma 19 24 5" xfId="16263"/>
    <cellStyle name="Comma 19 24 6" xfId="16264"/>
    <cellStyle name="Comma 19 24 7" xfId="16265"/>
    <cellStyle name="Comma 19 24_Sheet1" xfId="16266"/>
    <cellStyle name="Comma 19 25" xfId="16267"/>
    <cellStyle name="Comma 19 26" xfId="16268"/>
    <cellStyle name="Comma 19 27" xfId="16269"/>
    <cellStyle name="Comma 19 28" xfId="16270"/>
    <cellStyle name="Comma 19 29" xfId="16271"/>
    <cellStyle name="Comma 19 3" xfId="16272"/>
    <cellStyle name="Comma 19 3 2" xfId="16273"/>
    <cellStyle name="Comma 19 3 3" xfId="16274"/>
    <cellStyle name="Comma 19 3 4" xfId="16275"/>
    <cellStyle name="Comma 19 3 5" xfId="16276"/>
    <cellStyle name="Comma 19 3 6" xfId="16277"/>
    <cellStyle name="Comma 19 3 7" xfId="16278"/>
    <cellStyle name="Comma 19 3_Sheet1" xfId="16279"/>
    <cellStyle name="Comma 19 30" xfId="16280"/>
    <cellStyle name="Comma 19 4" xfId="16281"/>
    <cellStyle name="Comma 19 4 2" xfId="16282"/>
    <cellStyle name="Comma 19 4 3" xfId="16283"/>
    <cellStyle name="Comma 19 4 4" xfId="16284"/>
    <cellStyle name="Comma 19 4 5" xfId="16285"/>
    <cellStyle name="Comma 19 4 6" xfId="16286"/>
    <cellStyle name="Comma 19 4 7" xfId="16287"/>
    <cellStyle name="Comma 19 4_Sheet1" xfId="16288"/>
    <cellStyle name="Comma 19 5" xfId="16289"/>
    <cellStyle name="Comma 19 5 2" xfId="16290"/>
    <cellStyle name="Comma 19 5 3" xfId="16291"/>
    <cellStyle name="Comma 19 5 4" xfId="16292"/>
    <cellStyle name="Comma 19 5 5" xfId="16293"/>
    <cellStyle name="Comma 19 5 6" xfId="16294"/>
    <cellStyle name="Comma 19 5 7" xfId="16295"/>
    <cellStyle name="Comma 19 5_Sheet1" xfId="16296"/>
    <cellStyle name="Comma 19 6" xfId="16297"/>
    <cellStyle name="Comma 19 6 2" xfId="16298"/>
    <cellStyle name="Comma 19 6 3" xfId="16299"/>
    <cellStyle name="Comma 19 6 4" xfId="16300"/>
    <cellStyle name="Comma 19 6 5" xfId="16301"/>
    <cellStyle name="Comma 19 6 6" xfId="16302"/>
    <cellStyle name="Comma 19 6 7" xfId="16303"/>
    <cellStyle name="Comma 19 6_Sheet1" xfId="16304"/>
    <cellStyle name="Comma 19 7" xfId="16305"/>
    <cellStyle name="Comma 19 7 2" xfId="16306"/>
    <cellStyle name="Comma 19 7 3" xfId="16307"/>
    <cellStyle name="Comma 19 7 4" xfId="16308"/>
    <cellStyle name="Comma 19 7 5" xfId="16309"/>
    <cellStyle name="Comma 19 7 6" xfId="16310"/>
    <cellStyle name="Comma 19 7 7" xfId="16311"/>
    <cellStyle name="Comma 19 7_Sheet1" xfId="16312"/>
    <cellStyle name="Comma 19 8" xfId="16313"/>
    <cellStyle name="Comma 19 8 2" xfId="16314"/>
    <cellStyle name="Comma 19 8 3" xfId="16315"/>
    <cellStyle name="Comma 19 8 4" xfId="16316"/>
    <cellStyle name="Comma 19 8 5" xfId="16317"/>
    <cellStyle name="Comma 19 8 6" xfId="16318"/>
    <cellStyle name="Comma 19 8 7" xfId="16319"/>
    <cellStyle name="Comma 19 8_Sheet1" xfId="16320"/>
    <cellStyle name="Comma 19 9" xfId="16321"/>
    <cellStyle name="Comma 19 9 2" xfId="16322"/>
    <cellStyle name="Comma 19 9 3" xfId="16323"/>
    <cellStyle name="Comma 19 9 4" xfId="16324"/>
    <cellStyle name="Comma 19 9 5" xfId="16325"/>
    <cellStyle name="Comma 19 9 6" xfId="16326"/>
    <cellStyle name="Comma 19 9 7" xfId="16327"/>
    <cellStyle name="Comma 19 9_Sheet1" xfId="16328"/>
    <cellStyle name="Comma 19_Sheet1" xfId="16329"/>
    <cellStyle name="Comma 190" xfId="16330"/>
    <cellStyle name="Comma 191" xfId="16331"/>
    <cellStyle name="Comma 192" xfId="16332"/>
    <cellStyle name="Comma 193" xfId="16333"/>
    <cellStyle name="Comma 194" xfId="16334"/>
    <cellStyle name="Comma 195" xfId="16335"/>
    <cellStyle name="Comma 196" xfId="16336"/>
    <cellStyle name="Comma 197" xfId="16337"/>
    <cellStyle name="Comma 198" xfId="16338"/>
    <cellStyle name="Comma 199" xfId="16339"/>
    <cellStyle name="Comma 2" xfId="16340"/>
    <cellStyle name="Comma 2 10" xfId="16341"/>
    <cellStyle name="Comma 2 10 2" xfId="16342"/>
    <cellStyle name="Comma 2 10 3" xfId="16343"/>
    <cellStyle name="Comma 2 10 4" xfId="16344"/>
    <cellStyle name="Comma 2 10 5" xfId="16345"/>
    <cellStyle name="Comma 2 10 6" xfId="16346"/>
    <cellStyle name="Comma 2 10 7" xfId="16347"/>
    <cellStyle name="Comma 2 10_Sheet1" xfId="16348"/>
    <cellStyle name="Comma 2 100" xfId="16349"/>
    <cellStyle name="Comma 2 101" xfId="16350"/>
    <cellStyle name="Comma 2 102" xfId="16351"/>
    <cellStyle name="Comma 2 103" xfId="16352"/>
    <cellStyle name="Comma 2 104" xfId="16353"/>
    <cellStyle name="Comma 2 105" xfId="16354"/>
    <cellStyle name="Comma 2 106" xfId="16355"/>
    <cellStyle name="Comma 2 11" xfId="16356"/>
    <cellStyle name="Comma 2 11 2" xfId="16357"/>
    <cellStyle name="Comma 2 11 2 2" xfId="16358"/>
    <cellStyle name="Comma 2 11 2 3" xfId="16359"/>
    <cellStyle name="Comma 2 11 2 4" xfId="16360"/>
    <cellStyle name="Comma 2 11 2 5" xfId="16361"/>
    <cellStyle name="Comma 2 11 2 6" xfId="16362"/>
    <cellStyle name="Comma 2 11 2 7" xfId="16363"/>
    <cellStyle name="Comma 2 11 2_Sheet1" xfId="16364"/>
    <cellStyle name="Comma 2 11 3" xfId="16365"/>
    <cellStyle name="Comma 2 11 4" xfId="16366"/>
    <cellStyle name="Comma 2 11 5" xfId="16367"/>
    <cellStyle name="Comma 2 11 6" xfId="16368"/>
    <cellStyle name="Comma 2 11 7" xfId="16369"/>
    <cellStyle name="Comma 2 11_Sheet1" xfId="16370"/>
    <cellStyle name="Comma 2 12" xfId="16371"/>
    <cellStyle name="Comma 2 12 2" xfId="16372"/>
    <cellStyle name="Comma 2 12 3" xfId="16373"/>
    <cellStyle name="Comma 2 12 4" xfId="16374"/>
    <cellStyle name="Comma 2 12 5" xfId="16375"/>
    <cellStyle name="Comma 2 12 6" xfId="16376"/>
    <cellStyle name="Comma 2 12 7" xfId="16377"/>
    <cellStyle name="Comma 2 12_Sheet1" xfId="16378"/>
    <cellStyle name="Comma 2 13" xfId="16379"/>
    <cellStyle name="Comma 2 13 2" xfId="16380"/>
    <cellStyle name="Comma 2 13 3" xfId="16381"/>
    <cellStyle name="Comma 2 13 4" xfId="16382"/>
    <cellStyle name="Comma 2 13 5" xfId="16383"/>
    <cellStyle name="Comma 2 13 6" xfId="16384"/>
    <cellStyle name="Comma 2 13 7" xfId="16385"/>
    <cellStyle name="Comma 2 13_Sheet1" xfId="16386"/>
    <cellStyle name="Comma 2 14" xfId="16387"/>
    <cellStyle name="Comma 2 14 2" xfId="16388"/>
    <cellStyle name="Comma 2 14 3" xfId="16389"/>
    <cellStyle name="Comma 2 14 4" xfId="16390"/>
    <cellStyle name="Comma 2 14 5" xfId="16391"/>
    <cellStyle name="Comma 2 14 6" xfId="16392"/>
    <cellStyle name="Comma 2 14 7" xfId="16393"/>
    <cellStyle name="Comma 2 14_Sheet1" xfId="16394"/>
    <cellStyle name="Comma 2 15" xfId="16395"/>
    <cellStyle name="Comma 2 15 2" xfId="16396"/>
    <cellStyle name="Comma 2 15 3" xfId="16397"/>
    <cellStyle name="Comma 2 15 4" xfId="16398"/>
    <cellStyle name="Comma 2 15 5" xfId="16399"/>
    <cellStyle name="Comma 2 15 6" xfId="16400"/>
    <cellStyle name="Comma 2 15 7" xfId="16401"/>
    <cellStyle name="Comma 2 15_Sheet1" xfId="16402"/>
    <cellStyle name="Comma 2 16" xfId="16403"/>
    <cellStyle name="Comma 2 16 2" xfId="16404"/>
    <cellStyle name="Comma 2 16 3" xfId="16405"/>
    <cellStyle name="Comma 2 16 4" xfId="16406"/>
    <cellStyle name="Comma 2 16 5" xfId="16407"/>
    <cellStyle name="Comma 2 16 6" xfId="16408"/>
    <cellStyle name="Comma 2 16 7" xfId="16409"/>
    <cellStyle name="Comma 2 16_Sheet1" xfId="16410"/>
    <cellStyle name="Comma 2 17" xfId="16411"/>
    <cellStyle name="Comma 2 17 2" xfId="16412"/>
    <cellStyle name="Comma 2 17 3" xfId="16413"/>
    <cellStyle name="Comma 2 17 4" xfId="16414"/>
    <cellStyle name="Comma 2 17 5" xfId="16415"/>
    <cellStyle name="Comma 2 17 6" xfId="16416"/>
    <cellStyle name="Comma 2 17 7" xfId="16417"/>
    <cellStyle name="Comma 2 17_Sheet1" xfId="16418"/>
    <cellStyle name="Comma 2 18" xfId="16419"/>
    <cellStyle name="Comma 2 18 2" xfId="16420"/>
    <cellStyle name="Comma 2 18 2 2" xfId="16421"/>
    <cellStyle name="Comma 2 18 2 3" xfId="16422"/>
    <cellStyle name="Comma 2 18 2 4" xfId="16423"/>
    <cellStyle name="Comma 2 18 2 5" xfId="16424"/>
    <cellStyle name="Comma 2 18 2 6" xfId="16425"/>
    <cellStyle name="Comma 2 18 2 7" xfId="16426"/>
    <cellStyle name="Comma 2 18 2_Sheet1" xfId="16427"/>
    <cellStyle name="Comma 2 18 3" xfId="16428"/>
    <cellStyle name="Comma 2 18 3 2" xfId="16429"/>
    <cellStyle name="Comma 2 18 3 3" xfId="16430"/>
    <cellStyle name="Comma 2 18 3 4" xfId="16431"/>
    <cellStyle name="Comma 2 18 3 5" xfId="16432"/>
    <cellStyle name="Comma 2 18 3 6" xfId="16433"/>
    <cellStyle name="Comma 2 18 3 7" xfId="16434"/>
    <cellStyle name="Comma 2 18 3_Sheet1" xfId="16435"/>
    <cellStyle name="Comma 2 18 4" xfId="16436"/>
    <cellStyle name="Comma 2 18 4 2" xfId="16437"/>
    <cellStyle name="Comma 2 18 4 2 2" xfId="16438"/>
    <cellStyle name="Comma 2 18 4 2 3" xfId="16439"/>
    <cellStyle name="Comma 2 18 4 2 4" xfId="16440"/>
    <cellStyle name="Comma 2 18 4 2 5" xfId="16441"/>
    <cellStyle name="Comma 2 18 4 2 6" xfId="16442"/>
    <cellStyle name="Comma 2 18 4 2 7" xfId="16443"/>
    <cellStyle name="Comma 2 18 4 2_Sheet1" xfId="16444"/>
    <cellStyle name="Comma 2 18 4 3" xfId="16445"/>
    <cellStyle name="Comma 2 18 4 4" xfId="16446"/>
    <cellStyle name="Comma 2 18 4 5" xfId="16447"/>
    <cellStyle name="Comma 2 18 4 6" xfId="16448"/>
    <cellStyle name="Comma 2 18 4 7" xfId="16449"/>
    <cellStyle name="Comma 2 18 4 8" xfId="16450"/>
    <cellStyle name="Comma 2 18 4_Sheet1" xfId="16451"/>
    <cellStyle name="Comma 2 18 5" xfId="16452"/>
    <cellStyle name="Comma 2 18 6" xfId="16453"/>
    <cellStyle name="Comma 2 18 7" xfId="16454"/>
    <cellStyle name="Comma 2 18_Sheet1" xfId="16455"/>
    <cellStyle name="Comma 2 19" xfId="16456"/>
    <cellStyle name="Comma 2 19 2" xfId="16457"/>
    <cellStyle name="Comma 2 19 3" xfId="16458"/>
    <cellStyle name="Comma 2 19 4" xfId="16459"/>
    <cellStyle name="Comma 2 19 5" xfId="16460"/>
    <cellStyle name="Comma 2 19 6" xfId="16461"/>
    <cellStyle name="Comma 2 19 7" xfId="16462"/>
    <cellStyle name="Comma 2 19_Sheet1" xfId="16463"/>
    <cellStyle name="Comma 2 2" xfId="16464"/>
    <cellStyle name="Comma 2 2 10" xfId="16465"/>
    <cellStyle name="Comma 2 2 10 10" xfId="16466"/>
    <cellStyle name="Comma 2 2 10 11" xfId="16467"/>
    <cellStyle name="Comma 2 2 10 12" xfId="16468"/>
    <cellStyle name="Comma 2 2 10 13" xfId="16469"/>
    <cellStyle name="Comma 2 2 10 14" xfId="16470"/>
    <cellStyle name="Comma 2 2 10 15" xfId="16471"/>
    <cellStyle name="Comma 2 2 10 16" xfId="16472"/>
    <cellStyle name="Comma 2 2 10 17" xfId="16473"/>
    <cellStyle name="Comma 2 2 10 18" xfId="16474"/>
    <cellStyle name="Comma 2 2 10 19" xfId="16475"/>
    <cellStyle name="Comma 2 2 10 2" xfId="16476"/>
    <cellStyle name="Comma 2 2 10 20" xfId="16477"/>
    <cellStyle name="Comma 2 2 10 21" xfId="16478"/>
    <cellStyle name="Comma 2 2 10 22" xfId="16479"/>
    <cellStyle name="Comma 2 2 10 23" xfId="16480"/>
    <cellStyle name="Comma 2 2 10 24" xfId="16481"/>
    <cellStyle name="Comma 2 2 10 25" xfId="16482"/>
    <cellStyle name="Comma 2 2 10 26" xfId="16483"/>
    <cellStyle name="Comma 2 2 10 3" xfId="16484"/>
    <cellStyle name="Comma 2 2 10 4" xfId="16485"/>
    <cellStyle name="Comma 2 2 10 5" xfId="16486"/>
    <cellStyle name="Comma 2 2 10 6" xfId="16487"/>
    <cellStyle name="Comma 2 2 10 7" xfId="16488"/>
    <cellStyle name="Comma 2 2 10 8" xfId="16489"/>
    <cellStyle name="Comma 2 2 10 9" xfId="16490"/>
    <cellStyle name="Comma 2 2 10_Sheet1" xfId="16491"/>
    <cellStyle name="Comma 2 2 11" xfId="16492"/>
    <cellStyle name="Comma 2 2 11 10" xfId="16493"/>
    <cellStyle name="Comma 2 2 11 11" xfId="16494"/>
    <cellStyle name="Comma 2 2 11 12" xfId="16495"/>
    <cellStyle name="Comma 2 2 11 13" xfId="16496"/>
    <cellStyle name="Comma 2 2 11 14" xfId="16497"/>
    <cellStyle name="Comma 2 2 11 15" xfId="16498"/>
    <cellStyle name="Comma 2 2 11 16" xfId="16499"/>
    <cellStyle name="Comma 2 2 11 17" xfId="16500"/>
    <cellStyle name="Comma 2 2 11 18" xfId="16501"/>
    <cellStyle name="Comma 2 2 11 19" xfId="16502"/>
    <cellStyle name="Comma 2 2 11 2" xfId="16503"/>
    <cellStyle name="Comma 2 2 11 20" xfId="16504"/>
    <cellStyle name="Comma 2 2 11 21" xfId="16505"/>
    <cellStyle name="Comma 2 2 11 22" xfId="16506"/>
    <cellStyle name="Comma 2 2 11 23" xfId="16507"/>
    <cellStyle name="Comma 2 2 11 24" xfId="16508"/>
    <cellStyle name="Comma 2 2 11 25" xfId="16509"/>
    <cellStyle name="Comma 2 2 11 26" xfId="16510"/>
    <cellStyle name="Comma 2 2 11 3" xfId="16511"/>
    <cellStyle name="Comma 2 2 11 4" xfId="16512"/>
    <cellStyle name="Comma 2 2 11 5" xfId="16513"/>
    <cellStyle name="Comma 2 2 11 6" xfId="16514"/>
    <cellStyle name="Comma 2 2 11 7" xfId="16515"/>
    <cellStyle name="Comma 2 2 11 8" xfId="16516"/>
    <cellStyle name="Comma 2 2 11 9" xfId="16517"/>
    <cellStyle name="Comma 2 2 11_Sheet1" xfId="16518"/>
    <cellStyle name="Comma 2 2 12" xfId="16519"/>
    <cellStyle name="Comma 2 2 12 10" xfId="16520"/>
    <cellStyle name="Comma 2 2 12 11" xfId="16521"/>
    <cellStyle name="Comma 2 2 12 12" xfId="16522"/>
    <cellStyle name="Comma 2 2 12 13" xfId="16523"/>
    <cellStyle name="Comma 2 2 12 14" xfId="16524"/>
    <cellStyle name="Comma 2 2 12 15" xfId="16525"/>
    <cellStyle name="Comma 2 2 12 16" xfId="16526"/>
    <cellStyle name="Comma 2 2 12 17" xfId="16527"/>
    <cellStyle name="Comma 2 2 12 18" xfId="16528"/>
    <cellStyle name="Comma 2 2 12 19" xfId="16529"/>
    <cellStyle name="Comma 2 2 12 2" xfId="16530"/>
    <cellStyle name="Comma 2 2 12 20" xfId="16531"/>
    <cellStyle name="Comma 2 2 12 21" xfId="16532"/>
    <cellStyle name="Comma 2 2 12 22" xfId="16533"/>
    <cellStyle name="Comma 2 2 12 23" xfId="16534"/>
    <cellStyle name="Comma 2 2 12 24" xfId="16535"/>
    <cellStyle name="Comma 2 2 12 25" xfId="16536"/>
    <cellStyle name="Comma 2 2 12 26" xfId="16537"/>
    <cellStyle name="Comma 2 2 12 3" xfId="16538"/>
    <cellStyle name="Comma 2 2 12 4" xfId="16539"/>
    <cellStyle name="Comma 2 2 12 5" xfId="16540"/>
    <cellStyle name="Comma 2 2 12 6" xfId="16541"/>
    <cellStyle name="Comma 2 2 12 7" xfId="16542"/>
    <cellStyle name="Comma 2 2 12 8" xfId="16543"/>
    <cellStyle name="Comma 2 2 12 9" xfId="16544"/>
    <cellStyle name="Comma 2 2 12_Sheet1" xfId="16545"/>
    <cellStyle name="Comma 2 2 13" xfId="16546"/>
    <cellStyle name="Comma 2 2 13 10" xfId="16547"/>
    <cellStyle name="Comma 2 2 13 11" xfId="16548"/>
    <cellStyle name="Comma 2 2 13 12" xfId="16549"/>
    <cellStyle name="Comma 2 2 13 13" xfId="16550"/>
    <cellStyle name="Comma 2 2 13 14" xfId="16551"/>
    <cellStyle name="Comma 2 2 13 15" xfId="16552"/>
    <cellStyle name="Comma 2 2 13 16" xfId="16553"/>
    <cellStyle name="Comma 2 2 13 2" xfId="16554"/>
    <cellStyle name="Comma 2 2 13 3" xfId="16555"/>
    <cellStyle name="Comma 2 2 13 4" xfId="16556"/>
    <cellStyle name="Comma 2 2 13 5" xfId="16557"/>
    <cellStyle name="Comma 2 2 13 6" xfId="16558"/>
    <cellStyle name="Comma 2 2 13 7" xfId="16559"/>
    <cellStyle name="Comma 2 2 13 8" xfId="16560"/>
    <cellStyle name="Comma 2 2 13 9" xfId="16561"/>
    <cellStyle name="Comma 2 2 13_Sheet1" xfId="16562"/>
    <cellStyle name="Comma 2 2 14" xfId="16563"/>
    <cellStyle name="Comma 2 2 14 10" xfId="16564"/>
    <cellStyle name="Comma 2 2 14 11" xfId="16565"/>
    <cellStyle name="Comma 2 2 14 12" xfId="16566"/>
    <cellStyle name="Comma 2 2 14 13" xfId="16567"/>
    <cellStyle name="Comma 2 2 14 14" xfId="16568"/>
    <cellStyle name="Comma 2 2 14 15" xfId="16569"/>
    <cellStyle name="Comma 2 2 14 16" xfId="16570"/>
    <cellStyle name="Comma 2 2 14 2" xfId="16571"/>
    <cellStyle name="Comma 2 2 14 3" xfId="16572"/>
    <cellStyle name="Comma 2 2 14 4" xfId="16573"/>
    <cellStyle name="Comma 2 2 14 5" xfId="16574"/>
    <cellStyle name="Comma 2 2 14 6" xfId="16575"/>
    <cellStyle name="Comma 2 2 14 7" xfId="16576"/>
    <cellStyle name="Comma 2 2 14 8" xfId="16577"/>
    <cellStyle name="Comma 2 2 14 9" xfId="16578"/>
    <cellStyle name="Comma 2 2 14_Sheet1" xfId="16579"/>
    <cellStyle name="Comma 2 2 15" xfId="16580"/>
    <cellStyle name="Comma 2 2 15 10" xfId="16581"/>
    <cellStyle name="Comma 2 2 15 11" xfId="16582"/>
    <cellStyle name="Comma 2 2 15 12" xfId="16583"/>
    <cellStyle name="Comma 2 2 15 13" xfId="16584"/>
    <cellStyle name="Comma 2 2 15 14" xfId="16585"/>
    <cellStyle name="Comma 2 2 15 15" xfId="16586"/>
    <cellStyle name="Comma 2 2 15 16" xfId="16587"/>
    <cellStyle name="Comma 2 2 15 2" xfId="16588"/>
    <cellStyle name="Comma 2 2 15 3" xfId="16589"/>
    <cellStyle name="Comma 2 2 15 4" xfId="16590"/>
    <cellStyle name="Comma 2 2 15 5" xfId="16591"/>
    <cellStyle name="Comma 2 2 15 6" xfId="16592"/>
    <cellStyle name="Comma 2 2 15 7" xfId="16593"/>
    <cellStyle name="Comma 2 2 15 8" xfId="16594"/>
    <cellStyle name="Comma 2 2 15 9" xfId="16595"/>
    <cellStyle name="Comma 2 2 15_Sheet1" xfId="16596"/>
    <cellStyle name="Comma 2 2 16" xfId="16597"/>
    <cellStyle name="Comma 2 2 16 10" xfId="16598"/>
    <cellStyle name="Comma 2 2 16 11" xfId="16599"/>
    <cellStyle name="Comma 2 2 16 12" xfId="16600"/>
    <cellStyle name="Comma 2 2 16 13" xfId="16601"/>
    <cellStyle name="Comma 2 2 16 14" xfId="16602"/>
    <cellStyle name="Comma 2 2 16 15" xfId="16603"/>
    <cellStyle name="Comma 2 2 16 16" xfId="16604"/>
    <cellStyle name="Comma 2 2 16 2" xfId="16605"/>
    <cellStyle name="Comma 2 2 16 3" xfId="16606"/>
    <cellStyle name="Comma 2 2 16 4" xfId="16607"/>
    <cellStyle name="Comma 2 2 16 5" xfId="16608"/>
    <cellStyle name="Comma 2 2 16 6" xfId="16609"/>
    <cellStyle name="Comma 2 2 16 7" xfId="16610"/>
    <cellStyle name="Comma 2 2 16 8" xfId="16611"/>
    <cellStyle name="Comma 2 2 16 9" xfId="16612"/>
    <cellStyle name="Comma 2 2 16_Sheet1" xfId="16613"/>
    <cellStyle name="Comma 2 2 17" xfId="16614"/>
    <cellStyle name="Comma 2 2 17 10" xfId="16615"/>
    <cellStyle name="Comma 2 2 17 11" xfId="16616"/>
    <cellStyle name="Comma 2 2 17 12" xfId="16617"/>
    <cellStyle name="Comma 2 2 17 13" xfId="16618"/>
    <cellStyle name="Comma 2 2 17 14" xfId="16619"/>
    <cellStyle name="Comma 2 2 17 15" xfId="16620"/>
    <cellStyle name="Comma 2 2 17 16" xfId="16621"/>
    <cellStyle name="Comma 2 2 17 2" xfId="16622"/>
    <cellStyle name="Comma 2 2 17 3" xfId="16623"/>
    <cellStyle name="Comma 2 2 17 4" xfId="16624"/>
    <cellStyle name="Comma 2 2 17 5" xfId="16625"/>
    <cellStyle name="Comma 2 2 17 6" xfId="16626"/>
    <cellStyle name="Comma 2 2 17 7" xfId="16627"/>
    <cellStyle name="Comma 2 2 17 8" xfId="16628"/>
    <cellStyle name="Comma 2 2 17 9" xfId="16629"/>
    <cellStyle name="Comma 2 2 17_Sheet1" xfId="16630"/>
    <cellStyle name="Comma 2 2 18" xfId="16631"/>
    <cellStyle name="Comma 2 2 18 10" xfId="16632"/>
    <cellStyle name="Comma 2 2 18 11" xfId="16633"/>
    <cellStyle name="Comma 2 2 18 12" xfId="16634"/>
    <cellStyle name="Comma 2 2 18 13" xfId="16635"/>
    <cellStyle name="Comma 2 2 18 14" xfId="16636"/>
    <cellStyle name="Comma 2 2 18 15" xfId="16637"/>
    <cellStyle name="Comma 2 2 18 16" xfId="16638"/>
    <cellStyle name="Comma 2 2 18 2" xfId="16639"/>
    <cellStyle name="Comma 2 2 18 3" xfId="16640"/>
    <cellStyle name="Comma 2 2 18 4" xfId="16641"/>
    <cellStyle name="Comma 2 2 18 5" xfId="16642"/>
    <cellStyle name="Comma 2 2 18 6" xfId="16643"/>
    <cellStyle name="Comma 2 2 18 7" xfId="16644"/>
    <cellStyle name="Comma 2 2 18 8" xfId="16645"/>
    <cellStyle name="Comma 2 2 18 9" xfId="16646"/>
    <cellStyle name="Comma 2 2 18_Sheet1" xfId="16647"/>
    <cellStyle name="Comma 2 2 19" xfId="16648"/>
    <cellStyle name="Comma 2 2 19 10" xfId="16649"/>
    <cellStyle name="Comma 2 2 19 2" xfId="16650"/>
    <cellStyle name="Comma 2 2 19 3" xfId="16651"/>
    <cellStyle name="Comma 2 2 19 4" xfId="16652"/>
    <cellStyle name="Comma 2 2 19 5" xfId="16653"/>
    <cellStyle name="Comma 2 2 19 6" xfId="16654"/>
    <cellStyle name="Comma 2 2 19 7" xfId="16655"/>
    <cellStyle name="Comma 2 2 19 8" xfId="16656"/>
    <cellStyle name="Comma 2 2 19 9" xfId="16657"/>
    <cellStyle name="Comma 2 2 19_Sheet1" xfId="16658"/>
    <cellStyle name="Comma 2 2 2" xfId="16659"/>
    <cellStyle name="Comma 2 2 2 10" xfId="16660"/>
    <cellStyle name="Comma 2 2 2 10 2" xfId="16661"/>
    <cellStyle name="Comma 2 2 2 10 2 2" xfId="16662"/>
    <cellStyle name="Comma 2 2 2 10 2 3" xfId="16663"/>
    <cellStyle name="Comma 2 2 2 10 2 4" xfId="16664"/>
    <cellStyle name="Comma 2 2 2 10 2 5" xfId="16665"/>
    <cellStyle name="Comma 2 2 2 10 2 6" xfId="16666"/>
    <cellStyle name="Comma 2 2 2 10 2 7" xfId="16667"/>
    <cellStyle name="Comma 2 2 2 10 2_Sheet1" xfId="16668"/>
    <cellStyle name="Comma 2 2 2 10 3" xfId="16669"/>
    <cellStyle name="Comma 2 2 2 10 3 2" xfId="16670"/>
    <cellStyle name="Comma 2 2 2 10 3 3" xfId="16671"/>
    <cellStyle name="Comma 2 2 2 10 3 4" xfId="16672"/>
    <cellStyle name="Comma 2 2 2 10 3 5" xfId="16673"/>
    <cellStyle name="Comma 2 2 2 10 3 6" xfId="16674"/>
    <cellStyle name="Comma 2 2 2 10 3 7" xfId="16675"/>
    <cellStyle name="Comma 2 2 2 10 3_Sheet1" xfId="16676"/>
    <cellStyle name="Comma 2 2 2 10 4" xfId="16677"/>
    <cellStyle name="Comma 2 2 2 10 4 2" xfId="16678"/>
    <cellStyle name="Comma 2 2 2 10 4 3" xfId="16679"/>
    <cellStyle name="Comma 2 2 2 10 4 4" xfId="16680"/>
    <cellStyle name="Comma 2 2 2 10 4 5" xfId="16681"/>
    <cellStyle name="Comma 2 2 2 10 4 6" xfId="16682"/>
    <cellStyle name="Comma 2 2 2 10 4 7" xfId="16683"/>
    <cellStyle name="Comma 2 2 2 10 4_Sheet1" xfId="16684"/>
    <cellStyle name="Comma 2 2 2 10_Sheet1" xfId="16685"/>
    <cellStyle name="Comma 2 2 2 11" xfId="16686"/>
    <cellStyle name="Comma 2 2 2 11 2" xfId="16687"/>
    <cellStyle name="Comma 2 2 2 11 2 2" xfId="16688"/>
    <cellStyle name="Comma 2 2 2 11 2 3" xfId="16689"/>
    <cellStyle name="Comma 2 2 2 11 2 4" xfId="16690"/>
    <cellStyle name="Comma 2 2 2 11 2 5" xfId="16691"/>
    <cellStyle name="Comma 2 2 2 11 2 6" xfId="16692"/>
    <cellStyle name="Comma 2 2 2 11 2 7" xfId="16693"/>
    <cellStyle name="Comma 2 2 2 11 2_Sheet1" xfId="16694"/>
    <cellStyle name="Comma 2 2 2 11 3" xfId="16695"/>
    <cellStyle name="Comma 2 2 2 11 3 2" xfId="16696"/>
    <cellStyle name="Comma 2 2 2 11 3 3" xfId="16697"/>
    <cellStyle name="Comma 2 2 2 11 3 4" xfId="16698"/>
    <cellStyle name="Comma 2 2 2 11 3 5" xfId="16699"/>
    <cellStyle name="Comma 2 2 2 11 3 6" xfId="16700"/>
    <cellStyle name="Comma 2 2 2 11 3 7" xfId="16701"/>
    <cellStyle name="Comma 2 2 2 11 3_Sheet1" xfId="16702"/>
    <cellStyle name="Comma 2 2 2 11 4" xfId="16703"/>
    <cellStyle name="Comma 2 2 2 11 4 2" xfId="16704"/>
    <cellStyle name="Comma 2 2 2 11 4 3" xfId="16705"/>
    <cellStyle name="Comma 2 2 2 11 4 4" xfId="16706"/>
    <cellStyle name="Comma 2 2 2 11 4 5" xfId="16707"/>
    <cellStyle name="Comma 2 2 2 11 4 6" xfId="16708"/>
    <cellStyle name="Comma 2 2 2 11 4 7" xfId="16709"/>
    <cellStyle name="Comma 2 2 2 11 4_Sheet1" xfId="16710"/>
    <cellStyle name="Comma 2 2 2 11_Sheet1" xfId="16711"/>
    <cellStyle name="Comma 2 2 2 12" xfId="16712"/>
    <cellStyle name="Comma 2 2 2 12 2" xfId="16713"/>
    <cellStyle name="Comma 2 2 2 12 2 2" xfId="16714"/>
    <cellStyle name="Comma 2 2 2 12 2 3" xfId="16715"/>
    <cellStyle name="Comma 2 2 2 12 2 4" xfId="16716"/>
    <cellStyle name="Comma 2 2 2 12 2 5" xfId="16717"/>
    <cellStyle name="Comma 2 2 2 12 2 6" xfId="16718"/>
    <cellStyle name="Comma 2 2 2 12 2 7" xfId="16719"/>
    <cellStyle name="Comma 2 2 2 12 2_Sheet1" xfId="16720"/>
    <cellStyle name="Comma 2 2 2 12 3" xfId="16721"/>
    <cellStyle name="Comma 2 2 2 12 3 2" xfId="16722"/>
    <cellStyle name="Comma 2 2 2 12 3 3" xfId="16723"/>
    <cellStyle name="Comma 2 2 2 12 3 4" xfId="16724"/>
    <cellStyle name="Comma 2 2 2 12 3 5" xfId="16725"/>
    <cellStyle name="Comma 2 2 2 12 3 6" xfId="16726"/>
    <cellStyle name="Comma 2 2 2 12 3 7" xfId="16727"/>
    <cellStyle name="Comma 2 2 2 12 3_Sheet1" xfId="16728"/>
    <cellStyle name="Comma 2 2 2 12 4" xfId="16729"/>
    <cellStyle name="Comma 2 2 2 12 4 2" xfId="16730"/>
    <cellStyle name="Comma 2 2 2 12 4 3" xfId="16731"/>
    <cellStyle name="Comma 2 2 2 12 4 4" xfId="16732"/>
    <cellStyle name="Comma 2 2 2 12 4 5" xfId="16733"/>
    <cellStyle name="Comma 2 2 2 12 4 6" xfId="16734"/>
    <cellStyle name="Comma 2 2 2 12 4 7" xfId="16735"/>
    <cellStyle name="Comma 2 2 2 12 4_Sheet1" xfId="16736"/>
    <cellStyle name="Comma 2 2 2 12_Sheet1" xfId="16737"/>
    <cellStyle name="Comma 2 2 2 13" xfId="16738"/>
    <cellStyle name="Comma 2 2 2 13 2" xfId="16739"/>
    <cellStyle name="Comma 2 2 2 13 2 2" xfId="16740"/>
    <cellStyle name="Comma 2 2 2 13 2 3" xfId="16741"/>
    <cellStyle name="Comma 2 2 2 13 2 4" xfId="16742"/>
    <cellStyle name="Comma 2 2 2 13 2 5" xfId="16743"/>
    <cellStyle name="Comma 2 2 2 13 2 6" xfId="16744"/>
    <cellStyle name="Comma 2 2 2 13 2 7" xfId="16745"/>
    <cellStyle name="Comma 2 2 2 13 2_Sheet1" xfId="16746"/>
    <cellStyle name="Comma 2 2 2 13 3" xfId="16747"/>
    <cellStyle name="Comma 2 2 2 13 3 2" xfId="16748"/>
    <cellStyle name="Comma 2 2 2 13 3 3" xfId="16749"/>
    <cellStyle name="Comma 2 2 2 13 3 4" xfId="16750"/>
    <cellStyle name="Comma 2 2 2 13 3 5" xfId="16751"/>
    <cellStyle name="Comma 2 2 2 13 3 6" xfId="16752"/>
    <cellStyle name="Comma 2 2 2 13 3 7" xfId="16753"/>
    <cellStyle name="Comma 2 2 2 13 3_Sheet1" xfId="16754"/>
    <cellStyle name="Comma 2 2 2 13 4" xfId="16755"/>
    <cellStyle name="Comma 2 2 2 13 4 2" xfId="16756"/>
    <cellStyle name="Comma 2 2 2 13 4 3" xfId="16757"/>
    <cellStyle name="Comma 2 2 2 13 4 4" xfId="16758"/>
    <cellStyle name="Comma 2 2 2 13 4 5" xfId="16759"/>
    <cellStyle name="Comma 2 2 2 13 4 6" xfId="16760"/>
    <cellStyle name="Comma 2 2 2 13 4 7" xfId="16761"/>
    <cellStyle name="Comma 2 2 2 13 4_Sheet1" xfId="16762"/>
    <cellStyle name="Comma 2 2 2 13_Sheet1" xfId="16763"/>
    <cellStyle name="Comma 2 2 2 14" xfId="16764"/>
    <cellStyle name="Comma 2 2 2 14 2" xfId="16765"/>
    <cellStyle name="Comma 2 2 2 14 2 2" xfId="16766"/>
    <cellStyle name="Comma 2 2 2 14 2 3" xfId="16767"/>
    <cellStyle name="Comma 2 2 2 14 2 4" xfId="16768"/>
    <cellStyle name="Comma 2 2 2 14 2 5" xfId="16769"/>
    <cellStyle name="Comma 2 2 2 14 2 6" xfId="16770"/>
    <cellStyle name="Comma 2 2 2 14 2 7" xfId="16771"/>
    <cellStyle name="Comma 2 2 2 14 2_Sheet1" xfId="16772"/>
    <cellStyle name="Comma 2 2 2 14 3" xfId="16773"/>
    <cellStyle name="Comma 2 2 2 14 3 2" xfId="16774"/>
    <cellStyle name="Comma 2 2 2 14 3 3" xfId="16775"/>
    <cellStyle name="Comma 2 2 2 14 3 4" xfId="16776"/>
    <cellStyle name="Comma 2 2 2 14 3 5" xfId="16777"/>
    <cellStyle name="Comma 2 2 2 14 3 6" xfId="16778"/>
    <cellStyle name="Comma 2 2 2 14 3 7" xfId="16779"/>
    <cellStyle name="Comma 2 2 2 14 3_Sheet1" xfId="16780"/>
    <cellStyle name="Comma 2 2 2 14 4" xfId="16781"/>
    <cellStyle name="Comma 2 2 2 14 4 2" xfId="16782"/>
    <cellStyle name="Comma 2 2 2 14 4 3" xfId="16783"/>
    <cellStyle name="Comma 2 2 2 14 4 4" xfId="16784"/>
    <cellStyle name="Comma 2 2 2 14 4 5" xfId="16785"/>
    <cellStyle name="Comma 2 2 2 14 4 6" xfId="16786"/>
    <cellStyle name="Comma 2 2 2 14 4 7" xfId="16787"/>
    <cellStyle name="Comma 2 2 2 14 4_Sheet1" xfId="16788"/>
    <cellStyle name="Comma 2 2 2 14_Sheet1" xfId="16789"/>
    <cellStyle name="Comma 2 2 2 15" xfId="16790"/>
    <cellStyle name="Comma 2 2 2 15 2" xfId="16791"/>
    <cellStyle name="Comma 2 2 2 15 2 2" xfId="16792"/>
    <cellStyle name="Comma 2 2 2 15 2 3" xfId="16793"/>
    <cellStyle name="Comma 2 2 2 15 2 4" xfId="16794"/>
    <cellStyle name="Comma 2 2 2 15 2 5" xfId="16795"/>
    <cellStyle name="Comma 2 2 2 15 2 6" xfId="16796"/>
    <cellStyle name="Comma 2 2 2 15 2 7" xfId="16797"/>
    <cellStyle name="Comma 2 2 2 15 2_Sheet1" xfId="16798"/>
    <cellStyle name="Comma 2 2 2 15 3" xfId="16799"/>
    <cellStyle name="Comma 2 2 2 15 3 2" xfId="16800"/>
    <cellStyle name="Comma 2 2 2 15 3 3" xfId="16801"/>
    <cellStyle name="Comma 2 2 2 15 3 4" xfId="16802"/>
    <cellStyle name="Comma 2 2 2 15 3 5" xfId="16803"/>
    <cellStyle name="Comma 2 2 2 15 3 6" xfId="16804"/>
    <cellStyle name="Comma 2 2 2 15 3 7" xfId="16805"/>
    <cellStyle name="Comma 2 2 2 15 3_Sheet1" xfId="16806"/>
    <cellStyle name="Comma 2 2 2 15 4" xfId="16807"/>
    <cellStyle name="Comma 2 2 2 15 4 2" xfId="16808"/>
    <cellStyle name="Comma 2 2 2 15 4 3" xfId="16809"/>
    <cellStyle name="Comma 2 2 2 15 4 4" xfId="16810"/>
    <cellStyle name="Comma 2 2 2 15 4 5" xfId="16811"/>
    <cellStyle name="Comma 2 2 2 15 4 6" xfId="16812"/>
    <cellStyle name="Comma 2 2 2 15 4 7" xfId="16813"/>
    <cellStyle name="Comma 2 2 2 15 4_Sheet1" xfId="16814"/>
    <cellStyle name="Comma 2 2 2 15_Sheet1" xfId="16815"/>
    <cellStyle name="Comma 2 2 2 16" xfId="16816"/>
    <cellStyle name="Comma 2 2 2 16 2" xfId="16817"/>
    <cellStyle name="Comma 2 2 2 16 2 2" xfId="16818"/>
    <cellStyle name="Comma 2 2 2 16 2 3" xfId="16819"/>
    <cellStyle name="Comma 2 2 2 16 2 4" xfId="16820"/>
    <cellStyle name="Comma 2 2 2 16 2 5" xfId="16821"/>
    <cellStyle name="Comma 2 2 2 16 2 6" xfId="16822"/>
    <cellStyle name="Comma 2 2 2 16 2 7" xfId="16823"/>
    <cellStyle name="Comma 2 2 2 16 2_Sheet1" xfId="16824"/>
    <cellStyle name="Comma 2 2 2 16 3" xfId="16825"/>
    <cellStyle name="Comma 2 2 2 16 3 2" xfId="16826"/>
    <cellStyle name="Comma 2 2 2 16 3 3" xfId="16827"/>
    <cellStyle name="Comma 2 2 2 16 3 4" xfId="16828"/>
    <cellStyle name="Comma 2 2 2 16 3 5" xfId="16829"/>
    <cellStyle name="Comma 2 2 2 16 3 6" xfId="16830"/>
    <cellStyle name="Comma 2 2 2 16 3 7" xfId="16831"/>
    <cellStyle name="Comma 2 2 2 16 3_Sheet1" xfId="16832"/>
    <cellStyle name="Comma 2 2 2 16 4" xfId="16833"/>
    <cellStyle name="Comma 2 2 2 16 4 2" xfId="16834"/>
    <cellStyle name="Comma 2 2 2 16 4 3" xfId="16835"/>
    <cellStyle name="Comma 2 2 2 16 4 4" xfId="16836"/>
    <cellStyle name="Comma 2 2 2 16 4 5" xfId="16837"/>
    <cellStyle name="Comma 2 2 2 16 4 6" xfId="16838"/>
    <cellStyle name="Comma 2 2 2 16 4 7" xfId="16839"/>
    <cellStyle name="Comma 2 2 2 16 4_Sheet1" xfId="16840"/>
    <cellStyle name="Comma 2 2 2 16_Sheet1" xfId="16841"/>
    <cellStyle name="Comma 2 2 2 17" xfId="16842"/>
    <cellStyle name="Comma 2 2 2 17 2" xfId="16843"/>
    <cellStyle name="Comma 2 2 2 17 2 2" xfId="16844"/>
    <cellStyle name="Comma 2 2 2 17 2 3" xfId="16845"/>
    <cellStyle name="Comma 2 2 2 17 2 4" xfId="16846"/>
    <cellStyle name="Comma 2 2 2 17 2 5" xfId="16847"/>
    <cellStyle name="Comma 2 2 2 17 2 6" xfId="16848"/>
    <cellStyle name="Comma 2 2 2 17 2 7" xfId="16849"/>
    <cellStyle name="Comma 2 2 2 17 2_Sheet1" xfId="16850"/>
    <cellStyle name="Comma 2 2 2 17 3" xfId="16851"/>
    <cellStyle name="Comma 2 2 2 17 3 2" xfId="16852"/>
    <cellStyle name="Comma 2 2 2 17 3 3" xfId="16853"/>
    <cellStyle name="Comma 2 2 2 17 3 4" xfId="16854"/>
    <cellStyle name="Comma 2 2 2 17 3 5" xfId="16855"/>
    <cellStyle name="Comma 2 2 2 17 3 6" xfId="16856"/>
    <cellStyle name="Comma 2 2 2 17 3 7" xfId="16857"/>
    <cellStyle name="Comma 2 2 2 17 3_Sheet1" xfId="16858"/>
    <cellStyle name="Comma 2 2 2 17 4" xfId="16859"/>
    <cellStyle name="Comma 2 2 2 17 4 2" xfId="16860"/>
    <cellStyle name="Comma 2 2 2 17 4 3" xfId="16861"/>
    <cellStyle name="Comma 2 2 2 17 4 4" xfId="16862"/>
    <cellStyle name="Comma 2 2 2 17 4 5" xfId="16863"/>
    <cellStyle name="Comma 2 2 2 17 4 6" xfId="16864"/>
    <cellStyle name="Comma 2 2 2 17 4 7" xfId="16865"/>
    <cellStyle name="Comma 2 2 2 17 4_Sheet1" xfId="16866"/>
    <cellStyle name="Comma 2 2 2 17_Sheet1" xfId="16867"/>
    <cellStyle name="Comma 2 2 2 18" xfId="16868"/>
    <cellStyle name="Comma 2 2 2 18 2" xfId="16869"/>
    <cellStyle name="Comma 2 2 2 18 2 2" xfId="16870"/>
    <cellStyle name="Comma 2 2 2 18 2 3" xfId="16871"/>
    <cellStyle name="Comma 2 2 2 18 2 4" xfId="16872"/>
    <cellStyle name="Comma 2 2 2 18 2 5" xfId="16873"/>
    <cellStyle name="Comma 2 2 2 18 2 6" xfId="16874"/>
    <cellStyle name="Comma 2 2 2 18 2 7" xfId="16875"/>
    <cellStyle name="Comma 2 2 2 18 2_Sheet1" xfId="16876"/>
    <cellStyle name="Comma 2 2 2 18 3" xfId="16877"/>
    <cellStyle name="Comma 2 2 2 18 3 2" xfId="16878"/>
    <cellStyle name="Comma 2 2 2 18 3 3" xfId="16879"/>
    <cellStyle name="Comma 2 2 2 18 3 4" xfId="16880"/>
    <cellStyle name="Comma 2 2 2 18 3 5" xfId="16881"/>
    <cellStyle name="Comma 2 2 2 18 3 6" xfId="16882"/>
    <cellStyle name="Comma 2 2 2 18 3 7" xfId="16883"/>
    <cellStyle name="Comma 2 2 2 18 3_Sheet1" xfId="16884"/>
    <cellStyle name="Comma 2 2 2 18 4" xfId="16885"/>
    <cellStyle name="Comma 2 2 2 18 4 2" xfId="16886"/>
    <cellStyle name="Comma 2 2 2 18 4 3" xfId="16887"/>
    <cellStyle name="Comma 2 2 2 18 4 4" xfId="16888"/>
    <cellStyle name="Comma 2 2 2 18 4 5" xfId="16889"/>
    <cellStyle name="Comma 2 2 2 18 4 6" xfId="16890"/>
    <cellStyle name="Comma 2 2 2 18 4 7" xfId="16891"/>
    <cellStyle name="Comma 2 2 2 18 4_Sheet1" xfId="16892"/>
    <cellStyle name="Comma 2 2 2 18_Sheet1" xfId="16893"/>
    <cellStyle name="Comma 2 2 2 19" xfId="16894"/>
    <cellStyle name="Comma 2 2 2 19 2" xfId="16895"/>
    <cellStyle name="Comma 2 2 2 19 2 2" xfId="16896"/>
    <cellStyle name="Comma 2 2 2 19 2 3" xfId="16897"/>
    <cellStyle name="Comma 2 2 2 19 2 4" xfId="16898"/>
    <cellStyle name="Comma 2 2 2 19 2 5" xfId="16899"/>
    <cellStyle name="Comma 2 2 2 19 2 6" xfId="16900"/>
    <cellStyle name="Comma 2 2 2 19 2 7" xfId="16901"/>
    <cellStyle name="Comma 2 2 2 19 2_Sheet1" xfId="16902"/>
    <cellStyle name="Comma 2 2 2 19 3" xfId="16903"/>
    <cellStyle name="Comma 2 2 2 19 3 2" xfId="16904"/>
    <cellStyle name="Comma 2 2 2 19 3 3" xfId="16905"/>
    <cellStyle name="Comma 2 2 2 19 3 4" xfId="16906"/>
    <cellStyle name="Comma 2 2 2 19 3 5" xfId="16907"/>
    <cellStyle name="Comma 2 2 2 19 3 6" xfId="16908"/>
    <cellStyle name="Comma 2 2 2 19 3 7" xfId="16909"/>
    <cellStyle name="Comma 2 2 2 19 3_Sheet1" xfId="16910"/>
    <cellStyle name="Comma 2 2 2 19 4" xfId="16911"/>
    <cellStyle name="Comma 2 2 2 19 4 2" xfId="16912"/>
    <cellStyle name="Comma 2 2 2 19 4 3" xfId="16913"/>
    <cellStyle name="Comma 2 2 2 19 4 4" xfId="16914"/>
    <cellStyle name="Comma 2 2 2 19 4 5" xfId="16915"/>
    <cellStyle name="Comma 2 2 2 19 4 6" xfId="16916"/>
    <cellStyle name="Comma 2 2 2 19 4 7" xfId="16917"/>
    <cellStyle name="Comma 2 2 2 19 4_Sheet1" xfId="16918"/>
    <cellStyle name="Comma 2 2 2 19_Sheet1" xfId="16919"/>
    <cellStyle name="Comma 2 2 2 2" xfId="16920"/>
    <cellStyle name="Comma 2 2 2 2 10" xfId="16921"/>
    <cellStyle name="Comma 2 2 2 2 10 10" xfId="16922"/>
    <cellStyle name="Comma 2 2 2 2 10 2" xfId="16923"/>
    <cellStyle name="Comma 2 2 2 2 10 3" xfId="16924"/>
    <cellStyle name="Comma 2 2 2 2 10 4" xfId="16925"/>
    <cellStyle name="Comma 2 2 2 2 10 5" xfId="16926"/>
    <cellStyle name="Comma 2 2 2 2 10 6" xfId="16927"/>
    <cellStyle name="Comma 2 2 2 2 10 7" xfId="16928"/>
    <cellStyle name="Comma 2 2 2 2 10 8" xfId="16929"/>
    <cellStyle name="Comma 2 2 2 2 10 9" xfId="16930"/>
    <cellStyle name="Comma 2 2 2 2 10_Sheet1" xfId="16931"/>
    <cellStyle name="Comma 2 2 2 2 11" xfId="16932"/>
    <cellStyle name="Comma 2 2 2 2 11 10" xfId="16933"/>
    <cellStyle name="Comma 2 2 2 2 11 2" xfId="16934"/>
    <cellStyle name="Comma 2 2 2 2 11 3" xfId="16935"/>
    <cellStyle name="Comma 2 2 2 2 11 4" xfId="16936"/>
    <cellStyle name="Comma 2 2 2 2 11 5" xfId="16937"/>
    <cellStyle name="Comma 2 2 2 2 11 6" xfId="16938"/>
    <cellStyle name="Comma 2 2 2 2 11 7" xfId="16939"/>
    <cellStyle name="Comma 2 2 2 2 11 8" xfId="16940"/>
    <cellStyle name="Comma 2 2 2 2 11 9" xfId="16941"/>
    <cellStyle name="Comma 2 2 2 2 11_Sheet1" xfId="16942"/>
    <cellStyle name="Comma 2 2 2 2 12" xfId="16943"/>
    <cellStyle name="Comma 2 2 2 2 12 10" xfId="16944"/>
    <cellStyle name="Comma 2 2 2 2 12 2" xfId="16945"/>
    <cellStyle name="Comma 2 2 2 2 12 3" xfId="16946"/>
    <cellStyle name="Comma 2 2 2 2 12 4" xfId="16947"/>
    <cellStyle name="Comma 2 2 2 2 12 5" xfId="16948"/>
    <cellStyle name="Comma 2 2 2 2 12 6" xfId="16949"/>
    <cellStyle name="Comma 2 2 2 2 12 7" xfId="16950"/>
    <cellStyle name="Comma 2 2 2 2 12 8" xfId="16951"/>
    <cellStyle name="Comma 2 2 2 2 12 9" xfId="16952"/>
    <cellStyle name="Comma 2 2 2 2 12_Sheet1" xfId="16953"/>
    <cellStyle name="Comma 2 2 2 2 13" xfId="16954"/>
    <cellStyle name="Comma 2 2 2 2 13 10" xfId="16955"/>
    <cellStyle name="Comma 2 2 2 2 13 2" xfId="16956"/>
    <cellStyle name="Comma 2 2 2 2 13 3" xfId="16957"/>
    <cellStyle name="Comma 2 2 2 2 13 4" xfId="16958"/>
    <cellStyle name="Comma 2 2 2 2 13 5" xfId="16959"/>
    <cellStyle name="Comma 2 2 2 2 13 6" xfId="16960"/>
    <cellStyle name="Comma 2 2 2 2 13 7" xfId="16961"/>
    <cellStyle name="Comma 2 2 2 2 13 8" xfId="16962"/>
    <cellStyle name="Comma 2 2 2 2 13 9" xfId="16963"/>
    <cellStyle name="Comma 2 2 2 2 13_Sheet1" xfId="16964"/>
    <cellStyle name="Comma 2 2 2 2 14" xfId="16965"/>
    <cellStyle name="Comma 2 2 2 2 14 10" xfId="16966"/>
    <cellStyle name="Comma 2 2 2 2 14 2" xfId="16967"/>
    <cellStyle name="Comma 2 2 2 2 14 3" xfId="16968"/>
    <cellStyle name="Comma 2 2 2 2 14 4" xfId="16969"/>
    <cellStyle name="Comma 2 2 2 2 14 5" xfId="16970"/>
    <cellStyle name="Comma 2 2 2 2 14 6" xfId="16971"/>
    <cellStyle name="Comma 2 2 2 2 14 7" xfId="16972"/>
    <cellStyle name="Comma 2 2 2 2 14 8" xfId="16973"/>
    <cellStyle name="Comma 2 2 2 2 14 9" xfId="16974"/>
    <cellStyle name="Comma 2 2 2 2 14_Sheet1" xfId="16975"/>
    <cellStyle name="Comma 2 2 2 2 15" xfId="16976"/>
    <cellStyle name="Comma 2 2 2 2 15 10" xfId="16977"/>
    <cellStyle name="Comma 2 2 2 2 15 2" xfId="16978"/>
    <cellStyle name="Comma 2 2 2 2 15 3" xfId="16979"/>
    <cellStyle name="Comma 2 2 2 2 15 4" xfId="16980"/>
    <cellStyle name="Comma 2 2 2 2 15 5" xfId="16981"/>
    <cellStyle name="Comma 2 2 2 2 15 6" xfId="16982"/>
    <cellStyle name="Comma 2 2 2 2 15 7" xfId="16983"/>
    <cellStyle name="Comma 2 2 2 2 15 8" xfId="16984"/>
    <cellStyle name="Comma 2 2 2 2 15 9" xfId="16985"/>
    <cellStyle name="Comma 2 2 2 2 15_Sheet1" xfId="16986"/>
    <cellStyle name="Comma 2 2 2 2 16" xfId="16987"/>
    <cellStyle name="Comma 2 2 2 2 16 10" xfId="16988"/>
    <cellStyle name="Comma 2 2 2 2 16 2" xfId="16989"/>
    <cellStyle name="Comma 2 2 2 2 16 3" xfId="16990"/>
    <cellStyle name="Comma 2 2 2 2 16 4" xfId="16991"/>
    <cellStyle name="Comma 2 2 2 2 16 5" xfId="16992"/>
    <cellStyle name="Comma 2 2 2 2 16 6" xfId="16993"/>
    <cellStyle name="Comma 2 2 2 2 16 7" xfId="16994"/>
    <cellStyle name="Comma 2 2 2 2 16 8" xfId="16995"/>
    <cellStyle name="Comma 2 2 2 2 16 9" xfId="16996"/>
    <cellStyle name="Comma 2 2 2 2 16_Sheet1" xfId="16997"/>
    <cellStyle name="Comma 2 2 2 2 17" xfId="16998"/>
    <cellStyle name="Comma 2 2 2 2 18" xfId="16999"/>
    <cellStyle name="Comma 2 2 2 2 19" xfId="17000"/>
    <cellStyle name="Comma 2 2 2 2 2" xfId="17001"/>
    <cellStyle name="Comma 2 2 2 2 2 10" xfId="17002"/>
    <cellStyle name="Comma 2 2 2 2 2 11" xfId="17003"/>
    <cellStyle name="Comma 2 2 2 2 2 12" xfId="17004"/>
    <cellStyle name="Comma 2 2 2 2 2 13" xfId="17005"/>
    <cellStyle name="Comma 2 2 2 2 2 14" xfId="17006"/>
    <cellStyle name="Comma 2 2 2 2 2 15" xfId="17007"/>
    <cellStyle name="Comma 2 2 2 2 2 16" xfId="17008"/>
    <cellStyle name="Comma 2 2 2 2 2 17" xfId="17009"/>
    <cellStyle name="Comma 2 2 2 2 2 18" xfId="17010"/>
    <cellStyle name="Comma 2 2 2 2 2 19" xfId="17011"/>
    <cellStyle name="Comma 2 2 2 2 2 2" xfId="17012"/>
    <cellStyle name="Comma 2 2 2 2 2 20" xfId="17013"/>
    <cellStyle name="Comma 2 2 2 2 2 3" xfId="17014"/>
    <cellStyle name="Comma 2 2 2 2 2 4" xfId="17015"/>
    <cellStyle name="Comma 2 2 2 2 2 5" xfId="17016"/>
    <cellStyle name="Comma 2 2 2 2 2 6" xfId="17017"/>
    <cellStyle name="Comma 2 2 2 2 2 7" xfId="17018"/>
    <cellStyle name="Comma 2 2 2 2 2 8" xfId="17019"/>
    <cellStyle name="Comma 2 2 2 2 2 9" xfId="17020"/>
    <cellStyle name="Comma 2 2 2 2 2_Sheet1" xfId="17021"/>
    <cellStyle name="Comma 2 2 2 2 20" xfId="17022"/>
    <cellStyle name="Comma 2 2 2 2 21" xfId="17023"/>
    <cellStyle name="Comma 2 2 2 2 22" xfId="17024"/>
    <cellStyle name="Comma 2 2 2 2 23" xfId="17025"/>
    <cellStyle name="Comma 2 2 2 2 24" xfId="17026"/>
    <cellStyle name="Comma 2 2 2 2 25" xfId="17027"/>
    <cellStyle name="Comma 2 2 2 2 26" xfId="17028"/>
    <cellStyle name="Comma 2 2 2 2 27" xfId="17029"/>
    <cellStyle name="Comma 2 2 2 2 28" xfId="17030"/>
    <cellStyle name="Comma 2 2 2 2 29" xfId="17031"/>
    <cellStyle name="Comma 2 2 2 2 3" xfId="17032"/>
    <cellStyle name="Comma 2 2 2 2 30" xfId="17033"/>
    <cellStyle name="Comma 2 2 2 2 31" xfId="17034"/>
    <cellStyle name="Comma 2 2 2 2 32" xfId="17035"/>
    <cellStyle name="Comma 2 2 2 2 33" xfId="17036"/>
    <cellStyle name="Comma 2 2 2 2 34" xfId="17037"/>
    <cellStyle name="Comma 2 2 2 2 35" xfId="17038"/>
    <cellStyle name="Comma 2 2 2 2 36" xfId="17039"/>
    <cellStyle name="Comma 2 2 2 2 37" xfId="17040"/>
    <cellStyle name="Comma 2 2 2 2 38" xfId="17041"/>
    <cellStyle name="Comma 2 2 2 2 39" xfId="17042"/>
    <cellStyle name="Comma 2 2 2 2 4" xfId="17043"/>
    <cellStyle name="Comma 2 2 2 2 40" xfId="17044"/>
    <cellStyle name="Comma 2 2 2 2 41" xfId="17045"/>
    <cellStyle name="Comma 2 2 2 2 42" xfId="17046"/>
    <cellStyle name="Comma 2 2 2 2 43" xfId="17047"/>
    <cellStyle name="Comma 2 2 2 2 44" xfId="17048"/>
    <cellStyle name="Comma 2 2 2 2 45" xfId="17049"/>
    <cellStyle name="Comma 2 2 2 2 46" xfId="17050"/>
    <cellStyle name="Comma 2 2 2 2 47" xfId="17051"/>
    <cellStyle name="Comma 2 2 2 2 48" xfId="17052"/>
    <cellStyle name="Comma 2 2 2 2 49" xfId="17053"/>
    <cellStyle name="Comma 2 2 2 2 5" xfId="17054"/>
    <cellStyle name="Comma 2 2 2 2 50" xfId="17055"/>
    <cellStyle name="Comma 2 2 2 2 50 2" xfId="17056"/>
    <cellStyle name="Comma 2 2 2 2 50 3" xfId="17057"/>
    <cellStyle name="Comma 2 2 2 2 50 4" xfId="17058"/>
    <cellStyle name="Comma 2 2 2 2 50 5" xfId="17059"/>
    <cellStyle name="Comma 2 2 2 2 50 6" xfId="17060"/>
    <cellStyle name="Comma 2 2 2 2 50 7" xfId="17061"/>
    <cellStyle name="Comma 2 2 2 2 50_Sheet1" xfId="17062"/>
    <cellStyle name="Comma 2 2 2 2 51" xfId="17063"/>
    <cellStyle name="Comma 2 2 2 2 51 2" xfId="17064"/>
    <cellStyle name="Comma 2 2 2 2 51 3" xfId="17065"/>
    <cellStyle name="Comma 2 2 2 2 51 4" xfId="17066"/>
    <cellStyle name="Comma 2 2 2 2 51 5" xfId="17067"/>
    <cellStyle name="Comma 2 2 2 2 51 6" xfId="17068"/>
    <cellStyle name="Comma 2 2 2 2 51 7" xfId="17069"/>
    <cellStyle name="Comma 2 2 2 2 51_Sheet1" xfId="17070"/>
    <cellStyle name="Comma 2 2 2 2 6" xfId="17071"/>
    <cellStyle name="Comma 2 2 2 2 7" xfId="17072"/>
    <cellStyle name="Comma 2 2 2 2 7 10" xfId="17073"/>
    <cellStyle name="Comma 2 2 2 2 7 2" xfId="17074"/>
    <cellStyle name="Comma 2 2 2 2 7 3" xfId="17075"/>
    <cellStyle name="Comma 2 2 2 2 7 4" xfId="17076"/>
    <cellStyle name="Comma 2 2 2 2 7 5" xfId="17077"/>
    <cellStyle name="Comma 2 2 2 2 7 6" xfId="17078"/>
    <cellStyle name="Comma 2 2 2 2 7 7" xfId="17079"/>
    <cellStyle name="Comma 2 2 2 2 7 8" xfId="17080"/>
    <cellStyle name="Comma 2 2 2 2 7 9" xfId="17081"/>
    <cellStyle name="Comma 2 2 2 2 7_Sheet1" xfId="17082"/>
    <cellStyle name="Comma 2 2 2 2 8" xfId="17083"/>
    <cellStyle name="Comma 2 2 2 2 8 10" xfId="17084"/>
    <cellStyle name="Comma 2 2 2 2 8 2" xfId="17085"/>
    <cellStyle name="Comma 2 2 2 2 8 3" xfId="17086"/>
    <cellStyle name="Comma 2 2 2 2 8 4" xfId="17087"/>
    <cellStyle name="Comma 2 2 2 2 8 5" xfId="17088"/>
    <cellStyle name="Comma 2 2 2 2 8 6" xfId="17089"/>
    <cellStyle name="Comma 2 2 2 2 8 7" xfId="17090"/>
    <cellStyle name="Comma 2 2 2 2 8 8" xfId="17091"/>
    <cellStyle name="Comma 2 2 2 2 8 9" xfId="17092"/>
    <cellStyle name="Comma 2 2 2 2 8_Sheet1" xfId="17093"/>
    <cellStyle name="Comma 2 2 2 2 9" xfId="17094"/>
    <cellStyle name="Comma 2 2 2 2 9 10" xfId="17095"/>
    <cellStyle name="Comma 2 2 2 2 9 2" xfId="17096"/>
    <cellStyle name="Comma 2 2 2 2 9 3" xfId="17097"/>
    <cellStyle name="Comma 2 2 2 2 9 4" xfId="17098"/>
    <cellStyle name="Comma 2 2 2 2 9 5" xfId="17099"/>
    <cellStyle name="Comma 2 2 2 2 9 6" xfId="17100"/>
    <cellStyle name="Comma 2 2 2 2 9 7" xfId="17101"/>
    <cellStyle name="Comma 2 2 2 2 9 8" xfId="17102"/>
    <cellStyle name="Comma 2 2 2 2 9 9" xfId="17103"/>
    <cellStyle name="Comma 2 2 2 2 9_Sheet1" xfId="17104"/>
    <cellStyle name="Comma 2 2 2 2_Sheet1" xfId="17105"/>
    <cellStyle name="Comma 2 2 2 20" xfId="17106"/>
    <cellStyle name="Comma 2 2 2 20 2" xfId="17107"/>
    <cellStyle name="Comma 2 2 2 20 2 2" xfId="17108"/>
    <cellStyle name="Comma 2 2 2 20 2 3" xfId="17109"/>
    <cellStyle name="Comma 2 2 2 20 2 4" xfId="17110"/>
    <cellStyle name="Comma 2 2 2 20 2 5" xfId="17111"/>
    <cellStyle name="Comma 2 2 2 20 2 6" xfId="17112"/>
    <cellStyle name="Comma 2 2 2 20 2 7" xfId="17113"/>
    <cellStyle name="Comma 2 2 2 20 2_Sheet1" xfId="17114"/>
    <cellStyle name="Comma 2 2 2 20 3" xfId="17115"/>
    <cellStyle name="Comma 2 2 2 20 3 2" xfId="17116"/>
    <cellStyle name="Comma 2 2 2 20 3 3" xfId="17117"/>
    <cellStyle name="Comma 2 2 2 20 3 4" xfId="17118"/>
    <cellStyle name="Comma 2 2 2 20 3 5" xfId="17119"/>
    <cellStyle name="Comma 2 2 2 20 3 6" xfId="17120"/>
    <cellStyle name="Comma 2 2 2 20 3 7" xfId="17121"/>
    <cellStyle name="Comma 2 2 2 20 3_Sheet1" xfId="17122"/>
    <cellStyle name="Comma 2 2 2 20 4" xfId="17123"/>
    <cellStyle name="Comma 2 2 2 20 4 2" xfId="17124"/>
    <cellStyle name="Comma 2 2 2 20 4 3" xfId="17125"/>
    <cellStyle name="Comma 2 2 2 20 4 4" xfId="17126"/>
    <cellStyle name="Comma 2 2 2 20 4 5" xfId="17127"/>
    <cellStyle name="Comma 2 2 2 20 4 6" xfId="17128"/>
    <cellStyle name="Comma 2 2 2 20 4 7" xfId="17129"/>
    <cellStyle name="Comma 2 2 2 20 4_Sheet1" xfId="17130"/>
    <cellStyle name="Comma 2 2 2 20_Sheet1" xfId="17131"/>
    <cellStyle name="Comma 2 2 2 21" xfId="17132"/>
    <cellStyle name="Comma 2 2 2 21 2" xfId="17133"/>
    <cellStyle name="Comma 2 2 2 21 2 2" xfId="17134"/>
    <cellStyle name="Comma 2 2 2 21 2 3" xfId="17135"/>
    <cellStyle name="Comma 2 2 2 21 2 4" xfId="17136"/>
    <cellStyle name="Comma 2 2 2 21 2 5" xfId="17137"/>
    <cellStyle name="Comma 2 2 2 21 2 6" xfId="17138"/>
    <cellStyle name="Comma 2 2 2 21 2 7" xfId="17139"/>
    <cellStyle name="Comma 2 2 2 21 2_Sheet1" xfId="17140"/>
    <cellStyle name="Comma 2 2 2 21 3" xfId="17141"/>
    <cellStyle name="Comma 2 2 2 21 3 2" xfId="17142"/>
    <cellStyle name="Comma 2 2 2 21 3 3" xfId="17143"/>
    <cellStyle name="Comma 2 2 2 21 3 4" xfId="17144"/>
    <cellStyle name="Comma 2 2 2 21 3 5" xfId="17145"/>
    <cellStyle name="Comma 2 2 2 21 3 6" xfId="17146"/>
    <cellStyle name="Comma 2 2 2 21 3 7" xfId="17147"/>
    <cellStyle name="Comma 2 2 2 21 3_Sheet1" xfId="17148"/>
    <cellStyle name="Comma 2 2 2 21 4" xfId="17149"/>
    <cellStyle name="Comma 2 2 2 21 4 2" xfId="17150"/>
    <cellStyle name="Comma 2 2 2 21 4 3" xfId="17151"/>
    <cellStyle name="Comma 2 2 2 21 4 4" xfId="17152"/>
    <cellStyle name="Comma 2 2 2 21 4 5" xfId="17153"/>
    <cellStyle name="Comma 2 2 2 21 4 6" xfId="17154"/>
    <cellStyle name="Comma 2 2 2 21 4 7" xfId="17155"/>
    <cellStyle name="Comma 2 2 2 21 4_Sheet1" xfId="17156"/>
    <cellStyle name="Comma 2 2 2 21_Sheet1" xfId="17157"/>
    <cellStyle name="Comma 2 2 2 22" xfId="17158"/>
    <cellStyle name="Comma 2 2 2 22 2" xfId="17159"/>
    <cellStyle name="Comma 2 2 2 22 2 2" xfId="17160"/>
    <cellStyle name="Comma 2 2 2 22 2 3" xfId="17161"/>
    <cellStyle name="Comma 2 2 2 22 2 4" xfId="17162"/>
    <cellStyle name="Comma 2 2 2 22 2 5" xfId="17163"/>
    <cellStyle name="Comma 2 2 2 22 2 6" xfId="17164"/>
    <cellStyle name="Comma 2 2 2 22 2 7" xfId="17165"/>
    <cellStyle name="Comma 2 2 2 22 2_Sheet1" xfId="17166"/>
    <cellStyle name="Comma 2 2 2 22 3" xfId="17167"/>
    <cellStyle name="Comma 2 2 2 22 3 2" xfId="17168"/>
    <cellStyle name="Comma 2 2 2 22 3 3" xfId="17169"/>
    <cellStyle name="Comma 2 2 2 22 3 4" xfId="17170"/>
    <cellStyle name="Comma 2 2 2 22 3 5" xfId="17171"/>
    <cellStyle name="Comma 2 2 2 22 3 6" xfId="17172"/>
    <cellStyle name="Comma 2 2 2 22 3 7" xfId="17173"/>
    <cellStyle name="Comma 2 2 2 22 3_Sheet1" xfId="17174"/>
    <cellStyle name="Comma 2 2 2 22 4" xfId="17175"/>
    <cellStyle name="Comma 2 2 2 22 4 2" xfId="17176"/>
    <cellStyle name="Comma 2 2 2 22 4 3" xfId="17177"/>
    <cellStyle name="Comma 2 2 2 22 4 4" xfId="17178"/>
    <cellStyle name="Comma 2 2 2 22 4 5" xfId="17179"/>
    <cellStyle name="Comma 2 2 2 22 4 6" xfId="17180"/>
    <cellStyle name="Comma 2 2 2 22 4 7" xfId="17181"/>
    <cellStyle name="Comma 2 2 2 22 4_Sheet1" xfId="17182"/>
    <cellStyle name="Comma 2 2 2 22_Sheet1" xfId="17183"/>
    <cellStyle name="Comma 2 2 2 23" xfId="17184"/>
    <cellStyle name="Comma 2 2 2 23 2" xfId="17185"/>
    <cellStyle name="Comma 2 2 2 23 2 2" xfId="17186"/>
    <cellStyle name="Comma 2 2 2 23 2 3" xfId="17187"/>
    <cellStyle name="Comma 2 2 2 23 2 4" xfId="17188"/>
    <cellStyle name="Comma 2 2 2 23 2 5" xfId="17189"/>
    <cellStyle name="Comma 2 2 2 23 2 6" xfId="17190"/>
    <cellStyle name="Comma 2 2 2 23 2 7" xfId="17191"/>
    <cellStyle name="Comma 2 2 2 23 2_Sheet1" xfId="17192"/>
    <cellStyle name="Comma 2 2 2 23 3" xfId="17193"/>
    <cellStyle name="Comma 2 2 2 23 3 2" xfId="17194"/>
    <cellStyle name="Comma 2 2 2 23 3 3" xfId="17195"/>
    <cellStyle name="Comma 2 2 2 23 3 4" xfId="17196"/>
    <cellStyle name="Comma 2 2 2 23 3 5" xfId="17197"/>
    <cellStyle name="Comma 2 2 2 23 3 6" xfId="17198"/>
    <cellStyle name="Comma 2 2 2 23 3 7" xfId="17199"/>
    <cellStyle name="Comma 2 2 2 23 3_Sheet1" xfId="17200"/>
    <cellStyle name="Comma 2 2 2 23 4" xfId="17201"/>
    <cellStyle name="Comma 2 2 2 23 4 2" xfId="17202"/>
    <cellStyle name="Comma 2 2 2 23 4 3" xfId="17203"/>
    <cellStyle name="Comma 2 2 2 23 4 4" xfId="17204"/>
    <cellStyle name="Comma 2 2 2 23 4 5" xfId="17205"/>
    <cellStyle name="Comma 2 2 2 23 4 6" xfId="17206"/>
    <cellStyle name="Comma 2 2 2 23 4 7" xfId="17207"/>
    <cellStyle name="Comma 2 2 2 23 4_Sheet1" xfId="17208"/>
    <cellStyle name="Comma 2 2 2 23_Sheet1" xfId="17209"/>
    <cellStyle name="Comma 2 2 2 24" xfId="17210"/>
    <cellStyle name="Comma 2 2 2 24 2" xfId="17211"/>
    <cellStyle name="Comma 2 2 2 24 2 2" xfId="17212"/>
    <cellStyle name="Comma 2 2 2 24 2 3" xfId="17213"/>
    <cellStyle name="Comma 2 2 2 24 2 4" xfId="17214"/>
    <cellStyle name="Comma 2 2 2 24 2 5" xfId="17215"/>
    <cellStyle name="Comma 2 2 2 24 2 6" xfId="17216"/>
    <cellStyle name="Comma 2 2 2 24 2 7" xfId="17217"/>
    <cellStyle name="Comma 2 2 2 24 2_Sheet1" xfId="17218"/>
    <cellStyle name="Comma 2 2 2 24 3" xfId="17219"/>
    <cellStyle name="Comma 2 2 2 24 3 2" xfId="17220"/>
    <cellStyle name="Comma 2 2 2 24 3 3" xfId="17221"/>
    <cellStyle name="Comma 2 2 2 24 3 4" xfId="17222"/>
    <cellStyle name="Comma 2 2 2 24 3 5" xfId="17223"/>
    <cellStyle name="Comma 2 2 2 24 3 6" xfId="17224"/>
    <cellStyle name="Comma 2 2 2 24 3 7" xfId="17225"/>
    <cellStyle name="Comma 2 2 2 24 3_Sheet1" xfId="17226"/>
    <cellStyle name="Comma 2 2 2 24 4" xfId="17227"/>
    <cellStyle name="Comma 2 2 2 24 4 2" xfId="17228"/>
    <cellStyle name="Comma 2 2 2 24 4 3" xfId="17229"/>
    <cellStyle name="Comma 2 2 2 24 4 4" xfId="17230"/>
    <cellStyle name="Comma 2 2 2 24 4 5" xfId="17231"/>
    <cellStyle name="Comma 2 2 2 24 4 6" xfId="17232"/>
    <cellStyle name="Comma 2 2 2 24 4 7" xfId="17233"/>
    <cellStyle name="Comma 2 2 2 24 4_Sheet1" xfId="17234"/>
    <cellStyle name="Comma 2 2 2 24_Sheet1" xfId="17235"/>
    <cellStyle name="Comma 2 2 2 25" xfId="17236"/>
    <cellStyle name="Comma 2 2 2 25 2" xfId="17237"/>
    <cellStyle name="Comma 2 2 2 25 2 2" xfId="17238"/>
    <cellStyle name="Comma 2 2 2 25 2 3" xfId="17239"/>
    <cellStyle name="Comma 2 2 2 25 2 4" xfId="17240"/>
    <cellStyle name="Comma 2 2 2 25 2 5" xfId="17241"/>
    <cellStyle name="Comma 2 2 2 25 2 6" xfId="17242"/>
    <cellStyle name="Comma 2 2 2 25 2 7" xfId="17243"/>
    <cellStyle name="Comma 2 2 2 25 2_Sheet1" xfId="17244"/>
    <cellStyle name="Comma 2 2 2 25 3" xfId="17245"/>
    <cellStyle name="Comma 2 2 2 25 3 2" xfId="17246"/>
    <cellStyle name="Comma 2 2 2 25 3 3" xfId="17247"/>
    <cellStyle name="Comma 2 2 2 25 3 4" xfId="17248"/>
    <cellStyle name="Comma 2 2 2 25 3 5" xfId="17249"/>
    <cellStyle name="Comma 2 2 2 25 3 6" xfId="17250"/>
    <cellStyle name="Comma 2 2 2 25 3 7" xfId="17251"/>
    <cellStyle name="Comma 2 2 2 25 3_Sheet1" xfId="17252"/>
    <cellStyle name="Comma 2 2 2 25 4" xfId="17253"/>
    <cellStyle name="Comma 2 2 2 25 4 2" xfId="17254"/>
    <cellStyle name="Comma 2 2 2 25 4 3" xfId="17255"/>
    <cellStyle name="Comma 2 2 2 25 4 4" xfId="17256"/>
    <cellStyle name="Comma 2 2 2 25 4 5" xfId="17257"/>
    <cellStyle name="Comma 2 2 2 25 4 6" xfId="17258"/>
    <cellStyle name="Comma 2 2 2 25 4 7" xfId="17259"/>
    <cellStyle name="Comma 2 2 2 25 4_Sheet1" xfId="17260"/>
    <cellStyle name="Comma 2 2 2 25_Sheet1" xfId="17261"/>
    <cellStyle name="Comma 2 2 2 26" xfId="17262"/>
    <cellStyle name="Comma 2 2 2 26 2" xfId="17263"/>
    <cellStyle name="Comma 2 2 2 26 2 2" xfId="17264"/>
    <cellStyle name="Comma 2 2 2 26 2 3" xfId="17265"/>
    <cellStyle name="Comma 2 2 2 26 2 4" xfId="17266"/>
    <cellStyle name="Comma 2 2 2 26 2 5" xfId="17267"/>
    <cellStyle name="Comma 2 2 2 26 2 6" xfId="17268"/>
    <cellStyle name="Comma 2 2 2 26 2 7" xfId="17269"/>
    <cellStyle name="Comma 2 2 2 26 2_Sheet1" xfId="17270"/>
    <cellStyle name="Comma 2 2 2 26 3" xfId="17271"/>
    <cellStyle name="Comma 2 2 2 26 3 2" xfId="17272"/>
    <cellStyle name="Comma 2 2 2 26 3 3" xfId="17273"/>
    <cellStyle name="Comma 2 2 2 26 3 4" xfId="17274"/>
    <cellStyle name="Comma 2 2 2 26 3 5" xfId="17275"/>
    <cellStyle name="Comma 2 2 2 26 3 6" xfId="17276"/>
    <cellStyle name="Comma 2 2 2 26 3 7" xfId="17277"/>
    <cellStyle name="Comma 2 2 2 26 3_Sheet1" xfId="17278"/>
    <cellStyle name="Comma 2 2 2 26 4" xfId="17279"/>
    <cellStyle name="Comma 2 2 2 26 4 2" xfId="17280"/>
    <cellStyle name="Comma 2 2 2 26 4 3" xfId="17281"/>
    <cellStyle name="Comma 2 2 2 26 4 4" xfId="17282"/>
    <cellStyle name="Comma 2 2 2 26 4 5" xfId="17283"/>
    <cellStyle name="Comma 2 2 2 26 4 6" xfId="17284"/>
    <cellStyle name="Comma 2 2 2 26 4 7" xfId="17285"/>
    <cellStyle name="Comma 2 2 2 26 4_Sheet1" xfId="17286"/>
    <cellStyle name="Comma 2 2 2 26_Sheet1" xfId="17287"/>
    <cellStyle name="Comma 2 2 2 27" xfId="17288"/>
    <cellStyle name="Comma 2 2 2 27 2" xfId="17289"/>
    <cellStyle name="Comma 2 2 2 27 3" xfId="17290"/>
    <cellStyle name="Comma 2 2 2 27 4" xfId="17291"/>
    <cellStyle name="Comma 2 2 2 27 5" xfId="17292"/>
    <cellStyle name="Comma 2 2 2 27 6" xfId="17293"/>
    <cellStyle name="Comma 2 2 2 27 7" xfId="17294"/>
    <cellStyle name="Comma 2 2 2 27_Sheet1" xfId="17295"/>
    <cellStyle name="Comma 2 2 2 28" xfId="17296"/>
    <cellStyle name="Comma 2 2 2 28 2" xfId="17297"/>
    <cellStyle name="Comma 2 2 2 28 3" xfId="17298"/>
    <cellStyle name="Comma 2 2 2 28 4" xfId="17299"/>
    <cellStyle name="Comma 2 2 2 28 5" xfId="17300"/>
    <cellStyle name="Comma 2 2 2 28 6" xfId="17301"/>
    <cellStyle name="Comma 2 2 2 28 7" xfId="17302"/>
    <cellStyle name="Comma 2 2 2 28_Sheet1" xfId="17303"/>
    <cellStyle name="Comma 2 2 2 29" xfId="17304"/>
    <cellStyle name="Comma 2 2 2 29 2" xfId="17305"/>
    <cellStyle name="Comma 2 2 2 29 3" xfId="17306"/>
    <cellStyle name="Comma 2 2 2 29 4" xfId="17307"/>
    <cellStyle name="Comma 2 2 2 29 5" xfId="17308"/>
    <cellStyle name="Comma 2 2 2 29 6" xfId="17309"/>
    <cellStyle name="Comma 2 2 2 29 7" xfId="17310"/>
    <cellStyle name="Comma 2 2 2 29_Sheet1" xfId="17311"/>
    <cellStyle name="Comma 2 2 2 3" xfId="17312"/>
    <cellStyle name="Comma 2 2 2 3 10" xfId="17313"/>
    <cellStyle name="Comma 2 2 2 3 10 2" xfId="17314"/>
    <cellStyle name="Comma 2 2 2 3 10 3" xfId="17315"/>
    <cellStyle name="Comma 2 2 2 3 10 4" xfId="17316"/>
    <cellStyle name="Comma 2 2 2 3 10 5" xfId="17317"/>
    <cellStyle name="Comma 2 2 2 3 10 6" xfId="17318"/>
    <cellStyle name="Comma 2 2 2 3 10 7" xfId="17319"/>
    <cellStyle name="Comma 2 2 2 3 10_Sheet1" xfId="17320"/>
    <cellStyle name="Comma 2 2 2 3 11" xfId="17321"/>
    <cellStyle name="Comma 2 2 2 3 11 2" xfId="17322"/>
    <cellStyle name="Comma 2 2 2 3 11 3" xfId="17323"/>
    <cellStyle name="Comma 2 2 2 3 11 4" xfId="17324"/>
    <cellStyle name="Comma 2 2 2 3 11 5" xfId="17325"/>
    <cellStyle name="Comma 2 2 2 3 11 6" xfId="17326"/>
    <cellStyle name="Comma 2 2 2 3 11 7" xfId="17327"/>
    <cellStyle name="Comma 2 2 2 3 11_Sheet1" xfId="17328"/>
    <cellStyle name="Comma 2 2 2 3 12" xfId="17329"/>
    <cellStyle name="Comma 2 2 2 3 12 2" xfId="17330"/>
    <cellStyle name="Comma 2 2 2 3 12 3" xfId="17331"/>
    <cellStyle name="Comma 2 2 2 3 12 4" xfId="17332"/>
    <cellStyle name="Comma 2 2 2 3 12 5" xfId="17333"/>
    <cellStyle name="Comma 2 2 2 3 12 6" xfId="17334"/>
    <cellStyle name="Comma 2 2 2 3 12 7" xfId="17335"/>
    <cellStyle name="Comma 2 2 2 3 12_Sheet1" xfId="17336"/>
    <cellStyle name="Comma 2 2 2 3 13" xfId="17337"/>
    <cellStyle name="Comma 2 2 2 3 13 2" xfId="17338"/>
    <cellStyle name="Comma 2 2 2 3 13 3" xfId="17339"/>
    <cellStyle name="Comma 2 2 2 3 13 4" xfId="17340"/>
    <cellStyle name="Comma 2 2 2 3 13 5" xfId="17341"/>
    <cellStyle name="Comma 2 2 2 3 13 6" xfId="17342"/>
    <cellStyle name="Comma 2 2 2 3 13 7" xfId="17343"/>
    <cellStyle name="Comma 2 2 2 3 13_Sheet1" xfId="17344"/>
    <cellStyle name="Comma 2 2 2 3 14" xfId="17345"/>
    <cellStyle name="Comma 2 2 2 3 14 2" xfId="17346"/>
    <cellStyle name="Comma 2 2 2 3 14 3" xfId="17347"/>
    <cellStyle name="Comma 2 2 2 3 14 4" xfId="17348"/>
    <cellStyle name="Comma 2 2 2 3 14 5" xfId="17349"/>
    <cellStyle name="Comma 2 2 2 3 14 6" xfId="17350"/>
    <cellStyle name="Comma 2 2 2 3 14 7" xfId="17351"/>
    <cellStyle name="Comma 2 2 2 3 14_Sheet1" xfId="17352"/>
    <cellStyle name="Comma 2 2 2 3 2" xfId="17353"/>
    <cellStyle name="Comma 2 2 2 3 2 2" xfId="17354"/>
    <cellStyle name="Comma 2 2 2 3 2 3" xfId="17355"/>
    <cellStyle name="Comma 2 2 2 3 2 4" xfId="17356"/>
    <cellStyle name="Comma 2 2 2 3 2 5" xfId="17357"/>
    <cellStyle name="Comma 2 2 2 3 2 6" xfId="17358"/>
    <cellStyle name="Comma 2 2 2 3 2 7" xfId="17359"/>
    <cellStyle name="Comma 2 2 2 3 2_Sheet1" xfId="17360"/>
    <cellStyle name="Comma 2 2 2 3 3" xfId="17361"/>
    <cellStyle name="Comma 2 2 2 3 3 2" xfId="17362"/>
    <cellStyle name="Comma 2 2 2 3 3 3" xfId="17363"/>
    <cellStyle name="Comma 2 2 2 3 3 4" xfId="17364"/>
    <cellStyle name="Comma 2 2 2 3 3 5" xfId="17365"/>
    <cellStyle name="Comma 2 2 2 3 3 6" xfId="17366"/>
    <cellStyle name="Comma 2 2 2 3 3 7" xfId="17367"/>
    <cellStyle name="Comma 2 2 2 3 3_Sheet1" xfId="17368"/>
    <cellStyle name="Comma 2 2 2 3 4" xfId="17369"/>
    <cellStyle name="Comma 2 2 2 3 4 2" xfId="17370"/>
    <cellStyle name="Comma 2 2 2 3 4 3" xfId="17371"/>
    <cellStyle name="Comma 2 2 2 3 4 4" xfId="17372"/>
    <cellStyle name="Comma 2 2 2 3 4 5" xfId="17373"/>
    <cellStyle name="Comma 2 2 2 3 4 6" xfId="17374"/>
    <cellStyle name="Comma 2 2 2 3 4 7" xfId="17375"/>
    <cellStyle name="Comma 2 2 2 3 4_Sheet1" xfId="17376"/>
    <cellStyle name="Comma 2 2 2 3 5" xfId="17377"/>
    <cellStyle name="Comma 2 2 2 3 5 2" xfId="17378"/>
    <cellStyle name="Comma 2 2 2 3 5 3" xfId="17379"/>
    <cellStyle name="Comma 2 2 2 3 5 4" xfId="17380"/>
    <cellStyle name="Comma 2 2 2 3 5 5" xfId="17381"/>
    <cellStyle name="Comma 2 2 2 3 5 6" xfId="17382"/>
    <cellStyle name="Comma 2 2 2 3 5 7" xfId="17383"/>
    <cellStyle name="Comma 2 2 2 3 5_Sheet1" xfId="17384"/>
    <cellStyle name="Comma 2 2 2 3 6" xfId="17385"/>
    <cellStyle name="Comma 2 2 2 3 6 2" xfId="17386"/>
    <cellStyle name="Comma 2 2 2 3 6 3" xfId="17387"/>
    <cellStyle name="Comma 2 2 2 3 6 4" xfId="17388"/>
    <cellStyle name="Comma 2 2 2 3 6 5" xfId="17389"/>
    <cellStyle name="Comma 2 2 2 3 6 6" xfId="17390"/>
    <cellStyle name="Comma 2 2 2 3 6 7" xfId="17391"/>
    <cellStyle name="Comma 2 2 2 3 6_Sheet1" xfId="17392"/>
    <cellStyle name="Comma 2 2 2 3 7" xfId="17393"/>
    <cellStyle name="Comma 2 2 2 3 7 2" xfId="17394"/>
    <cellStyle name="Comma 2 2 2 3 7 3" xfId="17395"/>
    <cellStyle name="Comma 2 2 2 3 7 4" xfId="17396"/>
    <cellStyle name="Comma 2 2 2 3 7 5" xfId="17397"/>
    <cellStyle name="Comma 2 2 2 3 7 6" xfId="17398"/>
    <cellStyle name="Comma 2 2 2 3 7 7" xfId="17399"/>
    <cellStyle name="Comma 2 2 2 3 7_Sheet1" xfId="17400"/>
    <cellStyle name="Comma 2 2 2 3 8" xfId="17401"/>
    <cellStyle name="Comma 2 2 2 3 8 2" xfId="17402"/>
    <cellStyle name="Comma 2 2 2 3 8 3" xfId="17403"/>
    <cellStyle name="Comma 2 2 2 3 8 4" xfId="17404"/>
    <cellStyle name="Comma 2 2 2 3 8 5" xfId="17405"/>
    <cellStyle name="Comma 2 2 2 3 8 6" xfId="17406"/>
    <cellStyle name="Comma 2 2 2 3 8 7" xfId="17407"/>
    <cellStyle name="Comma 2 2 2 3 8_Sheet1" xfId="17408"/>
    <cellStyle name="Comma 2 2 2 3 9" xfId="17409"/>
    <cellStyle name="Comma 2 2 2 3 9 2" xfId="17410"/>
    <cellStyle name="Comma 2 2 2 3 9 3" xfId="17411"/>
    <cellStyle name="Comma 2 2 2 3 9 4" xfId="17412"/>
    <cellStyle name="Comma 2 2 2 3 9 5" xfId="17413"/>
    <cellStyle name="Comma 2 2 2 3 9 6" xfId="17414"/>
    <cellStyle name="Comma 2 2 2 3 9 7" xfId="17415"/>
    <cellStyle name="Comma 2 2 2 3 9_Sheet1" xfId="17416"/>
    <cellStyle name="Comma 2 2 2 3_Sheet1" xfId="17417"/>
    <cellStyle name="Comma 2 2 2 30" xfId="17418"/>
    <cellStyle name="Comma 2 2 2 30 2" xfId="17419"/>
    <cellStyle name="Comma 2 2 2 30 3" xfId="17420"/>
    <cellStyle name="Comma 2 2 2 30 4" xfId="17421"/>
    <cellStyle name="Comma 2 2 2 30 5" xfId="17422"/>
    <cellStyle name="Comma 2 2 2 30 6" xfId="17423"/>
    <cellStyle name="Comma 2 2 2 30 7" xfId="17424"/>
    <cellStyle name="Comma 2 2 2 30_Sheet1" xfId="17425"/>
    <cellStyle name="Comma 2 2 2 31" xfId="17426"/>
    <cellStyle name="Comma 2 2 2 31 2" xfId="17427"/>
    <cellStyle name="Comma 2 2 2 31 3" xfId="17428"/>
    <cellStyle name="Comma 2 2 2 31 4" xfId="17429"/>
    <cellStyle name="Comma 2 2 2 31 5" xfId="17430"/>
    <cellStyle name="Comma 2 2 2 31 6" xfId="17431"/>
    <cellStyle name="Comma 2 2 2 31 7" xfId="17432"/>
    <cellStyle name="Comma 2 2 2 31_Sheet1" xfId="17433"/>
    <cellStyle name="Comma 2 2 2 32" xfId="17434"/>
    <cellStyle name="Comma 2 2 2 32 2" xfId="17435"/>
    <cellStyle name="Comma 2 2 2 32 3" xfId="17436"/>
    <cellStyle name="Comma 2 2 2 32 4" xfId="17437"/>
    <cellStyle name="Comma 2 2 2 32 5" xfId="17438"/>
    <cellStyle name="Comma 2 2 2 32 6" xfId="17439"/>
    <cellStyle name="Comma 2 2 2 32 7" xfId="17440"/>
    <cellStyle name="Comma 2 2 2 32_Sheet1" xfId="17441"/>
    <cellStyle name="Comma 2 2 2 33" xfId="17442"/>
    <cellStyle name="Comma 2 2 2 33 2" xfId="17443"/>
    <cellStyle name="Comma 2 2 2 33 3" xfId="17444"/>
    <cellStyle name="Comma 2 2 2 33 4" xfId="17445"/>
    <cellStyle name="Comma 2 2 2 33 5" xfId="17446"/>
    <cellStyle name="Comma 2 2 2 33 6" xfId="17447"/>
    <cellStyle name="Comma 2 2 2 33 7" xfId="17448"/>
    <cellStyle name="Comma 2 2 2 33_Sheet1" xfId="17449"/>
    <cellStyle name="Comma 2 2 2 34" xfId="17450"/>
    <cellStyle name="Comma 2 2 2 34 2" xfId="17451"/>
    <cellStyle name="Comma 2 2 2 34 3" xfId="17452"/>
    <cellStyle name="Comma 2 2 2 34 4" xfId="17453"/>
    <cellStyle name="Comma 2 2 2 34 5" xfId="17454"/>
    <cellStyle name="Comma 2 2 2 34 6" xfId="17455"/>
    <cellStyle name="Comma 2 2 2 34 7" xfId="17456"/>
    <cellStyle name="Comma 2 2 2 34_Sheet1" xfId="17457"/>
    <cellStyle name="Comma 2 2 2 35" xfId="17458"/>
    <cellStyle name="Comma 2 2 2 35 2" xfId="17459"/>
    <cellStyle name="Comma 2 2 2 35 3" xfId="17460"/>
    <cellStyle name="Comma 2 2 2 35 4" xfId="17461"/>
    <cellStyle name="Comma 2 2 2 35 5" xfId="17462"/>
    <cellStyle name="Comma 2 2 2 35 6" xfId="17463"/>
    <cellStyle name="Comma 2 2 2 35 7" xfId="17464"/>
    <cellStyle name="Comma 2 2 2 35_Sheet1" xfId="17465"/>
    <cellStyle name="Comma 2 2 2 36" xfId="17466"/>
    <cellStyle name="Comma 2 2 2 36 2" xfId="17467"/>
    <cellStyle name="Comma 2 2 2 36 3" xfId="17468"/>
    <cellStyle name="Comma 2 2 2 36 4" xfId="17469"/>
    <cellStyle name="Comma 2 2 2 36 5" xfId="17470"/>
    <cellStyle name="Comma 2 2 2 36 6" xfId="17471"/>
    <cellStyle name="Comma 2 2 2 36 7" xfId="17472"/>
    <cellStyle name="Comma 2 2 2 36_Sheet1" xfId="17473"/>
    <cellStyle name="Comma 2 2 2 37" xfId="17474"/>
    <cellStyle name="Comma 2 2 2 37 2" xfId="17475"/>
    <cellStyle name="Comma 2 2 2 37 3" xfId="17476"/>
    <cellStyle name="Comma 2 2 2 37 4" xfId="17477"/>
    <cellStyle name="Comma 2 2 2 37 5" xfId="17478"/>
    <cellStyle name="Comma 2 2 2 37 6" xfId="17479"/>
    <cellStyle name="Comma 2 2 2 37 7" xfId="17480"/>
    <cellStyle name="Comma 2 2 2 37_Sheet1" xfId="17481"/>
    <cellStyle name="Comma 2 2 2 38" xfId="17482"/>
    <cellStyle name="Comma 2 2 2 38 2" xfId="17483"/>
    <cellStyle name="Comma 2 2 2 38 3" xfId="17484"/>
    <cellStyle name="Comma 2 2 2 38 4" xfId="17485"/>
    <cellStyle name="Comma 2 2 2 38 5" xfId="17486"/>
    <cellStyle name="Comma 2 2 2 38 6" xfId="17487"/>
    <cellStyle name="Comma 2 2 2 38 7" xfId="17488"/>
    <cellStyle name="Comma 2 2 2 38_Sheet1" xfId="17489"/>
    <cellStyle name="Comma 2 2 2 39" xfId="17490"/>
    <cellStyle name="Comma 2 2 2 39 2" xfId="17491"/>
    <cellStyle name="Comma 2 2 2 39 3" xfId="17492"/>
    <cellStyle name="Comma 2 2 2 39 4" xfId="17493"/>
    <cellStyle name="Comma 2 2 2 39 5" xfId="17494"/>
    <cellStyle name="Comma 2 2 2 39 6" xfId="17495"/>
    <cellStyle name="Comma 2 2 2 39 7" xfId="17496"/>
    <cellStyle name="Comma 2 2 2 39_Sheet1" xfId="17497"/>
    <cellStyle name="Comma 2 2 2 4" xfId="17498"/>
    <cellStyle name="Comma 2 2 2 4 10" xfId="17499"/>
    <cellStyle name="Comma 2 2 2 4 10 2" xfId="17500"/>
    <cellStyle name="Comma 2 2 2 4 10 3" xfId="17501"/>
    <cellStyle name="Comma 2 2 2 4 10 4" xfId="17502"/>
    <cellStyle name="Comma 2 2 2 4 10 5" xfId="17503"/>
    <cellStyle name="Comma 2 2 2 4 10 6" xfId="17504"/>
    <cellStyle name="Comma 2 2 2 4 10 7" xfId="17505"/>
    <cellStyle name="Comma 2 2 2 4 10_Sheet1" xfId="17506"/>
    <cellStyle name="Comma 2 2 2 4 11" xfId="17507"/>
    <cellStyle name="Comma 2 2 2 4 11 2" xfId="17508"/>
    <cellStyle name="Comma 2 2 2 4 11 3" xfId="17509"/>
    <cellStyle name="Comma 2 2 2 4 11 4" xfId="17510"/>
    <cellStyle name="Comma 2 2 2 4 11 5" xfId="17511"/>
    <cellStyle name="Comma 2 2 2 4 11 6" xfId="17512"/>
    <cellStyle name="Comma 2 2 2 4 11 7" xfId="17513"/>
    <cellStyle name="Comma 2 2 2 4 11_Sheet1" xfId="17514"/>
    <cellStyle name="Comma 2 2 2 4 12" xfId="17515"/>
    <cellStyle name="Comma 2 2 2 4 12 2" xfId="17516"/>
    <cellStyle name="Comma 2 2 2 4 12 3" xfId="17517"/>
    <cellStyle name="Comma 2 2 2 4 12 4" xfId="17518"/>
    <cellStyle name="Comma 2 2 2 4 12 5" xfId="17519"/>
    <cellStyle name="Comma 2 2 2 4 12 6" xfId="17520"/>
    <cellStyle name="Comma 2 2 2 4 12 7" xfId="17521"/>
    <cellStyle name="Comma 2 2 2 4 12_Sheet1" xfId="17522"/>
    <cellStyle name="Comma 2 2 2 4 13" xfId="17523"/>
    <cellStyle name="Comma 2 2 2 4 13 2" xfId="17524"/>
    <cellStyle name="Comma 2 2 2 4 13 3" xfId="17525"/>
    <cellStyle name="Comma 2 2 2 4 13 4" xfId="17526"/>
    <cellStyle name="Comma 2 2 2 4 13 5" xfId="17527"/>
    <cellStyle name="Comma 2 2 2 4 13 6" xfId="17528"/>
    <cellStyle name="Comma 2 2 2 4 13 7" xfId="17529"/>
    <cellStyle name="Comma 2 2 2 4 13_Sheet1" xfId="17530"/>
    <cellStyle name="Comma 2 2 2 4 14" xfId="17531"/>
    <cellStyle name="Comma 2 2 2 4 14 2" xfId="17532"/>
    <cellStyle name="Comma 2 2 2 4 14 3" xfId="17533"/>
    <cellStyle name="Comma 2 2 2 4 14 4" xfId="17534"/>
    <cellStyle name="Comma 2 2 2 4 14 5" xfId="17535"/>
    <cellStyle name="Comma 2 2 2 4 14 6" xfId="17536"/>
    <cellStyle name="Comma 2 2 2 4 14 7" xfId="17537"/>
    <cellStyle name="Comma 2 2 2 4 14_Sheet1" xfId="17538"/>
    <cellStyle name="Comma 2 2 2 4 2" xfId="17539"/>
    <cellStyle name="Comma 2 2 2 4 2 2" xfId="17540"/>
    <cellStyle name="Comma 2 2 2 4 2 3" xfId="17541"/>
    <cellStyle name="Comma 2 2 2 4 2 4" xfId="17542"/>
    <cellStyle name="Comma 2 2 2 4 2 5" xfId="17543"/>
    <cellStyle name="Comma 2 2 2 4 2 6" xfId="17544"/>
    <cellStyle name="Comma 2 2 2 4 2 7" xfId="17545"/>
    <cellStyle name="Comma 2 2 2 4 2_Sheet1" xfId="17546"/>
    <cellStyle name="Comma 2 2 2 4 3" xfId="17547"/>
    <cellStyle name="Comma 2 2 2 4 3 2" xfId="17548"/>
    <cellStyle name="Comma 2 2 2 4 3 3" xfId="17549"/>
    <cellStyle name="Comma 2 2 2 4 3 4" xfId="17550"/>
    <cellStyle name="Comma 2 2 2 4 3 5" xfId="17551"/>
    <cellStyle name="Comma 2 2 2 4 3 6" xfId="17552"/>
    <cellStyle name="Comma 2 2 2 4 3 7" xfId="17553"/>
    <cellStyle name="Comma 2 2 2 4 3_Sheet1" xfId="17554"/>
    <cellStyle name="Comma 2 2 2 4 4" xfId="17555"/>
    <cellStyle name="Comma 2 2 2 4 4 2" xfId="17556"/>
    <cellStyle name="Comma 2 2 2 4 4 3" xfId="17557"/>
    <cellStyle name="Comma 2 2 2 4 4 4" xfId="17558"/>
    <cellStyle name="Comma 2 2 2 4 4 5" xfId="17559"/>
    <cellStyle name="Comma 2 2 2 4 4 6" xfId="17560"/>
    <cellStyle name="Comma 2 2 2 4 4 7" xfId="17561"/>
    <cellStyle name="Comma 2 2 2 4 4_Sheet1" xfId="17562"/>
    <cellStyle name="Comma 2 2 2 4 5" xfId="17563"/>
    <cellStyle name="Comma 2 2 2 4 5 2" xfId="17564"/>
    <cellStyle name="Comma 2 2 2 4 5 3" xfId="17565"/>
    <cellStyle name="Comma 2 2 2 4 5 4" xfId="17566"/>
    <cellStyle name="Comma 2 2 2 4 5 5" xfId="17567"/>
    <cellStyle name="Comma 2 2 2 4 5 6" xfId="17568"/>
    <cellStyle name="Comma 2 2 2 4 5 7" xfId="17569"/>
    <cellStyle name="Comma 2 2 2 4 5_Sheet1" xfId="17570"/>
    <cellStyle name="Comma 2 2 2 4 6" xfId="17571"/>
    <cellStyle name="Comma 2 2 2 4 6 2" xfId="17572"/>
    <cellStyle name="Comma 2 2 2 4 6 3" xfId="17573"/>
    <cellStyle name="Comma 2 2 2 4 6 4" xfId="17574"/>
    <cellStyle name="Comma 2 2 2 4 6 5" xfId="17575"/>
    <cellStyle name="Comma 2 2 2 4 6 6" xfId="17576"/>
    <cellStyle name="Comma 2 2 2 4 6 7" xfId="17577"/>
    <cellStyle name="Comma 2 2 2 4 6_Sheet1" xfId="17578"/>
    <cellStyle name="Comma 2 2 2 4 7" xfId="17579"/>
    <cellStyle name="Comma 2 2 2 4 7 2" xfId="17580"/>
    <cellStyle name="Comma 2 2 2 4 7 3" xfId="17581"/>
    <cellStyle name="Comma 2 2 2 4 7 4" xfId="17582"/>
    <cellStyle name="Comma 2 2 2 4 7 5" xfId="17583"/>
    <cellStyle name="Comma 2 2 2 4 7 6" xfId="17584"/>
    <cellStyle name="Comma 2 2 2 4 7 7" xfId="17585"/>
    <cellStyle name="Comma 2 2 2 4 7_Sheet1" xfId="17586"/>
    <cellStyle name="Comma 2 2 2 4 8" xfId="17587"/>
    <cellStyle name="Comma 2 2 2 4 8 2" xfId="17588"/>
    <cellStyle name="Comma 2 2 2 4 8 3" xfId="17589"/>
    <cellStyle name="Comma 2 2 2 4 8 4" xfId="17590"/>
    <cellStyle name="Comma 2 2 2 4 8 5" xfId="17591"/>
    <cellStyle name="Comma 2 2 2 4 8 6" xfId="17592"/>
    <cellStyle name="Comma 2 2 2 4 8 7" xfId="17593"/>
    <cellStyle name="Comma 2 2 2 4 8_Sheet1" xfId="17594"/>
    <cellStyle name="Comma 2 2 2 4 9" xfId="17595"/>
    <cellStyle name="Comma 2 2 2 4 9 2" xfId="17596"/>
    <cellStyle name="Comma 2 2 2 4 9 3" xfId="17597"/>
    <cellStyle name="Comma 2 2 2 4 9 4" xfId="17598"/>
    <cellStyle name="Comma 2 2 2 4 9 5" xfId="17599"/>
    <cellStyle name="Comma 2 2 2 4 9 6" xfId="17600"/>
    <cellStyle name="Comma 2 2 2 4 9 7" xfId="17601"/>
    <cellStyle name="Comma 2 2 2 4 9_Sheet1" xfId="17602"/>
    <cellStyle name="Comma 2 2 2 4_Sheet1" xfId="17603"/>
    <cellStyle name="Comma 2 2 2 40" xfId="17604"/>
    <cellStyle name="Comma 2 2 2 40 2" xfId="17605"/>
    <cellStyle name="Comma 2 2 2 40 3" xfId="17606"/>
    <cellStyle name="Comma 2 2 2 40 4" xfId="17607"/>
    <cellStyle name="Comma 2 2 2 40 5" xfId="17608"/>
    <cellStyle name="Comma 2 2 2 40 6" xfId="17609"/>
    <cellStyle name="Comma 2 2 2 40 7" xfId="17610"/>
    <cellStyle name="Comma 2 2 2 40_Sheet1" xfId="17611"/>
    <cellStyle name="Comma 2 2 2 41" xfId="17612"/>
    <cellStyle name="Comma 2 2 2 41 2" xfId="17613"/>
    <cellStyle name="Comma 2 2 2 41 3" xfId="17614"/>
    <cellStyle name="Comma 2 2 2 41 4" xfId="17615"/>
    <cellStyle name="Comma 2 2 2 41 5" xfId="17616"/>
    <cellStyle name="Comma 2 2 2 41 6" xfId="17617"/>
    <cellStyle name="Comma 2 2 2 41 7" xfId="17618"/>
    <cellStyle name="Comma 2 2 2 41_Sheet1" xfId="17619"/>
    <cellStyle name="Comma 2 2 2 42" xfId="17620"/>
    <cellStyle name="Comma 2 2 2 42 2" xfId="17621"/>
    <cellStyle name="Comma 2 2 2 42 3" xfId="17622"/>
    <cellStyle name="Comma 2 2 2 42 4" xfId="17623"/>
    <cellStyle name="Comma 2 2 2 42 5" xfId="17624"/>
    <cellStyle name="Comma 2 2 2 42 6" xfId="17625"/>
    <cellStyle name="Comma 2 2 2 42 7" xfId="17626"/>
    <cellStyle name="Comma 2 2 2 42_Sheet1" xfId="17627"/>
    <cellStyle name="Comma 2 2 2 43" xfId="17628"/>
    <cellStyle name="Comma 2 2 2 43 2" xfId="17629"/>
    <cellStyle name="Comma 2 2 2 43 3" xfId="17630"/>
    <cellStyle name="Comma 2 2 2 43 4" xfId="17631"/>
    <cellStyle name="Comma 2 2 2 43 5" xfId="17632"/>
    <cellStyle name="Comma 2 2 2 43 6" xfId="17633"/>
    <cellStyle name="Comma 2 2 2 43 7" xfId="17634"/>
    <cellStyle name="Comma 2 2 2 43_Sheet1" xfId="17635"/>
    <cellStyle name="Comma 2 2 2 44" xfId="17636"/>
    <cellStyle name="Comma 2 2 2 44 2" xfId="17637"/>
    <cellStyle name="Comma 2 2 2 44 3" xfId="17638"/>
    <cellStyle name="Comma 2 2 2 44 4" xfId="17639"/>
    <cellStyle name="Comma 2 2 2 44 5" xfId="17640"/>
    <cellStyle name="Comma 2 2 2 44 6" xfId="17641"/>
    <cellStyle name="Comma 2 2 2 44 7" xfId="17642"/>
    <cellStyle name="Comma 2 2 2 44_Sheet1" xfId="17643"/>
    <cellStyle name="Comma 2 2 2 45" xfId="17644"/>
    <cellStyle name="Comma 2 2 2 45 2" xfId="17645"/>
    <cellStyle name="Comma 2 2 2 45 3" xfId="17646"/>
    <cellStyle name="Comma 2 2 2 45 4" xfId="17647"/>
    <cellStyle name="Comma 2 2 2 45 5" xfId="17648"/>
    <cellStyle name="Comma 2 2 2 45 6" xfId="17649"/>
    <cellStyle name="Comma 2 2 2 45 7" xfId="17650"/>
    <cellStyle name="Comma 2 2 2 45_Sheet1" xfId="17651"/>
    <cellStyle name="Comma 2 2 2 46" xfId="17652"/>
    <cellStyle name="Comma 2 2 2 46 2" xfId="17653"/>
    <cellStyle name="Comma 2 2 2 46 3" xfId="17654"/>
    <cellStyle name="Comma 2 2 2 46 4" xfId="17655"/>
    <cellStyle name="Comma 2 2 2 46 5" xfId="17656"/>
    <cellStyle name="Comma 2 2 2 46 6" xfId="17657"/>
    <cellStyle name="Comma 2 2 2 46 7" xfId="17658"/>
    <cellStyle name="Comma 2 2 2 46_Sheet1" xfId="17659"/>
    <cellStyle name="Comma 2 2 2 47" xfId="17660"/>
    <cellStyle name="Comma 2 2 2 47 2" xfId="17661"/>
    <cellStyle name="Comma 2 2 2 47 3" xfId="17662"/>
    <cellStyle name="Comma 2 2 2 47 4" xfId="17663"/>
    <cellStyle name="Comma 2 2 2 47 5" xfId="17664"/>
    <cellStyle name="Comma 2 2 2 47 6" xfId="17665"/>
    <cellStyle name="Comma 2 2 2 47 7" xfId="17666"/>
    <cellStyle name="Comma 2 2 2 47_Sheet1" xfId="17667"/>
    <cellStyle name="Comma 2 2 2 48" xfId="17668"/>
    <cellStyle name="Comma 2 2 2 48 2" xfId="17669"/>
    <cellStyle name="Comma 2 2 2 48 3" xfId="17670"/>
    <cellStyle name="Comma 2 2 2 48 4" xfId="17671"/>
    <cellStyle name="Comma 2 2 2 48 5" xfId="17672"/>
    <cellStyle name="Comma 2 2 2 48 6" xfId="17673"/>
    <cellStyle name="Comma 2 2 2 48 7" xfId="17674"/>
    <cellStyle name="Comma 2 2 2 48_Sheet1" xfId="17675"/>
    <cellStyle name="Comma 2 2 2 49" xfId="17676"/>
    <cellStyle name="Comma 2 2 2 49 2" xfId="17677"/>
    <cellStyle name="Comma 2 2 2 49 3" xfId="17678"/>
    <cellStyle name="Comma 2 2 2 49 4" xfId="17679"/>
    <cellStyle name="Comma 2 2 2 49 5" xfId="17680"/>
    <cellStyle name="Comma 2 2 2 49 6" xfId="17681"/>
    <cellStyle name="Comma 2 2 2 49 7" xfId="17682"/>
    <cellStyle name="Comma 2 2 2 49_Sheet1" xfId="17683"/>
    <cellStyle name="Comma 2 2 2 5" xfId="17684"/>
    <cellStyle name="Comma 2 2 2 5 10" xfId="17685"/>
    <cellStyle name="Comma 2 2 2 5 10 2" xfId="17686"/>
    <cellStyle name="Comma 2 2 2 5 10 3" xfId="17687"/>
    <cellStyle name="Comma 2 2 2 5 10 4" xfId="17688"/>
    <cellStyle name="Comma 2 2 2 5 10 5" xfId="17689"/>
    <cellStyle name="Comma 2 2 2 5 10 6" xfId="17690"/>
    <cellStyle name="Comma 2 2 2 5 10 7" xfId="17691"/>
    <cellStyle name="Comma 2 2 2 5 10_Sheet1" xfId="17692"/>
    <cellStyle name="Comma 2 2 2 5 11" xfId="17693"/>
    <cellStyle name="Comma 2 2 2 5 11 2" xfId="17694"/>
    <cellStyle name="Comma 2 2 2 5 11 3" xfId="17695"/>
    <cellStyle name="Comma 2 2 2 5 11 4" xfId="17696"/>
    <cellStyle name="Comma 2 2 2 5 11 5" xfId="17697"/>
    <cellStyle name="Comma 2 2 2 5 11 6" xfId="17698"/>
    <cellStyle name="Comma 2 2 2 5 11 7" xfId="17699"/>
    <cellStyle name="Comma 2 2 2 5 11_Sheet1" xfId="17700"/>
    <cellStyle name="Comma 2 2 2 5 12" xfId="17701"/>
    <cellStyle name="Comma 2 2 2 5 12 2" xfId="17702"/>
    <cellStyle name="Comma 2 2 2 5 12 3" xfId="17703"/>
    <cellStyle name="Comma 2 2 2 5 12 4" xfId="17704"/>
    <cellStyle name="Comma 2 2 2 5 12 5" xfId="17705"/>
    <cellStyle name="Comma 2 2 2 5 12 6" xfId="17706"/>
    <cellStyle name="Comma 2 2 2 5 12 7" xfId="17707"/>
    <cellStyle name="Comma 2 2 2 5 12_Sheet1" xfId="17708"/>
    <cellStyle name="Comma 2 2 2 5 13" xfId="17709"/>
    <cellStyle name="Comma 2 2 2 5 13 2" xfId="17710"/>
    <cellStyle name="Comma 2 2 2 5 13 3" xfId="17711"/>
    <cellStyle name="Comma 2 2 2 5 13 4" xfId="17712"/>
    <cellStyle name="Comma 2 2 2 5 13 5" xfId="17713"/>
    <cellStyle name="Comma 2 2 2 5 13 6" xfId="17714"/>
    <cellStyle name="Comma 2 2 2 5 13 7" xfId="17715"/>
    <cellStyle name="Comma 2 2 2 5 13_Sheet1" xfId="17716"/>
    <cellStyle name="Comma 2 2 2 5 14" xfId="17717"/>
    <cellStyle name="Comma 2 2 2 5 14 2" xfId="17718"/>
    <cellStyle name="Comma 2 2 2 5 14 3" xfId="17719"/>
    <cellStyle name="Comma 2 2 2 5 14 4" xfId="17720"/>
    <cellStyle name="Comma 2 2 2 5 14 5" xfId="17721"/>
    <cellStyle name="Comma 2 2 2 5 14 6" xfId="17722"/>
    <cellStyle name="Comma 2 2 2 5 14 7" xfId="17723"/>
    <cellStyle name="Comma 2 2 2 5 14_Sheet1" xfId="17724"/>
    <cellStyle name="Comma 2 2 2 5 2" xfId="17725"/>
    <cellStyle name="Comma 2 2 2 5 2 2" xfId="17726"/>
    <cellStyle name="Comma 2 2 2 5 2 3" xfId="17727"/>
    <cellStyle name="Comma 2 2 2 5 2 4" xfId="17728"/>
    <cellStyle name="Comma 2 2 2 5 2 5" xfId="17729"/>
    <cellStyle name="Comma 2 2 2 5 2 6" xfId="17730"/>
    <cellStyle name="Comma 2 2 2 5 2 7" xfId="17731"/>
    <cellStyle name="Comma 2 2 2 5 2_Sheet1" xfId="17732"/>
    <cellStyle name="Comma 2 2 2 5 3" xfId="17733"/>
    <cellStyle name="Comma 2 2 2 5 3 2" xfId="17734"/>
    <cellStyle name="Comma 2 2 2 5 3 3" xfId="17735"/>
    <cellStyle name="Comma 2 2 2 5 3 4" xfId="17736"/>
    <cellStyle name="Comma 2 2 2 5 3 5" xfId="17737"/>
    <cellStyle name="Comma 2 2 2 5 3 6" xfId="17738"/>
    <cellStyle name="Comma 2 2 2 5 3 7" xfId="17739"/>
    <cellStyle name="Comma 2 2 2 5 3_Sheet1" xfId="17740"/>
    <cellStyle name="Comma 2 2 2 5 4" xfId="17741"/>
    <cellStyle name="Comma 2 2 2 5 4 2" xfId="17742"/>
    <cellStyle name="Comma 2 2 2 5 4 3" xfId="17743"/>
    <cellStyle name="Comma 2 2 2 5 4 4" xfId="17744"/>
    <cellStyle name="Comma 2 2 2 5 4 5" xfId="17745"/>
    <cellStyle name="Comma 2 2 2 5 4 6" xfId="17746"/>
    <cellStyle name="Comma 2 2 2 5 4 7" xfId="17747"/>
    <cellStyle name="Comma 2 2 2 5 4_Sheet1" xfId="17748"/>
    <cellStyle name="Comma 2 2 2 5 5" xfId="17749"/>
    <cellStyle name="Comma 2 2 2 5 5 2" xfId="17750"/>
    <cellStyle name="Comma 2 2 2 5 5 3" xfId="17751"/>
    <cellStyle name="Comma 2 2 2 5 5 4" xfId="17752"/>
    <cellStyle name="Comma 2 2 2 5 5 5" xfId="17753"/>
    <cellStyle name="Comma 2 2 2 5 5 6" xfId="17754"/>
    <cellStyle name="Comma 2 2 2 5 5 7" xfId="17755"/>
    <cellStyle name="Comma 2 2 2 5 5_Sheet1" xfId="17756"/>
    <cellStyle name="Comma 2 2 2 5 6" xfId="17757"/>
    <cellStyle name="Comma 2 2 2 5 6 2" xfId="17758"/>
    <cellStyle name="Comma 2 2 2 5 6 3" xfId="17759"/>
    <cellStyle name="Comma 2 2 2 5 6 4" xfId="17760"/>
    <cellStyle name="Comma 2 2 2 5 6 5" xfId="17761"/>
    <cellStyle name="Comma 2 2 2 5 6 6" xfId="17762"/>
    <cellStyle name="Comma 2 2 2 5 6 7" xfId="17763"/>
    <cellStyle name="Comma 2 2 2 5 6_Sheet1" xfId="17764"/>
    <cellStyle name="Comma 2 2 2 5 7" xfId="17765"/>
    <cellStyle name="Comma 2 2 2 5 7 2" xfId="17766"/>
    <cellStyle name="Comma 2 2 2 5 7 3" xfId="17767"/>
    <cellStyle name="Comma 2 2 2 5 7 4" xfId="17768"/>
    <cellStyle name="Comma 2 2 2 5 7 5" xfId="17769"/>
    <cellStyle name="Comma 2 2 2 5 7 6" xfId="17770"/>
    <cellStyle name="Comma 2 2 2 5 7 7" xfId="17771"/>
    <cellStyle name="Comma 2 2 2 5 7_Sheet1" xfId="17772"/>
    <cellStyle name="Comma 2 2 2 5 8" xfId="17773"/>
    <cellStyle name="Comma 2 2 2 5 8 2" xfId="17774"/>
    <cellStyle name="Comma 2 2 2 5 8 3" xfId="17775"/>
    <cellStyle name="Comma 2 2 2 5 8 4" xfId="17776"/>
    <cellStyle name="Comma 2 2 2 5 8 5" xfId="17777"/>
    <cellStyle name="Comma 2 2 2 5 8 6" xfId="17778"/>
    <cellStyle name="Comma 2 2 2 5 8 7" xfId="17779"/>
    <cellStyle name="Comma 2 2 2 5 8_Sheet1" xfId="17780"/>
    <cellStyle name="Comma 2 2 2 5 9" xfId="17781"/>
    <cellStyle name="Comma 2 2 2 5 9 2" xfId="17782"/>
    <cellStyle name="Comma 2 2 2 5 9 3" xfId="17783"/>
    <cellStyle name="Comma 2 2 2 5 9 4" xfId="17784"/>
    <cellStyle name="Comma 2 2 2 5 9 5" xfId="17785"/>
    <cellStyle name="Comma 2 2 2 5 9 6" xfId="17786"/>
    <cellStyle name="Comma 2 2 2 5 9 7" xfId="17787"/>
    <cellStyle name="Comma 2 2 2 5 9_Sheet1" xfId="17788"/>
    <cellStyle name="Comma 2 2 2 5_Sheet1" xfId="17789"/>
    <cellStyle name="Comma 2 2 2 50" xfId="17790"/>
    <cellStyle name="Comma 2 2 2 51" xfId="17791"/>
    <cellStyle name="Comma 2 2 2 52" xfId="17792"/>
    <cellStyle name="Comma 2 2 2 53" xfId="17793"/>
    <cellStyle name="Comma 2 2 2 54" xfId="17794"/>
    <cellStyle name="Comma 2 2 2 55" xfId="17795"/>
    <cellStyle name="Comma 2 2 2 56" xfId="17796"/>
    <cellStyle name="Comma 2 2 2 57" xfId="17797"/>
    <cellStyle name="Comma 2 2 2 58" xfId="17798"/>
    <cellStyle name="Comma 2 2 2 59" xfId="17799"/>
    <cellStyle name="Comma 2 2 2 6" xfId="17800"/>
    <cellStyle name="Comma 2 2 2 6 10" xfId="17801"/>
    <cellStyle name="Comma 2 2 2 6 10 2" xfId="17802"/>
    <cellStyle name="Comma 2 2 2 6 10 3" xfId="17803"/>
    <cellStyle name="Comma 2 2 2 6 10 4" xfId="17804"/>
    <cellStyle name="Comma 2 2 2 6 10 5" xfId="17805"/>
    <cellStyle name="Comma 2 2 2 6 10 6" xfId="17806"/>
    <cellStyle name="Comma 2 2 2 6 10 7" xfId="17807"/>
    <cellStyle name="Comma 2 2 2 6 10_Sheet1" xfId="17808"/>
    <cellStyle name="Comma 2 2 2 6 11" xfId="17809"/>
    <cellStyle name="Comma 2 2 2 6 11 2" xfId="17810"/>
    <cellStyle name="Comma 2 2 2 6 11 3" xfId="17811"/>
    <cellStyle name="Comma 2 2 2 6 11 4" xfId="17812"/>
    <cellStyle name="Comma 2 2 2 6 11 5" xfId="17813"/>
    <cellStyle name="Comma 2 2 2 6 11 6" xfId="17814"/>
    <cellStyle name="Comma 2 2 2 6 11 7" xfId="17815"/>
    <cellStyle name="Comma 2 2 2 6 11_Sheet1" xfId="17816"/>
    <cellStyle name="Comma 2 2 2 6 12" xfId="17817"/>
    <cellStyle name="Comma 2 2 2 6 12 2" xfId="17818"/>
    <cellStyle name="Comma 2 2 2 6 12 3" xfId="17819"/>
    <cellStyle name="Comma 2 2 2 6 12 4" xfId="17820"/>
    <cellStyle name="Comma 2 2 2 6 12 5" xfId="17821"/>
    <cellStyle name="Comma 2 2 2 6 12 6" xfId="17822"/>
    <cellStyle name="Comma 2 2 2 6 12 7" xfId="17823"/>
    <cellStyle name="Comma 2 2 2 6 12_Sheet1" xfId="17824"/>
    <cellStyle name="Comma 2 2 2 6 13" xfId="17825"/>
    <cellStyle name="Comma 2 2 2 6 13 2" xfId="17826"/>
    <cellStyle name="Comma 2 2 2 6 13 3" xfId="17827"/>
    <cellStyle name="Comma 2 2 2 6 13 4" xfId="17828"/>
    <cellStyle name="Comma 2 2 2 6 13 5" xfId="17829"/>
    <cellStyle name="Comma 2 2 2 6 13 6" xfId="17830"/>
    <cellStyle name="Comma 2 2 2 6 13 7" xfId="17831"/>
    <cellStyle name="Comma 2 2 2 6 13_Sheet1" xfId="17832"/>
    <cellStyle name="Comma 2 2 2 6 14" xfId="17833"/>
    <cellStyle name="Comma 2 2 2 6 14 2" xfId="17834"/>
    <cellStyle name="Comma 2 2 2 6 14 3" xfId="17835"/>
    <cellStyle name="Comma 2 2 2 6 14 4" xfId="17836"/>
    <cellStyle name="Comma 2 2 2 6 14 5" xfId="17837"/>
    <cellStyle name="Comma 2 2 2 6 14 6" xfId="17838"/>
    <cellStyle name="Comma 2 2 2 6 14 7" xfId="17839"/>
    <cellStyle name="Comma 2 2 2 6 14_Sheet1" xfId="17840"/>
    <cellStyle name="Comma 2 2 2 6 2" xfId="17841"/>
    <cellStyle name="Comma 2 2 2 6 2 2" xfId="17842"/>
    <cellStyle name="Comma 2 2 2 6 2 3" xfId="17843"/>
    <cellStyle name="Comma 2 2 2 6 2 4" xfId="17844"/>
    <cellStyle name="Comma 2 2 2 6 2 5" xfId="17845"/>
    <cellStyle name="Comma 2 2 2 6 2 6" xfId="17846"/>
    <cellStyle name="Comma 2 2 2 6 2 7" xfId="17847"/>
    <cellStyle name="Comma 2 2 2 6 2_Sheet1" xfId="17848"/>
    <cellStyle name="Comma 2 2 2 6 3" xfId="17849"/>
    <cellStyle name="Comma 2 2 2 6 3 2" xfId="17850"/>
    <cellStyle name="Comma 2 2 2 6 3 3" xfId="17851"/>
    <cellStyle name="Comma 2 2 2 6 3 4" xfId="17852"/>
    <cellStyle name="Comma 2 2 2 6 3 5" xfId="17853"/>
    <cellStyle name="Comma 2 2 2 6 3 6" xfId="17854"/>
    <cellStyle name="Comma 2 2 2 6 3 7" xfId="17855"/>
    <cellStyle name="Comma 2 2 2 6 3_Sheet1" xfId="17856"/>
    <cellStyle name="Comma 2 2 2 6 4" xfId="17857"/>
    <cellStyle name="Comma 2 2 2 6 4 2" xfId="17858"/>
    <cellStyle name="Comma 2 2 2 6 4 3" xfId="17859"/>
    <cellStyle name="Comma 2 2 2 6 4 4" xfId="17860"/>
    <cellStyle name="Comma 2 2 2 6 4 5" xfId="17861"/>
    <cellStyle name="Comma 2 2 2 6 4 6" xfId="17862"/>
    <cellStyle name="Comma 2 2 2 6 4 7" xfId="17863"/>
    <cellStyle name="Comma 2 2 2 6 4_Sheet1" xfId="17864"/>
    <cellStyle name="Comma 2 2 2 6 5" xfId="17865"/>
    <cellStyle name="Comma 2 2 2 6 5 2" xfId="17866"/>
    <cellStyle name="Comma 2 2 2 6 5 3" xfId="17867"/>
    <cellStyle name="Comma 2 2 2 6 5 4" xfId="17868"/>
    <cellStyle name="Comma 2 2 2 6 5 5" xfId="17869"/>
    <cellStyle name="Comma 2 2 2 6 5 6" xfId="17870"/>
    <cellStyle name="Comma 2 2 2 6 5 7" xfId="17871"/>
    <cellStyle name="Comma 2 2 2 6 5_Sheet1" xfId="17872"/>
    <cellStyle name="Comma 2 2 2 6 6" xfId="17873"/>
    <cellStyle name="Comma 2 2 2 6 6 2" xfId="17874"/>
    <cellStyle name="Comma 2 2 2 6 6 3" xfId="17875"/>
    <cellStyle name="Comma 2 2 2 6 6 4" xfId="17876"/>
    <cellStyle name="Comma 2 2 2 6 6 5" xfId="17877"/>
    <cellStyle name="Comma 2 2 2 6 6 6" xfId="17878"/>
    <cellStyle name="Comma 2 2 2 6 6 7" xfId="17879"/>
    <cellStyle name="Comma 2 2 2 6 6_Sheet1" xfId="17880"/>
    <cellStyle name="Comma 2 2 2 6 7" xfId="17881"/>
    <cellStyle name="Comma 2 2 2 6 7 2" xfId="17882"/>
    <cellStyle name="Comma 2 2 2 6 7 3" xfId="17883"/>
    <cellStyle name="Comma 2 2 2 6 7 4" xfId="17884"/>
    <cellStyle name="Comma 2 2 2 6 7 5" xfId="17885"/>
    <cellStyle name="Comma 2 2 2 6 7 6" xfId="17886"/>
    <cellStyle name="Comma 2 2 2 6 7 7" xfId="17887"/>
    <cellStyle name="Comma 2 2 2 6 7_Sheet1" xfId="17888"/>
    <cellStyle name="Comma 2 2 2 6 8" xfId="17889"/>
    <cellStyle name="Comma 2 2 2 6 8 2" xfId="17890"/>
    <cellStyle name="Comma 2 2 2 6 8 3" xfId="17891"/>
    <cellStyle name="Comma 2 2 2 6 8 4" xfId="17892"/>
    <cellStyle name="Comma 2 2 2 6 8 5" xfId="17893"/>
    <cellStyle name="Comma 2 2 2 6 8 6" xfId="17894"/>
    <cellStyle name="Comma 2 2 2 6 8 7" xfId="17895"/>
    <cellStyle name="Comma 2 2 2 6 8_Sheet1" xfId="17896"/>
    <cellStyle name="Comma 2 2 2 6 9" xfId="17897"/>
    <cellStyle name="Comma 2 2 2 6 9 2" xfId="17898"/>
    <cellStyle name="Comma 2 2 2 6 9 3" xfId="17899"/>
    <cellStyle name="Comma 2 2 2 6 9 4" xfId="17900"/>
    <cellStyle name="Comma 2 2 2 6 9 5" xfId="17901"/>
    <cellStyle name="Comma 2 2 2 6 9 6" xfId="17902"/>
    <cellStyle name="Comma 2 2 2 6 9 7" xfId="17903"/>
    <cellStyle name="Comma 2 2 2 6 9_Sheet1" xfId="17904"/>
    <cellStyle name="Comma 2 2 2 6_Sheet1" xfId="17905"/>
    <cellStyle name="Comma 2 2 2 60" xfId="17906"/>
    <cellStyle name="Comma 2 2 2 61" xfId="17907"/>
    <cellStyle name="Comma 2 2 2 62" xfId="17908"/>
    <cellStyle name="Comma 2 2 2 63" xfId="17909"/>
    <cellStyle name="Comma 2 2 2 7" xfId="17910"/>
    <cellStyle name="Comma 2 2 2 7 2" xfId="17911"/>
    <cellStyle name="Comma 2 2 2 7 2 2" xfId="17912"/>
    <cellStyle name="Comma 2 2 2 7 2 3" xfId="17913"/>
    <cellStyle name="Comma 2 2 2 7 2 4" xfId="17914"/>
    <cellStyle name="Comma 2 2 2 7 2 5" xfId="17915"/>
    <cellStyle name="Comma 2 2 2 7 2 6" xfId="17916"/>
    <cellStyle name="Comma 2 2 2 7 2 7" xfId="17917"/>
    <cellStyle name="Comma 2 2 2 7 2_Sheet1" xfId="17918"/>
    <cellStyle name="Comma 2 2 2 7 3" xfId="17919"/>
    <cellStyle name="Comma 2 2 2 7 3 2" xfId="17920"/>
    <cellStyle name="Comma 2 2 2 7 3 3" xfId="17921"/>
    <cellStyle name="Comma 2 2 2 7 3 4" xfId="17922"/>
    <cellStyle name="Comma 2 2 2 7 3 5" xfId="17923"/>
    <cellStyle name="Comma 2 2 2 7 3 6" xfId="17924"/>
    <cellStyle name="Comma 2 2 2 7 3 7" xfId="17925"/>
    <cellStyle name="Comma 2 2 2 7 3_Sheet1" xfId="17926"/>
    <cellStyle name="Comma 2 2 2 7 4" xfId="17927"/>
    <cellStyle name="Comma 2 2 2 7 4 2" xfId="17928"/>
    <cellStyle name="Comma 2 2 2 7 4 3" xfId="17929"/>
    <cellStyle name="Comma 2 2 2 7 4 4" xfId="17930"/>
    <cellStyle name="Comma 2 2 2 7 4 5" xfId="17931"/>
    <cellStyle name="Comma 2 2 2 7 4 6" xfId="17932"/>
    <cellStyle name="Comma 2 2 2 7 4 7" xfId="17933"/>
    <cellStyle name="Comma 2 2 2 7 4_Sheet1" xfId="17934"/>
    <cellStyle name="Comma 2 2 2 7_Sheet1" xfId="17935"/>
    <cellStyle name="Comma 2 2 2 8" xfId="17936"/>
    <cellStyle name="Comma 2 2 2 8 2" xfId="17937"/>
    <cellStyle name="Comma 2 2 2 8 2 2" xfId="17938"/>
    <cellStyle name="Comma 2 2 2 8 2 3" xfId="17939"/>
    <cellStyle name="Comma 2 2 2 8 2 4" xfId="17940"/>
    <cellStyle name="Comma 2 2 2 8 2 5" xfId="17941"/>
    <cellStyle name="Comma 2 2 2 8 2 6" xfId="17942"/>
    <cellStyle name="Comma 2 2 2 8 2 7" xfId="17943"/>
    <cellStyle name="Comma 2 2 2 8 2_Sheet1" xfId="17944"/>
    <cellStyle name="Comma 2 2 2 8 3" xfId="17945"/>
    <cellStyle name="Comma 2 2 2 8 3 2" xfId="17946"/>
    <cellStyle name="Comma 2 2 2 8 3 3" xfId="17947"/>
    <cellStyle name="Comma 2 2 2 8 3 4" xfId="17948"/>
    <cellStyle name="Comma 2 2 2 8 3 5" xfId="17949"/>
    <cellStyle name="Comma 2 2 2 8 3 6" xfId="17950"/>
    <cellStyle name="Comma 2 2 2 8 3 7" xfId="17951"/>
    <cellStyle name="Comma 2 2 2 8 3_Sheet1" xfId="17952"/>
    <cellStyle name="Comma 2 2 2 8 4" xfId="17953"/>
    <cellStyle name="Comma 2 2 2 8 4 2" xfId="17954"/>
    <cellStyle name="Comma 2 2 2 8 4 3" xfId="17955"/>
    <cellStyle name="Comma 2 2 2 8 4 4" xfId="17956"/>
    <cellStyle name="Comma 2 2 2 8 4 5" xfId="17957"/>
    <cellStyle name="Comma 2 2 2 8 4 6" xfId="17958"/>
    <cellStyle name="Comma 2 2 2 8 4 7" xfId="17959"/>
    <cellStyle name="Comma 2 2 2 8 4_Sheet1" xfId="17960"/>
    <cellStyle name="Comma 2 2 2 8_Sheet1" xfId="17961"/>
    <cellStyle name="Comma 2 2 2 9" xfId="17962"/>
    <cellStyle name="Comma 2 2 2 9 2" xfId="17963"/>
    <cellStyle name="Comma 2 2 2 9 2 2" xfId="17964"/>
    <cellStyle name="Comma 2 2 2 9 2 3" xfId="17965"/>
    <cellStyle name="Comma 2 2 2 9 2 4" xfId="17966"/>
    <cellStyle name="Comma 2 2 2 9 2 5" xfId="17967"/>
    <cellStyle name="Comma 2 2 2 9 2 6" xfId="17968"/>
    <cellStyle name="Comma 2 2 2 9 2 7" xfId="17969"/>
    <cellStyle name="Comma 2 2 2 9 2_Sheet1" xfId="17970"/>
    <cellStyle name="Comma 2 2 2 9 3" xfId="17971"/>
    <cellStyle name="Comma 2 2 2 9 3 2" xfId="17972"/>
    <cellStyle name="Comma 2 2 2 9 3 3" xfId="17973"/>
    <cellStyle name="Comma 2 2 2 9 3 4" xfId="17974"/>
    <cellStyle name="Comma 2 2 2 9 3 5" xfId="17975"/>
    <cellStyle name="Comma 2 2 2 9 3 6" xfId="17976"/>
    <cellStyle name="Comma 2 2 2 9 3 7" xfId="17977"/>
    <cellStyle name="Comma 2 2 2 9 3_Sheet1" xfId="17978"/>
    <cellStyle name="Comma 2 2 2 9 4" xfId="17979"/>
    <cellStyle name="Comma 2 2 2 9 4 2" xfId="17980"/>
    <cellStyle name="Comma 2 2 2 9 4 3" xfId="17981"/>
    <cellStyle name="Comma 2 2 2 9 4 4" xfId="17982"/>
    <cellStyle name="Comma 2 2 2 9 4 5" xfId="17983"/>
    <cellStyle name="Comma 2 2 2 9 4 6" xfId="17984"/>
    <cellStyle name="Comma 2 2 2 9 4 7" xfId="17985"/>
    <cellStyle name="Comma 2 2 2 9 4_Sheet1" xfId="17986"/>
    <cellStyle name="Comma 2 2 2 9_Sheet1" xfId="17987"/>
    <cellStyle name="Comma 2 2 2_Sheet1" xfId="17988"/>
    <cellStyle name="Comma 2 2 20" xfId="17989"/>
    <cellStyle name="Comma 2 2 20 10" xfId="17990"/>
    <cellStyle name="Comma 2 2 20 2" xfId="17991"/>
    <cellStyle name="Comma 2 2 20 3" xfId="17992"/>
    <cellStyle name="Comma 2 2 20 4" xfId="17993"/>
    <cellStyle name="Comma 2 2 20 5" xfId="17994"/>
    <cellStyle name="Comma 2 2 20 6" xfId="17995"/>
    <cellStyle name="Comma 2 2 20 7" xfId="17996"/>
    <cellStyle name="Comma 2 2 20 8" xfId="17997"/>
    <cellStyle name="Comma 2 2 20 9" xfId="17998"/>
    <cellStyle name="Comma 2 2 20_Sheet1" xfId="17999"/>
    <cellStyle name="Comma 2 2 21" xfId="18000"/>
    <cellStyle name="Comma 2 2 21 10" xfId="18001"/>
    <cellStyle name="Comma 2 2 21 2" xfId="18002"/>
    <cellStyle name="Comma 2 2 21 3" xfId="18003"/>
    <cellStyle name="Comma 2 2 21 4" xfId="18004"/>
    <cellStyle name="Comma 2 2 21 5" xfId="18005"/>
    <cellStyle name="Comma 2 2 21 6" xfId="18006"/>
    <cellStyle name="Comma 2 2 21 7" xfId="18007"/>
    <cellStyle name="Comma 2 2 21 8" xfId="18008"/>
    <cellStyle name="Comma 2 2 21 9" xfId="18009"/>
    <cellStyle name="Comma 2 2 21_Sheet1" xfId="18010"/>
    <cellStyle name="Comma 2 2 22" xfId="18011"/>
    <cellStyle name="Comma 2 2 22 10" xfId="18012"/>
    <cellStyle name="Comma 2 2 22 2" xfId="18013"/>
    <cellStyle name="Comma 2 2 22 3" xfId="18014"/>
    <cellStyle name="Comma 2 2 22 4" xfId="18015"/>
    <cellStyle name="Comma 2 2 22 5" xfId="18016"/>
    <cellStyle name="Comma 2 2 22 6" xfId="18017"/>
    <cellStyle name="Comma 2 2 22 7" xfId="18018"/>
    <cellStyle name="Comma 2 2 22 8" xfId="18019"/>
    <cellStyle name="Comma 2 2 22 9" xfId="18020"/>
    <cellStyle name="Comma 2 2 22_Sheet1" xfId="18021"/>
    <cellStyle name="Comma 2 2 23" xfId="18022"/>
    <cellStyle name="Comma 2 2 23 10" xfId="18023"/>
    <cellStyle name="Comma 2 2 23 2" xfId="18024"/>
    <cellStyle name="Comma 2 2 23 3" xfId="18025"/>
    <cellStyle name="Comma 2 2 23 4" xfId="18026"/>
    <cellStyle name="Comma 2 2 23 5" xfId="18027"/>
    <cellStyle name="Comma 2 2 23 6" xfId="18028"/>
    <cellStyle name="Comma 2 2 23 7" xfId="18029"/>
    <cellStyle name="Comma 2 2 23 8" xfId="18030"/>
    <cellStyle name="Comma 2 2 23 9" xfId="18031"/>
    <cellStyle name="Comma 2 2 23_Sheet1" xfId="18032"/>
    <cellStyle name="Comma 2 2 24" xfId="18033"/>
    <cellStyle name="Comma 2 2 24 10" xfId="18034"/>
    <cellStyle name="Comma 2 2 24 2" xfId="18035"/>
    <cellStyle name="Comma 2 2 24 3" xfId="18036"/>
    <cellStyle name="Comma 2 2 24 4" xfId="18037"/>
    <cellStyle name="Comma 2 2 24 5" xfId="18038"/>
    <cellStyle name="Comma 2 2 24 6" xfId="18039"/>
    <cellStyle name="Comma 2 2 24 7" xfId="18040"/>
    <cellStyle name="Comma 2 2 24 8" xfId="18041"/>
    <cellStyle name="Comma 2 2 24 9" xfId="18042"/>
    <cellStyle name="Comma 2 2 24_Sheet1" xfId="18043"/>
    <cellStyle name="Comma 2 2 25" xfId="18044"/>
    <cellStyle name="Comma 2 2 25 10" xfId="18045"/>
    <cellStyle name="Comma 2 2 25 2" xfId="18046"/>
    <cellStyle name="Comma 2 2 25 3" xfId="18047"/>
    <cellStyle name="Comma 2 2 25 4" xfId="18048"/>
    <cellStyle name="Comma 2 2 25 5" xfId="18049"/>
    <cellStyle name="Comma 2 2 25 6" xfId="18050"/>
    <cellStyle name="Comma 2 2 25 7" xfId="18051"/>
    <cellStyle name="Comma 2 2 25 8" xfId="18052"/>
    <cellStyle name="Comma 2 2 25 9" xfId="18053"/>
    <cellStyle name="Comma 2 2 25_Sheet1" xfId="18054"/>
    <cellStyle name="Comma 2 2 26" xfId="18055"/>
    <cellStyle name="Comma 2 2 26 10" xfId="18056"/>
    <cellStyle name="Comma 2 2 26 2" xfId="18057"/>
    <cellStyle name="Comma 2 2 26 3" xfId="18058"/>
    <cellStyle name="Comma 2 2 26 4" xfId="18059"/>
    <cellStyle name="Comma 2 2 26 5" xfId="18060"/>
    <cellStyle name="Comma 2 2 26 6" xfId="18061"/>
    <cellStyle name="Comma 2 2 26 7" xfId="18062"/>
    <cellStyle name="Comma 2 2 26 8" xfId="18063"/>
    <cellStyle name="Comma 2 2 26 9" xfId="18064"/>
    <cellStyle name="Comma 2 2 26_Sheet1" xfId="18065"/>
    <cellStyle name="Comma 2 2 27" xfId="18066"/>
    <cellStyle name="Comma 2 2 27 10" xfId="18067"/>
    <cellStyle name="Comma 2 2 27 2" xfId="18068"/>
    <cellStyle name="Comma 2 2 27 3" xfId="18069"/>
    <cellStyle name="Comma 2 2 27 4" xfId="18070"/>
    <cellStyle name="Comma 2 2 27 5" xfId="18071"/>
    <cellStyle name="Comma 2 2 27 6" xfId="18072"/>
    <cellStyle name="Comma 2 2 27 7" xfId="18073"/>
    <cellStyle name="Comma 2 2 27 8" xfId="18074"/>
    <cellStyle name="Comma 2 2 27 9" xfId="18075"/>
    <cellStyle name="Comma 2 2 27_Sheet1" xfId="18076"/>
    <cellStyle name="Comma 2 2 28" xfId="18077"/>
    <cellStyle name="Comma 2 2 28 10" xfId="18078"/>
    <cellStyle name="Comma 2 2 28 2" xfId="18079"/>
    <cellStyle name="Comma 2 2 28 3" xfId="18080"/>
    <cellStyle name="Comma 2 2 28 4" xfId="18081"/>
    <cellStyle name="Comma 2 2 28 5" xfId="18082"/>
    <cellStyle name="Comma 2 2 28 6" xfId="18083"/>
    <cellStyle name="Comma 2 2 28 7" xfId="18084"/>
    <cellStyle name="Comma 2 2 28 8" xfId="18085"/>
    <cellStyle name="Comma 2 2 28 9" xfId="18086"/>
    <cellStyle name="Comma 2 2 28_Sheet1" xfId="18087"/>
    <cellStyle name="Comma 2 2 29" xfId="18088"/>
    <cellStyle name="Comma 2 2 29 10" xfId="18089"/>
    <cellStyle name="Comma 2 2 29 2" xfId="18090"/>
    <cellStyle name="Comma 2 2 29 3" xfId="18091"/>
    <cellStyle name="Comma 2 2 29 4" xfId="18092"/>
    <cellStyle name="Comma 2 2 29 5" xfId="18093"/>
    <cellStyle name="Comma 2 2 29 6" xfId="18094"/>
    <cellStyle name="Comma 2 2 29 7" xfId="18095"/>
    <cellStyle name="Comma 2 2 29 8" xfId="18096"/>
    <cellStyle name="Comma 2 2 29 9" xfId="18097"/>
    <cellStyle name="Comma 2 2 29_Sheet1" xfId="18098"/>
    <cellStyle name="Comma 2 2 3" xfId="18099"/>
    <cellStyle name="Comma 2 2 3 2" xfId="18100"/>
    <cellStyle name="Comma 2 2 3 3" xfId="18101"/>
    <cellStyle name="Comma 2 2 3 4" xfId="18102"/>
    <cellStyle name="Comma 2 2 3 5" xfId="18103"/>
    <cellStyle name="Comma 2 2 3 6" xfId="18104"/>
    <cellStyle name="Comma 2 2 3 7" xfId="18105"/>
    <cellStyle name="Comma 2 2 3_Sheet1" xfId="18106"/>
    <cellStyle name="Comma 2 2 30" xfId="18107"/>
    <cellStyle name="Comma 2 2 30 10" xfId="18108"/>
    <cellStyle name="Comma 2 2 30 2" xfId="18109"/>
    <cellStyle name="Comma 2 2 30 3" xfId="18110"/>
    <cellStyle name="Comma 2 2 30 4" xfId="18111"/>
    <cellStyle name="Comma 2 2 30 5" xfId="18112"/>
    <cellStyle name="Comma 2 2 30 6" xfId="18113"/>
    <cellStyle name="Comma 2 2 30 7" xfId="18114"/>
    <cellStyle name="Comma 2 2 30 8" xfId="18115"/>
    <cellStyle name="Comma 2 2 30 9" xfId="18116"/>
    <cellStyle name="Comma 2 2 30_Sheet1" xfId="18117"/>
    <cellStyle name="Comma 2 2 31" xfId="18118"/>
    <cellStyle name="Comma 2 2 31 10" xfId="18119"/>
    <cellStyle name="Comma 2 2 31 2" xfId="18120"/>
    <cellStyle name="Comma 2 2 31 3" xfId="18121"/>
    <cellStyle name="Comma 2 2 31 4" xfId="18122"/>
    <cellStyle name="Comma 2 2 31 5" xfId="18123"/>
    <cellStyle name="Comma 2 2 31 6" xfId="18124"/>
    <cellStyle name="Comma 2 2 31 7" xfId="18125"/>
    <cellStyle name="Comma 2 2 31 8" xfId="18126"/>
    <cellStyle name="Comma 2 2 31 9" xfId="18127"/>
    <cellStyle name="Comma 2 2 31_Sheet1" xfId="18128"/>
    <cellStyle name="Comma 2 2 32" xfId="18129"/>
    <cellStyle name="Comma 2 2 32 10" xfId="18130"/>
    <cellStyle name="Comma 2 2 32 2" xfId="18131"/>
    <cellStyle name="Comma 2 2 32 3" xfId="18132"/>
    <cellStyle name="Comma 2 2 32 4" xfId="18133"/>
    <cellStyle name="Comma 2 2 32 5" xfId="18134"/>
    <cellStyle name="Comma 2 2 32 6" xfId="18135"/>
    <cellStyle name="Comma 2 2 32 7" xfId="18136"/>
    <cellStyle name="Comma 2 2 32 8" xfId="18137"/>
    <cellStyle name="Comma 2 2 32 9" xfId="18138"/>
    <cellStyle name="Comma 2 2 32_Sheet1" xfId="18139"/>
    <cellStyle name="Comma 2 2 33" xfId="18140"/>
    <cellStyle name="Comma 2 2 34" xfId="18141"/>
    <cellStyle name="Comma 2 2 35" xfId="18142"/>
    <cellStyle name="Comma 2 2 36" xfId="18143"/>
    <cellStyle name="Comma 2 2 37" xfId="18144"/>
    <cellStyle name="Comma 2 2 38" xfId="18145"/>
    <cellStyle name="Comma 2 2 39" xfId="18146"/>
    <cellStyle name="Comma 2 2 4" xfId="18147"/>
    <cellStyle name="Comma 2 2 4 2" xfId="18148"/>
    <cellStyle name="Comma 2 2 4 2 2" xfId="18149"/>
    <cellStyle name="Comma 2 2 4 2_Sheet1" xfId="18150"/>
    <cellStyle name="Comma 2 2 4 3" xfId="18151"/>
    <cellStyle name="Comma 2 2 4 4" xfId="18152"/>
    <cellStyle name="Comma 2 2 4 5" xfId="18153"/>
    <cellStyle name="Comma 2 2 4 6" xfId="18154"/>
    <cellStyle name="Comma 2 2 4 7" xfId="18155"/>
    <cellStyle name="Comma 2 2 4_Sheet1" xfId="18156"/>
    <cellStyle name="Comma 2 2 40" xfId="18157"/>
    <cellStyle name="Comma 2 2 41" xfId="18158"/>
    <cellStyle name="Comma 2 2 42" xfId="18159"/>
    <cellStyle name="Comma 2 2 43" xfId="18160"/>
    <cellStyle name="Comma 2 2 44" xfId="18161"/>
    <cellStyle name="Comma 2 2 45" xfId="18162"/>
    <cellStyle name="Comma 2 2 46" xfId="18163"/>
    <cellStyle name="Comma 2 2 47" xfId="18164"/>
    <cellStyle name="Comma 2 2 48" xfId="18165"/>
    <cellStyle name="Comma 2 2 49" xfId="18166"/>
    <cellStyle name="Comma 2 2 5" xfId="18167"/>
    <cellStyle name="Comma 2 2 5 2" xfId="18168"/>
    <cellStyle name="Comma 2 2 5 3" xfId="18169"/>
    <cellStyle name="Comma 2 2 5 4" xfId="18170"/>
    <cellStyle name="Comma 2 2 5 5" xfId="18171"/>
    <cellStyle name="Comma 2 2 5 6" xfId="18172"/>
    <cellStyle name="Comma 2 2 5 7" xfId="18173"/>
    <cellStyle name="Comma 2 2 5_Sheet1" xfId="18174"/>
    <cellStyle name="Comma 2 2 50" xfId="18175"/>
    <cellStyle name="Comma 2 2 51" xfId="18176"/>
    <cellStyle name="Comma 2 2 52" xfId="18177"/>
    <cellStyle name="Comma 2 2 53" xfId="18178"/>
    <cellStyle name="Comma 2 2 54" xfId="18179"/>
    <cellStyle name="Comma 2 2 55" xfId="18180"/>
    <cellStyle name="Comma 2 2 56" xfId="18181"/>
    <cellStyle name="Comma 2 2 56 2" xfId="18182"/>
    <cellStyle name="Comma 2 2 56 3" xfId="18183"/>
    <cellStyle name="Comma 2 2 56 4" xfId="18184"/>
    <cellStyle name="Comma 2 2 56 5" xfId="18185"/>
    <cellStyle name="Comma 2 2 56 6" xfId="18186"/>
    <cellStyle name="Comma 2 2 56 7" xfId="18187"/>
    <cellStyle name="Comma 2 2 56_Sheet1" xfId="18188"/>
    <cellStyle name="Comma 2 2 57" xfId="18189"/>
    <cellStyle name="Comma 2 2 57 2" xfId="18190"/>
    <cellStyle name="Comma 2 2 57 3" xfId="18191"/>
    <cellStyle name="Comma 2 2 57 4" xfId="18192"/>
    <cellStyle name="Comma 2 2 57 5" xfId="18193"/>
    <cellStyle name="Comma 2 2 57 6" xfId="18194"/>
    <cellStyle name="Comma 2 2 57 7" xfId="18195"/>
    <cellStyle name="Comma 2 2 57_Sheet1" xfId="18196"/>
    <cellStyle name="Comma 2 2 58" xfId="18197"/>
    <cellStyle name="Comma 2 2 59" xfId="18198"/>
    <cellStyle name="Comma 2 2 6" xfId="18199"/>
    <cellStyle name="Comma 2 2 6 2" xfId="18200"/>
    <cellStyle name="Comma 2 2 6 3" xfId="18201"/>
    <cellStyle name="Comma 2 2 6 4" xfId="18202"/>
    <cellStyle name="Comma 2 2 6 5" xfId="18203"/>
    <cellStyle name="Comma 2 2 6 6" xfId="18204"/>
    <cellStyle name="Comma 2 2 6 7" xfId="18205"/>
    <cellStyle name="Comma 2 2 6_Sheet1" xfId="18206"/>
    <cellStyle name="Comma 2 2 60" xfId="18207"/>
    <cellStyle name="Comma 2 2 61" xfId="18208"/>
    <cellStyle name="Comma 2 2 62" xfId="18209"/>
    <cellStyle name="Comma 2 2 63" xfId="18210"/>
    <cellStyle name="Comma 2 2 64" xfId="18211"/>
    <cellStyle name="Comma 2 2 65" xfId="18212"/>
    <cellStyle name="Comma 2 2 66" xfId="18213"/>
    <cellStyle name="Comma 2 2 7" xfId="18214"/>
    <cellStyle name="Comma 2 2 7 2" xfId="18215"/>
    <cellStyle name="Comma 2 2 7 3" xfId="18216"/>
    <cellStyle name="Comma 2 2 7 4" xfId="18217"/>
    <cellStyle name="Comma 2 2 7 5" xfId="18218"/>
    <cellStyle name="Comma 2 2 7 6" xfId="18219"/>
    <cellStyle name="Comma 2 2 7 7" xfId="18220"/>
    <cellStyle name="Comma 2 2 7_Sheet1" xfId="18221"/>
    <cellStyle name="Comma 2 2 8" xfId="18222"/>
    <cellStyle name="Comma 2 2 8 2" xfId="18223"/>
    <cellStyle name="Comma 2 2 8 3" xfId="18224"/>
    <cellStyle name="Comma 2 2 8 4" xfId="18225"/>
    <cellStyle name="Comma 2 2 8 5" xfId="18226"/>
    <cellStyle name="Comma 2 2 8 6" xfId="18227"/>
    <cellStyle name="Comma 2 2 8 7" xfId="18228"/>
    <cellStyle name="Comma 2 2 8_Sheet1" xfId="18229"/>
    <cellStyle name="Comma 2 2 9" xfId="18230"/>
    <cellStyle name="Comma 2 2 9 10" xfId="18231"/>
    <cellStyle name="Comma 2 2 9 11" xfId="18232"/>
    <cellStyle name="Comma 2 2 9 12" xfId="18233"/>
    <cellStyle name="Comma 2 2 9 13" xfId="18234"/>
    <cellStyle name="Comma 2 2 9 14" xfId="18235"/>
    <cellStyle name="Comma 2 2 9 15" xfId="18236"/>
    <cellStyle name="Comma 2 2 9 16" xfId="18237"/>
    <cellStyle name="Comma 2 2 9 17" xfId="18238"/>
    <cellStyle name="Comma 2 2 9 18" xfId="18239"/>
    <cellStyle name="Comma 2 2 9 19" xfId="18240"/>
    <cellStyle name="Comma 2 2 9 2" xfId="18241"/>
    <cellStyle name="Comma 2 2 9 20" xfId="18242"/>
    <cellStyle name="Comma 2 2 9 21" xfId="18243"/>
    <cellStyle name="Comma 2 2 9 22" xfId="18244"/>
    <cellStyle name="Comma 2 2 9 23" xfId="18245"/>
    <cellStyle name="Comma 2 2 9 24" xfId="18246"/>
    <cellStyle name="Comma 2 2 9 25" xfId="18247"/>
    <cellStyle name="Comma 2 2 9 26" xfId="18248"/>
    <cellStyle name="Comma 2 2 9 3" xfId="18249"/>
    <cellStyle name="Comma 2 2 9 4" xfId="18250"/>
    <cellStyle name="Comma 2 2 9 5" xfId="18251"/>
    <cellStyle name="Comma 2 2 9 6" xfId="18252"/>
    <cellStyle name="Comma 2 2 9 7" xfId="18253"/>
    <cellStyle name="Comma 2 2 9 8" xfId="18254"/>
    <cellStyle name="Comma 2 2 9 9" xfId="18255"/>
    <cellStyle name="Comma 2 2 9_Sheet1" xfId="18256"/>
    <cellStyle name="Comma 2 2_Cash Flow Petroneks_Induk+Konsol" xfId="18257"/>
    <cellStyle name="Comma 2 20" xfId="18258"/>
    <cellStyle name="Comma 2 20 2" xfId="18259"/>
    <cellStyle name="Comma 2 20 3" xfId="18260"/>
    <cellStyle name="Comma 2 20 4" xfId="18261"/>
    <cellStyle name="Comma 2 20 5" xfId="18262"/>
    <cellStyle name="Comma 2 20 6" xfId="18263"/>
    <cellStyle name="Comma 2 20 7" xfId="18264"/>
    <cellStyle name="Comma 2 20_Sheet1" xfId="18265"/>
    <cellStyle name="Comma 2 21" xfId="18266"/>
    <cellStyle name="Comma 2 21 2" xfId="18267"/>
    <cellStyle name="Comma 2 21 3" xfId="18268"/>
    <cellStyle name="Comma 2 21 4" xfId="18269"/>
    <cellStyle name="Comma 2 21 5" xfId="18270"/>
    <cellStyle name="Comma 2 21 6" xfId="18271"/>
    <cellStyle name="Comma 2 21 7" xfId="18272"/>
    <cellStyle name="Comma 2 21_Sheet1" xfId="18273"/>
    <cellStyle name="Comma 2 22" xfId="18274"/>
    <cellStyle name="Comma 2 22 2" xfId="18275"/>
    <cellStyle name="Comma 2 22 3" xfId="18276"/>
    <cellStyle name="Comma 2 22 4" xfId="18277"/>
    <cellStyle name="Comma 2 22 5" xfId="18278"/>
    <cellStyle name="Comma 2 22 6" xfId="18279"/>
    <cellStyle name="Comma 2 22 7" xfId="18280"/>
    <cellStyle name="Comma 2 22_Sheet1" xfId="18281"/>
    <cellStyle name="Comma 2 23" xfId="18282"/>
    <cellStyle name="Comma 2 23 2" xfId="18283"/>
    <cellStyle name="Comma 2 23 3" xfId="18284"/>
    <cellStyle name="Comma 2 23 4" xfId="18285"/>
    <cellStyle name="Comma 2 23 5" xfId="18286"/>
    <cellStyle name="Comma 2 23 6" xfId="18287"/>
    <cellStyle name="Comma 2 23 7" xfId="18288"/>
    <cellStyle name="Comma 2 23_Sheet1" xfId="18289"/>
    <cellStyle name="Comma 2 24" xfId="18290"/>
    <cellStyle name="Comma 2 24 2" xfId="18291"/>
    <cellStyle name="Comma 2 24 3" xfId="18292"/>
    <cellStyle name="Comma 2 24 4" xfId="18293"/>
    <cellStyle name="Comma 2 24 5" xfId="18294"/>
    <cellStyle name="Comma 2 24 6" xfId="18295"/>
    <cellStyle name="Comma 2 24 7" xfId="18296"/>
    <cellStyle name="Comma 2 24_Sheet1" xfId="18297"/>
    <cellStyle name="Comma 2 25" xfId="18298"/>
    <cellStyle name="Comma 2 26" xfId="18299"/>
    <cellStyle name="Comma 2 27" xfId="18300"/>
    <cellStyle name="Comma 2 28" xfId="18301"/>
    <cellStyle name="Comma 2 29" xfId="18302"/>
    <cellStyle name="Comma 2 3" xfId="18303"/>
    <cellStyle name="Comma 2 3 10" xfId="18304"/>
    <cellStyle name="Comma 2 3 10 2" xfId="18305"/>
    <cellStyle name="Comma 2 3 10 3" xfId="18306"/>
    <cellStyle name="Comma 2 3 10 4" xfId="18307"/>
    <cellStyle name="Comma 2 3 10 5" xfId="18308"/>
    <cellStyle name="Comma 2 3 10 6" xfId="18309"/>
    <cellStyle name="Comma 2 3 10_Sheet1" xfId="18310"/>
    <cellStyle name="Comma 2 3 11" xfId="18311"/>
    <cellStyle name="Comma 2 3 12" xfId="18312"/>
    <cellStyle name="Comma 2 3 13" xfId="18313"/>
    <cellStyle name="Comma 2 3 14" xfId="18314"/>
    <cellStyle name="Comma 2 3 15" xfId="18315"/>
    <cellStyle name="Comma 2 3 16" xfId="18316"/>
    <cellStyle name="Comma 2 3 17" xfId="18317"/>
    <cellStyle name="Comma 2 3 18" xfId="18318"/>
    <cellStyle name="Comma 2 3 19" xfId="18319"/>
    <cellStyle name="Comma 2 3 19 2" xfId="18320"/>
    <cellStyle name="Comma 2 3 19 3" xfId="18321"/>
    <cellStyle name="Comma 2 3 19 4" xfId="18322"/>
    <cellStyle name="Comma 2 3 19 5" xfId="18323"/>
    <cellStyle name="Comma 2 3 19 6" xfId="18324"/>
    <cellStyle name="Comma 2 3 19_Sheet1" xfId="18325"/>
    <cellStyle name="Comma 2 3 2" xfId="18326"/>
    <cellStyle name="Comma 2 3 2 2" xfId="18327"/>
    <cellStyle name="Comma 2 3 2 3" xfId="18328"/>
    <cellStyle name="Comma 2 3 2 3 2" xfId="18329"/>
    <cellStyle name="Comma 2 3 2 3_Sheet1" xfId="18330"/>
    <cellStyle name="Comma 2 3 2_Sheet1" xfId="18331"/>
    <cellStyle name="Comma 2 3 20" xfId="18332"/>
    <cellStyle name="Comma 2 3 21" xfId="18333"/>
    <cellStyle name="Comma 2 3 22" xfId="18334"/>
    <cellStyle name="Comma 2 3 23" xfId="18335"/>
    <cellStyle name="Comma 2 3 24" xfId="18336"/>
    <cellStyle name="Comma 2 3 3" xfId="18337"/>
    <cellStyle name="Comma 2 3 3 2" xfId="18338"/>
    <cellStyle name="Comma 2 3 3_Sheet1" xfId="18339"/>
    <cellStyle name="Comma 2 3 4" xfId="18340"/>
    <cellStyle name="Comma 2 3 4 2" xfId="18341"/>
    <cellStyle name="Comma 2 3 4_Sheet1" xfId="18342"/>
    <cellStyle name="Comma 2 3 5" xfId="18343"/>
    <cellStyle name="Comma 2 3 5 2" xfId="18344"/>
    <cellStyle name="Comma 2 3 5_Sheet1" xfId="18345"/>
    <cellStyle name="Comma 2 3 6" xfId="18346"/>
    <cellStyle name="Comma 2 3 6 2" xfId="18347"/>
    <cellStyle name="Comma 2 3 6_Sheet1" xfId="18348"/>
    <cellStyle name="Comma 2 3 7" xfId="18349"/>
    <cellStyle name="Comma 2 3 7 2" xfId="18350"/>
    <cellStyle name="Comma 2 3 7_Sheet1" xfId="18351"/>
    <cellStyle name="Comma 2 3 8" xfId="18352"/>
    <cellStyle name="Comma 2 3 8 2" xfId="18353"/>
    <cellStyle name="Comma 2 3 8 2 2" xfId="18354"/>
    <cellStyle name="Comma 2 3 8 2 3" xfId="18355"/>
    <cellStyle name="Comma 2 3 8 2 4" xfId="18356"/>
    <cellStyle name="Comma 2 3 8 2 5" xfId="18357"/>
    <cellStyle name="Comma 2 3 8 2 6" xfId="18358"/>
    <cellStyle name="Comma 2 3 8 2_Sheet1" xfId="18359"/>
    <cellStyle name="Comma 2 3 8 3" xfId="18360"/>
    <cellStyle name="Comma 2 3 8 4" xfId="18361"/>
    <cellStyle name="Comma 2 3 8 5" xfId="18362"/>
    <cellStyle name="Comma 2 3 8 6" xfId="18363"/>
    <cellStyle name="Comma 2 3 8 7" xfId="18364"/>
    <cellStyle name="Comma 2 3 8_Sheet1" xfId="18365"/>
    <cellStyle name="Comma 2 3 9" xfId="18366"/>
    <cellStyle name="Comma 2 3 9 2" xfId="18367"/>
    <cellStyle name="Comma 2 3 9 3" xfId="18368"/>
    <cellStyle name="Comma 2 3 9 4" xfId="18369"/>
    <cellStyle name="Comma 2 3 9 5" xfId="18370"/>
    <cellStyle name="Comma 2 3 9 6" xfId="18371"/>
    <cellStyle name="Comma 2 3 9_Sheet1" xfId="18372"/>
    <cellStyle name="Comma 2 3_Sheet1" xfId="18373"/>
    <cellStyle name="Comma 2 30" xfId="18374"/>
    <cellStyle name="Comma 2 31" xfId="18375"/>
    <cellStyle name="Comma 2 31 2" xfId="18376"/>
    <cellStyle name="Comma 2 31 2 2" xfId="18377"/>
    <cellStyle name="Comma 2 31 2 3" xfId="18378"/>
    <cellStyle name="Comma 2 31 2 4" xfId="18379"/>
    <cellStyle name="Comma 2 31 2 5" xfId="18380"/>
    <cellStyle name="Comma 2 31 2 6" xfId="18381"/>
    <cellStyle name="Comma 2 31 2 7" xfId="18382"/>
    <cellStyle name="Comma 2 31 2_Sheet1" xfId="18383"/>
    <cellStyle name="Comma 2 31 3" xfId="18384"/>
    <cellStyle name="Comma 2 31 4" xfId="18385"/>
    <cellStyle name="Comma 2 31 5" xfId="18386"/>
    <cellStyle name="Comma 2 31 6" xfId="18387"/>
    <cellStyle name="Comma 2 31 7" xfId="18388"/>
    <cellStyle name="Comma 2 31 8" xfId="18389"/>
    <cellStyle name="Comma 2 31_Sheet1" xfId="18390"/>
    <cellStyle name="Comma 2 32" xfId="18391"/>
    <cellStyle name="Comma 2 32 10" xfId="18392"/>
    <cellStyle name="Comma 2 32 10 2" xfId="18393"/>
    <cellStyle name="Comma 2 32 10 3" xfId="18394"/>
    <cellStyle name="Comma 2 32 10 4" xfId="18395"/>
    <cellStyle name="Comma 2 32 10 5" xfId="18396"/>
    <cellStyle name="Comma 2 32 10 6" xfId="18397"/>
    <cellStyle name="Comma 2 32 10 7" xfId="18398"/>
    <cellStyle name="Comma 2 32 10_Sheet1" xfId="18399"/>
    <cellStyle name="Comma 2 32 11" xfId="18400"/>
    <cellStyle name="Comma 2 32 11 2" xfId="18401"/>
    <cellStyle name="Comma 2 32 11 3" xfId="18402"/>
    <cellStyle name="Comma 2 32 11 4" xfId="18403"/>
    <cellStyle name="Comma 2 32 11 5" xfId="18404"/>
    <cellStyle name="Comma 2 32 11 6" xfId="18405"/>
    <cellStyle name="Comma 2 32 11 7" xfId="18406"/>
    <cellStyle name="Comma 2 32 11_Sheet1" xfId="18407"/>
    <cellStyle name="Comma 2 32 12" xfId="18408"/>
    <cellStyle name="Comma 2 32 12 2" xfId="18409"/>
    <cellStyle name="Comma 2 32 12 3" xfId="18410"/>
    <cellStyle name="Comma 2 32 12 4" xfId="18411"/>
    <cellStyle name="Comma 2 32 12 5" xfId="18412"/>
    <cellStyle name="Comma 2 32 12 6" xfId="18413"/>
    <cellStyle name="Comma 2 32 12 7" xfId="18414"/>
    <cellStyle name="Comma 2 32 12_Sheet1" xfId="18415"/>
    <cellStyle name="Comma 2 32 13" xfId="18416"/>
    <cellStyle name="Comma 2 32 13 2" xfId="18417"/>
    <cellStyle name="Comma 2 32 13 3" xfId="18418"/>
    <cellStyle name="Comma 2 32 13 4" xfId="18419"/>
    <cellStyle name="Comma 2 32 13 5" xfId="18420"/>
    <cellStyle name="Comma 2 32 13 6" xfId="18421"/>
    <cellStyle name="Comma 2 32 13 7" xfId="18422"/>
    <cellStyle name="Comma 2 32 13_Sheet1" xfId="18423"/>
    <cellStyle name="Comma 2 32 14" xfId="18424"/>
    <cellStyle name="Comma 2 32 14 2" xfId="18425"/>
    <cellStyle name="Comma 2 32 14 3" xfId="18426"/>
    <cellStyle name="Comma 2 32 14 4" xfId="18427"/>
    <cellStyle name="Comma 2 32 14 5" xfId="18428"/>
    <cellStyle name="Comma 2 32 14 6" xfId="18429"/>
    <cellStyle name="Comma 2 32 14 7" xfId="18430"/>
    <cellStyle name="Comma 2 32 14_Sheet1" xfId="18431"/>
    <cellStyle name="Comma 2 32 15" xfId="18432"/>
    <cellStyle name="Comma 2 32 15 2" xfId="18433"/>
    <cellStyle name="Comma 2 32 15 3" xfId="18434"/>
    <cellStyle name="Comma 2 32 15 4" xfId="18435"/>
    <cellStyle name="Comma 2 32 15 5" xfId="18436"/>
    <cellStyle name="Comma 2 32 15 6" xfId="18437"/>
    <cellStyle name="Comma 2 32 15 7" xfId="18438"/>
    <cellStyle name="Comma 2 32 15_Sheet1" xfId="18439"/>
    <cellStyle name="Comma 2 32 2" xfId="18440"/>
    <cellStyle name="Comma 2 32 2 2" xfId="18441"/>
    <cellStyle name="Comma 2 32 2 3" xfId="18442"/>
    <cellStyle name="Comma 2 32 2 4" xfId="18443"/>
    <cellStyle name="Comma 2 32 2 5" xfId="18444"/>
    <cellStyle name="Comma 2 32 2 6" xfId="18445"/>
    <cellStyle name="Comma 2 32 2 7" xfId="18446"/>
    <cellStyle name="Comma 2 32 2_Sheet1" xfId="18447"/>
    <cellStyle name="Comma 2 32 3" xfId="18448"/>
    <cellStyle name="Comma 2 32 3 2" xfId="18449"/>
    <cellStyle name="Comma 2 32 3 3" xfId="18450"/>
    <cellStyle name="Comma 2 32 3 4" xfId="18451"/>
    <cellStyle name="Comma 2 32 3 5" xfId="18452"/>
    <cellStyle name="Comma 2 32 3 6" xfId="18453"/>
    <cellStyle name="Comma 2 32 3 7" xfId="18454"/>
    <cellStyle name="Comma 2 32 3_Sheet1" xfId="18455"/>
    <cellStyle name="Comma 2 32 4" xfId="18456"/>
    <cellStyle name="Comma 2 32 4 2" xfId="18457"/>
    <cellStyle name="Comma 2 32 4 3" xfId="18458"/>
    <cellStyle name="Comma 2 32 4 4" xfId="18459"/>
    <cellStyle name="Comma 2 32 4 5" xfId="18460"/>
    <cellStyle name="Comma 2 32 4 6" xfId="18461"/>
    <cellStyle name="Comma 2 32 4 7" xfId="18462"/>
    <cellStyle name="Comma 2 32 4_Sheet1" xfId="18463"/>
    <cellStyle name="Comma 2 32 5" xfId="18464"/>
    <cellStyle name="Comma 2 32 5 2" xfId="18465"/>
    <cellStyle name="Comma 2 32 5 3" xfId="18466"/>
    <cellStyle name="Comma 2 32 5 4" xfId="18467"/>
    <cellStyle name="Comma 2 32 5 5" xfId="18468"/>
    <cellStyle name="Comma 2 32 5 6" xfId="18469"/>
    <cellStyle name="Comma 2 32 5 7" xfId="18470"/>
    <cellStyle name="Comma 2 32 5_Sheet1" xfId="18471"/>
    <cellStyle name="Comma 2 32 6" xfId="18472"/>
    <cellStyle name="Comma 2 32 6 2" xfId="18473"/>
    <cellStyle name="Comma 2 32 6 3" xfId="18474"/>
    <cellStyle name="Comma 2 32 6 4" xfId="18475"/>
    <cellStyle name="Comma 2 32 6 5" xfId="18476"/>
    <cellStyle name="Comma 2 32 6 6" xfId="18477"/>
    <cellStyle name="Comma 2 32 6 7" xfId="18478"/>
    <cellStyle name="Comma 2 32 6_Sheet1" xfId="18479"/>
    <cellStyle name="Comma 2 32 7" xfId="18480"/>
    <cellStyle name="Comma 2 32 7 2" xfId="18481"/>
    <cellStyle name="Comma 2 32 7 3" xfId="18482"/>
    <cellStyle name="Comma 2 32 7 4" xfId="18483"/>
    <cellStyle name="Comma 2 32 7 5" xfId="18484"/>
    <cellStyle name="Comma 2 32 7 6" xfId="18485"/>
    <cellStyle name="Comma 2 32 7 7" xfId="18486"/>
    <cellStyle name="Comma 2 32 7_Sheet1" xfId="18487"/>
    <cellStyle name="Comma 2 32 8" xfId="18488"/>
    <cellStyle name="Comma 2 32 8 2" xfId="18489"/>
    <cellStyle name="Comma 2 32 8 3" xfId="18490"/>
    <cellStyle name="Comma 2 32 8 4" xfId="18491"/>
    <cellStyle name="Comma 2 32 8 5" xfId="18492"/>
    <cellStyle name="Comma 2 32 8 6" xfId="18493"/>
    <cellStyle name="Comma 2 32 8 7" xfId="18494"/>
    <cellStyle name="Comma 2 32 8_Sheet1" xfId="18495"/>
    <cellStyle name="Comma 2 32 9" xfId="18496"/>
    <cellStyle name="Comma 2 32 9 2" xfId="18497"/>
    <cellStyle name="Comma 2 32 9 3" xfId="18498"/>
    <cellStyle name="Comma 2 32 9 4" xfId="18499"/>
    <cellStyle name="Comma 2 32 9 5" xfId="18500"/>
    <cellStyle name="Comma 2 32 9 6" xfId="18501"/>
    <cellStyle name="Comma 2 32 9 7" xfId="18502"/>
    <cellStyle name="Comma 2 32 9_Sheet1" xfId="18503"/>
    <cellStyle name="Comma 2 32_Sheet1" xfId="18504"/>
    <cellStyle name="Comma 2 33" xfId="18505"/>
    <cellStyle name="Comma 2 33 2" xfId="18506"/>
    <cellStyle name="Comma 2 33 3" xfId="18507"/>
    <cellStyle name="Comma 2 33 4" xfId="18508"/>
    <cellStyle name="Comma 2 33 5" xfId="18509"/>
    <cellStyle name="Comma 2 33 6" xfId="18510"/>
    <cellStyle name="Comma 2 33 7" xfId="18511"/>
    <cellStyle name="Comma 2 33_Sheet1" xfId="18512"/>
    <cellStyle name="Comma 2 34" xfId="18513"/>
    <cellStyle name="Comma 2 34 2" xfId="18514"/>
    <cellStyle name="Comma 2 34 3" xfId="18515"/>
    <cellStyle name="Comma 2 34 4" xfId="18516"/>
    <cellStyle name="Comma 2 34 5" xfId="18517"/>
    <cellStyle name="Comma 2 34 6" xfId="18518"/>
    <cellStyle name="Comma 2 34 7" xfId="18519"/>
    <cellStyle name="Comma 2 34_Sheet1" xfId="18520"/>
    <cellStyle name="Comma 2 35" xfId="18521"/>
    <cellStyle name="Comma 2 35 2" xfId="18522"/>
    <cellStyle name="Comma 2 35 3" xfId="18523"/>
    <cellStyle name="Comma 2 35 4" xfId="18524"/>
    <cellStyle name="Comma 2 35 5" xfId="18525"/>
    <cellStyle name="Comma 2 35 6" xfId="18526"/>
    <cellStyle name="Comma 2 35 7" xfId="18527"/>
    <cellStyle name="Comma 2 35_Sheet1" xfId="18528"/>
    <cellStyle name="Comma 2 36" xfId="18529"/>
    <cellStyle name="Comma 2 36 2" xfId="18530"/>
    <cellStyle name="Comma 2 36 3" xfId="18531"/>
    <cellStyle name="Comma 2 36 4" xfId="18532"/>
    <cellStyle name="Comma 2 36 5" xfId="18533"/>
    <cellStyle name="Comma 2 36 6" xfId="18534"/>
    <cellStyle name="Comma 2 36 7" xfId="18535"/>
    <cellStyle name="Comma 2 36_Sheet1" xfId="18536"/>
    <cellStyle name="Comma 2 37" xfId="18537"/>
    <cellStyle name="Comma 2 37 2" xfId="18538"/>
    <cellStyle name="Comma 2 37 3" xfId="18539"/>
    <cellStyle name="Comma 2 37 4" xfId="18540"/>
    <cellStyle name="Comma 2 37 5" xfId="18541"/>
    <cellStyle name="Comma 2 37 6" xfId="18542"/>
    <cellStyle name="Comma 2 37 7" xfId="18543"/>
    <cellStyle name="Comma 2 37_Sheet1" xfId="18544"/>
    <cellStyle name="Comma 2 38" xfId="18545"/>
    <cellStyle name="Comma 2 38 10" xfId="18546"/>
    <cellStyle name="Comma 2 38 10 2" xfId="18547"/>
    <cellStyle name="Comma 2 38 10 3" xfId="18548"/>
    <cellStyle name="Comma 2 38 10 4" xfId="18549"/>
    <cellStyle name="Comma 2 38 10 5" xfId="18550"/>
    <cellStyle name="Comma 2 38 10 6" xfId="18551"/>
    <cellStyle name="Comma 2 38 10 7" xfId="18552"/>
    <cellStyle name="Comma 2 38 10_Sheet1" xfId="18553"/>
    <cellStyle name="Comma 2 38 11" xfId="18554"/>
    <cellStyle name="Comma 2 38 11 2" xfId="18555"/>
    <cellStyle name="Comma 2 38 11 3" xfId="18556"/>
    <cellStyle name="Comma 2 38 11 4" xfId="18557"/>
    <cellStyle name="Comma 2 38 11 5" xfId="18558"/>
    <cellStyle name="Comma 2 38 11 6" xfId="18559"/>
    <cellStyle name="Comma 2 38 11 7" xfId="18560"/>
    <cellStyle name="Comma 2 38 11_Sheet1" xfId="18561"/>
    <cellStyle name="Comma 2 38 12" xfId="18562"/>
    <cellStyle name="Comma 2 38 12 2" xfId="18563"/>
    <cellStyle name="Comma 2 38 12 3" xfId="18564"/>
    <cellStyle name="Comma 2 38 12 4" xfId="18565"/>
    <cellStyle name="Comma 2 38 12 5" xfId="18566"/>
    <cellStyle name="Comma 2 38 12 6" xfId="18567"/>
    <cellStyle name="Comma 2 38 12 7" xfId="18568"/>
    <cellStyle name="Comma 2 38 12_Sheet1" xfId="18569"/>
    <cellStyle name="Comma 2 38 13" xfId="18570"/>
    <cellStyle name="Comma 2 38 13 2" xfId="18571"/>
    <cellStyle name="Comma 2 38 13 3" xfId="18572"/>
    <cellStyle name="Comma 2 38 13 4" xfId="18573"/>
    <cellStyle name="Comma 2 38 13 5" xfId="18574"/>
    <cellStyle name="Comma 2 38 13 6" xfId="18575"/>
    <cellStyle name="Comma 2 38 13 7" xfId="18576"/>
    <cellStyle name="Comma 2 38 13_Sheet1" xfId="18577"/>
    <cellStyle name="Comma 2 38 14" xfId="18578"/>
    <cellStyle name="Comma 2 38 14 2" xfId="18579"/>
    <cellStyle name="Comma 2 38 14 3" xfId="18580"/>
    <cellStyle name="Comma 2 38 14 4" xfId="18581"/>
    <cellStyle name="Comma 2 38 14 5" xfId="18582"/>
    <cellStyle name="Comma 2 38 14 6" xfId="18583"/>
    <cellStyle name="Comma 2 38 14 7" xfId="18584"/>
    <cellStyle name="Comma 2 38 14_Sheet1" xfId="18585"/>
    <cellStyle name="Comma 2 38 2" xfId="18586"/>
    <cellStyle name="Comma 2 38 2 2" xfId="18587"/>
    <cellStyle name="Comma 2 38 2 3" xfId="18588"/>
    <cellStyle name="Comma 2 38 2 4" xfId="18589"/>
    <cellStyle name="Comma 2 38 2 5" xfId="18590"/>
    <cellStyle name="Comma 2 38 2 6" xfId="18591"/>
    <cellStyle name="Comma 2 38 2 7" xfId="18592"/>
    <cellStyle name="Comma 2 38 2_Sheet1" xfId="18593"/>
    <cellStyle name="Comma 2 38 3" xfId="18594"/>
    <cellStyle name="Comma 2 38 3 2" xfId="18595"/>
    <cellStyle name="Comma 2 38 3 3" xfId="18596"/>
    <cellStyle name="Comma 2 38 3 4" xfId="18597"/>
    <cellStyle name="Comma 2 38 3 5" xfId="18598"/>
    <cellStyle name="Comma 2 38 3 6" xfId="18599"/>
    <cellStyle name="Comma 2 38 3 7" xfId="18600"/>
    <cellStyle name="Comma 2 38 3_Sheet1" xfId="18601"/>
    <cellStyle name="Comma 2 38 4" xfId="18602"/>
    <cellStyle name="Comma 2 38 4 2" xfId="18603"/>
    <cellStyle name="Comma 2 38 4 3" xfId="18604"/>
    <cellStyle name="Comma 2 38 4 4" xfId="18605"/>
    <cellStyle name="Comma 2 38 4 5" xfId="18606"/>
    <cellStyle name="Comma 2 38 4 6" xfId="18607"/>
    <cellStyle name="Comma 2 38 4 7" xfId="18608"/>
    <cellStyle name="Comma 2 38 4_Sheet1" xfId="18609"/>
    <cellStyle name="Comma 2 38 5" xfId="18610"/>
    <cellStyle name="Comma 2 38 5 2" xfId="18611"/>
    <cellStyle name="Comma 2 38 5 3" xfId="18612"/>
    <cellStyle name="Comma 2 38 5 4" xfId="18613"/>
    <cellStyle name="Comma 2 38 5 5" xfId="18614"/>
    <cellStyle name="Comma 2 38 5 6" xfId="18615"/>
    <cellStyle name="Comma 2 38 5 7" xfId="18616"/>
    <cellStyle name="Comma 2 38 5_Sheet1" xfId="18617"/>
    <cellStyle name="Comma 2 38 6" xfId="18618"/>
    <cellStyle name="Comma 2 38 6 2" xfId="18619"/>
    <cellStyle name="Comma 2 38 6 3" xfId="18620"/>
    <cellStyle name="Comma 2 38 6 4" xfId="18621"/>
    <cellStyle name="Comma 2 38 6 5" xfId="18622"/>
    <cellStyle name="Comma 2 38 6 6" xfId="18623"/>
    <cellStyle name="Comma 2 38 6 7" xfId="18624"/>
    <cellStyle name="Comma 2 38 6_Sheet1" xfId="18625"/>
    <cellStyle name="Comma 2 38 7" xfId="18626"/>
    <cellStyle name="Comma 2 38 7 2" xfId="18627"/>
    <cellStyle name="Comma 2 38 7 3" xfId="18628"/>
    <cellStyle name="Comma 2 38 7 4" xfId="18629"/>
    <cellStyle name="Comma 2 38 7 5" xfId="18630"/>
    <cellStyle name="Comma 2 38 7 6" xfId="18631"/>
    <cellStyle name="Comma 2 38 7 7" xfId="18632"/>
    <cellStyle name="Comma 2 38 7_Sheet1" xfId="18633"/>
    <cellStyle name="Comma 2 38 8" xfId="18634"/>
    <cellStyle name="Comma 2 38 8 2" xfId="18635"/>
    <cellStyle name="Comma 2 38 8 3" xfId="18636"/>
    <cellStyle name="Comma 2 38 8 4" xfId="18637"/>
    <cellStyle name="Comma 2 38 8 5" xfId="18638"/>
    <cellStyle name="Comma 2 38 8 6" xfId="18639"/>
    <cellStyle name="Comma 2 38 8 7" xfId="18640"/>
    <cellStyle name="Comma 2 38 8_Sheet1" xfId="18641"/>
    <cellStyle name="Comma 2 38 9" xfId="18642"/>
    <cellStyle name="Comma 2 38 9 2" xfId="18643"/>
    <cellStyle name="Comma 2 38 9 3" xfId="18644"/>
    <cellStyle name="Comma 2 38 9 4" xfId="18645"/>
    <cellStyle name="Comma 2 38 9 5" xfId="18646"/>
    <cellStyle name="Comma 2 38 9 6" xfId="18647"/>
    <cellStyle name="Comma 2 38 9 7" xfId="18648"/>
    <cellStyle name="Comma 2 38 9_Sheet1" xfId="18649"/>
    <cellStyle name="Comma 2 38_Sheet1" xfId="18650"/>
    <cellStyle name="Comma 2 39" xfId="18651"/>
    <cellStyle name="Comma 2 39 10" xfId="18652"/>
    <cellStyle name="Comma 2 39 10 2" xfId="18653"/>
    <cellStyle name="Comma 2 39 10 3" xfId="18654"/>
    <cellStyle name="Comma 2 39 10 4" xfId="18655"/>
    <cellStyle name="Comma 2 39 10 5" xfId="18656"/>
    <cellStyle name="Comma 2 39 10 6" xfId="18657"/>
    <cellStyle name="Comma 2 39 10 7" xfId="18658"/>
    <cellStyle name="Comma 2 39 10_Sheet1" xfId="18659"/>
    <cellStyle name="Comma 2 39 11" xfId="18660"/>
    <cellStyle name="Comma 2 39 11 2" xfId="18661"/>
    <cellStyle name="Comma 2 39 11 3" xfId="18662"/>
    <cellStyle name="Comma 2 39 11 4" xfId="18663"/>
    <cellStyle name="Comma 2 39 11 5" xfId="18664"/>
    <cellStyle name="Comma 2 39 11 6" xfId="18665"/>
    <cellStyle name="Comma 2 39 11 7" xfId="18666"/>
    <cellStyle name="Comma 2 39 11_Sheet1" xfId="18667"/>
    <cellStyle name="Comma 2 39 12" xfId="18668"/>
    <cellStyle name="Comma 2 39 12 2" xfId="18669"/>
    <cellStyle name="Comma 2 39 12 3" xfId="18670"/>
    <cellStyle name="Comma 2 39 12 4" xfId="18671"/>
    <cellStyle name="Comma 2 39 12 5" xfId="18672"/>
    <cellStyle name="Comma 2 39 12 6" xfId="18673"/>
    <cellStyle name="Comma 2 39 12 7" xfId="18674"/>
    <cellStyle name="Comma 2 39 12_Sheet1" xfId="18675"/>
    <cellStyle name="Comma 2 39 13" xfId="18676"/>
    <cellStyle name="Comma 2 39 13 2" xfId="18677"/>
    <cellStyle name="Comma 2 39 13 3" xfId="18678"/>
    <cellStyle name="Comma 2 39 13 4" xfId="18679"/>
    <cellStyle name="Comma 2 39 13 5" xfId="18680"/>
    <cellStyle name="Comma 2 39 13 6" xfId="18681"/>
    <cellStyle name="Comma 2 39 13 7" xfId="18682"/>
    <cellStyle name="Comma 2 39 13_Sheet1" xfId="18683"/>
    <cellStyle name="Comma 2 39 14" xfId="18684"/>
    <cellStyle name="Comma 2 39 14 2" xfId="18685"/>
    <cellStyle name="Comma 2 39 14 3" xfId="18686"/>
    <cellStyle name="Comma 2 39 14 4" xfId="18687"/>
    <cellStyle name="Comma 2 39 14 5" xfId="18688"/>
    <cellStyle name="Comma 2 39 14 6" xfId="18689"/>
    <cellStyle name="Comma 2 39 14 7" xfId="18690"/>
    <cellStyle name="Comma 2 39 14_Sheet1" xfId="18691"/>
    <cellStyle name="Comma 2 39 2" xfId="18692"/>
    <cellStyle name="Comma 2 39 2 2" xfId="18693"/>
    <cellStyle name="Comma 2 39 2 3" xfId="18694"/>
    <cellStyle name="Comma 2 39 2 4" xfId="18695"/>
    <cellStyle name="Comma 2 39 2 5" xfId="18696"/>
    <cellStyle name="Comma 2 39 2 6" xfId="18697"/>
    <cellStyle name="Comma 2 39 2 7" xfId="18698"/>
    <cellStyle name="Comma 2 39 2_Sheet1" xfId="18699"/>
    <cellStyle name="Comma 2 39 3" xfId="18700"/>
    <cellStyle name="Comma 2 39 3 2" xfId="18701"/>
    <cellStyle name="Comma 2 39 3 3" xfId="18702"/>
    <cellStyle name="Comma 2 39 3 4" xfId="18703"/>
    <cellStyle name="Comma 2 39 3 5" xfId="18704"/>
    <cellStyle name="Comma 2 39 3 6" xfId="18705"/>
    <cellStyle name="Comma 2 39 3 7" xfId="18706"/>
    <cellStyle name="Comma 2 39 3_Sheet1" xfId="18707"/>
    <cellStyle name="Comma 2 39 4" xfId="18708"/>
    <cellStyle name="Comma 2 39 4 2" xfId="18709"/>
    <cellStyle name="Comma 2 39 4 3" xfId="18710"/>
    <cellStyle name="Comma 2 39 4 4" xfId="18711"/>
    <cellStyle name="Comma 2 39 4 5" xfId="18712"/>
    <cellStyle name="Comma 2 39 4 6" xfId="18713"/>
    <cellStyle name="Comma 2 39 4 7" xfId="18714"/>
    <cellStyle name="Comma 2 39 4_Sheet1" xfId="18715"/>
    <cellStyle name="Comma 2 39 5" xfId="18716"/>
    <cellStyle name="Comma 2 39 5 2" xfId="18717"/>
    <cellStyle name="Comma 2 39 5 3" xfId="18718"/>
    <cellStyle name="Comma 2 39 5 4" xfId="18719"/>
    <cellStyle name="Comma 2 39 5 5" xfId="18720"/>
    <cellStyle name="Comma 2 39 5 6" xfId="18721"/>
    <cellStyle name="Comma 2 39 5 7" xfId="18722"/>
    <cellStyle name="Comma 2 39 5_Sheet1" xfId="18723"/>
    <cellStyle name="Comma 2 39 6" xfId="18724"/>
    <cellStyle name="Comma 2 39 6 2" xfId="18725"/>
    <cellStyle name="Comma 2 39 6 3" xfId="18726"/>
    <cellStyle name="Comma 2 39 6 4" xfId="18727"/>
    <cellStyle name="Comma 2 39 6 5" xfId="18728"/>
    <cellStyle name="Comma 2 39 6 6" xfId="18729"/>
    <cellStyle name="Comma 2 39 6 7" xfId="18730"/>
    <cellStyle name="Comma 2 39 6_Sheet1" xfId="18731"/>
    <cellStyle name="Comma 2 39 7" xfId="18732"/>
    <cellStyle name="Comma 2 39 7 2" xfId="18733"/>
    <cellStyle name="Comma 2 39 7 3" xfId="18734"/>
    <cellStyle name="Comma 2 39 7 4" xfId="18735"/>
    <cellStyle name="Comma 2 39 7 5" xfId="18736"/>
    <cellStyle name="Comma 2 39 7 6" xfId="18737"/>
    <cellStyle name="Comma 2 39 7 7" xfId="18738"/>
    <cellStyle name="Comma 2 39 7_Sheet1" xfId="18739"/>
    <cellStyle name="Comma 2 39 8" xfId="18740"/>
    <cellStyle name="Comma 2 39 8 2" xfId="18741"/>
    <cellStyle name="Comma 2 39 8 3" xfId="18742"/>
    <cellStyle name="Comma 2 39 8 4" xfId="18743"/>
    <cellStyle name="Comma 2 39 8 5" xfId="18744"/>
    <cellStyle name="Comma 2 39 8 6" xfId="18745"/>
    <cellStyle name="Comma 2 39 8 7" xfId="18746"/>
    <cellStyle name="Comma 2 39 8_Sheet1" xfId="18747"/>
    <cellStyle name="Comma 2 39 9" xfId="18748"/>
    <cellStyle name="Comma 2 39 9 2" xfId="18749"/>
    <cellStyle name="Comma 2 39 9 3" xfId="18750"/>
    <cellStyle name="Comma 2 39 9 4" xfId="18751"/>
    <cellStyle name="Comma 2 39 9 5" xfId="18752"/>
    <cellStyle name="Comma 2 39 9 6" xfId="18753"/>
    <cellStyle name="Comma 2 39 9 7" xfId="18754"/>
    <cellStyle name="Comma 2 39 9_Sheet1" xfId="18755"/>
    <cellStyle name="Comma 2 39_Sheet1" xfId="18756"/>
    <cellStyle name="Comma 2 4" xfId="18757"/>
    <cellStyle name="Comma 2 4 10" xfId="18758"/>
    <cellStyle name="Comma 2 4 11" xfId="18759"/>
    <cellStyle name="Comma 2 4 12" xfId="18760"/>
    <cellStyle name="Comma 2 4 13" xfId="18761"/>
    <cellStyle name="Comma 2 4 14" xfId="18762"/>
    <cellStyle name="Comma 2 4 15" xfId="18763"/>
    <cellStyle name="Comma 2 4 16" xfId="18764"/>
    <cellStyle name="Comma 2 4 17" xfId="18765"/>
    <cellStyle name="Comma 2 4 18" xfId="18766"/>
    <cellStyle name="Comma 2 4 19" xfId="18767"/>
    <cellStyle name="Comma 2 4 2" xfId="18768"/>
    <cellStyle name="Comma 2 4 20" xfId="18769"/>
    <cellStyle name="Comma 2 4 21" xfId="18770"/>
    <cellStyle name="Comma 2 4 22" xfId="18771"/>
    <cellStyle name="Comma 2 4 23" xfId="18772"/>
    <cellStyle name="Comma 2 4 24" xfId="18773"/>
    <cellStyle name="Comma 2 4 3" xfId="18774"/>
    <cellStyle name="Comma 2 4 4" xfId="18775"/>
    <cellStyle name="Comma 2 4 5" xfId="18776"/>
    <cellStyle name="Comma 2 4 6" xfId="18777"/>
    <cellStyle name="Comma 2 4 7" xfId="18778"/>
    <cellStyle name="Comma 2 4 8" xfId="18779"/>
    <cellStyle name="Comma 2 4 9" xfId="18780"/>
    <cellStyle name="Comma 2 4_Sheet1" xfId="18781"/>
    <cellStyle name="Comma 2 40" xfId="18782"/>
    <cellStyle name="Comma 2 40 10" xfId="18783"/>
    <cellStyle name="Comma 2 40 10 2" xfId="18784"/>
    <cellStyle name="Comma 2 40 10 3" xfId="18785"/>
    <cellStyle name="Comma 2 40 10 4" xfId="18786"/>
    <cellStyle name="Comma 2 40 10 5" xfId="18787"/>
    <cellStyle name="Comma 2 40 10 6" xfId="18788"/>
    <cellStyle name="Comma 2 40 10 7" xfId="18789"/>
    <cellStyle name="Comma 2 40 10_Sheet1" xfId="18790"/>
    <cellStyle name="Comma 2 40 11" xfId="18791"/>
    <cellStyle name="Comma 2 40 11 2" xfId="18792"/>
    <cellStyle name="Comma 2 40 11 3" xfId="18793"/>
    <cellStyle name="Comma 2 40 11 4" xfId="18794"/>
    <cellStyle name="Comma 2 40 11 5" xfId="18795"/>
    <cellStyle name="Comma 2 40 11 6" xfId="18796"/>
    <cellStyle name="Comma 2 40 11 7" xfId="18797"/>
    <cellStyle name="Comma 2 40 11_Sheet1" xfId="18798"/>
    <cellStyle name="Comma 2 40 12" xfId="18799"/>
    <cellStyle name="Comma 2 40 12 2" xfId="18800"/>
    <cellStyle name="Comma 2 40 12 3" xfId="18801"/>
    <cellStyle name="Comma 2 40 12 4" xfId="18802"/>
    <cellStyle name="Comma 2 40 12 5" xfId="18803"/>
    <cellStyle name="Comma 2 40 12 6" xfId="18804"/>
    <cellStyle name="Comma 2 40 12 7" xfId="18805"/>
    <cellStyle name="Comma 2 40 12_Sheet1" xfId="18806"/>
    <cellStyle name="Comma 2 40 13" xfId="18807"/>
    <cellStyle name="Comma 2 40 13 2" xfId="18808"/>
    <cellStyle name="Comma 2 40 13 3" xfId="18809"/>
    <cellStyle name="Comma 2 40 13 4" xfId="18810"/>
    <cellStyle name="Comma 2 40 13 5" xfId="18811"/>
    <cellStyle name="Comma 2 40 13 6" xfId="18812"/>
    <cellStyle name="Comma 2 40 13 7" xfId="18813"/>
    <cellStyle name="Comma 2 40 13_Sheet1" xfId="18814"/>
    <cellStyle name="Comma 2 40 14" xfId="18815"/>
    <cellStyle name="Comma 2 40 14 2" xfId="18816"/>
    <cellStyle name="Comma 2 40 14 3" xfId="18817"/>
    <cellStyle name="Comma 2 40 14 4" xfId="18818"/>
    <cellStyle name="Comma 2 40 14 5" xfId="18819"/>
    <cellStyle name="Comma 2 40 14 6" xfId="18820"/>
    <cellStyle name="Comma 2 40 14 7" xfId="18821"/>
    <cellStyle name="Comma 2 40 14_Sheet1" xfId="18822"/>
    <cellStyle name="Comma 2 40 2" xfId="18823"/>
    <cellStyle name="Comma 2 40 2 2" xfId="18824"/>
    <cellStyle name="Comma 2 40 2 3" xfId="18825"/>
    <cellStyle name="Comma 2 40 2 4" xfId="18826"/>
    <cellStyle name="Comma 2 40 2 5" xfId="18827"/>
    <cellStyle name="Comma 2 40 2 6" xfId="18828"/>
    <cellStyle name="Comma 2 40 2 7" xfId="18829"/>
    <cellStyle name="Comma 2 40 2_Sheet1" xfId="18830"/>
    <cellStyle name="Comma 2 40 3" xfId="18831"/>
    <cellStyle name="Comma 2 40 3 2" xfId="18832"/>
    <cellStyle name="Comma 2 40 3 3" xfId="18833"/>
    <cellStyle name="Comma 2 40 3 4" xfId="18834"/>
    <cellStyle name="Comma 2 40 3 5" xfId="18835"/>
    <cellStyle name="Comma 2 40 3 6" xfId="18836"/>
    <cellStyle name="Comma 2 40 3 7" xfId="18837"/>
    <cellStyle name="Comma 2 40 3_Sheet1" xfId="18838"/>
    <cellStyle name="Comma 2 40 4" xfId="18839"/>
    <cellStyle name="Comma 2 40 4 2" xfId="18840"/>
    <cellStyle name="Comma 2 40 4 3" xfId="18841"/>
    <cellStyle name="Comma 2 40 4 4" xfId="18842"/>
    <cellStyle name="Comma 2 40 4 5" xfId="18843"/>
    <cellStyle name="Comma 2 40 4 6" xfId="18844"/>
    <cellStyle name="Comma 2 40 4 7" xfId="18845"/>
    <cellStyle name="Comma 2 40 4_Sheet1" xfId="18846"/>
    <cellStyle name="Comma 2 40 5" xfId="18847"/>
    <cellStyle name="Comma 2 40 5 2" xfId="18848"/>
    <cellStyle name="Comma 2 40 5 3" xfId="18849"/>
    <cellStyle name="Comma 2 40 5 4" xfId="18850"/>
    <cellStyle name="Comma 2 40 5 5" xfId="18851"/>
    <cellStyle name="Comma 2 40 5 6" xfId="18852"/>
    <cellStyle name="Comma 2 40 5 7" xfId="18853"/>
    <cellStyle name="Comma 2 40 5_Sheet1" xfId="18854"/>
    <cellStyle name="Comma 2 40 6" xfId="18855"/>
    <cellStyle name="Comma 2 40 6 2" xfId="18856"/>
    <cellStyle name="Comma 2 40 6 3" xfId="18857"/>
    <cellStyle name="Comma 2 40 6 4" xfId="18858"/>
    <cellStyle name="Comma 2 40 6 5" xfId="18859"/>
    <cellStyle name="Comma 2 40 6 6" xfId="18860"/>
    <cellStyle name="Comma 2 40 6 7" xfId="18861"/>
    <cellStyle name="Comma 2 40 6_Sheet1" xfId="18862"/>
    <cellStyle name="Comma 2 40 7" xfId="18863"/>
    <cellStyle name="Comma 2 40 7 2" xfId="18864"/>
    <cellStyle name="Comma 2 40 7 3" xfId="18865"/>
    <cellStyle name="Comma 2 40 7 4" xfId="18866"/>
    <cellStyle name="Comma 2 40 7 5" xfId="18867"/>
    <cellStyle name="Comma 2 40 7 6" xfId="18868"/>
    <cellStyle name="Comma 2 40 7 7" xfId="18869"/>
    <cellStyle name="Comma 2 40 7_Sheet1" xfId="18870"/>
    <cellStyle name="Comma 2 40 8" xfId="18871"/>
    <cellStyle name="Comma 2 40 8 2" xfId="18872"/>
    <cellStyle name="Comma 2 40 8 3" xfId="18873"/>
    <cellStyle name="Comma 2 40 8 4" xfId="18874"/>
    <cellStyle name="Comma 2 40 8 5" xfId="18875"/>
    <cellStyle name="Comma 2 40 8 6" xfId="18876"/>
    <cellStyle name="Comma 2 40 8 7" xfId="18877"/>
    <cellStyle name="Comma 2 40 8_Sheet1" xfId="18878"/>
    <cellStyle name="Comma 2 40 9" xfId="18879"/>
    <cellStyle name="Comma 2 40 9 2" xfId="18880"/>
    <cellStyle name="Comma 2 40 9 3" xfId="18881"/>
    <cellStyle name="Comma 2 40 9 4" xfId="18882"/>
    <cellStyle name="Comma 2 40 9 5" xfId="18883"/>
    <cellStyle name="Comma 2 40 9 6" xfId="18884"/>
    <cellStyle name="Comma 2 40 9 7" xfId="18885"/>
    <cellStyle name="Comma 2 40 9_Sheet1" xfId="18886"/>
    <cellStyle name="Comma 2 40_Sheet1" xfId="18887"/>
    <cellStyle name="Comma 2 41" xfId="18888"/>
    <cellStyle name="Comma 2 41 10" xfId="18889"/>
    <cellStyle name="Comma 2 41 10 2" xfId="18890"/>
    <cellStyle name="Comma 2 41 10 3" xfId="18891"/>
    <cellStyle name="Comma 2 41 10 4" xfId="18892"/>
    <cellStyle name="Comma 2 41 10 5" xfId="18893"/>
    <cellStyle name="Comma 2 41 10 6" xfId="18894"/>
    <cellStyle name="Comma 2 41 10 7" xfId="18895"/>
    <cellStyle name="Comma 2 41 10_Sheet1" xfId="18896"/>
    <cellStyle name="Comma 2 41 11" xfId="18897"/>
    <cellStyle name="Comma 2 41 11 2" xfId="18898"/>
    <cellStyle name="Comma 2 41 11 3" xfId="18899"/>
    <cellStyle name="Comma 2 41 11 4" xfId="18900"/>
    <cellStyle name="Comma 2 41 11 5" xfId="18901"/>
    <cellStyle name="Comma 2 41 11 6" xfId="18902"/>
    <cellStyle name="Comma 2 41 11 7" xfId="18903"/>
    <cellStyle name="Comma 2 41 11_Sheet1" xfId="18904"/>
    <cellStyle name="Comma 2 41 12" xfId="18905"/>
    <cellStyle name="Comma 2 41 12 2" xfId="18906"/>
    <cellStyle name="Comma 2 41 12 3" xfId="18907"/>
    <cellStyle name="Comma 2 41 12 4" xfId="18908"/>
    <cellStyle name="Comma 2 41 12 5" xfId="18909"/>
    <cellStyle name="Comma 2 41 12 6" xfId="18910"/>
    <cellStyle name="Comma 2 41 12 7" xfId="18911"/>
    <cellStyle name="Comma 2 41 12_Sheet1" xfId="18912"/>
    <cellStyle name="Comma 2 41 13" xfId="18913"/>
    <cellStyle name="Comma 2 41 13 2" xfId="18914"/>
    <cellStyle name="Comma 2 41 13 3" xfId="18915"/>
    <cellStyle name="Comma 2 41 13 4" xfId="18916"/>
    <cellStyle name="Comma 2 41 13 5" xfId="18917"/>
    <cellStyle name="Comma 2 41 13 6" xfId="18918"/>
    <cellStyle name="Comma 2 41 13 7" xfId="18919"/>
    <cellStyle name="Comma 2 41 13_Sheet1" xfId="18920"/>
    <cellStyle name="Comma 2 41 14" xfId="18921"/>
    <cellStyle name="Comma 2 41 14 2" xfId="18922"/>
    <cellStyle name="Comma 2 41 14 3" xfId="18923"/>
    <cellStyle name="Comma 2 41 14 4" xfId="18924"/>
    <cellStyle name="Comma 2 41 14 5" xfId="18925"/>
    <cellStyle name="Comma 2 41 14 6" xfId="18926"/>
    <cellStyle name="Comma 2 41 14 7" xfId="18927"/>
    <cellStyle name="Comma 2 41 14_Sheet1" xfId="18928"/>
    <cellStyle name="Comma 2 41 2" xfId="18929"/>
    <cellStyle name="Comma 2 41 2 2" xfId="18930"/>
    <cellStyle name="Comma 2 41 2 3" xfId="18931"/>
    <cellStyle name="Comma 2 41 2 4" xfId="18932"/>
    <cellStyle name="Comma 2 41 2 5" xfId="18933"/>
    <cellStyle name="Comma 2 41 2 6" xfId="18934"/>
    <cellStyle name="Comma 2 41 2 7" xfId="18935"/>
    <cellStyle name="Comma 2 41 2_Sheet1" xfId="18936"/>
    <cellStyle name="Comma 2 41 3" xfId="18937"/>
    <cellStyle name="Comma 2 41 3 2" xfId="18938"/>
    <cellStyle name="Comma 2 41 3 3" xfId="18939"/>
    <cellStyle name="Comma 2 41 3 4" xfId="18940"/>
    <cellStyle name="Comma 2 41 3 5" xfId="18941"/>
    <cellStyle name="Comma 2 41 3 6" xfId="18942"/>
    <cellStyle name="Comma 2 41 3 7" xfId="18943"/>
    <cellStyle name="Comma 2 41 3_Sheet1" xfId="18944"/>
    <cellStyle name="Comma 2 41 4" xfId="18945"/>
    <cellStyle name="Comma 2 41 4 2" xfId="18946"/>
    <cellStyle name="Comma 2 41 4 3" xfId="18947"/>
    <cellStyle name="Comma 2 41 4 4" xfId="18948"/>
    <cellStyle name="Comma 2 41 4 5" xfId="18949"/>
    <cellStyle name="Comma 2 41 4 6" xfId="18950"/>
    <cellStyle name="Comma 2 41 4 7" xfId="18951"/>
    <cellStyle name="Comma 2 41 4_Sheet1" xfId="18952"/>
    <cellStyle name="Comma 2 41 5" xfId="18953"/>
    <cellStyle name="Comma 2 41 5 2" xfId="18954"/>
    <cellStyle name="Comma 2 41 5 3" xfId="18955"/>
    <cellStyle name="Comma 2 41 5 4" xfId="18956"/>
    <cellStyle name="Comma 2 41 5 5" xfId="18957"/>
    <cellStyle name="Comma 2 41 5 6" xfId="18958"/>
    <cellStyle name="Comma 2 41 5 7" xfId="18959"/>
    <cellStyle name="Comma 2 41 5_Sheet1" xfId="18960"/>
    <cellStyle name="Comma 2 41 6" xfId="18961"/>
    <cellStyle name="Comma 2 41 6 2" xfId="18962"/>
    <cellStyle name="Comma 2 41 6 3" xfId="18963"/>
    <cellStyle name="Comma 2 41 6 4" xfId="18964"/>
    <cellStyle name="Comma 2 41 6 5" xfId="18965"/>
    <cellStyle name="Comma 2 41 6 6" xfId="18966"/>
    <cellStyle name="Comma 2 41 6 7" xfId="18967"/>
    <cellStyle name="Comma 2 41 6_Sheet1" xfId="18968"/>
    <cellStyle name="Comma 2 41 7" xfId="18969"/>
    <cellStyle name="Comma 2 41 7 2" xfId="18970"/>
    <cellStyle name="Comma 2 41 7 3" xfId="18971"/>
    <cellStyle name="Comma 2 41 7 4" xfId="18972"/>
    <cellStyle name="Comma 2 41 7 5" xfId="18973"/>
    <cellStyle name="Comma 2 41 7 6" xfId="18974"/>
    <cellStyle name="Comma 2 41 7 7" xfId="18975"/>
    <cellStyle name="Comma 2 41 7_Sheet1" xfId="18976"/>
    <cellStyle name="Comma 2 41 8" xfId="18977"/>
    <cellStyle name="Comma 2 41 8 2" xfId="18978"/>
    <cellStyle name="Comma 2 41 8 3" xfId="18979"/>
    <cellStyle name="Comma 2 41 8 4" xfId="18980"/>
    <cellStyle name="Comma 2 41 8 5" xfId="18981"/>
    <cellStyle name="Comma 2 41 8 6" xfId="18982"/>
    <cellStyle name="Comma 2 41 8 7" xfId="18983"/>
    <cellStyle name="Comma 2 41 8_Sheet1" xfId="18984"/>
    <cellStyle name="Comma 2 41 9" xfId="18985"/>
    <cellStyle name="Comma 2 41 9 2" xfId="18986"/>
    <cellStyle name="Comma 2 41 9 3" xfId="18987"/>
    <cellStyle name="Comma 2 41 9 4" xfId="18988"/>
    <cellStyle name="Comma 2 41 9 5" xfId="18989"/>
    <cellStyle name="Comma 2 41 9 6" xfId="18990"/>
    <cellStyle name="Comma 2 41 9 7" xfId="18991"/>
    <cellStyle name="Comma 2 41 9_Sheet1" xfId="18992"/>
    <cellStyle name="Comma 2 41_Sheet1" xfId="18993"/>
    <cellStyle name="Comma 2 42" xfId="18994"/>
    <cellStyle name="Comma 2 42 2" xfId="18995"/>
    <cellStyle name="Comma 2 42 2 2" xfId="18996"/>
    <cellStyle name="Comma 2 42 2 3" xfId="18997"/>
    <cellStyle name="Comma 2 42 2 4" xfId="18998"/>
    <cellStyle name="Comma 2 42 2 5" xfId="18999"/>
    <cellStyle name="Comma 2 42 2 6" xfId="19000"/>
    <cellStyle name="Comma 2 42 2 7" xfId="19001"/>
    <cellStyle name="Comma 2 42 2_Sheet1" xfId="19002"/>
    <cellStyle name="Comma 2 42 3" xfId="19003"/>
    <cellStyle name="Comma 2 42 3 2" xfId="19004"/>
    <cellStyle name="Comma 2 42 3 3" xfId="19005"/>
    <cellStyle name="Comma 2 42 3 4" xfId="19006"/>
    <cellStyle name="Comma 2 42 3 5" xfId="19007"/>
    <cellStyle name="Comma 2 42 3 6" xfId="19008"/>
    <cellStyle name="Comma 2 42 3 7" xfId="19009"/>
    <cellStyle name="Comma 2 42 3_Sheet1" xfId="19010"/>
    <cellStyle name="Comma 2 42 4" xfId="19011"/>
    <cellStyle name="Comma 2 42 4 2" xfId="19012"/>
    <cellStyle name="Comma 2 42 4 3" xfId="19013"/>
    <cellStyle name="Comma 2 42 4 4" xfId="19014"/>
    <cellStyle name="Comma 2 42 4 5" xfId="19015"/>
    <cellStyle name="Comma 2 42 4 6" xfId="19016"/>
    <cellStyle name="Comma 2 42 4 7" xfId="19017"/>
    <cellStyle name="Comma 2 42 4_Sheet1" xfId="19018"/>
    <cellStyle name="Comma 2 42_Sheet1" xfId="19019"/>
    <cellStyle name="Comma 2 43" xfId="19020"/>
    <cellStyle name="Comma 2 43 2" xfId="19021"/>
    <cellStyle name="Comma 2 43 2 2" xfId="19022"/>
    <cellStyle name="Comma 2 43 2 3" xfId="19023"/>
    <cellStyle name="Comma 2 43 2 4" xfId="19024"/>
    <cellStyle name="Comma 2 43 2 5" xfId="19025"/>
    <cellStyle name="Comma 2 43 2 6" xfId="19026"/>
    <cellStyle name="Comma 2 43 2 7" xfId="19027"/>
    <cellStyle name="Comma 2 43 2_Sheet1" xfId="19028"/>
    <cellStyle name="Comma 2 43 3" xfId="19029"/>
    <cellStyle name="Comma 2 43 3 2" xfId="19030"/>
    <cellStyle name="Comma 2 43 3 3" xfId="19031"/>
    <cellStyle name="Comma 2 43 3 4" xfId="19032"/>
    <cellStyle name="Comma 2 43 3 5" xfId="19033"/>
    <cellStyle name="Comma 2 43 3 6" xfId="19034"/>
    <cellStyle name="Comma 2 43 3 7" xfId="19035"/>
    <cellStyle name="Comma 2 43 3_Sheet1" xfId="19036"/>
    <cellStyle name="Comma 2 43 4" xfId="19037"/>
    <cellStyle name="Comma 2 43 4 2" xfId="19038"/>
    <cellStyle name="Comma 2 43 4 3" xfId="19039"/>
    <cellStyle name="Comma 2 43 4 4" xfId="19040"/>
    <cellStyle name="Comma 2 43 4 5" xfId="19041"/>
    <cellStyle name="Comma 2 43 4 6" xfId="19042"/>
    <cellStyle name="Comma 2 43 4 7" xfId="19043"/>
    <cellStyle name="Comma 2 43 4_Sheet1" xfId="19044"/>
    <cellStyle name="Comma 2 43_Sheet1" xfId="19045"/>
    <cellStyle name="Comma 2 44" xfId="19046"/>
    <cellStyle name="Comma 2 44 2" xfId="19047"/>
    <cellStyle name="Comma 2 44 2 2" xfId="19048"/>
    <cellStyle name="Comma 2 44 2 3" xfId="19049"/>
    <cellStyle name="Comma 2 44 2 4" xfId="19050"/>
    <cellStyle name="Comma 2 44 2 5" xfId="19051"/>
    <cellStyle name="Comma 2 44 2 6" xfId="19052"/>
    <cellStyle name="Comma 2 44 2 7" xfId="19053"/>
    <cellStyle name="Comma 2 44 2_Sheet1" xfId="19054"/>
    <cellStyle name="Comma 2 44 3" xfId="19055"/>
    <cellStyle name="Comma 2 44 3 2" xfId="19056"/>
    <cellStyle name="Comma 2 44 3 3" xfId="19057"/>
    <cellStyle name="Comma 2 44 3 4" xfId="19058"/>
    <cellStyle name="Comma 2 44 3 5" xfId="19059"/>
    <cellStyle name="Comma 2 44 3 6" xfId="19060"/>
    <cellStyle name="Comma 2 44 3 7" xfId="19061"/>
    <cellStyle name="Comma 2 44 3_Sheet1" xfId="19062"/>
    <cellStyle name="Comma 2 44 4" xfId="19063"/>
    <cellStyle name="Comma 2 44 4 2" xfId="19064"/>
    <cellStyle name="Comma 2 44 4 3" xfId="19065"/>
    <cellStyle name="Comma 2 44 4 4" xfId="19066"/>
    <cellStyle name="Comma 2 44 4 5" xfId="19067"/>
    <cellStyle name="Comma 2 44 4 6" xfId="19068"/>
    <cellStyle name="Comma 2 44 4 7" xfId="19069"/>
    <cellStyle name="Comma 2 44 4_Sheet1" xfId="19070"/>
    <cellStyle name="Comma 2 44_Sheet1" xfId="19071"/>
    <cellStyle name="Comma 2 45" xfId="19072"/>
    <cellStyle name="Comma 2 45 2" xfId="19073"/>
    <cellStyle name="Comma 2 45 2 2" xfId="19074"/>
    <cellStyle name="Comma 2 45 2 3" xfId="19075"/>
    <cellStyle name="Comma 2 45 2 4" xfId="19076"/>
    <cellStyle name="Comma 2 45 2 5" xfId="19077"/>
    <cellStyle name="Comma 2 45 2 6" xfId="19078"/>
    <cellStyle name="Comma 2 45 2 7" xfId="19079"/>
    <cellStyle name="Comma 2 45 2_Sheet1" xfId="19080"/>
    <cellStyle name="Comma 2 45 3" xfId="19081"/>
    <cellStyle name="Comma 2 45 3 2" xfId="19082"/>
    <cellStyle name="Comma 2 45 3 3" xfId="19083"/>
    <cellStyle name="Comma 2 45 3 4" xfId="19084"/>
    <cellStyle name="Comma 2 45 3 5" xfId="19085"/>
    <cellStyle name="Comma 2 45 3 6" xfId="19086"/>
    <cellStyle name="Comma 2 45 3 7" xfId="19087"/>
    <cellStyle name="Comma 2 45 3_Sheet1" xfId="19088"/>
    <cellStyle name="Comma 2 45 4" xfId="19089"/>
    <cellStyle name="Comma 2 45 4 2" xfId="19090"/>
    <cellStyle name="Comma 2 45 4 3" xfId="19091"/>
    <cellStyle name="Comma 2 45 4 4" xfId="19092"/>
    <cellStyle name="Comma 2 45 4 5" xfId="19093"/>
    <cellStyle name="Comma 2 45 4 6" xfId="19094"/>
    <cellStyle name="Comma 2 45 4 7" xfId="19095"/>
    <cellStyle name="Comma 2 45 4_Sheet1" xfId="19096"/>
    <cellStyle name="Comma 2 45_Sheet1" xfId="19097"/>
    <cellStyle name="Comma 2 46" xfId="19098"/>
    <cellStyle name="Comma 2 46 2" xfId="19099"/>
    <cellStyle name="Comma 2 46 2 2" xfId="19100"/>
    <cellStyle name="Comma 2 46 2 3" xfId="19101"/>
    <cellStyle name="Comma 2 46 2 4" xfId="19102"/>
    <cellStyle name="Comma 2 46 2 5" xfId="19103"/>
    <cellStyle name="Comma 2 46 2 6" xfId="19104"/>
    <cellStyle name="Comma 2 46 2 7" xfId="19105"/>
    <cellStyle name="Comma 2 46 2_Sheet1" xfId="19106"/>
    <cellStyle name="Comma 2 46 3" xfId="19107"/>
    <cellStyle name="Comma 2 46 3 2" xfId="19108"/>
    <cellStyle name="Comma 2 46 3 3" xfId="19109"/>
    <cellStyle name="Comma 2 46 3 4" xfId="19110"/>
    <cellStyle name="Comma 2 46 3 5" xfId="19111"/>
    <cellStyle name="Comma 2 46 3 6" xfId="19112"/>
    <cellStyle name="Comma 2 46 3 7" xfId="19113"/>
    <cellStyle name="Comma 2 46 3_Sheet1" xfId="19114"/>
    <cellStyle name="Comma 2 46 4" xfId="19115"/>
    <cellStyle name="Comma 2 46 4 2" xfId="19116"/>
    <cellStyle name="Comma 2 46 4 3" xfId="19117"/>
    <cellStyle name="Comma 2 46 4 4" xfId="19118"/>
    <cellStyle name="Comma 2 46 4 5" xfId="19119"/>
    <cellStyle name="Comma 2 46 4 6" xfId="19120"/>
    <cellStyle name="Comma 2 46 4 7" xfId="19121"/>
    <cellStyle name="Comma 2 46 4_Sheet1" xfId="19122"/>
    <cellStyle name="Comma 2 46_Sheet1" xfId="19123"/>
    <cellStyle name="Comma 2 47" xfId="19124"/>
    <cellStyle name="Comma 2 47 2" xfId="19125"/>
    <cellStyle name="Comma 2 47 2 2" xfId="19126"/>
    <cellStyle name="Comma 2 47 2 3" xfId="19127"/>
    <cellStyle name="Comma 2 47 2 4" xfId="19128"/>
    <cellStyle name="Comma 2 47 2 5" xfId="19129"/>
    <cellStyle name="Comma 2 47 2 6" xfId="19130"/>
    <cellStyle name="Comma 2 47 2 7" xfId="19131"/>
    <cellStyle name="Comma 2 47 2_Sheet1" xfId="19132"/>
    <cellStyle name="Comma 2 47 3" xfId="19133"/>
    <cellStyle name="Comma 2 47 3 2" xfId="19134"/>
    <cellStyle name="Comma 2 47 3 3" xfId="19135"/>
    <cellStyle name="Comma 2 47 3 4" xfId="19136"/>
    <cellStyle name="Comma 2 47 3 5" xfId="19137"/>
    <cellStyle name="Comma 2 47 3 6" xfId="19138"/>
    <cellStyle name="Comma 2 47 3 7" xfId="19139"/>
    <cellStyle name="Comma 2 47 3_Sheet1" xfId="19140"/>
    <cellStyle name="Comma 2 47 4" xfId="19141"/>
    <cellStyle name="Comma 2 47 4 2" xfId="19142"/>
    <cellStyle name="Comma 2 47 4 3" xfId="19143"/>
    <cellStyle name="Comma 2 47 4 4" xfId="19144"/>
    <cellStyle name="Comma 2 47 4 5" xfId="19145"/>
    <cellStyle name="Comma 2 47 4 6" xfId="19146"/>
    <cellStyle name="Comma 2 47 4 7" xfId="19147"/>
    <cellStyle name="Comma 2 47 4_Sheet1" xfId="19148"/>
    <cellStyle name="Comma 2 47_Sheet1" xfId="19149"/>
    <cellStyle name="Comma 2 48" xfId="19150"/>
    <cellStyle name="Comma 2 48 2" xfId="19151"/>
    <cellStyle name="Comma 2 48 2 2" xfId="19152"/>
    <cellStyle name="Comma 2 48 2 3" xfId="19153"/>
    <cellStyle name="Comma 2 48 2 4" xfId="19154"/>
    <cellStyle name="Comma 2 48 2 5" xfId="19155"/>
    <cellStyle name="Comma 2 48 2 6" xfId="19156"/>
    <cellStyle name="Comma 2 48 2 7" xfId="19157"/>
    <cellStyle name="Comma 2 48 2_Sheet1" xfId="19158"/>
    <cellStyle name="Comma 2 48 3" xfId="19159"/>
    <cellStyle name="Comma 2 48 3 2" xfId="19160"/>
    <cellStyle name="Comma 2 48 3 3" xfId="19161"/>
    <cellStyle name="Comma 2 48 3 4" xfId="19162"/>
    <cellStyle name="Comma 2 48 3 5" xfId="19163"/>
    <cellStyle name="Comma 2 48 3 6" xfId="19164"/>
    <cellStyle name="Comma 2 48 3 7" xfId="19165"/>
    <cellStyle name="Comma 2 48 3_Sheet1" xfId="19166"/>
    <cellStyle name="Comma 2 48 4" xfId="19167"/>
    <cellStyle name="Comma 2 48 4 2" xfId="19168"/>
    <cellStyle name="Comma 2 48 4 3" xfId="19169"/>
    <cellStyle name="Comma 2 48 4 4" xfId="19170"/>
    <cellStyle name="Comma 2 48 4 5" xfId="19171"/>
    <cellStyle name="Comma 2 48 4 6" xfId="19172"/>
    <cellStyle name="Comma 2 48 4 7" xfId="19173"/>
    <cellStyle name="Comma 2 48 4_Sheet1" xfId="19174"/>
    <cellStyle name="Comma 2 48_Sheet1" xfId="19175"/>
    <cellStyle name="Comma 2 49" xfId="19176"/>
    <cellStyle name="Comma 2 49 2" xfId="19177"/>
    <cellStyle name="Comma 2 49 2 2" xfId="19178"/>
    <cellStyle name="Comma 2 49 2 3" xfId="19179"/>
    <cellStyle name="Comma 2 49 2 4" xfId="19180"/>
    <cellStyle name="Comma 2 49 2 5" xfId="19181"/>
    <cellStyle name="Comma 2 49 2 6" xfId="19182"/>
    <cellStyle name="Comma 2 49 2 7" xfId="19183"/>
    <cellStyle name="Comma 2 49 2_Sheet1" xfId="19184"/>
    <cellStyle name="Comma 2 49 3" xfId="19185"/>
    <cellStyle name="Comma 2 49 3 2" xfId="19186"/>
    <cellStyle name="Comma 2 49 3 3" xfId="19187"/>
    <cellStyle name="Comma 2 49 3 4" xfId="19188"/>
    <cellStyle name="Comma 2 49 3 5" xfId="19189"/>
    <cellStyle name="Comma 2 49 3 6" xfId="19190"/>
    <cellStyle name="Comma 2 49 3 7" xfId="19191"/>
    <cellStyle name="Comma 2 49 3_Sheet1" xfId="19192"/>
    <cellStyle name="Comma 2 49 4" xfId="19193"/>
    <cellStyle name="Comma 2 49 4 2" xfId="19194"/>
    <cellStyle name="Comma 2 49 4 3" xfId="19195"/>
    <cellStyle name="Comma 2 49 4 4" xfId="19196"/>
    <cellStyle name="Comma 2 49 4 5" xfId="19197"/>
    <cellStyle name="Comma 2 49 4 6" xfId="19198"/>
    <cellStyle name="Comma 2 49 4 7" xfId="19199"/>
    <cellStyle name="Comma 2 49 4_Sheet1" xfId="19200"/>
    <cellStyle name="Comma 2 49_Sheet1" xfId="19201"/>
    <cellStyle name="Comma 2 5" xfId="19202"/>
    <cellStyle name="Comma 2 5 10" xfId="19203"/>
    <cellStyle name="Comma 2 5 11" xfId="19204"/>
    <cellStyle name="Comma 2 5 12" xfId="19205"/>
    <cellStyle name="Comma 2 5 13" xfId="19206"/>
    <cellStyle name="Comma 2 5 14" xfId="19207"/>
    <cellStyle name="Comma 2 5 15" xfId="19208"/>
    <cellStyle name="Comma 2 5 16" xfId="19209"/>
    <cellStyle name="Comma 2 5 17" xfId="19210"/>
    <cellStyle name="Comma 2 5 18" xfId="19211"/>
    <cellStyle name="Comma 2 5 19" xfId="19212"/>
    <cellStyle name="Comma 2 5 2" xfId="19213"/>
    <cellStyle name="Comma 2 5 20" xfId="19214"/>
    <cellStyle name="Comma 2 5 21" xfId="19215"/>
    <cellStyle name="Comma 2 5 22" xfId="19216"/>
    <cellStyle name="Comma 2 5 23" xfId="19217"/>
    <cellStyle name="Comma 2 5 24" xfId="19218"/>
    <cellStyle name="Comma 2 5 3" xfId="19219"/>
    <cellStyle name="Comma 2 5 4" xfId="19220"/>
    <cellStyle name="Comma 2 5 5" xfId="19221"/>
    <cellStyle name="Comma 2 5 6" xfId="19222"/>
    <cellStyle name="Comma 2 5 7" xfId="19223"/>
    <cellStyle name="Comma 2 5 8" xfId="19224"/>
    <cellStyle name="Comma 2 5 9" xfId="19225"/>
    <cellStyle name="Comma 2 5_Sheet1" xfId="19226"/>
    <cellStyle name="Comma 2 50" xfId="19227"/>
    <cellStyle name="Comma 2 50 2" xfId="19228"/>
    <cellStyle name="Comma 2 50 2 2" xfId="19229"/>
    <cellStyle name="Comma 2 50 2 3" xfId="19230"/>
    <cellStyle name="Comma 2 50 2 4" xfId="19231"/>
    <cellStyle name="Comma 2 50 2 5" xfId="19232"/>
    <cellStyle name="Comma 2 50 2 6" xfId="19233"/>
    <cellStyle name="Comma 2 50 2 7" xfId="19234"/>
    <cellStyle name="Comma 2 50 2_Sheet1" xfId="19235"/>
    <cellStyle name="Comma 2 50 3" xfId="19236"/>
    <cellStyle name="Comma 2 50 3 2" xfId="19237"/>
    <cellStyle name="Comma 2 50 3 3" xfId="19238"/>
    <cellStyle name="Comma 2 50 3 4" xfId="19239"/>
    <cellStyle name="Comma 2 50 3 5" xfId="19240"/>
    <cellStyle name="Comma 2 50 3 6" xfId="19241"/>
    <cellStyle name="Comma 2 50 3 7" xfId="19242"/>
    <cellStyle name="Comma 2 50 3_Sheet1" xfId="19243"/>
    <cellStyle name="Comma 2 50 4" xfId="19244"/>
    <cellStyle name="Comma 2 50 4 2" xfId="19245"/>
    <cellStyle name="Comma 2 50 4 3" xfId="19246"/>
    <cellStyle name="Comma 2 50 4 4" xfId="19247"/>
    <cellStyle name="Comma 2 50 4 5" xfId="19248"/>
    <cellStyle name="Comma 2 50 4 6" xfId="19249"/>
    <cellStyle name="Comma 2 50 4 7" xfId="19250"/>
    <cellStyle name="Comma 2 50 4_Sheet1" xfId="19251"/>
    <cellStyle name="Comma 2 50_Sheet1" xfId="19252"/>
    <cellStyle name="Comma 2 51" xfId="19253"/>
    <cellStyle name="Comma 2 51 2" xfId="19254"/>
    <cellStyle name="Comma 2 51 2 2" xfId="19255"/>
    <cellStyle name="Comma 2 51 2 3" xfId="19256"/>
    <cellStyle name="Comma 2 51 2 4" xfId="19257"/>
    <cellStyle name="Comma 2 51 2 5" xfId="19258"/>
    <cellStyle name="Comma 2 51 2 6" xfId="19259"/>
    <cellStyle name="Comma 2 51 2 7" xfId="19260"/>
    <cellStyle name="Comma 2 51 2_Sheet1" xfId="19261"/>
    <cellStyle name="Comma 2 51 3" xfId="19262"/>
    <cellStyle name="Comma 2 51 3 2" xfId="19263"/>
    <cellStyle name="Comma 2 51 3 3" xfId="19264"/>
    <cellStyle name="Comma 2 51 3 4" xfId="19265"/>
    <cellStyle name="Comma 2 51 3 5" xfId="19266"/>
    <cellStyle name="Comma 2 51 3 6" xfId="19267"/>
    <cellStyle name="Comma 2 51 3 7" xfId="19268"/>
    <cellStyle name="Comma 2 51 3_Sheet1" xfId="19269"/>
    <cellStyle name="Comma 2 51 4" xfId="19270"/>
    <cellStyle name="Comma 2 51 4 2" xfId="19271"/>
    <cellStyle name="Comma 2 51 4 3" xfId="19272"/>
    <cellStyle name="Comma 2 51 4 4" xfId="19273"/>
    <cellStyle name="Comma 2 51 4 5" xfId="19274"/>
    <cellStyle name="Comma 2 51 4 6" xfId="19275"/>
    <cellStyle name="Comma 2 51 4 7" xfId="19276"/>
    <cellStyle name="Comma 2 51 4_Sheet1" xfId="19277"/>
    <cellStyle name="Comma 2 51_Sheet1" xfId="19278"/>
    <cellStyle name="Comma 2 52" xfId="19279"/>
    <cellStyle name="Comma 2 52 2" xfId="19280"/>
    <cellStyle name="Comma 2 52 2 2" xfId="19281"/>
    <cellStyle name="Comma 2 52 2 3" xfId="19282"/>
    <cellStyle name="Comma 2 52 2 4" xfId="19283"/>
    <cellStyle name="Comma 2 52 2 5" xfId="19284"/>
    <cellStyle name="Comma 2 52 2 6" xfId="19285"/>
    <cellStyle name="Comma 2 52 2 7" xfId="19286"/>
    <cellStyle name="Comma 2 52 2_Sheet1" xfId="19287"/>
    <cellStyle name="Comma 2 52 3" xfId="19288"/>
    <cellStyle name="Comma 2 52 3 2" xfId="19289"/>
    <cellStyle name="Comma 2 52 3 3" xfId="19290"/>
    <cellStyle name="Comma 2 52 3 4" xfId="19291"/>
    <cellStyle name="Comma 2 52 3 5" xfId="19292"/>
    <cellStyle name="Comma 2 52 3 6" xfId="19293"/>
    <cellStyle name="Comma 2 52 3 7" xfId="19294"/>
    <cellStyle name="Comma 2 52 3_Sheet1" xfId="19295"/>
    <cellStyle name="Comma 2 52 4" xfId="19296"/>
    <cellStyle name="Comma 2 52 4 2" xfId="19297"/>
    <cellStyle name="Comma 2 52 4 3" xfId="19298"/>
    <cellStyle name="Comma 2 52 4 4" xfId="19299"/>
    <cellStyle name="Comma 2 52 4 5" xfId="19300"/>
    <cellStyle name="Comma 2 52 4 6" xfId="19301"/>
    <cellStyle name="Comma 2 52 4 7" xfId="19302"/>
    <cellStyle name="Comma 2 52 4_Sheet1" xfId="19303"/>
    <cellStyle name="Comma 2 52_Sheet1" xfId="19304"/>
    <cellStyle name="Comma 2 53" xfId="19305"/>
    <cellStyle name="Comma 2 53 2" xfId="19306"/>
    <cellStyle name="Comma 2 53 2 2" xfId="19307"/>
    <cellStyle name="Comma 2 53 2 3" xfId="19308"/>
    <cellStyle name="Comma 2 53 2 4" xfId="19309"/>
    <cellStyle name="Comma 2 53 2 5" xfId="19310"/>
    <cellStyle name="Comma 2 53 2 6" xfId="19311"/>
    <cellStyle name="Comma 2 53 2 7" xfId="19312"/>
    <cellStyle name="Comma 2 53 2_Sheet1" xfId="19313"/>
    <cellStyle name="Comma 2 53 3" xfId="19314"/>
    <cellStyle name="Comma 2 53 3 2" xfId="19315"/>
    <cellStyle name="Comma 2 53 3 3" xfId="19316"/>
    <cellStyle name="Comma 2 53 3 4" xfId="19317"/>
    <cellStyle name="Comma 2 53 3 5" xfId="19318"/>
    <cellStyle name="Comma 2 53 3 6" xfId="19319"/>
    <cellStyle name="Comma 2 53 3 7" xfId="19320"/>
    <cellStyle name="Comma 2 53 3_Sheet1" xfId="19321"/>
    <cellStyle name="Comma 2 53 4" xfId="19322"/>
    <cellStyle name="Comma 2 53 4 2" xfId="19323"/>
    <cellStyle name="Comma 2 53 4 3" xfId="19324"/>
    <cellStyle name="Comma 2 53 4 4" xfId="19325"/>
    <cellStyle name="Comma 2 53 4 5" xfId="19326"/>
    <cellStyle name="Comma 2 53 4 6" xfId="19327"/>
    <cellStyle name="Comma 2 53 4 7" xfId="19328"/>
    <cellStyle name="Comma 2 53 4_Sheet1" xfId="19329"/>
    <cellStyle name="Comma 2 53_Sheet1" xfId="19330"/>
    <cellStyle name="Comma 2 54" xfId="19331"/>
    <cellStyle name="Comma 2 54 2" xfId="19332"/>
    <cellStyle name="Comma 2 54 2 2" xfId="19333"/>
    <cellStyle name="Comma 2 54 2 3" xfId="19334"/>
    <cellStyle name="Comma 2 54 2 4" xfId="19335"/>
    <cellStyle name="Comma 2 54 2 5" xfId="19336"/>
    <cellStyle name="Comma 2 54 2 6" xfId="19337"/>
    <cellStyle name="Comma 2 54 2 7" xfId="19338"/>
    <cellStyle name="Comma 2 54 2_Sheet1" xfId="19339"/>
    <cellStyle name="Comma 2 54 3" xfId="19340"/>
    <cellStyle name="Comma 2 54 3 2" xfId="19341"/>
    <cellStyle name="Comma 2 54 3 3" xfId="19342"/>
    <cellStyle name="Comma 2 54 3 4" xfId="19343"/>
    <cellStyle name="Comma 2 54 3 5" xfId="19344"/>
    <cellStyle name="Comma 2 54 3 6" xfId="19345"/>
    <cellStyle name="Comma 2 54 3 7" xfId="19346"/>
    <cellStyle name="Comma 2 54 3_Sheet1" xfId="19347"/>
    <cellStyle name="Comma 2 54 4" xfId="19348"/>
    <cellStyle name="Comma 2 54 4 2" xfId="19349"/>
    <cellStyle name="Comma 2 54 4 3" xfId="19350"/>
    <cellStyle name="Comma 2 54 4 4" xfId="19351"/>
    <cellStyle name="Comma 2 54 4 5" xfId="19352"/>
    <cellStyle name="Comma 2 54 4 6" xfId="19353"/>
    <cellStyle name="Comma 2 54 4 7" xfId="19354"/>
    <cellStyle name="Comma 2 54 4_Sheet1" xfId="19355"/>
    <cellStyle name="Comma 2 54_Sheet1" xfId="19356"/>
    <cellStyle name="Comma 2 55" xfId="19357"/>
    <cellStyle name="Comma 2 55 2" xfId="19358"/>
    <cellStyle name="Comma 2 55 2 2" xfId="19359"/>
    <cellStyle name="Comma 2 55 2 3" xfId="19360"/>
    <cellStyle name="Comma 2 55 2 4" xfId="19361"/>
    <cellStyle name="Comma 2 55 2 5" xfId="19362"/>
    <cellStyle name="Comma 2 55 2 6" xfId="19363"/>
    <cellStyle name="Comma 2 55 2 7" xfId="19364"/>
    <cellStyle name="Comma 2 55 2_Sheet1" xfId="19365"/>
    <cellStyle name="Comma 2 55 3" xfId="19366"/>
    <cellStyle name="Comma 2 55 3 2" xfId="19367"/>
    <cellStyle name="Comma 2 55 3 3" xfId="19368"/>
    <cellStyle name="Comma 2 55 3 4" xfId="19369"/>
    <cellStyle name="Comma 2 55 3 5" xfId="19370"/>
    <cellStyle name="Comma 2 55 3 6" xfId="19371"/>
    <cellStyle name="Comma 2 55 3 7" xfId="19372"/>
    <cellStyle name="Comma 2 55 3_Sheet1" xfId="19373"/>
    <cellStyle name="Comma 2 55 4" xfId="19374"/>
    <cellStyle name="Comma 2 55 4 2" xfId="19375"/>
    <cellStyle name="Comma 2 55 4 3" xfId="19376"/>
    <cellStyle name="Comma 2 55 4 4" xfId="19377"/>
    <cellStyle name="Comma 2 55 4 5" xfId="19378"/>
    <cellStyle name="Comma 2 55 4 6" xfId="19379"/>
    <cellStyle name="Comma 2 55 4 7" xfId="19380"/>
    <cellStyle name="Comma 2 55 4_Sheet1" xfId="19381"/>
    <cellStyle name="Comma 2 55_Sheet1" xfId="19382"/>
    <cellStyle name="Comma 2 56" xfId="19383"/>
    <cellStyle name="Comma 2 56 2" xfId="19384"/>
    <cellStyle name="Comma 2 56 2 2" xfId="19385"/>
    <cellStyle name="Comma 2 56 2 3" xfId="19386"/>
    <cellStyle name="Comma 2 56 2 4" xfId="19387"/>
    <cellStyle name="Comma 2 56 2 5" xfId="19388"/>
    <cellStyle name="Comma 2 56 2 6" xfId="19389"/>
    <cellStyle name="Comma 2 56 2 7" xfId="19390"/>
    <cellStyle name="Comma 2 56 2_Sheet1" xfId="19391"/>
    <cellStyle name="Comma 2 56 3" xfId="19392"/>
    <cellStyle name="Comma 2 56 3 2" xfId="19393"/>
    <cellStyle name="Comma 2 56 3 3" xfId="19394"/>
    <cellStyle name="Comma 2 56 3 4" xfId="19395"/>
    <cellStyle name="Comma 2 56 3 5" xfId="19396"/>
    <cellStyle name="Comma 2 56 3 6" xfId="19397"/>
    <cellStyle name="Comma 2 56 3 7" xfId="19398"/>
    <cellStyle name="Comma 2 56 3_Sheet1" xfId="19399"/>
    <cellStyle name="Comma 2 56 4" xfId="19400"/>
    <cellStyle name="Comma 2 56 4 2" xfId="19401"/>
    <cellStyle name="Comma 2 56 4 3" xfId="19402"/>
    <cellStyle name="Comma 2 56 4 4" xfId="19403"/>
    <cellStyle name="Comma 2 56 4 5" xfId="19404"/>
    <cellStyle name="Comma 2 56 4 6" xfId="19405"/>
    <cellStyle name="Comma 2 56 4 7" xfId="19406"/>
    <cellStyle name="Comma 2 56 4_Sheet1" xfId="19407"/>
    <cellStyle name="Comma 2 56_Sheet1" xfId="19408"/>
    <cellStyle name="Comma 2 57" xfId="19409"/>
    <cellStyle name="Comma 2 57 2" xfId="19410"/>
    <cellStyle name="Comma 2 57 2 2" xfId="19411"/>
    <cellStyle name="Comma 2 57 2 3" xfId="19412"/>
    <cellStyle name="Comma 2 57 2 4" xfId="19413"/>
    <cellStyle name="Comma 2 57 2 5" xfId="19414"/>
    <cellStyle name="Comma 2 57 2 6" xfId="19415"/>
    <cellStyle name="Comma 2 57 2 7" xfId="19416"/>
    <cellStyle name="Comma 2 57 2_Sheet1" xfId="19417"/>
    <cellStyle name="Comma 2 57 3" xfId="19418"/>
    <cellStyle name="Comma 2 57 3 2" xfId="19419"/>
    <cellStyle name="Comma 2 57 3 3" xfId="19420"/>
    <cellStyle name="Comma 2 57 3 4" xfId="19421"/>
    <cellStyle name="Comma 2 57 3 5" xfId="19422"/>
    <cellStyle name="Comma 2 57 3 6" xfId="19423"/>
    <cellStyle name="Comma 2 57 3 7" xfId="19424"/>
    <cellStyle name="Comma 2 57 3_Sheet1" xfId="19425"/>
    <cellStyle name="Comma 2 57 4" xfId="19426"/>
    <cellStyle name="Comma 2 57 4 2" xfId="19427"/>
    <cellStyle name="Comma 2 57 4 3" xfId="19428"/>
    <cellStyle name="Comma 2 57 4 4" xfId="19429"/>
    <cellStyle name="Comma 2 57 4 5" xfId="19430"/>
    <cellStyle name="Comma 2 57 4 6" xfId="19431"/>
    <cellStyle name="Comma 2 57 4 7" xfId="19432"/>
    <cellStyle name="Comma 2 57 4_Sheet1" xfId="19433"/>
    <cellStyle name="Comma 2 57_Sheet1" xfId="19434"/>
    <cellStyle name="Comma 2 58" xfId="19435"/>
    <cellStyle name="Comma 2 58 2" xfId="19436"/>
    <cellStyle name="Comma 2 58 2 2" xfId="19437"/>
    <cellStyle name="Comma 2 58 2 3" xfId="19438"/>
    <cellStyle name="Comma 2 58 2 4" xfId="19439"/>
    <cellStyle name="Comma 2 58 2 5" xfId="19440"/>
    <cellStyle name="Comma 2 58 2 6" xfId="19441"/>
    <cellStyle name="Comma 2 58 2 7" xfId="19442"/>
    <cellStyle name="Comma 2 58 2_Sheet1" xfId="19443"/>
    <cellStyle name="Comma 2 58 3" xfId="19444"/>
    <cellStyle name="Comma 2 58 3 2" xfId="19445"/>
    <cellStyle name="Comma 2 58 3 3" xfId="19446"/>
    <cellStyle name="Comma 2 58 3 4" xfId="19447"/>
    <cellStyle name="Comma 2 58 3 5" xfId="19448"/>
    <cellStyle name="Comma 2 58 3 6" xfId="19449"/>
    <cellStyle name="Comma 2 58 3 7" xfId="19450"/>
    <cellStyle name="Comma 2 58 3_Sheet1" xfId="19451"/>
    <cellStyle name="Comma 2 58 4" xfId="19452"/>
    <cellStyle name="Comma 2 58 4 2" xfId="19453"/>
    <cellStyle name="Comma 2 58 4 3" xfId="19454"/>
    <cellStyle name="Comma 2 58 4 4" xfId="19455"/>
    <cellStyle name="Comma 2 58 4 5" xfId="19456"/>
    <cellStyle name="Comma 2 58 4 6" xfId="19457"/>
    <cellStyle name="Comma 2 58 4 7" xfId="19458"/>
    <cellStyle name="Comma 2 58 4_Sheet1" xfId="19459"/>
    <cellStyle name="Comma 2 58_Sheet1" xfId="19460"/>
    <cellStyle name="Comma 2 59" xfId="19461"/>
    <cellStyle name="Comma 2 59 2" xfId="19462"/>
    <cellStyle name="Comma 2 59 2 2" xfId="19463"/>
    <cellStyle name="Comma 2 59 2 3" xfId="19464"/>
    <cellStyle name="Comma 2 59 2 4" xfId="19465"/>
    <cellStyle name="Comma 2 59 2 5" xfId="19466"/>
    <cellStyle name="Comma 2 59 2 6" xfId="19467"/>
    <cellStyle name="Comma 2 59 2 7" xfId="19468"/>
    <cellStyle name="Comma 2 59 2_Sheet1" xfId="19469"/>
    <cellStyle name="Comma 2 59 3" xfId="19470"/>
    <cellStyle name="Comma 2 59 3 2" xfId="19471"/>
    <cellStyle name="Comma 2 59 3 3" xfId="19472"/>
    <cellStyle name="Comma 2 59 3 4" xfId="19473"/>
    <cellStyle name="Comma 2 59 3 5" xfId="19474"/>
    <cellStyle name="Comma 2 59 3 6" xfId="19475"/>
    <cellStyle name="Comma 2 59 3 7" xfId="19476"/>
    <cellStyle name="Comma 2 59 3_Sheet1" xfId="19477"/>
    <cellStyle name="Comma 2 59 4" xfId="19478"/>
    <cellStyle name="Comma 2 59 4 2" xfId="19479"/>
    <cellStyle name="Comma 2 59 4 3" xfId="19480"/>
    <cellStyle name="Comma 2 59 4 4" xfId="19481"/>
    <cellStyle name="Comma 2 59 4 5" xfId="19482"/>
    <cellStyle name="Comma 2 59 4 6" xfId="19483"/>
    <cellStyle name="Comma 2 59 4 7" xfId="19484"/>
    <cellStyle name="Comma 2 59 4_Sheet1" xfId="19485"/>
    <cellStyle name="Comma 2 59_Sheet1" xfId="19486"/>
    <cellStyle name="Comma 2 6" xfId="19487"/>
    <cellStyle name="Comma 2 6 10" xfId="19488"/>
    <cellStyle name="Comma 2 6 11" xfId="19489"/>
    <cellStyle name="Comma 2 6 12" xfId="19490"/>
    <cellStyle name="Comma 2 6 13" xfId="19491"/>
    <cellStyle name="Comma 2 6 14" xfId="19492"/>
    <cellStyle name="Comma 2 6 15" xfId="19493"/>
    <cellStyle name="Comma 2 6 16" xfId="19494"/>
    <cellStyle name="Comma 2 6 17" xfId="19495"/>
    <cellStyle name="Comma 2 6 18" xfId="19496"/>
    <cellStyle name="Comma 2 6 19" xfId="19497"/>
    <cellStyle name="Comma 2 6 2" xfId="19498"/>
    <cellStyle name="Comma 2 6 20" xfId="19499"/>
    <cellStyle name="Comma 2 6 21" xfId="19500"/>
    <cellStyle name="Comma 2 6 22" xfId="19501"/>
    <cellStyle name="Comma 2 6 23" xfId="19502"/>
    <cellStyle name="Comma 2 6 24" xfId="19503"/>
    <cellStyle name="Comma 2 6 3" xfId="19504"/>
    <cellStyle name="Comma 2 6 4" xfId="19505"/>
    <cellStyle name="Comma 2 6 5" xfId="19506"/>
    <cellStyle name="Comma 2 6 6" xfId="19507"/>
    <cellStyle name="Comma 2 6 7" xfId="19508"/>
    <cellStyle name="Comma 2 6 8" xfId="19509"/>
    <cellStyle name="Comma 2 6 9" xfId="19510"/>
    <cellStyle name="Comma 2 6_Sheet1" xfId="19511"/>
    <cellStyle name="Comma 2 60" xfId="19512"/>
    <cellStyle name="Comma 2 60 2" xfId="19513"/>
    <cellStyle name="Comma 2 60 2 2" xfId="19514"/>
    <cellStyle name="Comma 2 60 2 3" xfId="19515"/>
    <cellStyle name="Comma 2 60 2 4" xfId="19516"/>
    <cellStyle name="Comma 2 60 2 5" xfId="19517"/>
    <cellStyle name="Comma 2 60 2 6" xfId="19518"/>
    <cellStyle name="Comma 2 60 2 7" xfId="19519"/>
    <cellStyle name="Comma 2 60 2_Sheet1" xfId="19520"/>
    <cellStyle name="Comma 2 60 3" xfId="19521"/>
    <cellStyle name="Comma 2 60 3 2" xfId="19522"/>
    <cellStyle name="Comma 2 60 3 3" xfId="19523"/>
    <cellStyle name="Comma 2 60 3 4" xfId="19524"/>
    <cellStyle name="Comma 2 60 3 5" xfId="19525"/>
    <cellStyle name="Comma 2 60 3 6" xfId="19526"/>
    <cellStyle name="Comma 2 60 3 7" xfId="19527"/>
    <cellStyle name="Comma 2 60 3_Sheet1" xfId="19528"/>
    <cellStyle name="Comma 2 60 4" xfId="19529"/>
    <cellStyle name="Comma 2 60 4 2" xfId="19530"/>
    <cellStyle name="Comma 2 60 4 3" xfId="19531"/>
    <cellStyle name="Comma 2 60 4 4" xfId="19532"/>
    <cellStyle name="Comma 2 60 4 5" xfId="19533"/>
    <cellStyle name="Comma 2 60 4 6" xfId="19534"/>
    <cellStyle name="Comma 2 60 4 7" xfId="19535"/>
    <cellStyle name="Comma 2 60 4_Sheet1" xfId="19536"/>
    <cellStyle name="Comma 2 60_Sheet1" xfId="19537"/>
    <cellStyle name="Comma 2 61" xfId="19538"/>
    <cellStyle name="Comma 2 61 2" xfId="19539"/>
    <cellStyle name="Comma 2 61 2 2" xfId="19540"/>
    <cellStyle name="Comma 2 61 2 3" xfId="19541"/>
    <cellStyle name="Comma 2 61 2 4" xfId="19542"/>
    <cellStyle name="Comma 2 61 2 5" xfId="19543"/>
    <cellStyle name="Comma 2 61 2 6" xfId="19544"/>
    <cellStyle name="Comma 2 61 2 7" xfId="19545"/>
    <cellStyle name="Comma 2 61 2_Sheet1" xfId="19546"/>
    <cellStyle name="Comma 2 61 3" xfId="19547"/>
    <cellStyle name="Comma 2 61 3 2" xfId="19548"/>
    <cellStyle name="Comma 2 61 3 3" xfId="19549"/>
    <cellStyle name="Comma 2 61 3 4" xfId="19550"/>
    <cellStyle name="Comma 2 61 3 5" xfId="19551"/>
    <cellStyle name="Comma 2 61 3 6" xfId="19552"/>
    <cellStyle name="Comma 2 61 3 7" xfId="19553"/>
    <cellStyle name="Comma 2 61 3_Sheet1" xfId="19554"/>
    <cellStyle name="Comma 2 61 4" xfId="19555"/>
    <cellStyle name="Comma 2 61 4 2" xfId="19556"/>
    <cellStyle name="Comma 2 61 4 3" xfId="19557"/>
    <cellStyle name="Comma 2 61 4 4" xfId="19558"/>
    <cellStyle name="Comma 2 61 4 5" xfId="19559"/>
    <cellStyle name="Comma 2 61 4 6" xfId="19560"/>
    <cellStyle name="Comma 2 61 4 7" xfId="19561"/>
    <cellStyle name="Comma 2 61 4_Sheet1" xfId="19562"/>
    <cellStyle name="Comma 2 61_Sheet1" xfId="19563"/>
    <cellStyle name="Comma 2 62" xfId="19564"/>
    <cellStyle name="Comma 2 62 2" xfId="19565"/>
    <cellStyle name="Comma 2 62 2 2" xfId="19566"/>
    <cellStyle name="Comma 2 62 2 3" xfId="19567"/>
    <cellStyle name="Comma 2 62 2 4" xfId="19568"/>
    <cellStyle name="Comma 2 62 2 5" xfId="19569"/>
    <cellStyle name="Comma 2 62 2 6" xfId="19570"/>
    <cellStyle name="Comma 2 62 2 7" xfId="19571"/>
    <cellStyle name="Comma 2 62 2_Sheet1" xfId="19572"/>
    <cellStyle name="Comma 2 62 3" xfId="19573"/>
    <cellStyle name="Comma 2 62 3 2" xfId="19574"/>
    <cellStyle name="Comma 2 62 3 3" xfId="19575"/>
    <cellStyle name="Comma 2 62 3 4" xfId="19576"/>
    <cellStyle name="Comma 2 62 3 5" xfId="19577"/>
    <cellStyle name="Comma 2 62 3 6" xfId="19578"/>
    <cellStyle name="Comma 2 62 3 7" xfId="19579"/>
    <cellStyle name="Comma 2 62 3_Sheet1" xfId="19580"/>
    <cellStyle name="Comma 2 62 4" xfId="19581"/>
    <cellStyle name="Comma 2 62 4 2" xfId="19582"/>
    <cellStyle name="Comma 2 62 4 3" xfId="19583"/>
    <cellStyle name="Comma 2 62 4 4" xfId="19584"/>
    <cellStyle name="Comma 2 62 4 5" xfId="19585"/>
    <cellStyle name="Comma 2 62 4 6" xfId="19586"/>
    <cellStyle name="Comma 2 62 4 7" xfId="19587"/>
    <cellStyle name="Comma 2 62 4_Sheet1" xfId="19588"/>
    <cellStyle name="Comma 2 62_Sheet1" xfId="19589"/>
    <cellStyle name="Comma 2 63" xfId="19590"/>
    <cellStyle name="Comma 2 63 2" xfId="19591"/>
    <cellStyle name="Comma 2 63 2 2" xfId="19592"/>
    <cellStyle name="Comma 2 63 2 3" xfId="19593"/>
    <cellStyle name="Comma 2 63 2 4" xfId="19594"/>
    <cellStyle name="Comma 2 63 2 5" xfId="19595"/>
    <cellStyle name="Comma 2 63 2 6" xfId="19596"/>
    <cellStyle name="Comma 2 63 2 7" xfId="19597"/>
    <cellStyle name="Comma 2 63 2_Sheet1" xfId="19598"/>
    <cellStyle name="Comma 2 63 3" xfId="19599"/>
    <cellStyle name="Comma 2 63 3 2" xfId="19600"/>
    <cellStyle name="Comma 2 63 3 3" xfId="19601"/>
    <cellStyle name="Comma 2 63 3 4" xfId="19602"/>
    <cellStyle name="Comma 2 63 3 5" xfId="19603"/>
    <cellStyle name="Comma 2 63 3 6" xfId="19604"/>
    <cellStyle name="Comma 2 63 3 7" xfId="19605"/>
    <cellStyle name="Comma 2 63 3_Sheet1" xfId="19606"/>
    <cellStyle name="Comma 2 63 4" xfId="19607"/>
    <cellStyle name="Comma 2 63 4 2" xfId="19608"/>
    <cellStyle name="Comma 2 63 4 3" xfId="19609"/>
    <cellStyle name="Comma 2 63 4 4" xfId="19610"/>
    <cellStyle name="Comma 2 63 4 5" xfId="19611"/>
    <cellStyle name="Comma 2 63 4 6" xfId="19612"/>
    <cellStyle name="Comma 2 63 4 7" xfId="19613"/>
    <cellStyle name="Comma 2 63 4_Sheet1" xfId="19614"/>
    <cellStyle name="Comma 2 63_Sheet1" xfId="19615"/>
    <cellStyle name="Comma 2 64" xfId="19616"/>
    <cellStyle name="Comma 2 64 2" xfId="19617"/>
    <cellStyle name="Comma 2 64 2 2" xfId="19618"/>
    <cellStyle name="Comma 2 64 2 3" xfId="19619"/>
    <cellStyle name="Comma 2 64 2 4" xfId="19620"/>
    <cellStyle name="Comma 2 64 2 5" xfId="19621"/>
    <cellStyle name="Comma 2 64 2 6" xfId="19622"/>
    <cellStyle name="Comma 2 64 2 7" xfId="19623"/>
    <cellStyle name="Comma 2 64 2_Sheet1" xfId="19624"/>
    <cellStyle name="Comma 2 64 3" xfId="19625"/>
    <cellStyle name="Comma 2 64 3 2" xfId="19626"/>
    <cellStyle name="Comma 2 64 3 3" xfId="19627"/>
    <cellStyle name="Comma 2 64 3 4" xfId="19628"/>
    <cellStyle name="Comma 2 64 3 5" xfId="19629"/>
    <cellStyle name="Comma 2 64 3 6" xfId="19630"/>
    <cellStyle name="Comma 2 64 3 7" xfId="19631"/>
    <cellStyle name="Comma 2 64 3_Sheet1" xfId="19632"/>
    <cellStyle name="Comma 2 64 4" xfId="19633"/>
    <cellStyle name="Comma 2 64 4 2" xfId="19634"/>
    <cellStyle name="Comma 2 64 4 3" xfId="19635"/>
    <cellStyle name="Comma 2 64 4 4" xfId="19636"/>
    <cellStyle name="Comma 2 64 4 5" xfId="19637"/>
    <cellStyle name="Comma 2 64 4 6" xfId="19638"/>
    <cellStyle name="Comma 2 64 4 7" xfId="19639"/>
    <cellStyle name="Comma 2 64 4_Sheet1" xfId="19640"/>
    <cellStyle name="Comma 2 64_Sheet1" xfId="19641"/>
    <cellStyle name="Comma 2 65" xfId="19642"/>
    <cellStyle name="Comma 2 65 2" xfId="19643"/>
    <cellStyle name="Comma 2 65 2 2" xfId="19644"/>
    <cellStyle name="Comma 2 65 2 3" xfId="19645"/>
    <cellStyle name="Comma 2 65 2 4" xfId="19646"/>
    <cellStyle name="Comma 2 65 2 5" xfId="19647"/>
    <cellStyle name="Comma 2 65 2 6" xfId="19648"/>
    <cellStyle name="Comma 2 65 2 7" xfId="19649"/>
    <cellStyle name="Comma 2 65 2_Sheet1" xfId="19650"/>
    <cellStyle name="Comma 2 65 3" xfId="19651"/>
    <cellStyle name="Comma 2 65 3 2" xfId="19652"/>
    <cellStyle name="Comma 2 65 3 3" xfId="19653"/>
    <cellStyle name="Comma 2 65 3 4" xfId="19654"/>
    <cellStyle name="Comma 2 65 3 5" xfId="19655"/>
    <cellStyle name="Comma 2 65 3 6" xfId="19656"/>
    <cellStyle name="Comma 2 65 3 7" xfId="19657"/>
    <cellStyle name="Comma 2 65 3_Sheet1" xfId="19658"/>
    <cellStyle name="Comma 2 65 4" xfId="19659"/>
    <cellStyle name="Comma 2 65 4 2" xfId="19660"/>
    <cellStyle name="Comma 2 65 4 3" xfId="19661"/>
    <cellStyle name="Comma 2 65 4 4" xfId="19662"/>
    <cellStyle name="Comma 2 65 4 5" xfId="19663"/>
    <cellStyle name="Comma 2 65 4 6" xfId="19664"/>
    <cellStyle name="Comma 2 65 4 7" xfId="19665"/>
    <cellStyle name="Comma 2 65 4_Sheet1" xfId="19666"/>
    <cellStyle name="Comma 2 65_Sheet1" xfId="19667"/>
    <cellStyle name="Comma 2 66" xfId="19668"/>
    <cellStyle name="Comma 2 66 2" xfId="19669"/>
    <cellStyle name="Comma 2 66 2 2" xfId="19670"/>
    <cellStyle name="Comma 2 66 2 3" xfId="19671"/>
    <cellStyle name="Comma 2 66 2 4" xfId="19672"/>
    <cellStyle name="Comma 2 66 2 5" xfId="19673"/>
    <cellStyle name="Comma 2 66 2 6" xfId="19674"/>
    <cellStyle name="Comma 2 66 2 7" xfId="19675"/>
    <cellStyle name="Comma 2 66 2_Sheet1" xfId="19676"/>
    <cellStyle name="Comma 2 66 3" xfId="19677"/>
    <cellStyle name="Comma 2 66 3 2" xfId="19678"/>
    <cellStyle name="Comma 2 66 3 3" xfId="19679"/>
    <cellStyle name="Comma 2 66 3 4" xfId="19680"/>
    <cellStyle name="Comma 2 66 3 5" xfId="19681"/>
    <cellStyle name="Comma 2 66 3 6" xfId="19682"/>
    <cellStyle name="Comma 2 66 3 7" xfId="19683"/>
    <cellStyle name="Comma 2 66 3_Sheet1" xfId="19684"/>
    <cellStyle name="Comma 2 66 4" xfId="19685"/>
    <cellStyle name="Comma 2 66 4 2" xfId="19686"/>
    <cellStyle name="Comma 2 66 4 3" xfId="19687"/>
    <cellStyle name="Comma 2 66 4 4" xfId="19688"/>
    <cellStyle name="Comma 2 66 4 5" xfId="19689"/>
    <cellStyle name="Comma 2 66 4 6" xfId="19690"/>
    <cellStyle name="Comma 2 66 4 7" xfId="19691"/>
    <cellStyle name="Comma 2 66 4_Sheet1" xfId="19692"/>
    <cellStyle name="Comma 2 66_Sheet1" xfId="19693"/>
    <cellStyle name="Comma 2 67" xfId="19694"/>
    <cellStyle name="Comma 2 67 2" xfId="19695"/>
    <cellStyle name="Comma 2 67 3" xfId="19696"/>
    <cellStyle name="Comma 2 67 4" xfId="19697"/>
    <cellStyle name="Comma 2 67 5" xfId="19698"/>
    <cellStyle name="Comma 2 67 6" xfId="19699"/>
    <cellStyle name="Comma 2 67 7" xfId="19700"/>
    <cellStyle name="Comma 2 67_Sheet1" xfId="19701"/>
    <cellStyle name="Comma 2 68" xfId="19702"/>
    <cellStyle name="Comma 2 68 2" xfId="19703"/>
    <cellStyle name="Comma 2 68 3" xfId="19704"/>
    <cellStyle name="Comma 2 68 4" xfId="19705"/>
    <cellStyle name="Comma 2 68 5" xfId="19706"/>
    <cellStyle name="Comma 2 68 6" xfId="19707"/>
    <cellStyle name="Comma 2 68 7" xfId="19708"/>
    <cellStyle name="Comma 2 68_Sheet1" xfId="19709"/>
    <cellStyle name="Comma 2 69" xfId="19710"/>
    <cellStyle name="Comma 2 69 2" xfId="19711"/>
    <cellStyle name="Comma 2 69 3" xfId="19712"/>
    <cellStyle name="Comma 2 69 4" xfId="19713"/>
    <cellStyle name="Comma 2 69 5" xfId="19714"/>
    <cellStyle name="Comma 2 69 6" xfId="19715"/>
    <cellStyle name="Comma 2 69 7" xfId="19716"/>
    <cellStyle name="Comma 2 69_Sheet1" xfId="19717"/>
    <cellStyle name="Comma 2 7" xfId="19718"/>
    <cellStyle name="Comma 2 7 10" xfId="19719"/>
    <cellStyle name="Comma 2 7 11" xfId="19720"/>
    <cellStyle name="Comma 2 7 12" xfId="19721"/>
    <cellStyle name="Comma 2 7 13" xfId="19722"/>
    <cellStyle name="Comma 2 7 14" xfId="19723"/>
    <cellStyle name="Comma 2 7 15" xfId="19724"/>
    <cellStyle name="Comma 2 7 16" xfId="19725"/>
    <cellStyle name="Comma 2 7 17" xfId="19726"/>
    <cellStyle name="Comma 2 7 18" xfId="19727"/>
    <cellStyle name="Comma 2 7 19" xfId="19728"/>
    <cellStyle name="Comma 2 7 2" xfId="19729"/>
    <cellStyle name="Comma 2 7 20" xfId="19730"/>
    <cellStyle name="Comma 2 7 21" xfId="19731"/>
    <cellStyle name="Comma 2 7 22" xfId="19732"/>
    <cellStyle name="Comma 2 7 23" xfId="19733"/>
    <cellStyle name="Comma 2 7 24" xfId="19734"/>
    <cellStyle name="Comma 2 7 3" xfId="19735"/>
    <cellStyle name="Comma 2 7 4" xfId="19736"/>
    <cellStyle name="Comma 2 7 5" xfId="19737"/>
    <cellStyle name="Comma 2 7 6" xfId="19738"/>
    <cellStyle name="Comma 2 7 7" xfId="19739"/>
    <cellStyle name="Comma 2 7 8" xfId="19740"/>
    <cellStyle name="Comma 2 7 9" xfId="19741"/>
    <cellStyle name="Comma 2 7_Sheet1" xfId="19742"/>
    <cellStyle name="Comma 2 70" xfId="19743"/>
    <cellStyle name="Comma 2 70 2" xfId="19744"/>
    <cellStyle name="Comma 2 70 3" xfId="19745"/>
    <cellStyle name="Comma 2 70 4" xfId="19746"/>
    <cellStyle name="Comma 2 70 5" xfId="19747"/>
    <cellStyle name="Comma 2 70 6" xfId="19748"/>
    <cellStyle name="Comma 2 70 7" xfId="19749"/>
    <cellStyle name="Comma 2 70_Sheet1" xfId="19750"/>
    <cellStyle name="Comma 2 71" xfId="19751"/>
    <cellStyle name="Comma 2 71 2" xfId="19752"/>
    <cellStyle name="Comma 2 71 3" xfId="19753"/>
    <cellStyle name="Comma 2 71 4" xfId="19754"/>
    <cellStyle name="Comma 2 71 5" xfId="19755"/>
    <cellStyle name="Comma 2 71 6" xfId="19756"/>
    <cellStyle name="Comma 2 71 7" xfId="19757"/>
    <cellStyle name="Comma 2 71_Sheet1" xfId="19758"/>
    <cellStyle name="Comma 2 72" xfId="19759"/>
    <cellStyle name="Comma 2 72 2" xfId="19760"/>
    <cellStyle name="Comma 2 72 3" xfId="19761"/>
    <cellStyle name="Comma 2 72 4" xfId="19762"/>
    <cellStyle name="Comma 2 72 5" xfId="19763"/>
    <cellStyle name="Comma 2 72 6" xfId="19764"/>
    <cellStyle name="Comma 2 72 7" xfId="19765"/>
    <cellStyle name="Comma 2 72_Sheet1" xfId="19766"/>
    <cellStyle name="Comma 2 73" xfId="19767"/>
    <cellStyle name="Comma 2 73 2" xfId="19768"/>
    <cellStyle name="Comma 2 73 3" xfId="19769"/>
    <cellStyle name="Comma 2 73 4" xfId="19770"/>
    <cellStyle name="Comma 2 73 5" xfId="19771"/>
    <cellStyle name="Comma 2 73 6" xfId="19772"/>
    <cellStyle name="Comma 2 73 7" xfId="19773"/>
    <cellStyle name="Comma 2 73_Sheet1" xfId="19774"/>
    <cellStyle name="Comma 2 74" xfId="19775"/>
    <cellStyle name="Comma 2 74 2" xfId="19776"/>
    <cellStyle name="Comma 2 74 3" xfId="19777"/>
    <cellStyle name="Comma 2 74 4" xfId="19778"/>
    <cellStyle name="Comma 2 74 5" xfId="19779"/>
    <cellStyle name="Comma 2 74 6" xfId="19780"/>
    <cellStyle name="Comma 2 74 7" xfId="19781"/>
    <cellStyle name="Comma 2 74_Sheet1" xfId="19782"/>
    <cellStyle name="Comma 2 75" xfId="19783"/>
    <cellStyle name="Comma 2 75 2" xfId="19784"/>
    <cellStyle name="Comma 2 75 3" xfId="19785"/>
    <cellStyle name="Comma 2 75 4" xfId="19786"/>
    <cellStyle name="Comma 2 75 5" xfId="19787"/>
    <cellStyle name="Comma 2 75 6" xfId="19788"/>
    <cellStyle name="Comma 2 75 7" xfId="19789"/>
    <cellStyle name="Comma 2 75_Sheet1" xfId="19790"/>
    <cellStyle name="Comma 2 76" xfId="19791"/>
    <cellStyle name="Comma 2 76 2" xfId="19792"/>
    <cellStyle name="Comma 2 76 3" xfId="19793"/>
    <cellStyle name="Comma 2 76 4" xfId="19794"/>
    <cellStyle name="Comma 2 76 5" xfId="19795"/>
    <cellStyle name="Comma 2 76 6" xfId="19796"/>
    <cellStyle name="Comma 2 76 7" xfId="19797"/>
    <cellStyle name="Comma 2 76_Sheet1" xfId="19798"/>
    <cellStyle name="Comma 2 77" xfId="19799"/>
    <cellStyle name="Comma 2 77 2" xfId="19800"/>
    <cellStyle name="Comma 2 77 3" xfId="19801"/>
    <cellStyle name="Comma 2 77 4" xfId="19802"/>
    <cellStyle name="Comma 2 77 5" xfId="19803"/>
    <cellStyle name="Comma 2 77 6" xfId="19804"/>
    <cellStyle name="Comma 2 77 7" xfId="19805"/>
    <cellStyle name="Comma 2 77_Sheet1" xfId="19806"/>
    <cellStyle name="Comma 2 78" xfId="19807"/>
    <cellStyle name="Comma 2 78 2" xfId="19808"/>
    <cellStyle name="Comma 2 78 3" xfId="19809"/>
    <cellStyle name="Comma 2 78 4" xfId="19810"/>
    <cellStyle name="Comma 2 78 5" xfId="19811"/>
    <cellStyle name="Comma 2 78 6" xfId="19812"/>
    <cellStyle name="Comma 2 78 7" xfId="19813"/>
    <cellStyle name="Comma 2 78_Sheet1" xfId="19814"/>
    <cellStyle name="Comma 2 79" xfId="19815"/>
    <cellStyle name="Comma 2 79 2" xfId="19816"/>
    <cellStyle name="Comma 2 79 3" xfId="19817"/>
    <cellStyle name="Comma 2 79 4" xfId="19818"/>
    <cellStyle name="Comma 2 79 5" xfId="19819"/>
    <cellStyle name="Comma 2 79 6" xfId="19820"/>
    <cellStyle name="Comma 2 79 7" xfId="19821"/>
    <cellStyle name="Comma 2 79_Sheet1" xfId="19822"/>
    <cellStyle name="Comma 2 8" xfId="19823"/>
    <cellStyle name="Comma 2 8 2" xfId="19824"/>
    <cellStyle name="Comma 2 8 3" xfId="19825"/>
    <cellStyle name="Comma 2 8 4" xfId="19826"/>
    <cellStyle name="Comma 2 8 5" xfId="19827"/>
    <cellStyle name="Comma 2 8 6" xfId="19828"/>
    <cellStyle name="Comma 2 8 7" xfId="19829"/>
    <cellStyle name="Comma 2 8 8" xfId="19830"/>
    <cellStyle name="Comma 2 8 9" xfId="19831"/>
    <cellStyle name="Comma 2 8_Sheet1" xfId="19832"/>
    <cellStyle name="Comma 2 80" xfId="19833"/>
    <cellStyle name="Comma 2 80 2" xfId="19834"/>
    <cellStyle name="Comma 2 80 3" xfId="19835"/>
    <cellStyle name="Comma 2 80 4" xfId="19836"/>
    <cellStyle name="Comma 2 80 5" xfId="19837"/>
    <cellStyle name="Comma 2 80 6" xfId="19838"/>
    <cellStyle name="Comma 2 80 7" xfId="19839"/>
    <cellStyle name="Comma 2 80_Sheet1" xfId="19840"/>
    <cellStyle name="Comma 2 81" xfId="19841"/>
    <cellStyle name="Comma 2 81 2" xfId="19842"/>
    <cellStyle name="Comma 2 81 3" xfId="19843"/>
    <cellStyle name="Comma 2 81 4" xfId="19844"/>
    <cellStyle name="Comma 2 81 5" xfId="19845"/>
    <cellStyle name="Comma 2 81 6" xfId="19846"/>
    <cellStyle name="Comma 2 81 7" xfId="19847"/>
    <cellStyle name="Comma 2 81_Sheet1" xfId="19848"/>
    <cellStyle name="Comma 2 82" xfId="19849"/>
    <cellStyle name="Comma 2 82 2" xfId="19850"/>
    <cellStyle name="Comma 2 82 3" xfId="19851"/>
    <cellStyle name="Comma 2 82 4" xfId="19852"/>
    <cellStyle name="Comma 2 82 5" xfId="19853"/>
    <cellStyle name="Comma 2 82 6" xfId="19854"/>
    <cellStyle name="Comma 2 82 7" xfId="19855"/>
    <cellStyle name="Comma 2 82_Sheet1" xfId="19856"/>
    <cellStyle name="Comma 2 83" xfId="19857"/>
    <cellStyle name="Comma 2 83 2" xfId="19858"/>
    <cellStyle name="Comma 2 83 3" xfId="19859"/>
    <cellStyle name="Comma 2 83 4" xfId="19860"/>
    <cellStyle name="Comma 2 83 5" xfId="19861"/>
    <cellStyle name="Comma 2 83 6" xfId="19862"/>
    <cellStyle name="Comma 2 83 7" xfId="19863"/>
    <cellStyle name="Comma 2 83_Sheet1" xfId="19864"/>
    <cellStyle name="Comma 2 84" xfId="19865"/>
    <cellStyle name="Comma 2 84 2" xfId="19866"/>
    <cellStyle name="Comma 2 84 3" xfId="19867"/>
    <cellStyle name="Comma 2 84 4" xfId="19868"/>
    <cellStyle name="Comma 2 84 5" xfId="19869"/>
    <cellStyle name="Comma 2 84 6" xfId="19870"/>
    <cellStyle name="Comma 2 84 7" xfId="19871"/>
    <cellStyle name="Comma 2 84_Sheet1" xfId="19872"/>
    <cellStyle name="Comma 2 85" xfId="19873"/>
    <cellStyle name="Comma 2 86" xfId="19874"/>
    <cellStyle name="Comma 2 87" xfId="19875"/>
    <cellStyle name="Comma 2 88" xfId="19876"/>
    <cellStyle name="Comma 2 89" xfId="19877"/>
    <cellStyle name="Comma 2 9" xfId="19878"/>
    <cellStyle name="Comma 2 9 2" xfId="19879"/>
    <cellStyle name="Comma 2 9 3" xfId="19880"/>
    <cellStyle name="Comma 2 9 4" xfId="19881"/>
    <cellStyle name="Comma 2 9 5" xfId="19882"/>
    <cellStyle name="Comma 2 9 6" xfId="19883"/>
    <cellStyle name="Comma 2 9 7" xfId="19884"/>
    <cellStyle name="Comma 2 9_Sheet1" xfId="19885"/>
    <cellStyle name="Comma 2 90" xfId="19886"/>
    <cellStyle name="Comma 2 91" xfId="19887"/>
    <cellStyle name="Comma 2 92" xfId="19888"/>
    <cellStyle name="Comma 2 93" xfId="19889"/>
    <cellStyle name="Comma 2 94" xfId="19890"/>
    <cellStyle name="Comma 2 95" xfId="19891"/>
    <cellStyle name="Comma 2 96" xfId="19892"/>
    <cellStyle name="Comma 2 97" xfId="19893"/>
    <cellStyle name="Comma 2 97 2" xfId="19894"/>
    <cellStyle name="Comma 2 97 3" xfId="19895"/>
    <cellStyle name="Comma 2 97 4" xfId="19896"/>
    <cellStyle name="Comma 2 97 5" xfId="19897"/>
    <cellStyle name="Comma 2 97 6" xfId="19898"/>
    <cellStyle name="Comma 2 97_Sheet1" xfId="19899"/>
    <cellStyle name="Comma 2 98" xfId="19900"/>
    <cellStyle name="Comma 2 98 2" xfId="19901"/>
    <cellStyle name="Comma 2 98 2 2" xfId="19902"/>
    <cellStyle name="Comma 2 98 2 2 2" xfId="19903"/>
    <cellStyle name="Comma 2 98 2 2 3" xfId="19904"/>
    <cellStyle name="Comma 2 98 2 2_Sheet1" xfId="19905"/>
    <cellStyle name="Comma 2 98 2 3" xfId="19906"/>
    <cellStyle name="Comma 2 98 2 4" xfId="19907"/>
    <cellStyle name="Comma 2 98 2_Sheet1" xfId="19908"/>
    <cellStyle name="Comma 2 98 3" xfId="19909"/>
    <cellStyle name="Comma 2 98 4" xfId="19910"/>
    <cellStyle name="Comma 2 98 5" xfId="19911"/>
    <cellStyle name="Comma 2 98 6" xfId="19912"/>
    <cellStyle name="Comma 2 98_Sheet1" xfId="19913"/>
    <cellStyle name="Comma 2 99" xfId="19914"/>
    <cellStyle name="Comma 2_Account Payable" xfId="19915"/>
    <cellStyle name="Comma 20" xfId="19916"/>
    <cellStyle name="Comma 20 10" xfId="19917"/>
    <cellStyle name="Comma 20 10 2" xfId="19918"/>
    <cellStyle name="Comma 20 10 3" xfId="19919"/>
    <cellStyle name="Comma 20 10 4" xfId="19920"/>
    <cellStyle name="Comma 20 10 5" xfId="19921"/>
    <cellStyle name="Comma 20 10 6" xfId="19922"/>
    <cellStyle name="Comma 20 10 7" xfId="19923"/>
    <cellStyle name="Comma 20 10_Sheet1" xfId="19924"/>
    <cellStyle name="Comma 20 11" xfId="19925"/>
    <cellStyle name="Comma 20 11 2" xfId="19926"/>
    <cellStyle name="Comma 20 11 3" xfId="19927"/>
    <cellStyle name="Comma 20 11 4" xfId="19928"/>
    <cellStyle name="Comma 20 11 5" xfId="19929"/>
    <cellStyle name="Comma 20 11 6" xfId="19930"/>
    <cellStyle name="Comma 20 11 7" xfId="19931"/>
    <cellStyle name="Comma 20 11_Sheet1" xfId="19932"/>
    <cellStyle name="Comma 20 12" xfId="19933"/>
    <cellStyle name="Comma 20 12 2" xfId="19934"/>
    <cellStyle name="Comma 20 12 3" xfId="19935"/>
    <cellStyle name="Comma 20 12 4" xfId="19936"/>
    <cellStyle name="Comma 20 12 5" xfId="19937"/>
    <cellStyle name="Comma 20 12 6" xfId="19938"/>
    <cellStyle name="Comma 20 12 7" xfId="19939"/>
    <cellStyle name="Comma 20 12_Sheet1" xfId="19940"/>
    <cellStyle name="Comma 20 13" xfId="19941"/>
    <cellStyle name="Comma 20 13 2" xfId="19942"/>
    <cellStyle name="Comma 20 13 3" xfId="19943"/>
    <cellStyle name="Comma 20 13 4" xfId="19944"/>
    <cellStyle name="Comma 20 13 5" xfId="19945"/>
    <cellStyle name="Comma 20 13 6" xfId="19946"/>
    <cellStyle name="Comma 20 13 7" xfId="19947"/>
    <cellStyle name="Comma 20 13_Sheet1" xfId="19948"/>
    <cellStyle name="Comma 20 14" xfId="19949"/>
    <cellStyle name="Comma 20 14 2" xfId="19950"/>
    <cellStyle name="Comma 20 14 3" xfId="19951"/>
    <cellStyle name="Comma 20 14 4" xfId="19952"/>
    <cellStyle name="Comma 20 14 5" xfId="19953"/>
    <cellStyle name="Comma 20 14 6" xfId="19954"/>
    <cellStyle name="Comma 20 14 7" xfId="19955"/>
    <cellStyle name="Comma 20 14_Sheet1" xfId="19956"/>
    <cellStyle name="Comma 20 15" xfId="19957"/>
    <cellStyle name="Comma 20 15 2" xfId="19958"/>
    <cellStyle name="Comma 20 15 3" xfId="19959"/>
    <cellStyle name="Comma 20 15 4" xfId="19960"/>
    <cellStyle name="Comma 20 15 5" xfId="19961"/>
    <cellStyle name="Comma 20 15 6" xfId="19962"/>
    <cellStyle name="Comma 20 15 7" xfId="19963"/>
    <cellStyle name="Comma 20 15_Sheet1" xfId="19964"/>
    <cellStyle name="Comma 20 16" xfId="19965"/>
    <cellStyle name="Comma 20 16 2" xfId="19966"/>
    <cellStyle name="Comma 20 16 3" xfId="19967"/>
    <cellStyle name="Comma 20 16 4" xfId="19968"/>
    <cellStyle name="Comma 20 16 5" xfId="19969"/>
    <cellStyle name="Comma 20 16 6" xfId="19970"/>
    <cellStyle name="Comma 20 16 7" xfId="19971"/>
    <cellStyle name="Comma 20 16_Sheet1" xfId="19972"/>
    <cellStyle name="Comma 20 17" xfId="19973"/>
    <cellStyle name="Comma 20 17 2" xfId="19974"/>
    <cellStyle name="Comma 20 17 3" xfId="19975"/>
    <cellStyle name="Comma 20 17 4" xfId="19976"/>
    <cellStyle name="Comma 20 17 5" xfId="19977"/>
    <cellStyle name="Comma 20 17 6" xfId="19978"/>
    <cellStyle name="Comma 20 17 7" xfId="19979"/>
    <cellStyle name="Comma 20 17_Sheet1" xfId="19980"/>
    <cellStyle name="Comma 20 18" xfId="19981"/>
    <cellStyle name="Comma 20 18 2" xfId="19982"/>
    <cellStyle name="Comma 20 18 3" xfId="19983"/>
    <cellStyle name="Comma 20 18 4" xfId="19984"/>
    <cellStyle name="Comma 20 18 5" xfId="19985"/>
    <cellStyle name="Comma 20 18 6" xfId="19986"/>
    <cellStyle name="Comma 20 18 7" xfId="19987"/>
    <cellStyle name="Comma 20 18_Sheet1" xfId="19988"/>
    <cellStyle name="Comma 20 19" xfId="19989"/>
    <cellStyle name="Comma 20 19 2" xfId="19990"/>
    <cellStyle name="Comma 20 19 3" xfId="19991"/>
    <cellStyle name="Comma 20 19 4" xfId="19992"/>
    <cellStyle name="Comma 20 19 5" xfId="19993"/>
    <cellStyle name="Comma 20 19 6" xfId="19994"/>
    <cellStyle name="Comma 20 19 7" xfId="19995"/>
    <cellStyle name="Comma 20 19_Sheet1" xfId="19996"/>
    <cellStyle name="Comma 20 2" xfId="19997"/>
    <cellStyle name="Comma 20 2 2" xfId="19998"/>
    <cellStyle name="Comma 20 2 3" xfId="19999"/>
    <cellStyle name="Comma 20 2 4" xfId="20000"/>
    <cellStyle name="Comma 20 2 5" xfId="20001"/>
    <cellStyle name="Comma 20 2 6" xfId="20002"/>
    <cellStyle name="Comma 20 2 7" xfId="20003"/>
    <cellStyle name="Comma 20 2_Sheet1" xfId="20004"/>
    <cellStyle name="Comma 20 20" xfId="20005"/>
    <cellStyle name="Comma 20 20 2" xfId="20006"/>
    <cellStyle name="Comma 20 20 3" xfId="20007"/>
    <cellStyle name="Comma 20 20 4" xfId="20008"/>
    <cellStyle name="Comma 20 20 5" xfId="20009"/>
    <cellStyle name="Comma 20 20 6" xfId="20010"/>
    <cellStyle name="Comma 20 20 7" xfId="20011"/>
    <cellStyle name="Comma 20 20_Sheet1" xfId="20012"/>
    <cellStyle name="Comma 20 21" xfId="20013"/>
    <cellStyle name="Comma 20 21 2" xfId="20014"/>
    <cellStyle name="Comma 20 21 3" xfId="20015"/>
    <cellStyle name="Comma 20 21 4" xfId="20016"/>
    <cellStyle name="Comma 20 21 5" xfId="20017"/>
    <cellStyle name="Comma 20 21 6" xfId="20018"/>
    <cellStyle name="Comma 20 21 7" xfId="20019"/>
    <cellStyle name="Comma 20 21_Sheet1" xfId="20020"/>
    <cellStyle name="Comma 20 22" xfId="20021"/>
    <cellStyle name="Comma 20 22 2" xfId="20022"/>
    <cellStyle name="Comma 20 22 3" xfId="20023"/>
    <cellStyle name="Comma 20 22 4" xfId="20024"/>
    <cellStyle name="Comma 20 22 5" xfId="20025"/>
    <cellStyle name="Comma 20 22 6" xfId="20026"/>
    <cellStyle name="Comma 20 22 7" xfId="20027"/>
    <cellStyle name="Comma 20 22_Sheet1" xfId="20028"/>
    <cellStyle name="Comma 20 23" xfId="20029"/>
    <cellStyle name="Comma 20 23 2" xfId="20030"/>
    <cellStyle name="Comma 20 23 3" xfId="20031"/>
    <cellStyle name="Comma 20 23 4" xfId="20032"/>
    <cellStyle name="Comma 20 23 5" xfId="20033"/>
    <cellStyle name="Comma 20 23 6" xfId="20034"/>
    <cellStyle name="Comma 20 23 7" xfId="20035"/>
    <cellStyle name="Comma 20 23_Sheet1" xfId="20036"/>
    <cellStyle name="Comma 20 24" xfId="20037"/>
    <cellStyle name="Comma 20 24 2" xfId="20038"/>
    <cellStyle name="Comma 20 24 3" xfId="20039"/>
    <cellStyle name="Comma 20 24 4" xfId="20040"/>
    <cellStyle name="Comma 20 24 5" xfId="20041"/>
    <cellStyle name="Comma 20 24 6" xfId="20042"/>
    <cellStyle name="Comma 20 24 7" xfId="20043"/>
    <cellStyle name="Comma 20 24_Sheet1" xfId="20044"/>
    <cellStyle name="Comma 20 25" xfId="20045"/>
    <cellStyle name="Comma 20 26" xfId="20046"/>
    <cellStyle name="Comma 20 27" xfId="20047"/>
    <cellStyle name="Comma 20 28" xfId="20048"/>
    <cellStyle name="Comma 20 29" xfId="20049"/>
    <cellStyle name="Comma 20 3" xfId="20050"/>
    <cellStyle name="Comma 20 3 2" xfId="20051"/>
    <cellStyle name="Comma 20 3 3" xfId="20052"/>
    <cellStyle name="Comma 20 3 4" xfId="20053"/>
    <cellStyle name="Comma 20 3 5" xfId="20054"/>
    <cellStyle name="Comma 20 3 6" xfId="20055"/>
    <cellStyle name="Comma 20 3 7" xfId="20056"/>
    <cellStyle name="Comma 20 3_Sheet1" xfId="20057"/>
    <cellStyle name="Comma 20 30" xfId="20058"/>
    <cellStyle name="Comma 20 4" xfId="20059"/>
    <cellStyle name="Comma 20 4 2" xfId="20060"/>
    <cellStyle name="Comma 20 4 3" xfId="20061"/>
    <cellStyle name="Comma 20 4 4" xfId="20062"/>
    <cellStyle name="Comma 20 4 5" xfId="20063"/>
    <cellStyle name="Comma 20 4 6" xfId="20064"/>
    <cellStyle name="Comma 20 4 7" xfId="20065"/>
    <cellStyle name="Comma 20 4_Sheet1" xfId="20066"/>
    <cellStyle name="Comma 20 5" xfId="20067"/>
    <cellStyle name="Comma 20 5 2" xfId="20068"/>
    <cellStyle name="Comma 20 5 3" xfId="20069"/>
    <cellStyle name="Comma 20 5 4" xfId="20070"/>
    <cellStyle name="Comma 20 5 5" xfId="20071"/>
    <cellStyle name="Comma 20 5 6" xfId="20072"/>
    <cellStyle name="Comma 20 5 7" xfId="20073"/>
    <cellStyle name="Comma 20 5_Sheet1" xfId="20074"/>
    <cellStyle name="Comma 20 6" xfId="20075"/>
    <cellStyle name="Comma 20 6 2" xfId="20076"/>
    <cellStyle name="Comma 20 6 3" xfId="20077"/>
    <cellStyle name="Comma 20 6 4" xfId="20078"/>
    <cellStyle name="Comma 20 6 5" xfId="20079"/>
    <cellStyle name="Comma 20 6 6" xfId="20080"/>
    <cellStyle name="Comma 20 6 7" xfId="20081"/>
    <cellStyle name="Comma 20 6_Sheet1" xfId="20082"/>
    <cellStyle name="Comma 20 7" xfId="20083"/>
    <cellStyle name="Comma 20 7 2" xfId="20084"/>
    <cellStyle name="Comma 20 7 3" xfId="20085"/>
    <cellStyle name="Comma 20 7 4" xfId="20086"/>
    <cellStyle name="Comma 20 7 5" xfId="20087"/>
    <cellStyle name="Comma 20 7 6" xfId="20088"/>
    <cellStyle name="Comma 20 7 7" xfId="20089"/>
    <cellStyle name="Comma 20 7_Sheet1" xfId="20090"/>
    <cellStyle name="Comma 20 8" xfId="20091"/>
    <cellStyle name="Comma 20 8 2" xfId="20092"/>
    <cellStyle name="Comma 20 8 3" xfId="20093"/>
    <cellStyle name="Comma 20 8 4" xfId="20094"/>
    <cellStyle name="Comma 20 8 5" xfId="20095"/>
    <cellStyle name="Comma 20 8 6" xfId="20096"/>
    <cellStyle name="Comma 20 8 7" xfId="20097"/>
    <cellStyle name="Comma 20 8_Sheet1" xfId="20098"/>
    <cellStyle name="Comma 20 9" xfId="20099"/>
    <cellStyle name="Comma 20 9 2" xfId="20100"/>
    <cellStyle name="Comma 20 9 3" xfId="20101"/>
    <cellStyle name="Comma 20 9 4" xfId="20102"/>
    <cellStyle name="Comma 20 9 5" xfId="20103"/>
    <cellStyle name="Comma 20 9 6" xfId="20104"/>
    <cellStyle name="Comma 20 9 7" xfId="20105"/>
    <cellStyle name="Comma 20 9_Sheet1" xfId="20106"/>
    <cellStyle name="Comma 20_Sheet1" xfId="20107"/>
    <cellStyle name="Comma 200" xfId="20108"/>
    <cellStyle name="Comma 201" xfId="20109"/>
    <cellStyle name="Comma 202" xfId="20110"/>
    <cellStyle name="Comma 203" xfId="20111"/>
    <cellStyle name="Comma 204" xfId="20112"/>
    <cellStyle name="Comma 205" xfId="20113"/>
    <cellStyle name="Comma 206" xfId="20114"/>
    <cellStyle name="Comma 207" xfId="20115"/>
    <cellStyle name="Comma 208" xfId="20116"/>
    <cellStyle name="Comma 209" xfId="20117"/>
    <cellStyle name="Comma 21" xfId="20118"/>
    <cellStyle name="Comma 21 10" xfId="20119"/>
    <cellStyle name="Comma 21 10 2" xfId="20120"/>
    <cellStyle name="Comma 21 10 3" xfId="20121"/>
    <cellStyle name="Comma 21 10 4" xfId="20122"/>
    <cellStyle name="Comma 21 10 5" xfId="20123"/>
    <cellStyle name="Comma 21 10 6" xfId="20124"/>
    <cellStyle name="Comma 21 10 7" xfId="20125"/>
    <cellStyle name="Comma 21 10_Sheet1" xfId="20126"/>
    <cellStyle name="Comma 21 11" xfId="20127"/>
    <cellStyle name="Comma 21 11 2" xfId="20128"/>
    <cellStyle name="Comma 21 11 3" xfId="20129"/>
    <cellStyle name="Comma 21 11 4" xfId="20130"/>
    <cellStyle name="Comma 21 11 5" xfId="20131"/>
    <cellStyle name="Comma 21 11 6" xfId="20132"/>
    <cellStyle name="Comma 21 11 7" xfId="20133"/>
    <cellStyle name="Comma 21 11_Sheet1" xfId="20134"/>
    <cellStyle name="Comma 21 12" xfId="20135"/>
    <cellStyle name="Comma 21 12 2" xfId="20136"/>
    <cellStyle name="Comma 21 12 3" xfId="20137"/>
    <cellStyle name="Comma 21 12 4" xfId="20138"/>
    <cellStyle name="Comma 21 12 5" xfId="20139"/>
    <cellStyle name="Comma 21 12 6" xfId="20140"/>
    <cellStyle name="Comma 21 12 7" xfId="20141"/>
    <cellStyle name="Comma 21 12_Sheet1" xfId="20142"/>
    <cellStyle name="Comma 21 13" xfId="20143"/>
    <cellStyle name="Comma 21 13 2" xfId="20144"/>
    <cellStyle name="Comma 21 13 3" xfId="20145"/>
    <cellStyle name="Comma 21 13 4" xfId="20146"/>
    <cellStyle name="Comma 21 13 5" xfId="20147"/>
    <cellStyle name="Comma 21 13 6" xfId="20148"/>
    <cellStyle name="Comma 21 13 7" xfId="20149"/>
    <cellStyle name="Comma 21 13_Sheet1" xfId="20150"/>
    <cellStyle name="Comma 21 14" xfId="20151"/>
    <cellStyle name="Comma 21 14 2" xfId="20152"/>
    <cellStyle name="Comma 21 14 3" xfId="20153"/>
    <cellStyle name="Comma 21 14 4" xfId="20154"/>
    <cellStyle name="Comma 21 14 5" xfId="20155"/>
    <cellStyle name="Comma 21 14 6" xfId="20156"/>
    <cellStyle name="Comma 21 14 7" xfId="20157"/>
    <cellStyle name="Comma 21 14_Sheet1" xfId="20158"/>
    <cellStyle name="Comma 21 15" xfId="20159"/>
    <cellStyle name="Comma 21 15 2" xfId="20160"/>
    <cellStyle name="Comma 21 15 3" xfId="20161"/>
    <cellStyle name="Comma 21 15 4" xfId="20162"/>
    <cellStyle name="Comma 21 15 5" xfId="20163"/>
    <cellStyle name="Comma 21 15 6" xfId="20164"/>
    <cellStyle name="Comma 21 15 7" xfId="20165"/>
    <cellStyle name="Comma 21 15_Sheet1" xfId="20166"/>
    <cellStyle name="Comma 21 16" xfId="20167"/>
    <cellStyle name="Comma 21 16 2" xfId="20168"/>
    <cellStyle name="Comma 21 16 3" xfId="20169"/>
    <cellStyle name="Comma 21 16 4" xfId="20170"/>
    <cellStyle name="Comma 21 16 5" xfId="20171"/>
    <cellStyle name="Comma 21 16 6" xfId="20172"/>
    <cellStyle name="Comma 21 16 7" xfId="20173"/>
    <cellStyle name="Comma 21 16_Sheet1" xfId="20174"/>
    <cellStyle name="Comma 21 17" xfId="20175"/>
    <cellStyle name="Comma 21 17 2" xfId="20176"/>
    <cellStyle name="Comma 21 17 3" xfId="20177"/>
    <cellStyle name="Comma 21 17 4" xfId="20178"/>
    <cellStyle name="Comma 21 17 5" xfId="20179"/>
    <cellStyle name="Comma 21 17 6" xfId="20180"/>
    <cellStyle name="Comma 21 17 7" xfId="20181"/>
    <cellStyle name="Comma 21 17_Sheet1" xfId="20182"/>
    <cellStyle name="Comma 21 18" xfId="20183"/>
    <cellStyle name="Comma 21 18 2" xfId="20184"/>
    <cellStyle name="Comma 21 18 3" xfId="20185"/>
    <cellStyle name="Comma 21 18 4" xfId="20186"/>
    <cellStyle name="Comma 21 18 5" xfId="20187"/>
    <cellStyle name="Comma 21 18 6" xfId="20188"/>
    <cellStyle name="Comma 21 18 7" xfId="20189"/>
    <cellStyle name="Comma 21 18_Sheet1" xfId="20190"/>
    <cellStyle name="Comma 21 19" xfId="20191"/>
    <cellStyle name="Comma 21 19 2" xfId="20192"/>
    <cellStyle name="Comma 21 19 3" xfId="20193"/>
    <cellStyle name="Comma 21 19 4" xfId="20194"/>
    <cellStyle name="Comma 21 19 5" xfId="20195"/>
    <cellStyle name="Comma 21 19 6" xfId="20196"/>
    <cellStyle name="Comma 21 19 7" xfId="20197"/>
    <cellStyle name="Comma 21 19_Sheet1" xfId="20198"/>
    <cellStyle name="Comma 21 2" xfId="20199"/>
    <cellStyle name="Comma 21 2 10" xfId="20200"/>
    <cellStyle name="Comma 21 2 11" xfId="20201"/>
    <cellStyle name="Comma 21 2 12" xfId="20202"/>
    <cellStyle name="Comma 21 2 13" xfId="20203"/>
    <cellStyle name="Comma 21 2 2" xfId="20204"/>
    <cellStyle name="Comma 21 2 2 2" xfId="20205"/>
    <cellStyle name="Comma 21 2 2 3" xfId="20206"/>
    <cellStyle name="Comma 21 2 2 4" xfId="20207"/>
    <cellStyle name="Comma 21 2 2 5" xfId="20208"/>
    <cellStyle name="Comma 21 2 2 6" xfId="20209"/>
    <cellStyle name="Comma 21 2 2 7" xfId="20210"/>
    <cellStyle name="Comma 21 2 2_Sheet1" xfId="20211"/>
    <cellStyle name="Comma 21 2 3" xfId="20212"/>
    <cellStyle name="Comma 21 2 3 2" xfId="20213"/>
    <cellStyle name="Comma 21 2 3 3" xfId="20214"/>
    <cellStyle name="Comma 21 2 3 4" xfId="20215"/>
    <cellStyle name="Comma 21 2 3 5" xfId="20216"/>
    <cellStyle name="Comma 21 2 3 6" xfId="20217"/>
    <cellStyle name="Comma 21 2 3 7" xfId="20218"/>
    <cellStyle name="Comma 21 2 3_Sheet1" xfId="20219"/>
    <cellStyle name="Comma 21 2 4" xfId="20220"/>
    <cellStyle name="Comma 21 2 4 2" xfId="20221"/>
    <cellStyle name="Comma 21 2 4 3" xfId="20222"/>
    <cellStyle name="Comma 21 2 4 4" xfId="20223"/>
    <cellStyle name="Comma 21 2 4 5" xfId="20224"/>
    <cellStyle name="Comma 21 2 4 6" xfId="20225"/>
    <cellStyle name="Comma 21 2 4 7" xfId="20226"/>
    <cellStyle name="Comma 21 2 4_Sheet1" xfId="20227"/>
    <cellStyle name="Comma 21 2 5" xfId="20228"/>
    <cellStyle name="Comma 21 2 5 2" xfId="20229"/>
    <cellStyle name="Comma 21 2 5 3" xfId="20230"/>
    <cellStyle name="Comma 21 2 5 4" xfId="20231"/>
    <cellStyle name="Comma 21 2 5 5" xfId="20232"/>
    <cellStyle name="Comma 21 2 5 6" xfId="20233"/>
    <cellStyle name="Comma 21 2 5 7" xfId="20234"/>
    <cellStyle name="Comma 21 2 5_Sheet1" xfId="20235"/>
    <cellStyle name="Comma 21 2 6" xfId="20236"/>
    <cellStyle name="Comma 21 2 6 2" xfId="20237"/>
    <cellStyle name="Comma 21 2 6 3" xfId="20238"/>
    <cellStyle name="Comma 21 2 6 4" xfId="20239"/>
    <cellStyle name="Comma 21 2 6 5" xfId="20240"/>
    <cellStyle name="Comma 21 2 6 6" xfId="20241"/>
    <cellStyle name="Comma 21 2 6 7" xfId="20242"/>
    <cellStyle name="Comma 21 2 6_Sheet1" xfId="20243"/>
    <cellStyle name="Comma 21 2 7" xfId="20244"/>
    <cellStyle name="Comma 21 2 7 2" xfId="20245"/>
    <cellStyle name="Comma 21 2 7 3" xfId="20246"/>
    <cellStyle name="Comma 21 2 7 4" xfId="20247"/>
    <cellStyle name="Comma 21 2 7 5" xfId="20248"/>
    <cellStyle name="Comma 21 2 7 6" xfId="20249"/>
    <cellStyle name="Comma 21 2 7 7" xfId="20250"/>
    <cellStyle name="Comma 21 2 7_Sheet1" xfId="20251"/>
    <cellStyle name="Comma 21 2 8" xfId="20252"/>
    <cellStyle name="Comma 21 2 9" xfId="20253"/>
    <cellStyle name="Comma 21 2_Sheet1" xfId="20254"/>
    <cellStyle name="Comma 21 20" xfId="20255"/>
    <cellStyle name="Comma 21 20 2" xfId="20256"/>
    <cellStyle name="Comma 21 20 3" xfId="20257"/>
    <cellStyle name="Comma 21 20 4" xfId="20258"/>
    <cellStyle name="Comma 21 20 5" xfId="20259"/>
    <cellStyle name="Comma 21 20 6" xfId="20260"/>
    <cellStyle name="Comma 21 20 7" xfId="20261"/>
    <cellStyle name="Comma 21 20_Sheet1" xfId="20262"/>
    <cellStyle name="Comma 21 21" xfId="20263"/>
    <cellStyle name="Comma 21 21 2" xfId="20264"/>
    <cellStyle name="Comma 21 21 3" xfId="20265"/>
    <cellStyle name="Comma 21 21 4" xfId="20266"/>
    <cellStyle name="Comma 21 21 5" xfId="20267"/>
    <cellStyle name="Comma 21 21 6" xfId="20268"/>
    <cellStyle name="Comma 21 21 7" xfId="20269"/>
    <cellStyle name="Comma 21 21_Sheet1" xfId="20270"/>
    <cellStyle name="Comma 21 22" xfId="20271"/>
    <cellStyle name="Comma 21 22 2" xfId="20272"/>
    <cellStyle name="Comma 21 22 3" xfId="20273"/>
    <cellStyle name="Comma 21 22 4" xfId="20274"/>
    <cellStyle name="Comma 21 22 5" xfId="20275"/>
    <cellStyle name="Comma 21 22 6" xfId="20276"/>
    <cellStyle name="Comma 21 22 7" xfId="20277"/>
    <cellStyle name="Comma 21 22_Sheet1" xfId="20278"/>
    <cellStyle name="Comma 21 23" xfId="20279"/>
    <cellStyle name="Comma 21 23 2" xfId="20280"/>
    <cellStyle name="Comma 21 23 3" xfId="20281"/>
    <cellStyle name="Comma 21 23 4" xfId="20282"/>
    <cellStyle name="Comma 21 23 5" xfId="20283"/>
    <cellStyle name="Comma 21 23 6" xfId="20284"/>
    <cellStyle name="Comma 21 23 7" xfId="20285"/>
    <cellStyle name="Comma 21 23_Sheet1" xfId="20286"/>
    <cellStyle name="Comma 21 24" xfId="20287"/>
    <cellStyle name="Comma 21 24 2" xfId="20288"/>
    <cellStyle name="Comma 21 24 3" xfId="20289"/>
    <cellStyle name="Comma 21 24 4" xfId="20290"/>
    <cellStyle name="Comma 21 24 5" xfId="20291"/>
    <cellStyle name="Comma 21 24 6" xfId="20292"/>
    <cellStyle name="Comma 21 24 7" xfId="20293"/>
    <cellStyle name="Comma 21 24_Sheet1" xfId="20294"/>
    <cellStyle name="Comma 21 3" xfId="20295"/>
    <cellStyle name="Comma 21 3 2" xfId="20296"/>
    <cellStyle name="Comma 21 3 3" xfId="20297"/>
    <cellStyle name="Comma 21 3 4" xfId="20298"/>
    <cellStyle name="Comma 21 3 5" xfId="20299"/>
    <cellStyle name="Comma 21 3 6" xfId="20300"/>
    <cellStyle name="Comma 21 3 7" xfId="20301"/>
    <cellStyle name="Comma 21 3_Sheet1" xfId="20302"/>
    <cellStyle name="Comma 21 4" xfId="20303"/>
    <cellStyle name="Comma 21 4 2" xfId="20304"/>
    <cellStyle name="Comma 21 4 3" xfId="20305"/>
    <cellStyle name="Comma 21 4 4" xfId="20306"/>
    <cellStyle name="Comma 21 4 5" xfId="20307"/>
    <cellStyle name="Comma 21 4 6" xfId="20308"/>
    <cellStyle name="Comma 21 4 7" xfId="20309"/>
    <cellStyle name="Comma 21 4_Sheet1" xfId="20310"/>
    <cellStyle name="Comma 21 5" xfId="20311"/>
    <cellStyle name="Comma 21 5 2" xfId="20312"/>
    <cellStyle name="Comma 21 5 3" xfId="20313"/>
    <cellStyle name="Comma 21 5 4" xfId="20314"/>
    <cellStyle name="Comma 21 5 5" xfId="20315"/>
    <cellStyle name="Comma 21 5 6" xfId="20316"/>
    <cellStyle name="Comma 21 5 7" xfId="20317"/>
    <cellStyle name="Comma 21 5_Sheet1" xfId="20318"/>
    <cellStyle name="Comma 21 6" xfId="20319"/>
    <cellStyle name="Comma 21 6 2" xfId="20320"/>
    <cellStyle name="Comma 21 6 3" xfId="20321"/>
    <cellStyle name="Comma 21 6 4" xfId="20322"/>
    <cellStyle name="Comma 21 6 5" xfId="20323"/>
    <cellStyle name="Comma 21 6 6" xfId="20324"/>
    <cellStyle name="Comma 21 6 7" xfId="20325"/>
    <cellStyle name="Comma 21 6_Sheet1" xfId="20326"/>
    <cellStyle name="Comma 21 7" xfId="20327"/>
    <cellStyle name="Comma 21 7 2" xfId="20328"/>
    <cellStyle name="Comma 21 7 3" xfId="20329"/>
    <cellStyle name="Comma 21 7 4" xfId="20330"/>
    <cellStyle name="Comma 21 7 5" xfId="20331"/>
    <cellStyle name="Comma 21 7 6" xfId="20332"/>
    <cellStyle name="Comma 21 7 7" xfId="20333"/>
    <cellStyle name="Comma 21 7_Sheet1" xfId="20334"/>
    <cellStyle name="Comma 21 8" xfId="20335"/>
    <cellStyle name="Comma 21 8 2" xfId="20336"/>
    <cellStyle name="Comma 21 8 3" xfId="20337"/>
    <cellStyle name="Comma 21 8 4" xfId="20338"/>
    <cellStyle name="Comma 21 8 5" xfId="20339"/>
    <cellStyle name="Comma 21 8 6" xfId="20340"/>
    <cellStyle name="Comma 21 8 7" xfId="20341"/>
    <cellStyle name="Comma 21 8_Sheet1" xfId="20342"/>
    <cellStyle name="Comma 21 9" xfId="20343"/>
    <cellStyle name="Comma 21 9 2" xfId="20344"/>
    <cellStyle name="Comma 21 9 3" xfId="20345"/>
    <cellStyle name="Comma 21 9 4" xfId="20346"/>
    <cellStyle name="Comma 21 9 5" xfId="20347"/>
    <cellStyle name="Comma 21 9 6" xfId="20348"/>
    <cellStyle name="Comma 21 9 7" xfId="20349"/>
    <cellStyle name="Comma 21 9_Sheet1" xfId="20350"/>
    <cellStyle name="Comma 21_Sheet1" xfId="20351"/>
    <cellStyle name="Comma 210" xfId="20352"/>
    <cellStyle name="Comma 210 2" xfId="20353"/>
    <cellStyle name="Comma 210_Sheet1" xfId="20354"/>
    <cellStyle name="Comma 211" xfId="20355"/>
    <cellStyle name="Comma 211 2" xfId="20356"/>
    <cellStyle name="Comma 211_Sheet1" xfId="20357"/>
    <cellStyle name="Comma 212" xfId="20358"/>
    <cellStyle name="Comma 213" xfId="20359"/>
    <cellStyle name="Comma 214" xfId="20360"/>
    <cellStyle name="Comma 214 2" xfId="20361"/>
    <cellStyle name="Comma 214 3" xfId="20362"/>
    <cellStyle name="Comma 214 3 2" xfId="20363"/>
    <cellStyle name="Comma 214 3_Sheet1" xfId="20364"/>
    <cellStyle name="Comma 214 4" xfId="20365"/>
    <cellStyle name="Comma 214_Sheet1" xfId="20366"/>
    <cellStyle name="Comma 215" xfId="20367"/>
    <cellStyle name="Comma 215 2" xfId="20368"/>
    <cellStyle name="Comma 215 3" xfId="20369"/>
    <cellStyle name="Comma 215 3 2" xfId="20370"/>
    <cellStyle name="Comma 215 3_Sheet1" xfId="20371"/>
    <cellStyle name="Comma 215 4" xfId="20372"/>
    <cellStyle name="Comma 215_Sheet1" xfId="20373"/>
    <cellStyle name="Comma 216" xfId="20374"/>
    <cellStyle name="Comma 217" xfId="20375"/>
    <cellStyle name="Comma 218" xfId="20376"/>
    <cellStyle name="Comma 219" xfId="20377"/>
    <cellStyle name="Comma 22" xfId="20378"/>
    <cellStyle name="Comma 22 10" xfId="20379"/>
    <cellStyle name="Comma 22 10 2" xfId="20380"/>
    <cellStyle name="Comma 22 10 3" xfId="20381"/>
    <cellStyle name="Comma 22 10 4" xfId="20382"/>
    <cellStyle name="Comma 22 10 5" xfId="20383"/>
    <cellStyle name="Comma 22 10 6" xfId="20384"/>
    <cellStyle name="Comma 22 10 7" xfId="20385"/>
    <cellStyle name="Comma 22 10_Sheet1" xfId="20386"/>
    <cellStyle name="Comma 22 11" xfId="20387"/>
    <cellStyle name="Comma 22 11 2" xfId="20388"/>
    <cellStyle name="Comma 22 11 3" xfId="20389"/>
    <cellStyle name="Comma 22 11 4" xfId="20390"/>
    <cellStyle name="Comma 22 11 5" xfId="20391"/>
    <cellStyle name="Comma 22 11 6" xfId="20392"/>
    <cellStyle name="Comma 22 11 7" xfId="20393"/>
    <cellStyle name="Comma 22 11_Sheet1" xfId="20394"/>
    <cellStyle name="Comma 22 12" xfId="20395"/>
    <cellStyle name="Comma 22 12 2" xfId="20396"/>
    <cellStyle name="Comma 22 12 3" xfId="20397"/>
    <cellStyle name="Comma 22 12 4" xfId="20398"/>
    <cellStyle name="Comma 22 12 5" xfId="20399"/>
    <cellStyle name="Comma 22 12 6" xfId="20400"/>
    <cellStyle name="Comma 22 12 7" xfId="20401"/>
    <cellStyle name="Comma 22 12_Sheet1" xfId="20402"/>
    <cellStyle name="Comma 22 13" xfId="20403"/>
    <cellStyle name="Comma 22 13 2" xfId="20404"/>
    <cellStyle name="Comma 22 13 3" xfId="20405"/>
    <cellStyle name="Comma 22 13 4" xfId="20406"/>
    <cellStyle name="Comma 22 13 5" xfId="20407"/>
    <cellStyle name="Comma 22 13 6" xfId="20408"/>
    <cellStyle name="Comma 22 13 7" xfId="20409"/>
    <cellStyle name="Comma 22 13_Sheet1" xfId="20410"/>
    <cellStyle name="Comma 22 14" xfId="20411"/>
    <cellStyle name="Comma 22 14 2" xfId="20412"/>
    <cellStyle name="Comma 22 14 3" xfId="20413"/>
    <cellStyle name="Comma 22 14 4" xfId="20414"/>
    <cellStyle name="Comma 22 14 5" xfId="20415"/>
    <cellStyle name="Comma 22 14 6" xfId="20416"/>
    <cellStyle name="Comma 22 14 7" xfId="20417"/>
    <cellStyle name="Comma 22 14_Sheet1" xfId="20418"/>
    <cellStyle name="Comma 22 15" xfId="20419"/>
    <cellStyle name="Comma 22 15 2" xfId="20420"/>
    <cellStyle name="Comma 22 15 3" xfId="20421"/>
    <cellStyle name="Comma 22 15 4" xfId="20422"/>
    <cellStyle name="Comma 22 15 5" xfId="20423"/>
    <cellStyle name="Comma 22 15 6" xfId="20424"/>
    <cellStyle name="Comma 22 15 7" xfId="20425"/>
    <cellStyle name="Comma 22 15_Sheet1" xfId="20426"/>
    <cellStyle name="Comma 22 16" xfId="20427"/>
    <cellStyle name="Comma 22 16 2" xfId="20428"/>
    <cellStyle name="Comma 22 16 3" xfId="20429"/>
    <cellStyle name="Comma 22 16 4" xfId="20430"/>
    <cellStyle name="Comma 22 16 5" xfId="20431"/>
    <cellStyle name="Comma 22 16 6" xfId="20432"/>
    <cellStyle name="Comma 22 16 7" xfId="20433"/>
    <cellStyle name="Comma 22 16_Sheet1" xfId="20434"/>
    <cellStyle name="Comma 22 17" xfId="20435"/>
    <cellStyle name="Comma 22 17 2" xfId="20436"/>
    <cellStyle name="Comma 22 17 3" xfId="20437"/>
    <cellStyle name="Comma 22 17 4" xfId="20438"/>
    <cellStyle name="Comma 22 17 5" xfId="20439"/>
    <cellStyle name="Comma 22 17 6" xfId="20440"/>
    <cellStyle name="Comma 22 17 7" xfId="20441"/>
    <cellStyle name="Comma 22 17_Sheet1" xfId="20442"/>
    <cellStyle name="Comma 22 18" xfId="20443"/>
    <cellStyle name="Comma 22 18 2" xfId="20444"/>
    <cellStyle name="Comma 22 18 3" xfId="20445"/>
    <cellStyle name="Comma 22 18 4" xfId="20446"/>
    <cellStyle name="Comma 22 18 5" xfId="20447"/>
    <cellStyle name="Comma 22 18 6" xfId="20448"/>
    <cellStyle name="Comma 22 18 7" xfId="20449"/>
    <cellStyle name="Comma 22 18_Sheet1" xfId="20450"/>
    <cellStyle name="Comma 22 19" xfId="20451"/>
    <cellStyle name="Comma 22 19 2" xfId="20452"/>
    <cellStyle name="Comma 22 19 3" xfId="20453"/>
    <cellStyle name="Comma 22 19 4" xfId="20454"/>
    <cellStyle name="Comma 22 19 5" xfId="20455"/>
    <cellStyle name="Comma 22 19 6" xfId="20456"/>
    <cellStyle name="Comma 22 19 7" xfId="20457"/>
    <cellStyle name="Comma 22 19_Sheet1" xfId="20458"/>
    <cellStyle name="Comma 22 2" xfId="20459"/>
    <cellStyle name="Comma 22 2 2" xfId="20460"/>
    <cellStyle name="Comma 22 2 2 2" xfId="20461"/>
    <cellStyle name="Comma 22 2 2 2 2" xfId="20462"/>
    <cellStyle name="Comma 22 2 2 2 3" xfId="20463"/>
    <cellStyle name="Comma 22 2 2 2 4" xfId="20464"/>
    <cellStyle name="Comma 22 2 2 2 5" xfId="20465"/>
    <cellStyle name="Comma 22 2 2 2 6" xfId="20466"/>
    <cellStyle name="Comma 22 2 2 2_Sheet1" xfId="20467"/>
    <cellStyle name="Comma 22 2 2 3" xfId="20468"/>
    <cellStyle name="Comma 22 2 2 3 2" xfId="20469"/>
    <cellStyle name="Comma 22 2 2 3 3" xfId="20470"/>
    <cellStyle name="Comma 22 2 2 3 4" xfId="20471"/>
    <cellStyle name="Comma 22 2 2 3 5" xfId="20472"/>
    <cellStyle name="Comma 22 2 2 3 6" xfId="20473"/>
    <cellStyle name="Comma 22 2 2 3_Sheet1" xfId="20474"/>
    <cellStyle name="Comma 22 2 2 4" xfId="20475"/>
    <cellStyle name="Comma 22 2 2 5" xfId="20476"/>
    <cellStyle name="Comma 22 2 2 6" xfId="20477"/>
    <cellStyle name="Comma 22 2 2 7" xfId="20478"/>
    <cellStyle name="Comma 22 2 2 8" xfId="20479"/>
    <cellStyle name="Comma 22 2 2_Sheet1" xfId="20480"/>
    <cellStyle name="Comma 22 2 3" xfId="20481"/>
    <cellStyle name="Comma 22 2 4" xfId="20482"/>
    <cellStyle name="Comma 22 2 5" xfId="20483"/>
    <cellStyle name="Comma 22 2 6" xfId="20484"/>
    <cellStyle name="Comma 22 2 7" xfId="20485"/>
    <cellStyle name="Comma 22 2_Sheet1" xfId="20486"/>
    <cellStyle name="Comma 22 20" xfId="20487"/>
    <cellStyle name="Comma 22 20 2" xfId="20488"/>
    <cellStyle name="Comma 22 20 3" xfId="20489"/>
    <cellStyle name="Comma 22 20 4" xfId="20490"/>
    <cellStyle name="Comma 22 20 5" xfId="20491"/>
    <cellStyle name="Comma 22 20 6" xfId="20492"/>
    <cellStyle name="Comma 22 20 7" xfId="20493"/>
    <cellStyle name="Comma 22 20_Sheet1" xfId="20494"/>
    <cellStyle name="Comma 22 21" xfId="20495"/>
    <cellStyle name="Comma 22 21 2" xfId="20496"/>
    <cellStyle name="Comma 22 21 3" xfId="20497"/>
    <cellStyle name="Comma 22 21 4" xfId="20498"/>
    <cellStyle name="Comma 22 21 5" xfId="20499"/>
    <cellStyle name="Comma 22 21 6" xfId="20500"/>
    <cellStyle name="Comma 22 21 7" xfId="20501"/>
    <cellStyle name="Comma 22 21_Sheet1" xfId="20502"/>
    <cellStyle name="Comma 22 22" xfId="20503"/>
    <cellStyle name="Comma 22 22 2" xfId="20504"/>
    <cellStyle name="Comma 22 22 3" xfId="20505"/>
    <cellStyle name="Comma 22 22 4" xfId="20506"/>
    <cellStyle name="Comma 22 22 5" xfId="20507"/>
    <cellStyle name="Comma 22 22 6" xfId="20508"/>
    <cellStyle name="Comma 22 22 7" xfId="20509"/>
    <cellStyle name="Comma 22 22_Sheet1" xfId="20510"/>
    <cellStyle name="Comma 22 23" xfId="20511"/>
    <cellStyle name="Comma 22 23 2" xfId="20512"/>
    <cellStyle name="Comma 22 23 3" xfId="20513"/>
    <cellStyle name="Comma 22 23 4" xfId="20514"/>
    <cellStyle name="Comma 22 23 5" xfId="20515"/>
    <cellStyle name="Comma 22 23 6" xfId="20516"/>
    <cellStyle name="Comma 22 23 7" xfId="20517"/>
    <cellStyle name="Comma 22 23_Sheet1" xfId="20518"/>
    <cellStyle name="Comma 22 24" xfId="20519"/>
    <cellStyle name="Comma 22 24 2" xfId="20520"/>
    <cellStyle name="Comma 22 24 3" xfId="20521"/>
    <cellStyle name="Comma 22 24 4" xfId="20522"/>
    <cellStyle name="Comma 22 24 5" xfId="20523"/>
    <cellStyle name="Comma 22 24 6" xfId="20524"/>
    <cellStyle name="Comma 22 24 7" xfId="20525"/>
    <cellStyle name="Comma 22 24_Sheet1" xfId="20526"/>
    <cellStyle name="Comma 22 25" xfId="20527"/>
    <cellStyle name="Comma 22 26" xfId="20528"/>
    <cellStyle name="Comma 22 27" xfId="20529"/>
    <cellStyle name="Comma 22 28" xfId="20530"/>
    <cellStyle name="Comma 22 29" xfId="20531"/>
    <cellStyle name="Comma 22 3" xfId="20532"/>
    <cellStyle name="Comma 22 3 2" xfId="20533"/>
    <cellStyle name="Comma 22 3 3" xfId="20534"/>
    <cellStyle name="Comma 22 3 4" xfId="20535"/>
    <cellStyle name="Comma 22 3 5" xfId="20536"/>
    <cellStyle name="Comma 22 3 6" xfId="20537"/>
    <cellStyle name="Comma 22 3 7" xfId="20538"/>
    <cellStyle name="Comma 22 3_Sheet1" xfId="20539"/>
    <cellStyle name="Comma 22 30" xfId="20540"/>
    <cellStyle name="Comma 22 4" xfId="20541"/>
    <cellStyle name="Comma 22 4 2" xfId="20542"/>
    <cellStyle name="Comma 22 4 3" xfId="20543"/>
    <cellStyle name="Comma 22 4 4" xfId="20544"/>
    <cellStyle name="Comma 22 4 5" xfId="20545"/>
    <cellStyle name="Comma 22 4 6" xfId="20546"/>
    <cellStyle name="Comma 22 4 7" xfId="20547"/>
    <cellStyle name="Comma 22 4_Sheet1" xfId="20548"/>
    <cellStyle name="Comma 22 5" xfId="20549"/>
    <cellStyle name="Comma 22 5 2" xfId="20550"/>
    <cellStyle name="Comma 22 5 3" xfId="20551"/>
    <cellStyle name="Comma 22 5 4" xfId="20552"/>
    <cellStyle name="Comma 22 5 5" xfId="20553"/>
    <cellStyle name="Comma 22 5 6" xfId="20554"/>
    <cellStyle name="Comma 22 5 7" xfId="20555"/>
    <cellStyle name="Comma 22 5_Sheet1" xfId="20556"/>
    <cellStyle name="Comma 22 6" xfId="20557"/>
    <cellStyle name="Comma 22 6 2" xfId="20558"/>
    <cellStyle name="Comma 22 6 3" xfId="20559"/>
    <cellStyle name="Comma 22 6 4" xfId="20560"/>
    <cellStyle name="Comma 22 6 5" xfId="20561"/>
    <cellStyle name="Comma 22 6 6" xfId="20562"/>
    <cellStyle name="Comma 22 6 7" xfId="20563"/>
    <cellStyle name="Comma 22 6_Sheet1" xfId="20564"/>
    <cellStyle name="Comma 22 7" xfId="20565"/>
    <cellStyle name="Comma 22 7 2" xfId="20566"/>
    <cellStyle name="Comma 22 7 3" xfId="20567"/>
    <cellStyle name="Comma 22 7 4" xfId="20568"/>
    <cellStyle name="Comma 22 7 5" xfId="20569"/>
    <cellStyle name="Comma 22 7 6" xfId="20570"/>
    <cellStyle name="Comma 22 7 7" xfId="20571"/>
    <cellStyle name="Comma 22 7_Sheet1" xfId="20572"/>
    <cellStyle name="Comma 22 8" xfId="20573"/>
    <cellStyle name="Comma 22 8 2" xfId="20574"/>
    <cellStyle name="Comma 22 8 3" xfId="20575"/>
    <cellStyle name="Comma 22 8 4" xfId="20576"/>
    <cellStyle name="Comma 22 8 5" xfId="20577"/>
    <cellStyle name="Comma 22 8 6" xfId="20578"/>
    <cellStyle name="Comma 22 8 7" xfId="20579"/>
    <cellStyle name="Comma 22 8_Sheet1" xfId="20580"/>
    <cellStyle name="Comma 22 9" xfId="20581"/>
    <cellStyle name="Comma 22 9 2" xfId="20582"/>
    <cellStyle name="Comma 22 9 3" xfId="20583"/>
    <cellStyle name="Comma 22 9 4" xfId="20584"/>
    <cellStyle name="Comma 22 9 5" xfId="20585"/>
    <cellStyle name="Comma 22 9 6" xfId="20586"/>
    <cellStyle name="Comma 22 9 7" xfId="20587"/>
    <cellStyle name="Comma 22 9_Sheet1" xfId="20588"/>
    <cellStyle name="Comma 22_Sheet1" xfId="20589"/>
    <cellStyle name="Comma 220" xfId="20590"/>
    <cellStyle name="Comma 221" xfId="20591"/>
    <cellStyle name="Comma 222" xfId="20592"/>
    <cellStyle name="Comma 222 2" xfId="20593"/>
    <cellStyle name="Comma 222_Sheet1" xfId="20594"/>
    <cellStyle name="Comma 223" xfId="20595"/>
    <cellStyle name="Comma 223 2" xfId="20596"/>
    <cellStyle name="Comma 223_Sheet1" xfId="20597"/>
    <cellStyle name="Comma 224" xfId="20598"/>
    <cellStyle name="Comma 224 2" xfId="20599"/>
    <cellStyle name="Comma 224_Sheet1" xfId="20600"/>
    <cellStyle name="Comma 225" xfId="20601"/>
    <cellStyle name="Comma 225 2" xfId="20602"/>
    <cellStyle name="Comma 225_Sheet1" xfId="20603"/>
    <cellStyle name="Comma 226" xfId="20604"/>
    <cellStyle name="Comma 226 2" xfId="20605"/>
    <cellStyle name="Comma 226_Sheet1" xfId="20606"/>
    <cellStyle name="Comma 227" xfId="20607"/>
    <cellStyle name="Comma 227 2" xfId="20608"/>
    <cellStyle name="Comma 227_Sheet1" xfId="20609"/>
    <cellStyle name="Comma 228" xfId="20610"/>
    <cellStyle name="Comma 229" xfId="20611"/>
    <cellStyle name="Comma 23" xfId="20612"/>
    <cellStyle name="Comma 23 10" xfId="20613"/>
    <cellStyle name="Comma 23 10 2" xfId="20614"/>
    <cellStyle name="Comma 23 10 3" xfId="20615"/>
    <cellStyle name="Comma 23 10 4" xfId="20616"/>
    <cellStyle name="Comma 23 10 5" xfId="20617"/>
    <cellStyle name="Comma 23 10 6" xfId="20618"/>
    <cellStyle name="Comma 23 10 7" xfId="20619"/>
    <cellStyle name="Comma 23 10_Sheet1" xfId="20620"/>
    <cellStyle name="Comma 23 11" xfId="20621"/>
    <cellStyle name="Comma 23 11 2" xfId="20622"/>
    <cellStyle name="Comma 23 11 3" xfId="20623"/>
    <cellStyle name="Comma 23 11 4" xfId="20624"/>
    <cellStyle name="Comma 23 11 5" xfId="20625"/>
    <cellStyle name="Comma 23 11 6" xfId="20626"/>
    <cellStyle name="Comma 23 11 7" xfId="20627"/>
    <cellStyle name="Comma 23 11_Sheet1" xfId="20628"/>
    <cellStyle name="Comma 23 12" xfId="20629"/>
    <cellStyle name="Comma 23 12 2" xfId="20630"/>
    <cellStyle name="Comma 23 12 3" xfId="20631"/>
    <cellStyle name="Comma 23 12 4" xfId="20632"/>
    <cellStyle name="Comma 23 12 5" xfId="20633"/>
    <cellStyle name="Comma 23 12 6" xfId="20634"/>
    <cellStyle name="Comma 23 12 7" xfId="20635"/>
    <cellStyle name="Comma 23 12_Sheet1" xfId="20636"/>
    <cellStyle name="Comma 23 13" xfId="20637"/>
    <cellStyle name="Comma 23 13 2" xfId="20638"/>
    <cellStyle name="Comma 23 13 3" xfId="20639"/>
    <cellStyle name="Comma 23 13 4" xfId="20640"/>
    <cellStyle name="Comma 23 13 5" xfId="20641"/>
    <cellStyle name="Comma 23 13 6" xfId="20642"/>
    <cellStyle name="Comma 23 13 7" xfId="20643"/>
    <cellStyle name="Comma 23 13_Sheet1" xfId="20644"/>
    <cellStyle name="Comma 23 14" xfId="20645"/>
    <cellStyle name="Comma 23 14 2" xfId="20646"/>
    <cellStyle name="Comma 23 14 3" xfId="20647"/>
    <cellStyle name="Comma 23 14 4" xfId="20648"/>
    <cellStyle name="Comma 23 14 5" xfId="20649"/>
    <cellStyle name="Comma 23 14 6" xfId="20650"/>
    <cellStyle name="Comma 23 14 7" xfId="20651"/>
    <cellStyle name="Comma 23 14_Sheet1" xfId="20652"/>
    <cellStyle name="Comma 23 15" xfId="20653"/>
    <cellStyle name="Comma 23 15 2" xfId="20654"/>
    <cellStyle name="Comma 23 15 3" xfId="20655"/>
    <cellStyle name="Comma 23 15 4" xfId="20656"/>
    <cellStyle name="Comma 23 15 5" xfId="20657"/>
    <cellStyle name="Comma 23 15 6" xfId="20658"/>
    <cellStyle name="Comma 23 15 7" xfId="20659"/>
    <cellStyle name="Comma 23 15_Sheet1" xfId="20660"/>
    <cellStyle name="Comma 23 16" xfId="20661"/>
    <cellStyle name="Comma 23 16 2" xfId="20662"/>
    <cellStyle name="Comma 23 16 3" xfId="20663"/>
    <cellStyle name="Comma 23 16 4" xfId="20664"/>
    <cellStyle name="Comma 23 16 5" xfId="20665"/>
    <cellStyle name="Comma 23 16 6" xfId="20666"/>
    <cellStyle name="Comma 23 16 7" xfId="20667"/>
    <cellStyle name="Comma 23 16_Sheet1" xfId="20668"/>
    <cellStyle name="Comma 23 17" xfId="20669"/>
    <cellStyle name="Comma 23 17 2" xfId="20670"/>
    <cellStyle name="Comma 23 17 3" xfId="20671"/>
    <cellStyle name="Comma 23 17 4" xfId="20672"/>
    <cellStyle name="Comma 23 17 5" xfId="20673"/>
    <cellStyle name="Comma 23 17 6" xfId="20674"/>
    <cellStyle name="Comma 23 17 7" xfId="20675"/>
    <cellStyle name="Comma 23 17_Sheet1" xfId="20676"/>
    <cellStyle name="Comma 23 18" xfId="20677"/>
    <cellStyle name="Comma 23 18 2" xfId="20678"/>
    <cellStyle name="Comma 23 18 3" xfId="20679"/>
    <cellStyle name="Comma 23 18 4" xfId="20680"/>
    <cellStyle name="Comma 23 18 5" xfId="20681"/>
    <cellStyle name="Comma 23 18 6" xfId="20682"/>
    <cellStyle name="Comma 23 18 7" xfId="20683"/>
    <cellStyle name="Comma 23 18_Sheet1" xfId="20684"/>
    <cellStyle name="Comma 23 19" xfId="20685"/>
    <cellStyle name="Comma 23 19 2" xfId="20686"/>
    <cellStyle name="Comma 23 19 3" xfId="20687"/>
    <cellStyle name="Comma 23 19 4" xfId="20688"/>
    <cellStyle name="Comma 23 19 5" xfId="20689"/>
    <cellStyle name="Comma 23 19 6" xfId="20690"/>
    <cellStyle name="Comma 23 19 7" xfId="20691"/>
    <cellStyle name="Comma 23 19_Sheet1" xfId="20692"/>
    <cellStyle name="Comma 23 2" xfId="20693"/>
    <cellStyle name="Comma 23 2 2" xfId="20694"/>
    <cellStyle name="Comma 23 2 3" xfId="20695"/>
    <cellStyle name="Comma 23 2 4" xfId="20696"/>
    <cellStyle name="Comma 23 2 5" xfId="20697"/>
    <cellStyle name="Comma 23 2 6" xfId="20698"/>
    <cellStyle name="Comma 23 2 7" xfId="20699"/>
    <cellStyle name="Comma 23 2_Sheet1" xfId="20700"/>
    <cellStyle name="Comma 23 20" xfId="20701"/>
    <cellStyle name="Comma 23 20 2" xfId="20702"/>
    <cellStyle name="Comma 23 20 3" xfId="20703"/>
    <cellStyle name="Comma 23 20 4" xfId="20704"/>
    <cellStyle name="Comma 23 20 5" xfId="20705"/>
    <cellStyle name="Comma 23 20 6" xfId="20706"/>
    <cellStyle name="Comma 23 20 7" xfId="20707"/>
    <cellStyle name="Comma 23 20_Sheet1" xfId="20708"/>
    <cellStyle name="Comma 23 21" xfId="20709"/>
    <cellStyle name="Comma 23 21 2" xfId="20710"/>
    <cellStyle name="Comma 23 21 3" xfId="20711"/>
    <cellStyle name="Comma 23 21 4" xfId="20712"/>
    <cellStyle name="Comma 23 21 5" xfId="20713"/>
    <cellStyle name="Comma 23 21 6" xfId="20714"/>
    <cellStyle name="Comma 23 21 7" xfId="20715"/>
    <cellStyle name="Comma 23 21_Sheet1" xfId="20716"/>
    <cellStyle name="Comma 23 22" xfId="20717"/>
    <cellStyle name="Comma 23 22 2" xfId="20718"/>
    <cellStyle name="Comma 23 22 3" xfId="20719"/>
    <cellStyle name="Comma 23 22 4" xfId="20720"/>
    <cellStyle name="Comma 23 22 5" xfId="20721"/>
    <cellStyle name="Comma 23 22 6" xfId="20722"/>
    <cellStyle name="Comma 23 22 7" xfId="20723"/>
    <cellStyle name="Comma 23 22_Sheet1" xfId="20724"/>
    <cellStyle name="Comma 23 23" xfId="20725"/>
    <cellStyle name="Comma 23 23 2" xfId="20726"/>
    <cellStyle name="Comma 23 23 3" xfId="20727"/>
    <cellStyle name="Comma 23 23 4" xfId="20728"/>
    <cellStyle name="Comma 23 23 5" xfId="20729"/>
    <cellStyle name="Comma 23 23 6" xfId="20730"/>
    <cellStyle name="Comma 23 23 7" xfId="20731"/>
    <cellStyle name="Comma 23 23_Sheet1" xfId="20732"/>
    <cellStyle name="Comma 23 24" xfId="20733"/>
    <cellStyle name="Comma 23 24 2" xfId="20734"/>
    <cellStyle name="Comma 23 24 3" xfId="20735"/>
    <cellStyle name="Comma 23 24 4" xfId="20736"/>
    <cellStyle name="Comma 23 24 5" xfId="20737"/>
    <cellStyle name="Comma 23 24 6" xfId="20738"/>
    <cellStyle name="Comma 23 24 7" xfId="20739"/>
    <cellStyle name="Comma 23 24_Sheet1" xfId="20740"/>
    <cellStyle name="Comma 23 25" xfId="20741"/>
    <cellStyle name="Comma 23 26" xfId="20742"/>
    <cellStyle name="Comma 23 27" xfId="20743"/>
    <cellStyle name="Comma 23 28" xfId="20744"/>
    <cellStyle name="Comma 23 29" xfId="20745"/>
    <cellStyle name="Comma 23 3" xfId="20746"/>
    <cellStyle name="Comma 23 3 2" xfId="20747"/>
    <cellStyle name="Comma 23 3 3" xfId="20748"/>
    <cellStyle name="Comma 23 3 4" xfId="20749"/>
    <cellStyle name="Comma 23 3 5" xfId="20750"/>
    <cellStyle name="Comma 23 3 6" xfId="20751"/>
    <cellStyle name="Comma 23 3 7" xfId="20752"/>
    <cellStyle name="Comma 23 3_Sheet1" xfId="20753"/>
    <cellStyle name="Comma 23 30" xfId="20754"/>
    <cellStyle name="Comma 23 4" xfId="20755"/>
    <cellStyle name="Comma 23 4 2" xfId="20756"/>
    <cellStyle name="Comma 23 4 3" xfId="20757"/>
    <cellStyle name="Comma 23 4 4" xfId="20758"/>
    <cellStyle name="Comma 23 4 5" xfId="20759"/>
    <cellStyle name="Comma 23 4 6" xfId="20760"/>
    <cellStyle name="Comma 23 4 7" xfId="20761"/>
    <cellStyle name="Comma 23 4_Sheet1" xfId="20762"/>
    <cellStyle name="Comma 23 5" xfId="20763"/>
    <cellStyle name="Comma 23 5 2" xfId="20764"/>
    <cellStyle name="Comma 23 5 3" xfId="20765"/>
    <cellStyle name="Comma 23 5 4" xfId="20766"/>
    <cellStyle name="Comma 23 5 5" xfId="20767"/>
    <cellStyle name="Comma 23 5 6" xfId="20768"/>
    <cellStyle name="Comma 23 5 7" xfId="20769"/>
    <cellStyle name="Comma 23 5_Sheet1" xfId="20770"/>
    <cellStyle name="Comma 23 6" xfId="20771"/>
    <cellStyle name="Comma 23 6 2" xfId="20772"/>
    <cellStyle name="Comma 23 6 3" xfId="20773"/>
    <cellStyle name="Comma 23 6 4" xfId="20774"/>
    <cellStyle name="Comma 23 6 5" xfId="20775"/>
    <cellStyle name="Comma 23 6 6" xfId="20776"/>
    <cellStyle name="Comma 23 6 7" xfId="20777"/>
    <cellStyle name="Comma 23 6_Sheet1" xfId="20778"/>
    <cellStyle name="Comma 23 7" xfId="20779"/>
    <cellStyle name="Comma 23 7 2" xfId="20780"/>
    <cellStyle name="Comma 23 7 3" xfId="20781"/>
    <cellStyle name="Comma 23 7 4" xfId="20782"/>
    <cellStyle name="Comma 23 7 5" xfId="20783"/>
    <cellStyle name="Comma 23 7 6" xfId="20784"/>
    <cellStyle name="Comma 23 7 7" xfId="20785"/>
    <cellStyle name="Comma 23 7_Sheet1" xfId="20786"/>
    <cellStyle name="Comma 23 8" xfId="20787"/>
    <cellStyle name="Comma 23 8 2" xfId="20788"/>
    <cellStyle name="Comma 23 8 3" xfId="20789"/>
    <cellStyle name="Comma 23 8 4" xfId="20790"/>
    <cellStyle name="Comma 23 8 5" xfId="20791"/>
    <cellStyle name="Comma 23 8 6" xfId="20792"/>
    <cellStyle name="Comma 23 8 7" xfId="20793"/>
    <cellStyle name="Comma 23 8_Sheet1" xfId="20794"/>
    <cellStyle name="Comma 23 9" xfId="20795"/>
    <cellStyle name="Comma 23 9 2" xfId="20796"/>
    <cellStyle name="Comma 23 9 3" xfId="20797"/>
    <cellStyle name="Comma 23 9 4" xfId="20798"/>
    <cellStyle name="Comma 23 9 5" xfId="20799"/>
    <cellStyle name="Comma 23 9 6" xfId="20800"/>
    <cellStyle name="Comma 23 9 7" xfId="20801"/>
    <cellStyle name="Comma 23 9_Sheet1" xfId="20802"/>
    <cellStyle name="Comma 23_Sheet1" xfId="20803"/>
    <cellStyle name="Comma 230" xfId="20804"/>
    <cellStyle name="Comma 231" xfId="20805"/>
    <cellStyle name="Comma 232" xfId="20806"/>
    <cellStyle name="Comma 233" xfId="20807"/>
    <cellStyle name="Comma 234" xfId="20808"/>
    <cellStyle name="Comma 235" xfId="20809"/>
    <cellStyle name="Comma 236" xfId="20810"/>
    <cellStyle name="Comma 237" xfId="20811"/>
    <cellStyle name="Comma 238" xfId="20812"/>
    <cellStyle name="Comma 239" xfId="20813"/>
    <cellStyle name="Comma 24" xfId="20814"/>
    <cellStyle name="Comma 24 10" xfId="20815"/>
    <cellStyle name="Comma 24 10 2" xfId="20816"/>
    <cellStyle name="Comma 24 10 3" xfId="20817"/>
    <cellStyle name="Comma 24 10 4" xfId="20818"/>
    <cellStyle name="Comma 24 10 5" xfId="20819"/>
    <cellStyle name="Comma 24 10 6" xfId="20820"/>
    <cellStyle name="Comma 24 10 7" xfId="20821"/>
    <cellStyle name="Comma 24 10_Sheet1" xfId="20822"/>
    <cellStyle name="Comma 24 11" xfId="20823"/>
    <cellStyle name="Comma 24 11 2" xfId="20824"/>
    <cellStyle name="Comma 24 11 3" xfId="20825"/>
    <cellStyle name="Comma 24 11 4" xfId="20826"/>
    <cellStyle name="Comma 24 11 5" xfId="20827"/>
    <cellStyle name="Comma 24 11 6" xfId="20828"/>
    <cellStyle name="Comma 24 11 7" xfId="20829"/>
    <cellStyle name="Comma 24 11_Sheet1" xfId="20830"/>
    <cellStyle name="Comma 24 12" xfId="20831"/>
    <cellStyle name="Comma 24 12 2" xfId="20832"/>
    <cellStyle name="Comma 24 12 3" xfId="20833"/>
    <cellStyle name="Comma 24 12 4" xfId="20834"/>
    <cellStyle name="Comma 24 12 5" xfId="20835"/>
    <cellStyle name="Comma 24 12 6" xfId="20836"/>
    <cellStyle name="Comma 24 12 7" xfId="20837"/>
    <cellStyle name="Comma 24 12_Sheet1" xfId="20838"/>
    <cellStyle name="Comma 24 13" xfId="20839"/>
    <cellStyle name="Comma 24 13 2" xfId="20840"/>
    <cellStyle name="Comma 24 13 3" xfId="20841"/>
    <cellStyle name="Comma 24 13 4" xfId="20842"/>
    <cellStyle name="Comma 24 13 5" xfId="20843"/>
    <cellStyle name="Comma 24 13 6" xfId="20844"/>
    <cellStyle name="Comma 24 13 7" xfId="20845"/>
    <cellStyle name="Comma 24 13_Sheet1" xfId="20846"/>
    <cellStyle name="Comma 24 14" xfId="20847"/>
    <cellStyle name="Comma 24 14 2" xfId="20848"/>
    <cellStyle name="Comma 24 14 3" xfId="20849"/>
    <cellStyle name="Comma 24 14 4" xfId="20850"/>
    <cellStyle name="Comma 24 14 5" xfId="20851"/>
    <cellStyle name="Comma 24 14 6" xfId="20852"/>
    <cellStyle name="Comma 24 14 7" xfId="20853"/>
    <cellStyle name="Comma 24 14_Sheet1" xfId="20854"/>
    <cellStyle name="Comma 24 15" xfId="20855"/>
    <cellStyle name="Comma 24 15 2" xfId="20856"/>
    <cellStyle name="Comma 24 15 3" xfId="20857"/>
    <cellStyle name="Comma 24 15 4" xfId="20858"/>
    <cellStyle name="Comma 24 15 5" xfId="20859"/>
    <cellStyle name="Comma 24 15 6" xfId="20860"/>
    <cellStyle name="Comma 24 15 7" xfId="20861"/>
    <cellStyle name="Comma 24 15_Sheet1" xfId="20862"/>
    <cellStyle name="Comma 24 16" xfId="20863"/>
    <cellStyle name="Comma 24 16 2" xfId="20864"/>
    <cellStyle name="Comma 24 16 3" xfId="20865"/>
    <cellStyle name="Comma 24 16 4" xfId="20866"/>
    <cellStyle name="Comma 24 16 5" xfId="20867"/>
    <cellStyle name="Comma 24 16 6" xfId="20868"/>
    <cellStyle name="Comma 24 16 7" xfId="20869"/>
    <cellStyle name="Comma 24 16_Sheet1" xfId="20870"/>
    <cellStyle name="Comma 24 17" xfId="20871"/>
    <cellStyle name="Comma 24 17 2" xfId="20872"/>
    <cellStyle name="Comma 24 17 3" xfId="20873"/>
    <cellStyle name="Comma 24 17 4" xfId="20874"/>
    <cellStyle name="Comma 24 17 5" xfId="20875"/>
    <cellStyle name="Comma 24 17 6" xfId="20876"/>
    <cellStyle name="Comma 24 17 7" xfId="20877"/>
    <cellStyle name="Comma 24 17_Sheet1" xfId="20878"/>
    <cellStyle name="Comma 24 18" xfId="20879"/>
    <cellStyle name="Comma 24 18 2" xfId="20880"/>
    <cellStyle name="Comma 24 18 3" xfId="20881"/>
    <cellStyle name="Comma 24 18 4" xfId="20882"/>
    <cellStyle name="Comma 24 18 5" xfId="20883"/>
    <cellStyle name="Comma 24 18 6" xfId="20884"/>
    <cellStyle name="Comma 24 18 7" xfId="20885"/>
    <cellStyle name="Comma 24 18_Sheet1" xfId="20886"/>
    <cellStyle name="Comma 24 19" xfId="20887"/>
    <cellStyle name="Comma 24 19 2" xfId="20888"/>
    <cellStyle name="Comma 24 19 3" xfId="20889"/>
    <cellStyle name="Comma 24 19 4" xfId="20890"/>
    <cellStyle name="Comma 24 19 5" xfId="20891"/>
    <cellStyle name="Comma 24 19 6" xfId="20892"/>
    <cellStyle name="Comma 24 19 7" xfId="20893"/>
    <cellStyle name="Comma 24 19_Sheet1" xfId="20894"/>
    <cellStyle name="Comma 24 2" xfId="20895"/>
    <cellStyle name="Comma 24 2 2" xfId="20896"/>
    <cellStyle name="Comma 24 2 3" xfId="20897"/>
    <cellStyle name="Comma 24 2 4" xfId="20898"/>
    <cellStyle name="Comma 24 2 5" xfId="20899"/>
    <cellStyle name="Comma 24 2 6" xfId="20900"/>
    <cellStyle name="Comma 24 2 7" xfId="20901"/>
    <cellStyle name="Comma 24 2_Sheet1" xfId="20902"/>
    <cellStyle name="Comma 24 20" xfId="20903"/>
    <cellStyle name="Comma 24 20 2" xfId="20904"/>
    <cellStyle name="Comma 24 20 3" xfId="20905"/>
    <cellStyle name="Comma 24 20 4" xfId="20906"/>
    <cellStyle name="Comma 24 20 5" xfId="20907"/>
    <cellStyle name="Comma 24 20 6" xfId="20908"/>
    <cellStyle name="Comma 24 20 7" xfId="20909"/>
    <cellStyle name="Comma 24 20_Sheet1" xfId="20910"/>
    <cellStyle name="Comma 24 21" xfId="20911"/>
    <cellStyle name="Comma 24 21 2" xfId="20912"/>
    <cellStyle name="Comma 24 21 3" xfId="20913"/>
    <cellStyle name="Comma 24 21 4" xfId="20914"/>
    <cellStyle name="Comma 24 21 5" xfId="20915"/>
    <cellStyle name="Comma 24 21 6" xfId="20916"/>
    <cellStyle name="Comma 24 21 7" xfId="20917"/>
    <cellStyle name="Comma 24 21_Sheet1" xfId="20918"/>
    <cellStyle name="Comma 24 22" xfId="20919"/>
    <cellStyle name="Comma 24 22 2" xfId="20920"/>
    <cellStyle name="Comma 24 22 3" xfId="20921"/>
    <cellStyle name="Comma 24 22 4" xfId="20922"/>
    <cellStyle name="Comma 24 22 5" xfId="20923"/>
    <cellStyle name="Comma 24 22 6" xfId="20924"/>
    <cellStyle name="Comma 24 22 7" xfId="20925"/>
    <cellStyle name="Comma 24 22_Sheet1" xfId="20926"/>
    <cellStyle name="Comma 24 23" xfId="20927"/>
    <cellStyle name="Comma 24 23 2" xfId="20928"/>
    <cellStyle name="Comma 24 23 3" xfId="20929"/>
    <cellStyle name="Comma 24 23 4" xfId="20930"/>
    <cellStyle name="Comma 24 23 5" xfId="20931"/>
    <cellStyle name="Comma 24 23 6" xfId="20932"/>
    <cellStyle name="Comma 24 23 7" xfId="20933"/>
    <cellStyle name="Comma 24 23_Sheet1" xfId="20934"/>
    <cellStyle name="Comma 24 24" xfId="20935"/>
    <cellStyle name="Comma 24 24 2" xfId="20936"/>
    <cellStyle name="Comma 24 24 3" xfId="20937"/>
    <cellStyle name="Comma 24 24 4" xfId="20938"/>
    <cellStyle name="Comma 24 24 5" xfId="20939"/>
    <cellStyle name="Comma 24 24 6" xfId="20940"/>
    <cellStyle name="Comma 24 24 7" xfId="20941"/>
    <cellStyle name="Comma 24 24_Sheet1" xfId="20942"/>
    <cellStyle name="Comma 24 25" xfId="20943"/>
    <cellStyle name="Comma 24 26" xfId="20944"/>
    <cellStyle name="Comma 24 27" xfId="20945"/>
    <cellStyle name="Comma 24 28" xfId="20946"/>
    <cellStyle name="Comma 24 29" xfId="20947"/>
    <cellStyle name="Comma 24 3" xfId="20948"/>
    <cellStyle name="Comma 24 3 2" xfId="20949"/>
    <cellStyle name="Comma 24 3 3" xfId="20950"/>
    <cellStyle name="Comma 24 3 4" xfId="20951"/>
    <cellStyle name="Comma 24 3 5" xfId="20952"/>
    <cellStyle name="Comma 24 3 6" xfId="20953"/>
    <cellStyle name="Comma 24 3 7" xfId="20954"/>
    <cellStyle name="Comma 24 3_Sheet1" xfId="20955"/>
    <cellStyle name="Comma 24 30" xfId="20956"/>
    <cellStyle name="Comma 24 4" xfId="20957"/>
    <cellStyle name="Comma 24 4 2" xfId="20958"/>
    <cellStyle name="Comma 24 4 3" xfId="20959"/>
    <cellStyle name="Comma 24 4 4" xfId="20960"/>
    <cellStyle name="Comma 24 4 5" xfId="20961"/>
    <cellStyle name="Comma 24 4 6" xfId="20962"/>
    <cellStyle name="Comma 24 4 7" xfId="20963"/>
    <cellStyle name="Comma 24 4_Sheet1" xfId="20964"/>
    <cellStyle name="Comma 24 5" xfId="20965"/>
    <cellStyle name="Comma 24 5 2" xfId="20966"/>
    <cellStyle name="Comma 24 5 3" xfId="20967"/>
    <cellStyle name="Comma 24 5 4" xfId="20968"/>
    <cellStyle name="Comma 24 5 5" xfId="20969"/>
    <cellStyle name="Comma 24 5 6" xfId="20970"/>
    <cellStyle name="Comma 24 5 7" xfId="20971"/>
    <cellStyle name="Comma 24 5_Sheet1" xfId="20972"/>
    <cellStyle name="Comma 24 6" xfId="20973"/>
    <cellStyle name="Comma 24 6 2" xfId="20974"/>
    <cellStyle name="Comma 24 6 3" xfId="20975"/>
    <cellStyle name="Comma 24 6 4" xfId="20976"/>
    <cellStyle name="Comma 24 6 5" xfId="20977"/>
    <cellStyle name="Comma 24 6 6" xfId="20978"/>
    <cellStyle name="Comma 24 6 7" xfId="20979"/>
    <cellStyle name="Comma 24 6_Sheet1" xfId="20980"/>
    <cellStyle name="Comma 24 7" xfId="20981"/>
    <cellStyle name="Comma 24 7 2" xfId="20982"/>
    <cellStyle name="Comma 24 7 3" xfId="20983"/>
    <cellStyle name="Comma 24 7 4" xfId="20984"/>
    <cellStyle name="Comma 24 7 5" xfId="20985"/>
    <cellStyle name="Comma 24 7 6" xfId="20986"/>
    <cellStyle name="Comma 24 7 7" xfId="20987"/>
    <cellStyle name="Comma 24 7_Sheet1" xfId="20988"/>
    <cellStyle name="Comma 24 8" xfId="20989"/>
    <cellStyle name="Comma 24 8 2" xfId="20990"/>
    <cellStyle name="Comma 24 8 3" xfId="20991"/>
    <cellStyle name="Comma 24 8 4" xfId="20992"/>
    <cellStyle name="Comma 24 8 5" xfId="20993"/>
    <cellStyle name="Comma 24 8 6" xfId="20994"/>
    <cellStyle name="Comma 24 8 7" xfId="20995"/>
    <cellStyle name="Comma 24 8_Sheet1" xfId="20996"/>
    <cellStyle name="Comma 24 9" xfId="20997"/>
    <cellStyle name="Comma 24 9 2" xfId="20998"/>
    <cellStyle name="Comma 24 9 3" xfId="20999"/>
    <cellStyle name="Comma 24 9 4" xfId="21000"/>
    <cellStyle name="Comma 24 9 5" xfId="21001"/>
    <cellStyle name="Comma 24 9 6" xfId="21002"/>
    <cellStyle name="Comma 24 9 7" xfId="21003"/>
    <cellStyle name="Comma 24 9_Sheet1" xfId="21004"/>
    <cellStyle name="Comma 24_Sheet1" xfId="21005"/>
    <cellStyle name="Comma 240" xfId="21006"/>
    <cellStyle name="Comma 241" xfId="21007"/>
    <cellStyle name="Comma 242" xfId="21008"/>
    <cellStyle name="Comma 243" xfId="21009"/>
    <cellStyle name="Comma 244" xfId="21010"/>
    <cellStyle name="Comma 245" xfId="21011"/>
    <cellStyle name="Comma 246" xfId="21012"/>
    <cellStyle name="Comma 247" xfId="21013"/>
    <cellStyle name="Comma 248" xfId="21014"/>
    <cellStyle name="Comma 249" xfId="21015"/>
    <cellStyle name="Comma 25" xfId="21016"/>
    <cellStyle name="Comma 25 10" xfId="21017"/>
    <cellStyle name="Comma 25 10 2" xfId="21018"/>
    <cellStyle name="Comma 25 10 3" xfId="21019"/>
    <cellStyle name="Comma 25 10 4" xfId="21020"/>
    <cellStyle name="Comma 25 10 5" xfId="21021"/>
    <cellStyle name="Comma 25 10 6" xfId="21022"/>
    <cellStyle name="Comma 25 10 7" xfId="21023"/>
    <cellStyle name="Comma 25 10_Sheet1" xfId="21024"/>
    <cellStyle name="Comma 25 11" xfId="21025"/>
    <cellStyle name="Comma 25 11 2" xfId="21026"/>
    <cellStyle name="Comma 25 11 3" xfId="21027"/>
    <cellStyle name="Comma 25 11 4" xfId="21028"/>
    <cellStyle name="Comma 25 11 5" xfId="21029"/>
    <cellStyle name="Comma 25 11 6" xfId="21030"/>
    <cellStyle name="Comma 25 11 7" xfId="21031"/>
    <cellStyle name="Comma 25 11_Sheet1" xfId="21032"/>
    <cellStyle name="Comma 25 12" xfId="21033"/>
    <cellStyle name="Comma 25 12 2" xfId="21034"/>
    <cellStyle name="Comma 25 12 3" xfId="21035"/>
    <cellStyle name="Comma 25 12 4" xfId="21036"/>
    <cellStyle name="Comma 25 12 5" xfId="21037"/>
    <cellStyle name="Comma 25 12 6" xfId="21038"/>
    <cellStyle name="Comma 25 12 7" xfId="21039"/>
    <cellStyle name="Comma 25 12_Sheet1" xfId="21040"/>
    <cellStyle name="Comma 25 13" xfId="21041"/>
    <cellStyle name="Comma 25 13 2" xfId="21042"/>
    <cellStyle name="Comma 25 13 3" xfId="21043"/>
    <cellStyle name="Comma 25 13 4" xfId="21044"/>
    <cellStyle name="Comma 25 13 5" xfId="21045"/>
    <cellStyle name="Comma 25 13 6" xfId="21046"/>
    <cellStyle name="Comma 25 13 7" xfId="21047"/>
    <cellStyle name="Comma 25 13_Sheet1" xfId="21048"/>
    <cellStyle name="Comma 25 14" xfId="21049"/>
    <cellStyle name="Comma 25 14 2" xfId="21050"/>
    <cellStyle name="Comma 25 14 3" xfId="21051"/>
    <cellStyle name="Comma 25 14 4" xfId="21052"/>
    <cellStyle name="Comma 25 14 5" xfId="21053"/>
    <cellStyle name="Comma 25 14 6" xfId="21054"/>
    <cellStyle name="Comma 25 14 7" xfId="21055"/>
    <cellStyle name="Comma 25 14_Sheet1" xfId="21056"/>
    <cellStyle name="Comma 25 15" xfId="21057"/>
    <cellStyle name="Comma 25 15 2" xfId="21058"/>
    <cellStyle name="Comma 25 15 3" xfId="21059"/>
    <cellStyle name="Comma 25 15 4" xfId="21060"/>
    <cellStyle name="Comma 25 15 5" xfId="21061"/>
    <cellStyle name="Comma 25 15 6" xfId="21062"/>
    <cellStyle name="Comma 25 15 7" xfId="21063"/>
    <cellStyle name="Comma 25 15_Sheet1" xfId="21064"/>
    <cellStyle name="Comma 25 16" xfId="21065"/>
    <cellStyle name="Comma 25 16 2" xfId="21066"/>
    <cellStyle name="Comma 25 16 3" xfId="21067"/>
    <cellStyle name="Comma 25 16 4" xfId="21068"/>
    <cellStyle name="Comma 25 16 5" xfId="21069"/>
    <cellStyle name="Comma 25 16 6" xfId="21070"/>
    <cellStyle name="Comma 25 16 7" xfId="21071"/>
    <cellStyle name="Comma 25 16_Sheet1" xfId="21072"/>
    <cellStyle name="Comma 25 17" xfId="21073"/>
    <cellStyle name="Comma 25 17 2" xfId="21074"/>
    <cellStyle name="Comma 25 17 3" xfId="21075"/>
    <cellStyle name="Comma 25 17 4" xfId="21076"/>
    <cellStyle name="Comma 25 17 5" xfId="21077"/>
    <cellStyle name="Comma 25 17 6" xfId="21078"/>
    <cellStyle name="Comma 25 17 7" xfId="21079"/>
    <cellStyle name="Comma 25 17_Sheet1" xfId="21080"/>
    <cellStyle name="Comma 25 18" xfId="21081"/>
    <cellStyle name="Comma 25 18 2" xfId="21082"/>
    <cellStyle name="Comma 25 18 3" xfId="21083"/>
    <cellStyle name="Comma 25 18 4" xfId="21084"/>
    <cellStyle name="Comma 25 18 5" xfId="21085"/>
    <cellStyle name="Comma 25 18 6" xfId="21086"/>
    <cellStyle name="Comma 25 18 7" xfId="21087"/>
    <cellStyle name="Comma 25 18_Sheet1" xfId="21088"/>
    <cellStyle name="Comma 25 19" xfId="21089"/>
    <cellStyle name="Comma 25 19 2" xfId="21090"/>
    <cellStyle name="Comma 25 19 3" xfId="21091"/>
    <cellStyle name="Comma 25 19 4" xfId="21092"/>
    <cellStyle name="Comma 25 19 5" xfId="21093"/>
    <cellStyle name="Comma 25 19 6" xfId="21094"/>
    <cellStyle name="Comma 25 19 7" xfId="21095"/>
    <cellStyle name="Comma 25 19_Sheet1" xfId="21096"/>
    <cellStyle name="Comma 25 2" xfId="21097"/>
    <cellStyle name="Comma 25 2 2" xfId="21098"/>
    <cellStyle name="Comma 25 2 3" xfId="21099"/>
    <cellStyle name="Comma 25 2 4" xfId="21100"/>
    <cellStyle name="Comma 25 2 5" xfId="21101"/>
    <cellStyle name="Comma 25 2 6" xfId="21102"/>
    <cellStyle name="Comma 25 2 7" xfId="21103"/>
    <cellStyle name="Comma 25 2_Sheet1" xfId="21104"/>
    <cellStyle name="Comma 25 20" xfId="21105"/>
    <cellStyle name="Comma 25 20 2" xfId="21106"/>
    <cellStyle name="Comma 25 20 3" xfId="21107"/>
    <cellStyle name="Comma 25 20 4" xfId="21108"/>
    <cellStyle name="Comma 25 20 5" xfId="21109"/>
    <cellStyle name="Comma 25 20 6" xfId="21110"/>
    <cellStyle name="Comma 25 20 7" xfId="21111"/>
    <cellStyle name="Comma 25 20_Sheet1" xfId="21112"/>
    <cellStyle name="Comma 25 21" xfId="21113"/>
    <cellStyle name="Comma 25 21 2" xfId="21114"/>
    <cellStyle name="Comma 25 21 3" xfId="21115"/>
    <cellStyle name="Comma 25 21 4" xfId="21116"/>
    <cellStyle name="Comma 25 21 5" xfId="21117"/>
    <cellStyle name="Comma 25 21 6" xfId="21118"/>
    <cellStyle name="Comma 25 21 7" xfId="21119"/>
    <cellStyle name="Comma 25 21_Sheet1" xfId="21120"/>
    <cellStyle name="Comma 25 22" xfId="21121"/>
    <cellStyle name="Comma 25 22 2" xfId="21122"/>
    <cellStyle name="Comma 25 22 3" xfId="21123"/>
    <cellStyle name="Comma 25 22 4" xfId="21124"/>
    <cellStyle name="Comma 25 22 5" xfId="21125"/>
    <cellStyle name="Comma 25 22 6" xfId="21126"/>
    <cellStyle name="Comma 25 22 7" xfId="21127"/>
    <cellStyle name="Comma 25 22_Sheet1" xfId="21128"/>
    <cellStyle name="Comma 25 23" xfId="21129"/>
    <cellStyle name="Comma 25 23 2" xfId="21130"/>
    <cellStyle name="Comma 25 23 3" xfId="21131"/>
    <cellStyle name="Comma 25 23 4" xfId="21132"/>
    <cellStyle name="Comma 25 23 5" xfId="21133"/>
    <cellStyle name="Comma 25 23 6" xfId="21134"/>
    <cellStyle name="Comma 25 23 7" xfId="21135"/>
    <cellStyle name="Comma 25 23_Sheet1" xfId="21136"/>
    <cellStyle name="Comma 25 24" xfId="21137"/>
    <cellStyle name="Comma 25 24 2" xfId="21138"/>
    <cellStyle name="Comma 25 24 3" xfId="21139"/>
    <cellStyle name="Comma 25 24 4" xfId="21140"/>
    <cellStyle name="Comma 25 24 5" xfId="21141"/>
    <cellStyle name="Comma 25 24 6" xfId="21142"/>
    <cellStyle name="Comma 25 24 7" xfId="21143"/>
    <cellStyle name="Comma 25 24_Sheet1" xfId="21144"/>
    <cellStyle name="Comma 25 25" xfId="21145"/>
    <cellStyle name="Comma 25 26" xfId="21146"/>
    <cellStyle name="Comma 25 27" xfId="21147"/>
    <cellStyle name="Comma 25 28" xfId="21148"/>
    <cellStyle name="Comma 25 29" xfId="21149"/>
    <cellStyle name="Comma 25 3" xfId="21150"/>
    <cellStyle name="Comma 25 3 2" xfId="21151"/>
    <cellStyle name="Comma 25 3 3" xfId="21152"/>
    <cellStyle name="Comma 25 3 4" xfId="21153"/>
    <cellStyle name="Comma 25 3 5" xfId="21154"/>
    <cellStyle name="Comma 25 3 6" xfId="21155"/>
    <cellStyle name="Comma 25 3 7" xfId="21156"/>
    <cellStyle name="Comma 25 3_Sheet1" xfId="21157"/>
    <cellStyle name="Comma 25 30" xfId="21158"/>
    <cellStyle name="Comma 25 4" xfId="21159"/>
    <cellStyle name="Comma 25 4 2" xfId="21160"/>
    <cellStyle name="Comma 25 4 3" xfId="21161"/>
    <cellStyle name="Comma 25 4 4" xfId="21162"/>
    <cellStyle name="Comma 25 4 5" xfId="21163"/>
    <cellStyle name="Comma 25 4 6" xfId="21164"/>
    <cellStyle name="Comma 25 4 7" xfId="21165"/>
    <cellStyle name="Comma 25 4_Sheet1" xfId="21166"/>
    <cellStyle name="Comma 25 5" xfId="21167"/>
    <cellStyle name="Comma 25 5 2" xfId="21168"/>
    <cellStyle name="Comma 25 5 3" xfId="21169"/>
    <cellStyle name="Comma 25 5 4" xfId="21170"/>
    <cellStyle name="Comma 25 5 5" xfId="21171"/>
    <cellStyle name="Comma 25 5 6" xfId="21172"/>
    <cellStyle name="Comma 25 5 7" xfId="21173"/>
    <cellStyle name="Comma 25 5_Sheet1" xfId="21174"/>
    <cellStyle name="Comma 25 6" xfId="21175"/>
    <cellStyle name="Comma 25 6 2" xfId="21176"/>
    <cellStyle name="Comma 25 6 3" xfId="21177"/>
    <cellStyle name="Comma 25 6 4" xfId="21178"/>
    <cellStyle name="Comma 25 6 5" xfId="21179"/>
    <cellStyle name="Comma 25 6 6" xfId="21180"/>
    <cellStyle name="Comma 25 6 7" xfId="21181"/>
    <cellStyle name="Comma 25 6_Sheet1" xfId="21182"/>
    <cellStyle name="Comma 25 7" xfId="21183"/>
    <cellStyle name="Comma 25 7 2" xfId="21184"/>
    <cellStyle name="Comma 25 7 3" xfId="21185"/>
    <cellStyle name="Comma 25 7 4" xfId="21186"/>
    <cellStyle name="Comma 25 7 5" xfId="21187"/>
    <cellStyle name="Comma 25 7 6" xfId="21188"/>
    <cellStyle name="Comma 25 7 7" xfId="21189"/>
    <cellStyle name="Comma 25 7_Sheet1" xfId="21190"/>
    <cellStyle name="Comma 25 8" xfId="21191"/>
    <cellStyle name="Comma 25 8 2" xfId="21192"/>
    <cellStyle name="Comma 25 8 3" xfId="21193"/>
    <cellStyle name="Comma 25 8 4" xfId="21194"/>
    <cellStyle name="Comma 25 8 5" xfId="21195"/>
    <cellStyle name="Comma 25 8 6" xfId="21196"/>
    <cellStyle name="Comma 25 8 7" xfId="21197"/>
    <cellStyle name="Comma 25 8_Sheet1" xfId="21198"/>
    <cellStyle name="Comma 25 9" xfId="21199"/>
    <cellStyle name="Comma 25 9 2" xfId="21200"/>
    <cellStyle name="Comma 25 9 3" xfId="21201"/>
    <cellStyle name="Comma 25 9 4" xfId="21202"/>
    <cellStyle name="Comma 25 9 5" xfId="21203"/>
    <cellStyle name="Comma 25 9 6" xfId="21204"/>
    <cellStyle name="Comma 25 9 7" xfId="21205"/>
    <cellStyle name="Comma 25 9_Sheet1" xfId="21206"/>
    <cellStyle name="Comma 25_Sheet1" xfId="21207"/>
    <cellStyle name="Comma 250" xfId="21208"/>
    <cellStyle name="Comma 251" xfId="21209"/>
    <cellStyle name="Comma 252" xfId="21210"/>
    <cellStyle name="Comma 253" xfId="21211"/>
    <cellStyle name="Comma 254" xfId="21212"/>
    <cellStyle name="Comma 255" xfId="21213"/>
    <cellStyle name="Comma 256" xfId="21214"/>
    <cellStyle name="Comma 257" xfId="21215"/>
    <cellStyle name="Comma 258" xfId="21216"/>
    <cellStyle name="Comma 259" xfId="21217"/>
    <cellStyle name="Comma 26" xfId="21218"/>
    <cellStyle name="Comma 26 10" xfId="21219"/>
    <cellStyle name="Comma 26 10 2" xfId="21220"/>
    <cellStyle name="Comma 26 10 3" xfId="21221"/>
    <cellStyle name="Comma 26 10 4" xfId="21222"/>
    <cellStyle name="Comma 26 10 5" xfId="21223"/>
    <cellStyle name="Comma 26 10 6" xfId="21224"/>
    <cellStyle name="Comma 26 10 7" xfId="21225"/>
    <cellStyle name="Comma 26 10_Sheet1" xfId="21226"/>
    <cellStyle name="Comma 26 11" xfId="21227"/>
    <cellStyle name="Comma 26 11 2" xfId="21228"/>
    <cellStyle name="Comma 26 11 3" xfId="21229"/>
    <cellStyle name="Comma 26 11 4" xfId="21230"/>
    <cellStyle name="Comma 26 11 5" xfId="21231"/>
    <cellStyle name="Comma 26 11 6" xfId="21232"/>
    <cellStyle name="Comma 26 11 7" xfId="21233"/>
    <cellStyle name="Comma 26 11_Sheet1" xfId="21234"/>
    <cellStyle name="Comma 26 12" xfId="21235"/>
    <cellStyle name="Comma 26 12 2" xfId="21236"/>
    <cellStyle name="Comma 26 12 3" xfId="21237"/>
    <cellStyle name="Comma 26 12 4" xfId="21238"/>
    <cellStyle name="Comma 26 12 5" xfId="21239"/>
    <cellStyle name="Comma 26 12 6" xfId="21240"/>
    <cellStyle name="Comma 26 12 7" xfId="21241"/>
    <cellStyle name="Comma 26 12_Sheet1" xfId="21242"/>
    <cellStyle name="Comma 26 13" xfId="21243"/>
    <cellStyle name="Comma 26 13 2" xfId="21244"/>
    <cellStyle name="Comma 26 13 3" xfId="21245"/>
    <cellStyle name="Comma 26 13 4" xfId="21246"/>
    <cellStyle name="Comma 26 13 5" xfId="21247"/>
    <cellStyle name="Comma 26 13 6" xfId="21248"/>
    <cellStyle name="Comma 26 13 7" xfId="21249"/>
    <cellStyle name="Comma 26 13_Sheet1" xfId="21250"/>
    <cellStyle name="Comma 26 14" xfId="21251"/>
    <cellStyle name="Comma 26 14 2" xfId="21252"/>
    <cellStyle name="Comma 26 14 3" xfId="21253"/>
    <cellStyle name="Comma 26 14 4" xfId="21254"/>
    <cellStyle name="Comma 26 14 5" xfId="21255"/>
    <cellStyle name="Comma 26 14 6" xfId="21256"/>
    <cellStyle name="Comma 26 14 7" xfId="21257"/>
    <cellStyle name="Comma 26 14_Sheet1" xfId="21258"/>
    <cellStyle name="Comma 26 15" xfId="21259"/>
    <cellStyle name="Comma 26 15 2" xfId="21260"/>
    <cellStyle name="Comma 26 15 3" xfId="21261"/>
    <cellStyle name="Comma 26 15 4" xfId="21262"/>
    <cellStyle name="Comma 26 15 5" xfId="21263"/>
    <cellStyle name="Comma 26 15 6" xfId="21264"/>
    <cellStyle name="Comma 26 15 7" xfId="21265"/>
    <cellStyle name="Comma 26 15_Sheet1" xfId="21266"/>
    <cellStyle name="Comma 26 16" xfId="21267"/>
    <cellStyle name="Comma 26 16 2" xfId="21268"/>
    <cellStyle name="Comma 26 16 3" xfId="21269"/>
    <cellStyle name="Comma 26 16 4" xfId="21270"/>
    <cellStyle name="Comma 26 16 5" xfId="21271"/>
    <cellStyle name="Comma 26 16 6" xfId="21272"/>
    <cellStyle name="Comma 26 16 7" xfId="21273"/>
    <cellStyle name="Comma 26 16_Sheet1" xfId="21274"/>
    <cellStyle name="Comma 26 17" xfId="21275"/>
    <cellStyle name="Comma 26 17 2" xfId="21276"/>
    <cellStyle name="Comma 26 17 3" xfId="21277"/>
    <cellStyle name="Comma 26 17 4" xfId="21278"/>
    <cellStyle name="Comma 26 17 5" xfId="21279"/>
    <cellStyle name="Comma 26 17 6" xfId="21280"/>
    <cellStyle name="Comma 26 17 7" xfId="21281"/>
    <cellStyle name="Comma 26 17_Sheet1" xfId="21282"/>
    <cellStyle name="Comma 26 18" xfId="21283"/>
    <cellStyle name="Comma 26 18 2" xfId="21284"/>
    <cellStyle name="Comma 26 18 3" xfId="21285"/>
    <cellStyle name="Comma 26 18 4" xfId="21286"/>
    <cellStyle name="Comma 26 18 5" xfId="21287"/>
    <cellStyle name="Comma 26 18 6" xfId="21288"/>
    <cellStyle name="Comma 26 18 7" xfId="21289"/>
    <cellStyle name="Comma 26 18_Sheet1" xfId="21290"/>
    <cellStyle name="Comma 26 19" xfId="21291"/>
    <cellStyle name="Comma 26 19 2" xfId="21292"/>
    <cellStyle name="Comma 26 19 3" xfId="21293"/>
    <cellStyle name="Comma 26 19 4" xfId="21294"/>
    <cellStyle name="Comma 26 19 5" xfId="21295"/>
    <cellStyle name="Comma 26 19 6" xfId="21296"/>
    <cellStyle name="Comma 26 19 7" xfId="21297"/>
    <cellStyle name="Comma 26 19_Sheet1" xfId="21298"/>
    <cellStyle name="Comma 26 2" xfId="21299"/>
    <cellStyle name="Comma 26 2 10" xfId="21300"/>
    <cellStyle name="Comma 26 2 11" xfId="21301"/>
    <cellStyle name="Comma 26 2 12" xfId="21302"/>
    <cellStyle name="Comma 26 2 13" xfId="21303"/>
    <cellStyle name="Comma 26 2 2" xfId="21304"/>
    <cellStyle name="Comma 26 2 2 2" xfId="21305"/>
    <cellStyle name="Comma 26 2 2 3" xfId="21306"/>
    <cellStyle name="Comma 26 2 2 4" xfId="21307"/>
    <cellStyle name="Comma 26 2 2 5" xfId="21308"/>
    <cellStyle name="Comma 26 2 2 6" xfId="21309"/>
    <cellStyle name="Comma 26 2 2 7" xfId="21310"/>
    <cellStyle name="Comma 26 2 2_Sheet1" xfId="21311"/>
    <cellStyle name="Comma 26 2 3" xfId="21312"/>
    <cellStyle name="Comma 26 2 3 2" xfId="21313"/>
    <cellStyle name="Comma 26 2 3 3" xfId="21314"/>
    <cellStyle name="Comma 26 2 3 4" xfId="21315"/>
    <cellStyle name="Comma 26 2 3 5" xfId="21316"/>
    <cellStyle name="Comma 26 2 3 6" xfId="21317"/>
    <cellStyle name="Comma 26 2 3 7" xfId="21318"/>
    <cellStyle name="Comma 26 2 3_Sheet1" xfId="21319"/>
    <cellStyle name="Comma 26 2 4" xfId="21320"/>
    <cellStyle name="Comma 26 2 4 2" xfId="21321"/>
    <cellStyle name="Comma 26 2 4 3" xfId="21322"/>
    <cellStyle name="Comma 26 2 4 4" xfId="21323"/>
    <cellStyle name="Comma 26 2 4 5" xfId="21324"/>
    <cellStyle name="Comma 26 2 4 6" xfId="21325"/>
    <cellStyle name="Comma 26 2 4 7" xfId="21326"/>
    <cellStyle name="Comma 26 2 4_Sheet1" xfId="21327"/>
    <cellStyle name="Comma 26 2 5" xfId="21328"/>
    <cellStyle name="Comma 26 2 5 2" xfId="21329"/>
    <cellStyle name="Comma 26 2 5 3" xfId="21330"/>
    <cellStyle name="Comma 26 2 5 4" xfId="21331"/>
    <cellStyle name="Comma 26 2 5 5" xfId="21332"/>
    <cellStyle name="Comma 26 2 5 6" xfId="21333"/>
    <cellStyle name="Comma 26 2 5 7" xfId="21334"/>
    <cellStyle name="Comma 26 2 5_Sheet1" xfId="21335"/>
    <cellStyle name="Comma 26 2 6" xfId="21336"/>
    <cellStyle name="Comma 26 2 6 2" xfId="21337"/>
    <cellStyle name="Comma 26 2 6 3" xfId="21338"/>
    <cellStyle name="Comma 26 2 6 4" xfId="21339"/>
    <cellStyle name="Comma 26 2 6 5" xfId="21340"/>
    <cellStyle name="Comma 26 2 6 6" xfId="21341"/>
    <cellStyle name="Comma 26 2 6 7" xfId="21342"/>
    <cellStyle name="Comma 26 2 6_Sheet1" xfId="21343"/>
    <cellStyle name="Comma 26 2 7" xfId="21344"/>
    <cellStyle name="Comma 26 2 7 2" xfId="21345"/>
    <cellStyle name="Comma 26 2 7 3" xfId="21346"/>
    <cellStyle name="Comma 26 2 7 4" xfId="21347"/>
    <cellStyle name="Comma 26 2 7 5" xfId="21348"/>
    <cellStyle name="Comma 26 2 7 6" xfId="21349"/>
    <cellStyle name="Comma 26 2 7 7" xfId="21350"/>
    <cellStyle name="Comma 26 2 7_Sheet1" xfId="21351"/>
    <cellStyle name="Comma 26 2 8" xfId="21352"/>
    <cellStyle name="Comma 26 2 9" xfId="21353"/>
    <cellStyle name="Comma 26 2_Sheet1" xfId="21354"/>
    <cellStyle name="Comma 26 20" xfId="21355"/>
    <cellStyle name="Comma 26 20 2" xfId="21356"/>
    <cellStyle name="Comma 26 20 3" xfId="21357"/>
    <cellStyle name="Comma 26 20 4" xfId="21358"/>
    <cellStyle name="Comma 26 20 5" xfId="21359"/>
    <cellStyle name="Comma 26 20 6" xfId="21360"/>
    <cellStyle name="Comma 26 20 7" xfId="21361"/>
    <cellStyle name="Comma 26 20_Sheet1" xfId="21362"/>
    <cellStyle name="Comma 26 21" xfId="21363"/>
    <cellStyle name="Comma 26 21 2" xfId="21364"/>
    <cellStyle name="Comma 26 21 3" xfId="21365"/>
    <cellStyle name="Comma 26 21 4" xfId="21366"/>
    <cellStyle name="Comma 26 21 5" xfId="21367"/>
    <cellStyle name="Comma 26 21 6" xfId="21368"/>
    <cellStyle name="Comma 26 21 7" xfId="21369"/>
    <cellStyle name="Comma 26 21_Sheet1" xfId="21370"/>
    <cellStyle name="Comma 26 22" xfId="21371"/>
    <cellStyle name="Comma 26 22 2" xfId="21372"/>
    <cellStyle name="Comma 26 22 3" xfId="21373"/>
    <cellStyle name="Comma 26 22 4" xfId="21374"/>
    <cellStyle name="Comma 26 22 5" xfId="21375"/>
    <cellStyle name="Comma 26 22 6" xfId="21376"/>
    <cellStyle name="Comma 26 22 7" xfId="21377"/>
    <cellStyle name="Comma 26 22_Sheet1" xfId="21378"/>
    <cellStyle name="Comma 26 23" xfId="21379"/>
    <cellStyle name="Comma 26 23 2" xfId="21380"/>
    <cellStyle name="Comma 26 23 3" xfId="21381"/>
    <cellStyle name="Comma 26 23 4" xfId="21382"/>
    <cellStyle name="Comma 26 23 5" xfId="21383"/>
    <cellStyle name="Comma 26 23 6" xfId="21384"/>
    <cellStyle name="Comma 26 23 7" xfId="21385"/>
    <cellStyle name="Comma 26 23_Sheet1" xfId="21386"/>
    <cellStyle name="Comma 26 24" xfId="21387"/>
    <cellStyle name="Comma 26 24 2" xfId="21388"/>
    <cellStyle name="Comma 26 24 3" xfId="21389"/>
    <cellStyle name="Comma 26 24 4" xfId="21390"/>
    <cellStyle name="Comma 26 24 5" xfId="21391"/>
    <cellStyle name="Comma 26 24 6" xfId="21392"/>
    <cellStyle name="Comma 26 24 7" xfId="21393"/>
    <cellStyle name="Comma 26 24_Sheet1" xfId="21394"/>
    <cellStyle name="Comma 26 3" xfId="21395"/>
    <cellStyle name="Comma 26 3 2" xfId="21396"/>
    <cellStyle name="Comma 26 3 3" xfId="21397"/>
    <cellStyle name="Comma 26 3 4" xfId="21398"/>
    <cellStyle name="Comma 26 3 5" xfId="21399"/>
    <cellStyle name="Comma 26 3 6" xfId="21400"/>
    <cellStyle name="Comma 26 3 7" xfId="21401"/>
    <cellStyle name="Comma 26 3_Sheet1" xfId="21402"/>
    <cellStyle name="Comma 26 4" xfId="21403"/>
    <cellStyle name="Comma 26 4 2" xfId="21404"/>
    <cellStyle name="Comma 26 4 3" xfId="21405"/>
    <cellStyle name="Comma 26 4 4" xfId="21406"/>
    <cellStyle name="Comma 26 4 5" xfId="21407"/>
    <cellStyle name="Comma 26 4 6" xfId="21408"/>
    <cellStyle name="Comma 26 4 7" xfId="21409"/>
    <cellStyle name="Comma 26 4_Sheet1" xfId="21410"/>
    <cellStyle name="Comma 26 5" xfId="21411"/>
    <cellStyle name="Comma 26 5 2" xfId="21412"/>
    <cellStyle name="Comma 26 5 3" xfId="21413"/>
    <cellStyle name="Comma 26 5 4" xfId="21414"/>
    <cellStyle name="Comma 26 5 5" xfId="21415"/>
    <cellStyle name="Comma 26 5 6" xfId="21416"/>
    <cellStyle name="Comma 26 5 7" xfId="21417"/>
    <cellStyle name="Comma 26 5_Sheet1" xfId="21418"/>
    <cellStyle name="Comma 26 6" xfId="21419"/>
    <cellStyle name="Comma 26 6 2" xfId="21420"/>
    <cellStyle name="Comma 26 6 3" xfId="21421"/>
    <cellStyle name="Comma 26 6 4" xfId="21422"/>
    <cellStyle name="Comma 26 6 5" xfId="21423"/>
    <cellStyle name="Comma 26 6 6" xfId="21424"/>
    <cellStyle name="Comma 26 6 7" xfId="21425"/>
    <cellStyle name="Comma 26 6_Sheet1" xfId="21426"/>
    <cellStyle name="Comma 26 7" xfId="21427"/>
    <cellStyle name="Comma 26 7 2" xfId="21428"/>
    <cellStyle name="Comma 26 7 3" xfId="21429"/>
    <cellStyle name="Comma 26 7 4" xfId="21430"/>
    <cellStyle name="Comma 26 7 5" xfId="21431"/>
    <cellStyle name="Comma 26 7 6" xfId="21432"/>
    <cellStyle name="Comma 26 7 7" xfId="21433"/>
    <cellStyle name="Comma 26 7_Sheet1" xfId="21434"/>
    <cellStyle name="Comma 26 8" xfId="21435"/>
    <cellStyle name="Comma 26 8 2" xfId="21436"/>
    <cellStyle name="Comma 26 8 3" xfId="21437"/>
    <cellStyle name="Comma 26 8 4" xfId="21438"/>
    <cellStyle name="Comma 26 8 5" xfId="21439"/>
    <cellStyle name="Comma 26 8 6" xfId="21440"/>
    <cellStyle name="Comma 26 8 7" xfId="21441"/>
    <cellStyle name="Comma 26 8_Sheet1" xfId="21442"/>
    <cellStyle name="Comma 26 9" xfId="21443"/>
    <cellStyle name="Comma 26 9 2" xfId="21444"/>
    <cellStyle name="Comma 26 9 3" xfId="21445"/>
    <cellStyle name="Comma 26 9 4" xfId="21446"/>
    <cellStyle name="Comma 26 9 5" xfId="21447"/>
    <cellStyle name="Comma 26 9 6" xfId="21448"/>
    <cellStyle name="Comma 26 9 7" xfId="21449"/>
    <cellStyle name="Comma 26 9_Sheet1" xfId="21450"/>
    <cellStyle name="Comma 26_Sheet1" xfId="21451"/>
    <cellStyle name="Comma 260" xfId="21452"/>
    <cellStyle name="Comma 261" xfId="21453"/>
    <cellStyle name="Comma 262" xfId="21454"/>
    <cellStyle name="Comma 263" xfId="21455"/>
    <cellStyle name="Comma 264" xfId="21456"/>
    <cellStyle name="Comma 265" xfId="21457"/>
    <cellStyle name="Comma 266" xfId="21458"/>
    <cellStyle name="Comma 267" xfId="21459"/>
    <cellStyle name="Comma 268" xfId="21460"/>
    <cellStyle name="Comma 269" xfId="21461"/>
    <cellStyle name="Comma 27" xfId="21462"/>
    <cellStyle name="Comma 27 10" xfId="21463"/>
    <cellStyle name="Comma 27 10 2" xfId="21464"/>
    <cellStyle name="Comma 27 10 3" xfId="21465"/>
    <cellStyle name="Comma 27 10 4" xfId="21466"/>
    <cellStyle name="Comma 27 10 5" xfId="21467"/>
    <cellStyle name="Comma 27 10 6" xfId="21468"/>
    <cellStyle name="Comma 27 10 7" xfId="21469"/>
    <cellStyle name="Comma 27 10_Sheet1" xfId="21470"/>
    <cellStyle name="Comma 27 11" xfId="21471"/>
    <cellStyle name="Comma 27 11 2" xfId="21472"/>
    <cellStyle name="Comma 27 11 3" xfId="21473"/>
    <cellStyle name="Comma 27 11 4" xfId="21474"/>
    <cellStyle name="Comma 27 11 5" xfId="21475"/>
    <cellStyle name="Comma 27 11 6" xfId="21476"/>
    <cellStyle name="Comma 27 11 7" xfId="21477"/>
    <cellStyle name="Comma 27 11_Sheet1" xfId="21478"/>
    <cellStyle name="Comma 27 12" xfId="21479"/>
    <cellStyle name="Comma 27 12 2" xfId="21480"/>
    <cellStyle name="Comma 27 12 3" xfId="21481"/>
    <cellStyle name="Comma 27 12 4" xfId="21482"/>
    <cellStyle name="Comma 27 12 5" xfId="21483"/>
    <cellStyle name="Comma 27 12 6" xfId="21484"/>
    <cellStyle name="Comma 27 12 7" xfId="21485"/>
    <cellStyle name="Comma 27 12_Sheet1" xfId="21486"/>
    <cellStyle name="Comma 27 13" xfId="21487"/>
    <cellStyle name="Comma 27 13 2" xfId="21488"/>
    <cellStyle name="Comma 27 13 3" xfId="21489"/>
    <cellStyle name="Comma 27 13 4" xfId="21490"/>
    <cellStyle name="Comma 27 13 5" xfId="21491"/>
    <cellStyle name="Comma 27 13 6" xfId="21492"/>
    <cellStyle name="Comma 27 13 7" xfId="21493"/>
    <cellStyle name="Comma 27 13_Sheet1" xfId="21494"/>
    <cellStyle name="Comma 27 14" xfId="21495"/>
    <cellStyle name="Comma 27 14 2" xfId="21496"/>
    <cellStyle name="Comma 27 14 3" xfId="21497"/>
    <cellStyle name="Comma 27 14 4" xfId="21498"/>
    <cellStyle name="Comma 27 14 5" xfId="21499"/>
    <cellStyle name="Comma 27 14 6" xfId="21500"/>
    <cellStyle name="Comma 27 14 7" xfId="21501"/>
    <cellStyle name="Comma 27 14_Sheet1" xfId="21502"/>
    <cellStyle name="Comma 27 15" xfId="21503"/>
    <cellStyle name="Comma 27 15 2" xfId="21504"/>
    <cellStyle name="Comma 27 15 3" xfId="21505"/>
    <cellStyle name="Comma 27 15 4" xfId="21506"/>
    <cellStyle name="Comma 27 15 5" xfId="21507"/>
    <cellStyle name="Comma 27 15 6" xfId="21508"/>
    <cellStyle name="Comma 27 15 7" xfId="21509"/>
    <cellStyle name="Comma 27 15_Sheet1" xfId="21510"/>
    <cellStyle name="Comma 27 16" xfId="21511"/>
    <cellStyle name="Comma 27 16 2" xfId="21512"/>
    <cellStyle name="Comma 27 16 3" xfId="21513"/>
    <cellStyle name="Comma 27 16 4" xfId="21514"/>
    <cellStyle name="Comma 27 16 5" xfId="21515"/>
    <cellStyle name="Comma 27 16 6" xfId="21516"/>
    <cellStyle name="Comma 27 16 7" xfId="21517"/>
    <cellStyle name="Comma 27 16_Sheet1" xfId="21518"/>
    <cellStyle name="Comma 27 17" xfId="21519"/>
    <cellStyle name="Comma 27 17 2" xfId="21520"/>
    <cellStyle name="Comma 27 17 3" xfId="21521"/>
    <cellStyle name="Comma 27 17 4" xfId="21522"/>
    <cellStyle name="Comma 27 17 5" xfId="21523"/>
    <cellStyle name="Comma 27 17 6" xfId="21524"/>
    <cellStyle name="Comma 27 17 7" xfId="21525"/>
    <cellStyle name="Comma 27 17_Sheet1" xfId="21526"/>
    <cellStyle name="Comma 27 18" xfId="21527"/>
    <cellStyle name="Comma 27 18 2" xfId="21528"/>
    <cellStyle name="Comma 27 18 3" xfId="21529"/>
    <cellStyle name="Comma 27 18 4" xfId="21530"/>
    <cellStyle name="Comma 27 18 5" xfId="21531"/>
    <cellStyle name="Comma 27 18 6" xfId="21532"/>
    <cellStyle name="Comma 27 18 7" xfId="21533"/>
    <cellStyle name="Comma 27 18_Sheet1" xfId="21534"/>
    <cellStyle name="Comma 27 19" xfId="21535"/>
    <cellStyle name="Comma 27 19 2" xfId="21536"/>
    <cellStyle name="Comma 27 19 3" xfId="21537"/>
    <cellStyle name="Comma 27 19 4" xfId="21538"/>
    <cellStyle name="Comma 27 19 5" xfId="21539"/>
    <cellStyle name="Comma 27 19 6" xfId="21540"/>
    <cellStyle name="Comma 27 19 7" xfId="21541"/>
    <cellStyle name="Comma 27 19_Sheet1" xfId="21542"/>
    <cellStyle name="Comma 27 2" xfId="21543"/>
    <cellStyle name="Comma 27 2 2" xfId="21544"/>
    <cellStyle name="Comma 27 2 3" xfId="21545"/>
    <cellStyle name="Comma 27 2 4" xfId="21546"/>
    <cellStyle name="Comma 27 2 5" xfId="21547"/>
    <cellStyle name="Comma 27 2 6" xfId="21548"/>
    <cellStyle name="Comma 27 2 7" xfId="21549"/>
    <cellStyle name="Comma 27 2_Sheet1" xfId="21550"/>
    <cellStyle name="Comma 27 20" xfId="21551"/>
    <cellStyle name="Comma 27 20 2" xfId="21552"/>
    <cellStyle name="Comma 27 20 3" xfId="21553"/>
    <cellStyle name="Comma 27 20 4" xfId="21554"/>
    <cellStyle name="Comma 27 20 5" xfId="21555"/>
    <cellStyle name="Comma 27 20 6" xfId="21556"/>
    <cellStyle name="Comma 27 20 7" xfId="21557"/>
    <cellStyle name="Comma 27 20_Sheet1" xfId="21558"/>
    <cellStyle name="Comma 27 21" xfId="21559"/>
    <cellStyle name="Comma 27 21 2" xfId="21560"/>
    <cellStyle name="Comma 27 21 3" xfId="21561"/>
    <cellStyle name="Comma 27 21 4" xfId="21562"/>
    <cellStyle name="Comma 27 21 5" xfId="21563"/>
    <cellStyle name="Comma 27 21 6" xfId="21564"/>
    <cellStyle name="Comma 27 21 7" xfId="21565"/>
    <cellStyle name="Comma 27 21_Sheet1" xfId="21566"/>
    <cellStyle name="Comma 27 22" xfId="21567"/>
    <cellStyle name="Comma 27 22 2" xfId="21568"/>
    <cellStyle name="Comma 27 22 3" xfId="21569"/>
    <cellStyle name="Comma 27 22 4" xfId="21570"/>
    <cellStyle name="Comma 27 22 5" xfId="21571"/>
    <cellStyle name="Comma 27 22 6" xfId="21572"/>
    <cellStyle name="Comma 27 22 7" xfId="21573"/>
    <cellStyle name="Comma 27 22_Sheet1" xfId="21574"/>
    <cellStyle name="Comma 27 23" xfId="21575"/>
    <cellStyle name="Comma 27 23 2" xfId="21576"/>
    <cellStyle name="Comma 27 23 3" xfId="21577"/>
    <cellStyle name="Comma 27 23 4" xfId="21578"/>
    <cellStyle name="Comma 27 23 5" xfId="21579"/>
    <cellStyle name="Comma 27 23 6" xfId="21580"/>
    <cellStyle name="Comma 27 23 7" xfId="21581"/>
    <cellStyle name="Comma 27 23_Sheet1" xfId="21582"/>
    <cellStyle name="Comma 27 24" xfId="21583"/>
    <cellStyle name="Comma 27 24 2" xfId="21584"/>
    <cellStyle name="Comma 27 24 3" xfId="21585"/>
    <cellStyle name="Comma 27 24 4" xfId="21586"/>
    <cellStyle name="Comma 27 24 5" xfId="21587"/>
    <cellStyle name="Comma 27 24 6" xfId="21588"/>
    <cellStyle name="Comma 27 24 7" xfId="21589"/>
    <cellStyle name="Comma 27 24_Sheet1" xfId="21590"/>
    <cellStyle name="Comma 27 25" xfId="21591"/>
    <cellStyle name="Comma 27 26" xfId="21592"/>
    <cellStyle name="Comma 27 27" xfId="21593"/>
    <cellStyle name="Comma 27 28" xfId="21594"/>
    <cellStyle name="Comma 27 29" xfId="21595"/>
    <cellStyle name="Comma 27 3" xfId="21596"/>
    <cellStyle name="Comma 27 3 2" xfId="21597"/>
    <cellStyle name="Comma 27 3 3" xfId="21598"/>
    <cellStyle name="Comma 27 3 4" xfId="21599"/>
    <cellStyle name="Comma 27 3 5" xfId="21600"/>
    <cellStyle name="Comma 27 3 6" xfId="21601"/>
    <cellStyle name="Comma 27 3 7" xfId="21602"/>
    <cellStyle name="Comma 27 3_Sheet1" xfId="21603"/>
    <cellStyle name="Comma 27 30" xfId="21604"/>
    <cellStyle name="Comma 27 4" xfId="21605"/>
    <cellStyle name="Comma 27 4 2" xfId="21606"/>
    <cellStyle name="Comma 27 4 3" xfId="21607"/>
    <cellStyle name="Comma 27 4 4" xfId="21608"/>
    <cellStyle name="Comma 27 4 5" xfId="21609"/>
    <cellStyle name="Comma 27 4 6" xfId="21610"/>
    <cellStyle name="Comma 27 4 7" xfId="21611"/>
    <cellStyle name="Comma 27 4_Sheet1" xfId="21612"/>
    <cellStyle name="Comma 27 5" xfId="21613"/>
    <cellStyle name="Comma 27 5 2" xfId="21614"/>
    <cellStyle name="Comma 27 5 3" xfId="21615"/>
    <cellStyle name="Comma 27 5 4" xfId="21616"/>
    <cellStyle name="Comma 27 5 5" xfId="21617"/>
    <cellStyle name="Comma 27 5 6" xfId="21618"/>
    <cellStyle name="Comma 27 5 7" xfId="21619"/>
    <cellStyle name="Comma 27 5_Sheet1" xfId="21620"/>
    <cellStyle name="Comma 27 6" xfId="21621"/>
    <cellStyle name="Comma 27 6 2" xfId="21622"/>
    <cellStyle name="Comma 27 6 3" xfId="21623"/>
    <cellStyle name="Comma 27 6 4" xfId="21624"/>
    <cellStyle name="Comma 27 6 5" xfId="21625"/>
    <cellStyle name="Comma 27 6 6" xfId="21626"/>
    <cellStyle name="Comma 27 6 7" xfId="21627"/>
    <cellStyle name="Comma 27 6_Sheet1" xfId="21628"/>
    <cellStyle name="Comma 27 7" xfId="21629"/>
    <cellStyle name="Comma 27 7 2" xfId="21630"/>
    <cellStyle name="Comma 27 7 3" xfId="21631"/>
    <cellStyle name="Comma 27 7 4" xfId="21632"/>
    <cellStyle name="Comma 27 7 5" xfId="21633"/>
    <cellStyle name="Comma 27 7 6" xfId="21634"/>
    <cellStyle name="Comma 27 7 7" xfId="21635"/>
    <cellStyle name="Comma 27 7_Sheet1" xfId="21636"/>
    <cellStyle name="Comma 27 8" xfId="21637"/>
    <cellStyle name="Comma 27 8 2" xfId="21638"/>
    <cellStyle name="Comma 27 8 3" xfId="21639"/>
    <cellStyle name="Comma 27 8 4" xfId="21640"/>
    <cellStyle name="Comma 27 8 5" xfId="21641"/>
    <cellStyle name="Comma 27 8 6" xfId="21642"/>
    <cellStyle name="Comma 27 8 7" xfId="21643"/>
    <cellStyle name="Comma 27 8_Sheet1" xfId="21644"/>
    <cellStyle name="Comma 27 9" xfId="21645"/>
    <cellStyle name="Comma 27 9 2" xfId="21646"/>
    <cellStyle name="Comma 27 9 3" xfId="21647"/>
    <cellStyle name="Comma 27 9 4" xfId="21648"/>
    <cellStyle name="Comma 27 9 5" xfId="21649"/>
    <cellStyle name="Comma 27 9 6" xfId="21650"/>
    <cellStyle name="Comma 27 9 7" xfId="21651"/>
    <cellStyle name="Comma 27 9_Sheet1" xfId="21652"/>
    <cellStyle name="Comma 27_Sheet1" xfId="21653"/>
    <cellStyle name="Comma 270" xfId="21654"/>
    <cellStyle name="Comma 271" xfId="21655"/>
    <cellStyle name="Comma 272" xfId="21656"/>
    <cellStyle name="Comma 273" xfId="21657"/>
    <cellStyle name="Comma 274" xfId="21658"/>
    <cellStyle name="Comma 275" xfId="21659"/>
    <cellStyle name="Comma 276" xfId="21660"/>
    <cellStyle name="Comma 277" xfId="21661"/>
    <cellStyle name="Comma 278" xfId="21662"/>
    <cellStyle name="Comma 279" xfId="21663"/>
    <cellStyle name="Comma 28" xfId="21664"/>
    <cellStyle name="Comma 28 2" xfId="21665"/>
    <cellStyle name="Comma 28 3" xfId="21666"/>
    <cellStyle name="Comma 28 4" xfId="21667"/>
    <cellStyle name="Comma 28 5" xfId="21668"/>
    <cellStyle name="Comma 28 6" xfId="21669"/>
    <cellStyle name="Comma 28_Sheet1" xfId="21670"/>
    <cellStyle name="Comma 280" xfId="21671"/>
    <cellStyle name="Comma 281" xfId="21672"/>
    <cellStyle name="Comma 282" xfId="21673"/>
    <cellStyle name="Comma 283" xfId="21674"/>
    <cellStyle name="Comma 284" xfId="21675"/>
    <cellStyle name="Comma 285" xfId="21676"/>
    <cellStyle name="Comma 286" xfId="21677"/>
    <cellStyle name="Comma 287" xfId="21678"/>
    <cellStyle name="Comma 288" xfId="21679"/>
    <cellStyle name="Comma 289" xfId="21680"/>
    <cellStyle name="Comma 29" xfId="21681"/>
    <cellStyle name="Comma 29 2" xfId="21682"/>
    <cellStyle name="Comma 29 3" xfId="21683"/>
    <cellStyle name="Comma 29 4" xfId="21684"/>
    <cellStyle name="Comma 29 5" xfId="21685"/>
    <cellStyle name="Comma 29 6" xfId="21686"/>
    <cellStyle name="Comma 29_Sheet1" xfId="21687"/>
    <cellStyle name="Comma 290" xfId="21688"/>
    <cellStyle name="Comma 291" xfId="21689"/>
    <cellStyle name="Comma 292" xfId="21690"/>
    <cellStyle name="Comma 3" xfId="21691"/>
    <cellStyle name="Comma 3 10" xfId="21692"/>
    <cellStyle name="Comma 3 10 2" xfId="21693"/>
    <cellStyle name="Comma 3 10 3" xfId="21694"/>
    <cellStyle name="Comma 3 10 4" xfId="21695"/>
    <cellStyle name="Comma 3 10 5" xfId="21696"/>
    <cellStyle name="Comma 3 10 6" xfId="21697"/>
    <cellStyle name="Comma 3 10 7" xfId="21698"/>
    <cellStyle name="Comma 3 10_Sheet1" xfId="21699"/>
    <cellStyle name="Comma 3 11" xfId="21700"/>
    <cellStyle name="Comma 3 11 2" xfId="21701"/>
    <cellStyle name="Comma 3 11 3" xfId="21702"/>
    <cellStyle name="Comma 3 11 4" xfId="21703"/>
    <cellStyle name="Comma 3 11 5" xfId="21704"/>
    <cellStyle name="Comma 3 11 6" xfId="21705"/>
    <cellStyle name="Comma 3 11 7" xfId="21706"/>
    <cellStyle name="Comma 3 11_Sheet1" xfId="21707"/>
    <cellStyle name="Comma 3 12" xfId="21708"/>
    <cellStyle name="Comma 3 12 2" xfId="21709"/>
    <cellStyle name="Comma 3 12 3" xfId="21710"/>
    <cellStyle name="Comma 3 12 4" xfId="21711"/>
    <cellStyle name="Comma 3 12 5" xfId="21712"/>
    <cellStyle name="Comma 3 12 6" xfId="21713"/>
    <cellStyle name="Comma 3 12 7" xfId="21714"/>
    <cellStyle name="Comma 3 12_Sheet1" xfId="21715"/>
    <cellStyle name="Comma 3 13" xfId="21716"/>
    <cellStyle name="Comma 3 13 2" xfId="21717"/>
    <cellStyle name="Comma 3 13 3" xfId="21718"/>
    <cellStyle name="Comma 3 13 4" xfId="21719"/>
    <cellStyle name="Comma 3 13 5" xfId="21720"/>
    <cellStyle name="Comma 3 13 6" xfId="21721"/>
    <cellStyle name="Comma 3 13 7" xfId="21722"/>
    <cellStyle name="Comma 3 13_Sheet1" xfId="21723"/>
    <cellStyle name="Comma 3 14" xfId="21724"/>
    <cellStyle name="Comma 3 14 2" xfId="21725"/>
    <cellStyle name="Comma 3 14 3" xfId="21726"/>
    <cellStyle name="Comma 3 14 4" xfId="21727"/>
    <cellStyle name="Comma 3 14 5" xfId="21728"/>
    <cellStyle name="Comma 3 14 6" xfId="21729"/>
    <cellStyle name="Comma 3 14 7" xfId="21730"/>
    <cellStyle name="Comma 3 14_Sheet1" xfId="21731"/>
    <cellStyle name="Comma 3 15" xfId="21732"/>
    <cellStyle name="Comma 3 15 2" xfId="21733"/>
    <cellStyle name="Comma 3 15 3" xfId="21734"/>
    <cellStyle name="Comma 3 15 4" xfId="21735"/>
    <cellStyle name="Comma 3 15 5" xfId="21736"/>
    <cellStyle name="Comma 3 15 6" xfId="21737"/>
    <cellStyle name="Comma 3 15 7" xfId="21738"/>
    <cellStyle name="Comma 3 15_Sheet1" xfId="21739"/>
    <cellStyle name="Comma 3 16" xfId="21740"/>
    <cellStyle name="Comma 3 16 2" xfId="21741"/>
    <cellStyle name="Comma 3 16 3" xfId="21742"/>
    <cellStyle name="Comma 3 16 4" xfId="21743"/>
    <cellStyle name="Comma 3 16 5" xfId="21744"/>
    <cellStyle name="Comma 3 16 6" xfId="21745"/>
    <cellStyle name="Comma 3 16 7" xfId="21746"/>
    <cellStyle name="Comma 3 16_Sheet1" xfId="21747"/>
    <cellStyle name="Comma 3 17" xfId="21748"/>
    <cellStyle name="Comma 3 17 2" xfId="21749"/>
    <cellStyle name="Comma 3 17 3" xfId="21750"/>
    <cellStyle name="Comma 3 17 4" xfId="21751"/>
    <cellStyle name="Comma 3 17 5" xfId="21752"/>
    <cellStyle name="Comma 3 17 6" xfId="21753"/>
    <cellStyle name="Comma 3 17 7" xfId="21754"/>
    <cellStyle name="Comma 3 17_Sheet1" xfId="21755"/>
    <cellStyle name="Comma 3 18" xfId="21756"/>
    <cellStyle name="Comma 3 18 2" xfId="21757"/>
    <cellStyle name="Comma 3 18 3" xfId="21758"/>
    <cellStyle name="Comma 3 18 4" xfId="21759"/>
    <cellStyle name="Comma 3 18 5" xfId="21760"/>
    <cellStyle name="Comma 3 18 6" xfId="21761"/>
    <cellStyle name="Comma 3 18 7" xfId="21762"/>
    <cellStyle name="Comma 3 18_Sheet1" xfId="21763"/>
    <cellStyle name="Comma 3 19" xfId="21764"/>
    <cellStyle name="Comma 3 19 2" xfId="21765"/>
    <cellStyle name="Comma 3 19 3" xfId="21766"/>
    <cellStyle name="Comma 3 19 4" xfId="21767"/>
    <cellStyle name="Comma 3 19 5" xfId="21768"/>
    <cellStyle name="Comma 3 19 6" xfId="21769"/>
    <cellStyle name="Comma 3 19 7" xfId="21770"/>
    <cellStyle name="Comma 3 19_Sheet1" xfId="21771"/>
    <cellStyle name="Comma 3 2" xfId="21772"/>
    <cellStyle name="Comma 3 2 10" xfId="21773"/>
    <cellStyle name="Comma 3 2 10 2" xfId="21774"/>
    <cellStyle name="Comma 3 2 10 3" xfId="21775"/>
    <cellStyle name="Comma 3 2 10 4" xfId="21776"/>
    <cellStyle name="Comma 3 2 10 5" xfId="21777"/>
    <cellStyle name="Comma 3 2 10 6" xfId="21778"/>
    <cellStyle name="Comma 3 2 10 7" xfId="21779"/>
    <cellStyle name="Comma 3 2 10_Sheet1" xfId="21780"/>
    <cellStyle name="Comma 3 2 11" xfId="21781"/>
    <cellStyle name="Comma 3 2 11 2" xfId="21782"/>
    <cellStyle name="Comma 3 2 11 3" xfId="21783"/>
    <cellStyle name="Comma 3 2 11 4" xfId="21784"/>
    <cellStyle name="Comma 3 2 11 5" xfId="21785"/>
    <cellStyle name="Comma 3 2 11 6" xfId="21786"/>
    <cellStyle name="Comma 3 2 11 7" xfId="21787"/>
    <cellStyle name="Comma 3 2 11_Sheet1" xfId="21788"/>
    <cellStyle name="Comma 3 2 12" xfId="21789"/>
    <cellStyle name="Comma 3 2 12 2" xfId="21790"/>
    <cellStyle name="Comma 3 2 12 3" xfId="21791"/>
    <cellStyle name="Comma 3 2 12 4" xfId="21792"/>
    <cellStyle name="Comma 3 2 12 5" xfId="21793"/>
    <cellStyle name="Comma 3 2 12 6" xfId="21794"/>
    <cellStyle name="Comma 3 2 12 7" xfId="21795"/>
    <cellStyle name="Comma 3 2 12_Sheet1" xfId="21796"/>
    <cellStyle name="Comma 3 2 13" xfId="21797"/>
    <cellStyle name="Comma 3 2 13 2" xfId="21798"/>
    <cellStyle name="Comma 3 2 13 3" xfId="21799"/>
    <cellStyle name="Comma 3 2 13 4" xfId="21800"/>
    <cellStyle name="Comma 3 2 13 5" xfId="21801"/>
    <cellStyle name="Comma 3 2 13 6" xfId="21802"/>
    <cellStyle name="Comma 3 2 13 7" xfId="21803"/>
    <cellStyle name="Comma 3 2 13_Sheet1" xfId="21804"/>
    <cellStyle name="Comma 3 2 14" xfId="21805"/>
    <cellStyle name="Comma 3 2 14 2" xfId="21806"/>
    <cellStyle name="Comma 3 2 14 3" xfId="21807"/>
    <cellStyle name="Comma 3 2 14 4" xfId="21808"/>
    <cellStyle name="Comma 3 2 14 5" xfId="21809"/>
    <cellStyle name="Comma 3 2 14 6" xfId="21810"/>
    <cellStyle name="Comma 3 2 14 7" xfId="21811"/>
    <cellStyle name="Comma 3 2 14_Sheet1" xfId="21812"/>
    <cellStyle name="Comma 3 2 15" xfId="21813"/>
    <cellStyle name="Comma 3 2 15 2" xfId="21814"/>
    <cellStyle name="Comma 3 2 15 3" xfId="21815"/>
    <cellStyle name="Comma 3 2 15 4" xfId="21816"/>
    <cellStyle name="Comma 3 2 15 5" xfId="21817"/>
    <cellStyle name="Comma 3 2 15 6" xfId="21818"/>
    <cellStyle name="Comma 3 2 15 7" xfId="21819"/>
    <cellStyle name="Comma 3 2 15_Sheet1" xfId="21820"/>
    <cellStyle name="Comma 3 2 16" xfId="21821"/>
    <cellStyle name="Comma 3 2 16 2" xfId="21822"/>
    <cellStyle name="Comma 3 2 16 3" xfId="21823"/>
    <cellStyle name="Comma 3 2 16 4" xfId="21824"/>
    <cellStyle name="Comma 3 2 16 5" xfId="21825"/>
    <cellStyle name="Comma 3 2 16 6" xfId="21826"/>
    <cellStyle name="Comma 3 2 16 7" xfId="21827"/>
    <cellStyle name="Comma 3 2 16_Sheet1" xfId="21828"/>
    <cellStyle name="Comma 3 2 17" xfId="21829"/>
    <cellStyle name="Comma 3 2 17 2" xfId="21830"/>
    <cellStyle name="Comma 3 2 17 3" xfId="21831"/>
    <cellStyle name="Comma 3 2 17 4" xfId="21832"/>
    <cellStyle name="Comma 3 2 17 5" xfId="21833"/>
    <cellStyle name="Comma 3 2 17 6" xfId="21834"/>
    <cellStyle name="Comma 3 2 17 7" xfId="21835"/>
    <cellStyle name="Comma 3 2 17_Sheet1" xfId="21836"/>
    <cellStyle name="Comma 3 2 18" xfId="21837"/>
    <cellStyle name="Comma 3 2 19" xfId="21838"/>
    <cellStyle name="Comma 3 2 2" xfId="21839"/>
    <cellStyle name="Comma 3 2 2 10" xfId="21840"/>
    <cellStyle name="Comma 3 2 2 10 2" xfId="21841"/>
    <cellStyle name="Comma 3 2 2 10 3" xfId="21842"/>
    <cellStyle name="Comma 3 2 2 10 4" xfId="21843"/>
    <cellStyle name="Comma 3 2 2 10 5" xfId="21844"/>
    <cellStyle name="Comma 3 2 2 10 6" xfId="21845"/>
    <cellStyle name="Comma 3 2 2 10 7" xfId="21846"/>
    <cellStyle name="Comma 3 2 2 10_Sheet1" xfId="21847"/>
    <cellStyle name="Comma 3 2 2 11" xfId="21848"/>
    <cellStyle name="Comma 3 2 2 11 2" xfId="21849"/>
    <cellStyle name="Comma 3 2 2 11 3" xfId="21850"/>
    <cellStyle name="Comma 3 2 2 11 4" xfId="21851"/>
    <cellStyle name="Comma 3 2 2 11 5" xfId="21852"/>
    <cellStyle name="Comma 3 2 2 11 6" xfId="21853"/>
    <cellStyle name="Comma 3 2 2 11 7" xfId="21854"/>
    <cellStyle name="Comma 3 2 2 11_Sheet1" xfId="21855"/>
    <cellStyle name="Comma 3 2 2 12" xfId="21856"/>
    <cellStyle name="Comma 3 2 2 12 2" xfId="21857"/>
    <cellStyle name="Comma 3 2 2 12 3" xfId="21858"/>
    <cellStyle name="Comma 3 2 2 12 4" xfId="21859"/>
    <cellStyle name="Comma 3 2 2 12 5" xfId="21860"/>
    <cellStyle name="Comma 3 2 2 12 6" xfId="21861"/>
    <cellStyle name="Comma 3 2 2 12 7" xfId="21862"/>
    <cellStyle name="Comma 3 2 2 12_Sheet1" xfId="21863"/>
    <cellStyle name="Comma 3 2 2 13" xfId="21864"/>
    <cellStyle name="Comma 3 2 2 13 2" xfId="21865"/>
    <cellStyle name="Comma 3 2 2 13 3" xfId="21866"/>
    <cellStyle name="Comma 3 2 2 13 4" xfId="21867"/>
    <cellStyle name="Comma 3 2 2 13 5" xfId="21868"/>
    <cellStyle name="Comma 3 2 2 13 6" xfId="21869"/>
    <cellStyle name="Comma 3 2 2 13 7" xfId="21870"/>
    <cellStyle name="Comma 3 2 2 13_Sheet1" xfId="21871"/>
    <cellStyle name="Comma 3 2 2 14" xfId="21872"/>
    <cellStyle name="Comma 3 2 2 14 2" xfId="21873"/>
    <cellStyle name="Comma 3 2 2 14 3" xfId="21874"/>
    <cellStyle name="Comma 3 2 2 14 4" xfId="21875"/>
    <cellStyle name="Comma 3 2 2 14 5" xfId="21876"/>
    <cellStyle name="Comma 3 2 2 14 6" xfId="21877"/>
    <cellStyle name="Comma 3 2 2 14 7" xfId="21878"/>
    <cellStyle name="Comma 3 2 2 14_Sheet1" xfId="21879"/>
    <cellStyle name="Comma 3 2 2 2" xfId="21880"/>
    <cellStyle name="Comma 3 2 2 2 2" xfId="21881"/>
    <cellStyle name="Comma 3 2 2 2 2 2" xfId="21882"/>
    <cellStyle name="Comma 3 2 2 2 2_Sheet1" xfId="21883"/>
    <cellStyle name="Comma 3 2 2 2 3" xfId="21884"/>
    <cellStyle name="Comma 3 2 2 2 4" xfId="21885"/>
    <cellStyle name="Comma 3 2 2 2 5" xfId="21886"/>
    <cellStyle name="Comma 3 2 2 2 6" xfId="21887"/>
    <cellStyle name="Comma 3 2 2 2 7" xfId="21888"/>
    <cellStyle name="Comma 3 2 2 2_Sheet1" xfId="21889"/>
    <cellStyle name="Comma 3 2 2 3" xfId="21890"/>
    <cellStyle name="Comma 3 2 2 3 2" xfId="21891"/>
    <cellStyle name="Comma 3 2 2 3 3" xfId="21892"/>
    <cellStyle name="Comma 3 2 2 3 4" xfId="21893"/>
    <cellStyle name="Comma 3 2 2 3 5" xfId="21894"/>
    <cellStyle name="Comma 3 2 2 3 6" xfId="21895"/>
    <cellStyle name="Comma 3 2 2 3 7" xfId="21896"/>
    <cellStyle name="Comma 3 2 2 3_Sheet1" xfId="21897"/>
    <cellStyle name="Comma 3 2 2 4" xfId="21898"/>
    <cellStyle name="Comma 3 2 2 4 2" xfId="21899"/>
    <cellStyle name="Comma 3 2 2 4 3" xfId="21900"/>
    <cellStyle name="Comma 3 2 2 4 4" xfId="21901"/>
    <cellStyle name="Comma 3 2 2 4 5" xfId="21902"/>
    <cellStyle name="Comma 3 2 2 4 6" xfId="21903"/>
    <cellStyle name="Comma 3 2 2 4 7" xfId="21904"/>
    <cellStyle name="Comma 3 2 2 4_Sheet1" xfId="21905"/>
    <cellStyle name="Comma 3 2 2 5" xfId="21906"/>
    <cellStyle name="Comma 3 2 2 5 2" xfId="21907"/>
    <cellStyle name="Comma 3 2 2 5 3" xfId="21908"/>
    <cellStyle name="Comma 3 2 2 5 4" xfId="21909"/>
    <cellStyle name="Comma 3 2 2 5 5" xfId="21910"/>
    <cellStyle name="Comma 3 2 2 5 6" xfId="21911"/>
    <cellStyle name="Comma 3 2 2 5 7" xfId="21912"/>
    <cellStyle name="Comma 3 2 2 5_Sheet1" xfId="21913"/>
    <cellStyle name="Comma 3 2 2 6" xfId="21914"/>
    <cellStyle name="Comma 3 2 2 6 2" xfId="21915"/>
    <cellStyle name="Comma 3 2 2 6 3" xfId="21916"/>
    <cellStyle name="Comma 3 2 2 6 4" xfId="21917"/>
    <cellStyle name="Comma 3 2 2 6 5" xfId="21918"/>
    <cellStyle name="Comma 3 2 2 6 6" xfId="21919"/>
    <cellStyle name="Comma 3 2 2 6 7" xfId="21920"/>
    <cellStyle name="Comma 3 2 2 6_Sheet1" xfId="21921"/>
    <cellStyle name="Comma 3 2 2 7" xfId="21922"/>
    <cellStyle name="Comma 3 2 2 7 2" xfId="21923"/>
    <cellStyle name="Comma 3 2 2 7 3" xfId="21924"/>
    <cellStyle name="Comma 3 2 2 7 4" xfId="21925"/>
    <cellStyle name="Comma 3 2 2 7 5" xfId="21926"/>
    <cellStyle name="Comma 3 2 2 7 6" xfId="21927"/>
    <cellStyle name="Comma 3 2 2 7 7" xfId="21928"/>
    <cellStyle name="Comma 3 2 2 7_Sheet1" xfId="21929"/>
    <cellStyle name="Comma 3 2 2 8" xfId="21930"/>
    <cellStyle name="Comma 3 2 2 8 2" xfId="21931"/>
    <cellStyle name="Comma 3 2 2 8 3" xfId="21932"/>
    <cellStyle name="Comma 3 2 2 8 4" xfId="21933"/>
    <cellStyle name="Comma 3 2 2 8 5" xfId="21934"/>
    <cellStyle name="Comma 3 2 2 8 6" xfId="21935"/>
    <cellStyle name="Comma 3 2 2 8 7" xfId="21936"/>
    <cellStyle name="Comma 3 2 2 8_Sheet1" xfId="21937"/>
    <cellStyle name="Comma 3 2 2 9" xfId="21938"/>
    <cellStyle name="Comma 3 2 2 9 2" xfId="21939"/>
    <cellStyle name="Comma 3 2 2 9 3" xfId="21940"/>
    <cellStyle name="Comma 3 2 2 9 4" xfId="21941"/>
    <cellStyle name="Comma 3 2 2 9 5" xfId="21942"/>
    <cellStyle name="Comma 3 2 2 9 6" xfId="21943"/>
    <cellStyle name="Comma 3 2 2 9 7" xfId="21944"/>
    <cellStyle name="Comma 3 2 2 9_Sheet1" xfId="21945"/>
    <cellStyle name="Comma 3 2 2_Sheet1" xfId="21946"/>
    <cellStyle name="Comma 3 2 20" xfId="21947"/>
    <cellStyle name="Comma 3 2 21" xfId="21948"/>
    <cellStyle name="Comma 3 2 22" xfId="21949"/>
    <cellStyle name="Comma 3 2 23" xfId="21950"/>
    <cellStyle name="Comma 3 2 24" xfId="21951"/>
    <cellStyle name="Comma 3 2 25" xfId="21952"/>
    <cellStyle name="Comma 3 2 26" xfId="21953"/>
    <cellStyle name="Comma 3 2 27" xfId="21954"/>
    <cellStyle name="Comma 3 2 28" xfId="21955"/>
    <cellStyle name="Comma 3 2 29" xfId="21956"/>
    <cellStyle name="Comma 3 2 3" xfId="21957"/>
    <cellStyle name="Comma 3 2 3 10" xfId="21958"/>
    <cellStyle name="Comma 3 2 3 10 2" xfId="21959"/>
    <cellStyle name="Comma 3 2 3 10 3" xfId="21960"/>
    <cellStyle name="Comma 3 2 3 10 4" xfId="21961"/>
    <cellStyle name="Comma 3 2 3 10 5" xfId="21962"/>
    <cellStyle name="Comma 3 2 3 10 6" xfId="21963"/>
    <cellStyle name="Comma 3 2 3 10 7" xfId="21964"/>
    <cellStyle name="Comma 3 2 3 10_Sheet1" xfId="21965"/>
    <cellStyle name="Comma 3 2 3 11" xfId="21966"/>
    <cellStyle name="Comma 3 2 3 11 2" xfId="21967"/>
    <cellStyle name="Comma 3 2 3 11 3" xfId="21968"/>
    <cellStyle name="Comma 3 2 3 11 4" xfId="21969"/>
    <cellStyle name="Comma 3 2 3 11 5" xfId="21970"/>
    <cellStyle name="Comma 3 2 3 11 6" xfId="21971"/>
    <cellStyle name="Comma 3 2 3 11 7" xfId="21972"/>
    <cellStyle name="Comma 3 2 3 11_Sheet1" xfId="21973"/>
    <cellStyle name="Comma 3 2 3 12" xfId="21974"/>
    <cellStyle name="Comma 3 2 3 12 2" xfId="21975"/>
    <cellStyle name="Comma 3 2 3 12 3" xfId="21976"/>
    <cellStyle name="Comma 3 2 3 12 4" xfId="21977"/>
    <cellStyle name="Comma 3 2 3 12 5" xfId="21978"/>
    <cellStyle name="Comma 3 2 3 12 6" xfId="21979"/>
    <cellStyle name="Comma 3 2 3 12 7" xfId="21980"/>
    <cellStyle name="Comma 3 2 3 12_Sheet1" xfId="21981"/>
    <cellStyle name="Comma 3 2 3 13" xfId="21982"/>
    <cellStyle name="Comma 3 2 3 13 2" xfId="21983"/>
    <cellStyle name="Comma 3 2 3 13 3" xfId="21984"/>
    <cellStyle name="Comma 3 2 3 13 4" xfId="21985"/>
    <cellStyle name="Comma 3 2 3 13 5" xfId="21986"/>
    <cellStyle name="Comma 3 2 3 13 6" xfId="21987"/>
    <cellStyle name="Comma 3 2 3 13 7" xfId="21988"/>
    <cellStyle name="Comma 3 2 3 13_Sheet1" xfId="21989"/>
    <cellStyle name="Comma 3 2 3 14" xfId="21990"/>
    <cellStyle name="Comma 3 2 3 14 2" xfId="21991"/>
    <cellStyle name="Comma 3 2 3 14 3" xfId="21992"/>
    <cellStyle name="Comma 3 2 3 14 4" xfId="21993"/>
    <cellStyle name="Comma 3 2 3 14 5" xfId="21994"/>
    <cellStyle name="Comma 3 2 3 14 6" xfId="21995"/>
    <cellStyle name="Comma 3 2 3 14 7" xfId="21996"/>
    <cellStyle name="Comma 3 2 3 14_Sheet1" xfId="21997"/>
    <cellStyle name="Comma 3 2 3 2" xfId="21998"/>
    <cellStyle name="Comma 3 2 3 2 2" xfId="21999"/>
    <cellStyle name="Comma 3 2 3 2 3" xfId="22000"/>
    <cellStyle name="Comma 3 2 3 2 4" xfId="22001"/>
    <cellStyle name="Comma 3 2 3 2 5" xfId="22002"/>
    <cellStyle name="Comma 3 2 3 2 6" xfId="22003"/>
    <cellStyle name="Comma 3 2 3 2 7" xfId="22004"/>
    <cellStyle name="Comma 3 2 3 2_Sheet1" xfId="22005"/>
    <cellStyle name="Comma 3 2 3 3" xfId="22006"/>
    <cellStyle name="Comma 3 2 3 3 2" xfId="22007"/>
    <cellStyle name="Comma 3 2 3 3 3" xfId="22008"/>
    <cellStyle name="Comma 3 2 3 3 4" xfId="22009"/>
    <cellStyle name="Comma 3 2 3 3 5" xfId="22010"/>
    <cellStyle name="Comma 3 2 3 3 6" xfId="22011"/>
    <cellStyle name="Comma 3 2 3 3 7" xfId="22012"/>
    <cellStyle name="Comma 3 2 3 3_Sheet1" xfId="22013"/>
    <cellStyle name="Comma 3 2 3 4" xfId="22014"/>
    <cellStyle name="Comma 3 2 3 4 2" xfId="22015"/>
    <cellStyle name="Comma 3 2 3 4 3" xfId="22016"/>
    <cellStyle name="Comma 3 2 3 4 4" xfId="22017"/>
    <cellStyle name="Comma 3 2 3 4 5" xfId="22018"/>
    <cellStyle name="Comma 3 2 3 4 6" xfId="22019"/>
    <cellStyle name="Comma 3 2 3 4 7" xfId="22020"/>
    <cellStyle name="Comma 3 2 3 4_Sheet1" xfId="22021"/>
    <cellStyle name="Comma 3 2 3 5" xfId="22022"/>
    <cellStyle name="Comma 3 2 3 5 2" xfId="22023"/>
    <cellStyle name="Comma 3 2 3 5 3" xfId="22024"/>
    <cellStyle name="Comma 3 2 3 5 4" xfId="22025"/>
    <cellStyle name="Comma 3 2 3 5 5" xfId="22026"/>
    <cellStyle name="Comma 3 2 3 5 6" xfId="22027"/>
    <cellStyle name="Comma 3 2 3 5 7" xfId="22028"/>
    <cellStyle name="Comma 3 2 3 5_Sheet1" xfId="22029"/>
    <cellStyle name="Comma 3 2 3 6" xfId="22030"/>
    <cellStyle name="Comma 3 2 3 6 2" xfId="22031"/>
    <cellStyle name="Comma 3 2 3 6 3" xfId="22032"/>
    <cellStyle name="Comma 3 2 3 6 4" xfId="22033"/>
    <cellStyle name="Comma 3 2 3 6 5" xfId="22034"/>
    <cellStyle name="Comma 3 2 3 6 6" xfId="22035"/>
    <cellStyle name="Comma 3 2 3 6 7" xfId="22036"/>
    <cellStyle name="Comma 3 2 3 6_Sheet1" xfId="22037"/>
    <cellStyle name="Comma 3 2 3 7" xfId="22038"/>
    <cellStyle name="Comma 3 2 3 7 2" xfId="22039"/>
    <cellStyle name="Comma 3 2 3 7 3" xfId="22040"/>
    <cellStyle name="Comma 3 2 3 7 4" xfId="22041"/>
    <cellStyle name="Comma 3 2 3 7 5" xfId="22042"/>
    <cellStyle name="Comma 3 2 3 7 6" xfId="22043"/>
    <cellStyle name="Comma 3 2 3 7 7" xfId="22044"/>
    <cellStyle name="Comma 3 2 3 7_Sheet1" xfId="22045"/>
    <cellStyle name="Comma 3 2 3 8" xfId="22046"/>
    <cellStyle name="Comma 3 2 3 8 2" xfId="22047"/>
    <cellStyle name="Comma 3 2 3 8 3" xfId="22048"/>
    <cellStyle name="Comma 3 2 3 8 4" xfId="22049"/>
    <cellStyle name="Comma 3 2 3 8 5" xfId="22050"/>
    <cellStyle name="Comma 3 2 3 8 6" xfId="22051"/>
    <cellStyle name="Comma 3 2 3 8 7" xfId="22052"/>
    <cellStyle name="Comma 3 2 3 8_Sheet1" xfId="22053"/>
    <cellStyle name="Comma 3 2 3 9" xfId="22054"/>
    <cellStyle name="Comma 3 2 3 9 2" xfId="22055"/>
    <cellStyle name="Comma 3 2 3 9 3" xfId="22056"/>
    <cellStyle name="Comma 3 2 3 9 4" xfId="22057"/>
    <cellStyle name="Comma 3 2 3 9 5" xfId="22058"/>
    <cellStyle name="Comma 3 2 3 9 6" xfId="22059"/>
    <cellStyle name="Comma 3 2 3 9 7" xfId="22060"/>
    <cellStyle name="Comma 3 2 3 9_Sheet1" xfId="22061"/>
    <cellStyle name="Comma 3 2 3_Sheet1" xfId="22062"/>
    <cellStyle name="Comma 3 2 30" xfId="22063"/>
    <cellStyle name="Comma 3 2 31" xfId="22064"/>
    <cellStyle name="Comma 3 2 32" xfId="22065"/>
    <cellStyle name="Comma 3 2 33" xfId="22066"/>
    <cellStyle name="Comma 3 2 34" xfId="22067"/>
    <cellStyle name="Comma 3 2 35" xfId="22068"/>
    <cellStyle name="Comma 3 2 4" xfId="22069"/>
    <cellStyle name="Comma 3 2 4 2" xfId="22070"/>
    <cellStyle name="Comma 3 2 4 3" xfId="22071"/>
    <cellStyle name="Comma 3 2 4 4" xfId="22072"/>
    <cellStyle name="Comma 3 2 4 5" xfId="22073"/>
    <cellStyle name="Comma 3 2 4 6" xfId="22074"/>
    <cellStyle name="Comma 3 2 4 7" xfId="22075"/>
    <cellStyle name="Comma 3 2 4_Sheet1" xfId="22076"/>
    <cellStyle name="Comma 3 2 5" xfId="22077"/>
    <cellStyle name="Comma 3 2 5 2" xfId="22078"/>
    <cellStyle name="Comma 3 2 5 3" xfId="22079"/>
    <cellStyle name="Comma 3 2 5 4" xfId="22080"/>
    <cellStyle name="Comma 3 2 5 5" xfId="22081"/>
    <cellStyle name="Comma 3 2 5 6" xfId="22082"/>
    <cellStyle name="Comma 3 2 5 7" xfId="22083"/>
    <cellStyle name="Comma 3 2 5_Sheet1" xfId="22084"/>
    <cellStyle name="Comma 3 2 6" xfId="22085"/>
    <cellStyle name="Comma 3 2 6 2" xfId="22086"/>
    <cellStyle name="Comma 3 2 6 3" xfId="22087"/>
    <cellStyle name="Comma 3 2 6 4" xfId="22088"/>
    <cellStyle name="Comma 3 2 6 5" xfId="22089"/>
    <cellStyle name="Comma 3 2 6 6" xfId="22090"/>
    <cellStyle name="Comma 3 2 6 7" xfId="22091"/>
    <cellStyle name="Comma 3 2 6_Sheet1" xfId="22092"/>
    <cellStyle name="Comma 3 2 7" xfId="22093"/>
    <cellStyle name="Comma 3 2 7 2" xfId="22094"/>
    <cellStyle name="Comma 3 2 7 3" xfId="22095"/>
    <cellStyle name="Comma 3 2 7 4" xfId="22096"/>
    <cellStyle name="Comma 3 2 7 5" xfId="22097"/>
    <cellStyle name="Comma 3 2 7 6" xfId="22098"/>
    <cellStyle name="Comma 3 2 7 7" xfId="22099"/>
    <cellStyle name="Comma 3 2 7_Sheet1" xfId="22100"/>
    <cellStyle name="Comma 3 2 8" xfId="22101"/>
    <cellStyle name="Comma 3 2 8 2" xfId="22102"/>
    <cellStyle name="Comma 3 2 8 3" xfId="22103"/>
    <cellStyle name="Comma 3 2 8 4" xfId="22104"/>
    <cellStyle name="Comma 3 2 8 5" xfId="22105"/>
    <cellStyle name="Comma 3 2 8 6" xfId="22106"/>
    <cellStyle name="Comma 3 2 8 7" xfId="22107"/>
    <cellStyle name="Comma 3 2 8_Sheet1" xfId="22108"/>
    <cellStyle name="Comma 3 2 9" xfId="22109"/>
    <cellStyle name="Comma 3 2 9 2" xfId="22110"/>
    <cellStyle name="Comma 3 2 9 3" xfId="22111"/>
    <cellStyle name="Comma 3 2 9 4" xfId="22112"/>
    <cellStyle name="Comma 3 2 9 5" xfId="22113"/>
    <cellStyle name="Comma 3 2 9 6" xfId="22114"/>
    <cellStyle name="Comma 3 2 9 7" xfId="22115"/>
    <cellStyle name="Comma 3 2 9_Sheet1" xfId="22116"/>
    <cellStyle name="Comma 3 2_Sheet1" xfId="22117"/>
    <cellStyle name="Comma 3 20" xfId="22118"/>
    <cellStyle name="Comma 3 20 2" xfId="22119"/>
    <cellStyle name="Comma 3 20 3" xfId="22120"/>
    <cellStyle name="Comma 3 20 4" xfId="22121"/>
    <cellStyle name="Comma 3 20 5" xfId="22122"/>
    <cellStyle name="Comma 3 20 6" xfId="22123"/>
    <cellStyle name="Comma 3 20 7" xfId="22124"/>
    <cellStyle name="Comma 3 20_Sheet1" xfId="22125"/>
    <cellStyle name="Comma 3 21" xfId="22126"/>
    <cellStyle name="Comma 3 21 2" xfId="22127"/>
    <cellStyle name="Comma 3 21 3" xfId="22128"/>
    <cellStyle name="Comma 3 21 4" xfId="22129"/>
    <cellStyle name="Comma 3 21 5" xfId="22130"/>
    <cellStyle name="Comma 3 21 6" xfId="22131"/>
    <cellStyle name="Comma 3 21 7" xfId="22132"/>
    <cellStyle name="Comma 3 21_Sheet1" xfId="22133"/>
    <cellStyle name="Comma 3 22" xfId="22134"/>
    <cellStyle name="Comma 3 23" xfId="22135"/>
    <cellStyle name="Comma 3 24" xfId="22136"/>
    <cellStyle name="Comma 3 25" xfId="22137"/>
    <cellStyle name="Comma 3 26" xfId="22138"/>
    <cellStyle name="Comma 3 27" xfId="22139"/>
    <cellStyle name="Comma 3 28" xfId="22140"/>
    <cellStyle name="Comma 3 29" xfId="22141"/>
    <cellStyle name="Comma 3 3" xfId="22142"/>
    <cellStyle name="Comma 3 3 2" xfId="22143"/>
    <cellStyle name="Comma 3 3_Sheet1" xfId="22144"/>
    <cellStyle name="Comma 3 30" xfId="22145"/>
    <cellStyle name="Comma 3 31" xfId="22146"/>
    <cellStyle name="Comma 3 32" xfId="22147"/>
    <cellStyle name="Comma 3 33" xfId="22148"/>
    <cellStyle name="Comma 3 34" xfId="22149"/>
    <cellStyle name="Comma 3 35" xfId="22150"/>
    <cellStyle name="Comma 3 36" xfId="22151"/>
    <cellStyle name="Comma 3 37" xfId="22152"/>
    <cellStyle name="Comma 3 38" xfId="22153"/>
    <cellStyle name="Comma 3 39" xfId="22154"/>
    <cellStyle name="Comma 3 4" xfId="22155"/>
    <cellStyle name="Comma 3 4 2" xfId="22156"/>
    <cellStyle name="Comma 3 4_Sheet1" xfId="22157"/>
    <cellStyle name="Comma 3 40" xfId="22158"/>
    <cellStyle name="Comma 3 41" xfId="22159"/>
    <cellStyle name="Comma 3 42" xfId="22160"/>
    <cellStyle name="Comma 3 43" xfId="22161"/>
    <cellStyle name="Comma 3 44" xfId="22162"/>
    <cellStyle name="Comma 3 45" xfId="22163"/>
    <cellStyle name="Comma 3 46" xfId="22164"/>
    <cellStyle name="Comma 3 47" xfId="22165"/>
    <cellStyle name="Comma 3 48" xfId="22166"/>
    <cellStyle name="Comma 3 49" xfId="22167"/>
    <cellStyle name="Comma 3 5" xfId="22168"/>
    <cellStyle name="Comma 3 5 2" xfId="22169"/>
    <cellStyle name="Comma 3 5 2 2" xfId="22170"/>
    <cellStyle name="Comma 3 5 2_Sheet1" xfId="22171"/>
    <cellStyle name="Comma 3 5 3" xfId="22172"/>
    <cellStyle name="Comma 3 5_Sheet1" xfId="22173"/>
    <cellStyle name="Comma 3 50" xfId="22174"/>
    <cellStyle name="Comma 3 51" xfId="22175"/>
    <cellStyle name="Comma 3 52" xfId="22176"/>
    <cellStyle name="Comma 3 52 2" xfId="22177"/>
    <cellStyle name="Comma 3 52 3" xfId="22178"/>
    <cellStyle name="Comma 3 52 4" xfId="22179"/>
    <cellStyle name="Comma 3 52 5" xfId="22180"/>
    <cellStyle name="Comma 3 52 6" xfId="22181"/>
    <cellStyle name="Comma 3 52_Sheet1" xfId="22182"/>
    <cellStyle name="Comma 3 53" xfId="22183"/>
    <cellStyle name="Comma 3 54" xfId="22184"/>
    <cellStyle name="Comma 3 6" xfId="22185"/>
    <cellStyle name="Comma 3 6 2" xfId="22186"/>
    <cellStyle name="Comma 3 6_Sheet1" xfId="22187"/>
    <cellStyle name="Comma 3 7" xfId="22188"/>
    <cellStyle name="Comma 3 7 2" xfId="22189"/>
    <cellStyle name="Comma 3 7_Sheet1" xfId="22190"/>
    <cellStyle name="Comma 3 8" xfId="22191"/>
    <cellStyle name="Comma 3 8 2" xfId="22192"/>
    <cellStyle name="Comma 3 8_Sheet1" xfId="22193"/>
    <cellStyle name="Comma 3 9" xfId="22194"/>
    <cellStyle name="Comma 3 9 2" xfId="22195"/>
    <cellStyle name="Comma 3 9 3" xfId="22196"/>
    <cellStyle name="Comma 3 9 4" xfId="22197"/>
    <cellStyle name="Comma 3 9 5" xfId="22198"/>
    <cellStyle name="Comma 3 9 6" xfId="22199"/>
    <cellStyle name="Comma 3 9 7" xfId="22200"/>
    <cellStyle name="Comma 3 9_Sheet1" xfId="22201"/>
    <cellStyle name="Comma 3_deferred tax Sep for audit revised" xfId="22202"/>
    <cellStyle name="Comma 30" xfId="22203"/>
    <cellStyle name="Comma 30 2" xfId="22204"/>
    <cellStyle name="Comma 30 3" xfId="22205"/>
    <cellStyle name="Comma 30_Sheet1" xfId="22206"/>
    <cellStyle name="Comma 31" xfId="22207"/>
    <cellStyle name="Comma 31 2" xfId="22208"/>
    <cellStyle name="Comma 31 3" xfId="22209"/>
    <cellStyle name="Comma 31 4" xfId="22210"/>
    <cellStyle name="Comma 31 4 2" xfId="22211"/>
    <cellStyle name="Comma 31 4 2 2" xfId="22212"/>
    <cellStyle name="Comma 31 4 2 2 2" xfId="22213"/>
    <cellStyle name="Comma 31 4 2 2_Sheet1" xfId="22214"/>
    <cellStyle name="Comma 31 4 2_Sheet1" xfId="22215"/>
    <cellStyle name="Comma 31 4_Sheet1" xfId="22216"/>
    <cellStyle name="Comma 31 5" xfId="22217"/>
    <cellStyle name="Comma 31_Sheet1" xfId="22218"/>
    <cellStyle name="Comma 32" xfId="22219"/>
    <cellStyle name="Comma 33" xfId="22220"/>
    <cellStyle name="Comma 33 2" xfId="22221"/>
    <cellStyle name="Comma 34" xfId="22222"/>
    <cellStyle name="Comma 34 4" xfId="22223"/>
    <cellStyle name="Comma 35" xfId="22224"/>
    <cellStyle name="Comma 36" xfId="22225"/>
    <cellStyle name="Comma 37" xfId="22226"/>
    <cellStyle name="Comma 38" xfId="22227"/>
    <cellStyle name="Comma 39" xfId="22228"/>
    <cellStyle name="Comma 4" xfId="22229"/>
    <cellStyle name="Comma 4 10" xfId="22230"/>
    <cellStyle name="Comma 4 11" xfId="22231"/>
    <cellStyle name="Comma 4 12" xfId="22232"/>
    <cellStyle name="Comma 4 13" xfId="22233"/>
    <cellStyle name="Comma 4 14" xfId="22234"/>
    <cellStyle name="Comma 4 15" xfId="22235"/>
    <cellStyle name="Comma 4 16" xfId="22236"/>
    <cellStyle name="Comma 4 17" xfId="22237"/>
    <cellStyle name="Comma 4 18" xfId="22238"/>
    <cellStyle name="Comma 4 19" xfId="22239"/>
    <cellStyle name="Comma 4 2" xfId="22240"/>
    <cellStyle name="Comma 4 2 2" xfId="22241"/>
    <cellStyle name="Comma 4 2 2 2" xfId="22242"/>
    <cellStyle name="Comma 4 2 2 3" xfId="22243"/>
    <cellStyle name="Comma 4 2 2_Sheet1" xfId="22244"/>
    <cellStyle name="Comma 4 2 3" xfId="22245"/>
    <cellStyle name="Comma 4 2 4" xfId="22246"/>
    <cellStyle name="Comma 4 2 5" xfId="22247"/>
    <cellStyle name="Comma 4 2 6" xfId="22248"/>
    <cellStyle name="Comma 4 2 7" xfId="22249"/>
    <cellStyle name="Comma 4 2 8" xfId="22250"/>
    <cellStyle name="Comma 4 2_Cash Flow Petroneks_Induk+Konsol" xfId="22251"/>
    <cellStyle name="Comma 4 20" xfId="22252"/>
    <cellStyle name="Comma 4 21" xfId="22253"/>
    <cellStyle name="Comma 4 22" xfId="22254"/>
    <cellStyle name="Comma 4 23" xfId="22255"/>
    <cellStyle name="Comma 4 24" xfId="22256"/>
    <cellStyle name="Comma 4 25" xfId="22257"/>
    <cellStyle name="Comma 4 26" xfId="22258"/>
    <cellStyle name="Comma 4 27" xfId="22259"/>
    <cellStyle name="Comma 4 28" xfId="22260"/>
    <cellStyle name="Comma 4 29" xfId="22261"/>
    <cellStyle name="Comma 4 3" xfId="22262"/>
    <cellStyle name="Comma 4 3 2" xfId="22263"/>
    <cellStyle name="Comma 4 3 3" xfId="22264"/>
    <cellStyle name="Comma 4 3 4" xfId="22265"/>
    <cellStyle name="Comma 4 3 5" xfId="22266"/>
    <cellStyle name="Comma 4 3_Cash Flow Petroneks_Induk+Konsol" xfId="22267"/>
    <cellStyle name="Comma 4 30" xfId="22268"/>
    <cellStyle name="Comma 4 31" xfId="22269"/>
    <cellStyle name="Comma 4 32" xfId="22270"/>
    <cellStyle name="Comma 4 33" xfId="22271"/>
    <cellStyle name="Comma 4 34" xfId="22272"/>
    <cellStyle name="Comma 4 35" xfId="22273"/>
    <cellStyle name="Comma 4 36" xfId="22274"/>
    <cellStyle name="Comma 4 37" xfId="22275"/>
    <cellStyle name="Comma 4 38" xfId="22276"/>
    <cellStyle name="Comma 4 39" xfId="22277"/>
    <cellStyle name="Comma 4 4" xfId="22278"/>
    <cellStyle name="Comma 4 40" xfId="22279"/>
    <cellStyle name="Comma 4 41" xfId="22280"/>
    <cellStyle name="Comma 4 42" xfId="22281"/>
    <cellStyle name="Comma 4 43" xfId="22282"/>
    <cellStyle name="Comma 4 44" xfId="22283"/>
    <cellStyle name="Comma 4 5" xfId="22284"/>
    <cellStyle name="Comma 4 5 2" xfId="22285"/>
    <cellStyle name="Comma 4 5_Sheet1" xfId="22286"/>
    <cellStyle name="Comma 4 6" xfId="22287"/>
    <cellStyle name="Comma 4 6 2" xfId="22288"/>
    <cellStyle name="Comma 4 6 3" xfId="22289"/>
    <cellStyle name="Comma 4 6_Sheet1" xfId="22290"/>
    <cellStyle name="Comma 4 7" xfId="22291"/>
    <cellStyle name="Comma 4 8" xfId="22292"/>
    <cellStyle name="Comma 4 9" xfId="22293"/>
    <cellStyle name="Comma 4_Aktiva tetap BTG Cikande" xfId="22294"/>
    <cellStyle name="Comma 40" xfId="22295"/>
    <cellStyle name="Comma 41" xfId="22296"/>
    <cellStyle name="Comma 42" xfId="22297"/>
    <cellStyle name="Comma 43" xfId="22298"/>
    <cellStyle name="Comma 44" xfId="22299"/>
    <cellStyle name="Comma 45" xfId="22300"/>
    <cellStyle name="Comma 46" xfId="22301"/>
    <cellStyle name="Comma 47" xfId="22302"/>
    <cellStyle name="Comma 48" xfId="22303"/>
    <cellStyle name="Comma 49" xfId="22304"/>
    <cellStyle name="Comma 5" xfId="22305"/>
    <cellStyle name="Comma 5 10" xfId="22306"/>
    <cellStyle name="Comma 5 10 2" xfId="22307"/>
    <cellStyle name="Comma 5 10_Sheet1" xfId="22308"/>
    <cellStyle name="Comma 5 11" xfId="22309"/>
    <cellStyle name="Comma 5 11 2" xfId="22310"/>
    <cellStyle name="Comma 5 11_Sheet1" xfId="22311"/>
    <cellStyle name="Comma 5 12" xfId="22312"/>
    <cellStyle name="Comma 5 12 2" xfId="22313"/>
    <cellStyle name="Comma 5 12_Sheet1" xfId="22314"/>
    <cellStyle name="Comma 5 13" xfId="22315"/>
    <cellStyle name="Comma 5 13 2" xfId="22316"/>
    <cellStyle name="Comma 5 13_Sheet1" xfId="22317"/>
    <cellStyle name="Comma 5 14" xfId="22318"/>
    <cellStyle name="Comma 5 14 2" xfId="22319"/>
    <cellStyle name="Comma 5 14_Sheet1" xfId="22320"/>
    <cellStyle name="Comma 5 15" xfId="22321"/>
    <cellStyle name="Comma 5 15 2" xfId="22322"/>
    <cellStyle name="Comma 5 15_Sheet1" xfId="22323"/>
    <cellStyle name="Comma 5 16" xfId="22324"/>
    <cellStyle name="Comma 5 16 2" xfId="22325"/>
    <cellStyle name="Comma 5 16_Sheet1" xfId="22326"/>
    <cellStyle name="Comma 5 17" xfId="22327"/>
    <cellStyle name="Comma 5 17 2" xfId="22328"/>
    <cellStyle name="Comma 5 17_Sheet1" xfId="22329"/>
    <cellStyle name="Comma 5 18" xfId="22330"/>
    <cellStyle name="Comma 5 18 2" xfId="22331"/>
    <cellStyle name="Comma 5 18_Sheet1" xfId="22332"/>
    <cellStyle name="Comma 5 19" xfId="22333"/>
    <cellStyle name="Comma 5 2" xfId="22334"/>
    <cellStyle name="Comma 5 2 2" xfId="22335"/>
    <cellStyle name="Comma 5 2 3" xfId="22336"/>
    <cellStyle name="Comma 5 2_Sheet1" xfId="22337"/>
    <cellStyle name="Comma 5 20" xfId="22338"/>
    <cellStyle name="Comma 5 21" xfId="22339"/>
    <cellStyle name="Comma 5 22" xfId="22340"/>
    <cellStyle name="Comma 5 23" xfId="22341"/>
    <cellStyle name="Comma 5 24" xfId="22342"/>
    <cellStyle name="Comma 5 25" xfId="22343"/>
    <cellStyle name="Comma 5 26" xfId="22344"/>
    <cellStyle name="Comma 5 27" xfId="22345"/>
    <cellStyle name="Comma 5 28" xfId="22346"/>
    <cellStyle name="Comma 5 29" xfId="22347"/>
    <cellStyle name="Comma 5 3" xfId="22348"/>
    <cellStyle name="Comma 5 3 2" xfId="22349"/>
    <cellStyle name="Comma 5 3 3" xfId="22350"/>
    <cellStyle name="Comma 5 3_Sheet1" xfId="22351"/>
    <cellStyle name="Comma 5 30" xfId="22352"/>
    <cellStyle name="Comma 5 31" xfId="22353"/>
    <cellStyle name="Comma 5 32" xfId="22354"/>
    <cellStyle name="Comma 5 33" xfId="22355"/>
    <cellStyle name="Comma 5 34" xfId="22356"/>
    <cellStyle name="Comma 5 35" xfId="22357"/>
    <cellStyle name="Comma 5 36" xfId="22358"/>
    <cellStyle name="Comma 5 37" xfId="22359"/>
    <cellStyle name="Comma 5 38" xfId="22360"/>
    <cellStyle name="Comma 5 39" xfId="22361"/>
    <cellStyle name="Comma 5 4" xfId="22362"/>
    <cellStyle name="Comma 5 4 2" xfId="22363"/>
    <cellStyle name="Comma 5 4_Sheet1" xfId="22364"/>
    <cellStyle name="Comma 5 40" xfId="22365"/>
    <cellStyle name="Comma 5 41" xfId="22366"/>
    <cellStyle name="Comma 5 42" xfId="22367"/>
    <cellStyle name="Comma 5 43" xfId="22368"/>
    <cellStyle name="Comma 5 44" xfId="22369"/>
    <cellStyle name="Comma 5 5" xfId="22370"/>
    <cellStyle name="Comma 5 5 2" xfId="22371"/>
    <cellStyle name="Comma 5 5_Sheet1" xfId="22372"/>
    <cellStyle name="Comma 5 6" xfId="22373"/>
    <cellStyle name="Comma 5 6 2" xfId="22374"/>
    <cellStyle name="Comma 5 6_Sheet1" xfId="22375"/>
    <cellStyle name="Comma 5 7" xfId="22376"/>
    <cellStyle name="Comma 5 7 2" xfId="22377"/>
    <cellStyle name="Comma 5 7_Sheet1" xfId="22378"/>
    <cellStyle name="Comma 5 8" xfId="22379"/>
    <cellStyle name="Comma 5 8 2" xfId="22380"/>
    <cellStyle name="Comma 5 8_Sheet1" xfId="22381"/>
    <cellStyle name="Comma 5 9" xfId="22382"/>
    <cellStyle name="Comma 5 9 2" xfId="22383"/>
    <cellStyle name="Comma 5 9_Sheet1" xfId="22384"/>
    <cellStyle name="Comma 5_Cash Flow Petroneks_Induk+Konsol" xfId="22385"/>
    <cellStyle name="Comma 50" xfId="22386"/>
    <cellStyle name="Comma 51" xfId="22387"/>
    <cellStyle name="Comma 52" xfId="22388"/>
    <cellStyle name="Comma 53" xfId="22389"/>
    <cellStyle name="Comma 54" xfId="22390"/>
    <cellStyle name="Comma 55" xfId="22391"/>
    <cellStyle name="Comma 56" xfId="22392"/>
    <cellStyle name="Comma 57" xfId="22393"/>
    <cellStyle name="Comma 58" xfId="22394"/>
    <cellStyle name="Comma 59" xfId="22395"/>
    <cellStyle name="Comma 6" xfId="22396"/>
    <cellStyle name="Comma 6 10" xfId="22397"/>
    <cellStyle name="Comma 6 10 10" xfId="22398"/>
    <cellStyle name="Comma 6 10 11" xfId="22399"/>
    <cellStyle name="Comma 6 10 12" xfId="22400"/>
    <cellStyle name="Comma 6 10 13" xfId="22401"/>
    <cellStyle name="Comma 6 10 2" xfId="22402"/>
    <cellStyle name="Comma 6 10 3" xfId="22403"/>
    <cellStyle name="Comma 6 10 4" xfId="22404"/>
    <cellStyle name="Comma 6 10 5" xfId="22405"/>
    <cellStyle name="Comma 6 10 6" xfId="22406"/>
    <cellStyle name="Comma 6 10 7" xfId="22407"/>
    <cellStyle name="Comma 6 10 8" xfId="22408"/>
    <cellStyle name="Comma 6 10 9" xfId="22409"/>
    <cellStyle name="Comma 6 10_Sheet1" xfId="22410"/>
    <cellStyle name="Comma 6 11" xfId="22411"/>
    <cellStyle name="Comma 6 11 10" xfId="22412"/>
    <cellStyle name="Comma 6 11 11" xfId="22413"/>
    <cellStyle name="Comma 6 11 12" xfId="22414"/>
    <cellStyle name="Comma 6 11 13" xfId="22415"/>
    <cellStyle name="Comma 6 11 2" xfId="22416"/>
    <cellStyle name="Comma 6 11 3" xfId="22417"/>
    <cellStyle name="Comma 6 11 4" xfId="22418"/>
    <cellStyle name="Comma 6 11 5" xfId="22419"/>
    <cellStyle name="Comma 6 11 6" xfId="22420"/>
    <cellStyle name="Comma 6 11 7" xfId="22421"/>
    <cellStyle name="Comma 6 11 8" xfId="22422"/>
    <cellStyle name="Comma 6 11 9" xfId="22423"/>
    <cellStyle name="Comma 6 11_Sheet1" xfId="22424"/>
    <cellStyle name="Comma 6 12" xfId="22425"/>
    <cellStyle name="Comma 6 12 10" xfId="22426"/>
    <cellStyle name="Comma 6 12 11" xfId="22427"/>
    <cellStyle name="Comma 6 12 12" xfId="22428"/>
    <cellStyle name="Comma 6 12 13" xfId="22429"/>
    <cellStyle name="Comma 6 12 2" xfId="22430"/>
    <cellStyle name="Comma 6 12 3" xfId="22431"/>
    <cellStyle name="Comma 6 12 4" xfId="22432"/>
    <cellStyle name="Comma 6 12 5" xfId="22433"/>
    <cellStyle name="Comma 6 12 6" xfId="22434"/>
    <cellStyle name="Comma 6 12 7" xfId="22435"/>
    <cellStyle name="Comma 6 12 8" xfId="22436"/>
    <cellStyle name="Comma 6 12 9" xfId="22437"/>
    <cellStyle name="Comma 6 12_Sheet1" xfId="22438"/>
    <cellStyle name="Comma 6 13" xfId="22439"/>
    <cellStyle name="Comma 6 13 10" xfId="22440"/>
    <cellStyle name="Comma 6 13 11" xfId="22441"/>
    <cellStyle name="Comma 6 13 12" xfId="22442"/>
    <cellStyle name="Comma 6 13 13" xfId="22443"/>
    <cellStyle name="Comma 6 13 2" xfId="22444"/>
    <cellStyle name="Comma 6 13 3" xfId="22445"/>
    <cellStyle name="Comma 6 13 4" xfId="22446"/>
    <cellStyle name="Comma 6 13 5" xfId="22447"/>
    <cellStyle name="Comma 6 13 6" xfId="22448"/>
    <cellStyle name="Comma 6 13 7" xfId="22449"/>
    <cellStyle name="Comma 6 13 8" xfId="22450"/>
    <cellStyle name="Comma 6 13 9" xfId="22451"/>
    <cellStyle name="Comma 6 13_Sheet1" xfId="22452"/>
    <cellStyle name="Comma 6 14" xfId="22453"/>
    <cellStyle name="Comma 6 14 10" xfId="22454"/>
    <cellStyle name="Comma 6 14 11" xfId="22455"/>
    <cellStyle name="Comma 6 14 12" xfId="22456"/>
    <cellStyle name="Comma 6 14 13" xfId="22457"/>
    <cellStyle name="Comma 6 14 2" xfId="22458"/>
    <cellStyle name="Comma 6 14 3" xfId="22459"/>
    <cellStyle name="Comma 6 14 4" xfId="22460"/>
    <cellStyle name="Comma 6 14 5" xfId="22461"/>
    <cellStyle name="Comma 6 14 6" xfId="22462"/>
    <cellStyle name="Comma 6 14 7" xfId="22463"/>
    <cellStyle name="Comma 6 14 8" xfId="22464"/>
    <cellStyle name="Comma 6 14 9" xfId="22465"/>
    <cellStyle name="Comma 6 14_Sheet1" xfId="22466"/>
    <cellStyle name="Comma 6 15" xfId="22467"/>
    <cellStyle name="Comma 6 15 10" xfId="22468"/>
    <cellStyle name="Comma 6 15 11" xfId="22469"/>
    <cellStyle name="Comma 6 15 12" xfId="22470"/>
    <cellStyle name="Comma 6 15 13" xfId="22471"/>
    <cellStyle name="Comma 6 15 2" xfId="22472"/>
    <cellStyle name="Comma 6 15 3" xfId="22473"/>
    <cellStyle name="Comma 6 15 4" xfId="22474"/>
    <cellStyle name="Comma 6 15 5" xfId="22475"/>
    <cellStyle name="Comma 6 15 6" xfId="22476"/>
    <cellStyle name="Comma 6 15 7" xfId="22477"/>
    <cellStyle name="Comma 6 15 8" xfId="22478"/>
    <cellStyle name="Comma 6 15 9" xfId="22479"/>
    <cellStyle name="Comma 6 15_Sheet1" xfId="22480"/>
    <cellStyle name="Comma 6 16" xfId="22481"/>
    <cellStyle name="Comma 6 16 10" xfId="22482"/>
    <cellStyle name="Comma 6 16 11" xfId="22483"/>
    <cellStyle name="Comma 6 16 12" xfId="22484"/>
    <cellStyle name="Comma 6 16 13" xfId="22485"/>
    <cellStyle name="Comma 6 16 2" xfId="22486"/>
    <cellStyle name="Comma 6 16 3" xfId="22487"/>
    <cellStyle name="Comma 6 16 4" xfId="22488"/>
    <cellStyle name="Comma 6 16 5" xfId="22489"/>
    <cellStyle name="Comma 6 16 6" xfId="22490"/>
    <cellStyle name="Comma 6 16 7" xfId="22491"/>
    <cellStyle name="Comma 6 16 8" xfId="22492"/>
    <cellStyle name="Comma 6 16 9" xfId="22493"/>
    <cellStyle name="Comma 6 16_Sheet1" xfId="22494"/>
    <cellStyle name="Comma 6 17" xfId="22495"/>
    <cellStyle name="Comma 6 17 10" xfId="22496"/>
    <cellStyle name="Comma 6 17 11" xfId="22497"/>
    <cellStyle name="Comma 6 17 12" xfId="22498"/>
    <cellStyle name="Comma 6 17 13" xfId="22499"/>
    <cellStyle name="Comma 6 17 2" xfId="22500"/>
    <cellStyle name="Comma 6 17 3" xfId="22501"/>
    <cellStyle name="Comma 6 17 4" xfId="22502"/>
    <cellStyle name="Comma 6 17 5" xfId="22503"/>
    <cellStyle name="Comma 6 17 6" xfId="22504"/>
    <cellStyle name="Comma 6 17 7" xfId="22505"/>
    <cellStyle name="Comma 6 17 8" xfId="22506"/>
    <cellStyle name="Comma 6 17 9" xfId="22507"/>
    <cellStyle name="Comma 6 17_Sheet1" xfId="22508"/>
    <cellStyle name="Comma 6 18" xfId="22509"/>
    <cellStyle name="Comma 6 18 10" xfId="22510"/>
    <cellStyle name="Comma 6 18 11" xfId="22511"/>
    <cellStyle name="Comma 6 18 12" xfId="22512"/>
    <cellStyle name="Comma 6 18 13" xfId="22513"/>
    <cellStyle name="Comma 6 18 2" xfId="22514"/>
    <cellStyle name="Comma 6 18 3" xfId="22515"/>
    <cellStyle name="Comma 6 18 4" xfId="22516"/>
    <cellStyle name="Comma 6 18 5" xfId="22517"/>
    <cellStyle name="Comma 6 18 6" xfId="22518"/>
    <cellStyle name="Comma 6 18 7" xfId="22519"/>
    <cellStyle name="Comma 6 18 8" xfId="22520"/>
    <cellStyle name="Comma 6 18 9" xfId="22521"/>
    <cellStyle name="Comma 6 18_Sheet1" xfId="22522"/>
    <cellStyle name="Comma 6 19" xfId="22523"/>
    <cellStyle name="Comma 6 19 2" xfId="22524"/>
    <cellStyle name="Comma 6 19 3" xfId="22525"/>
    <cellStyle name="Comma 6 19 4" xfId="22526"/>
    <cellStyle name="Comma 6 19 5" xfId="22527"/>
    <cellStyle name="Comma 6 19 6" xfId="22528"/>
    <cellStyle name="Comma 6 19 7" xfId="22529"/>
    <cellStyle name="Comma 6 19_Sheet1" xfId="22530"/>
    <cellStyle name="Comma 6 2" xfId="22531"/>
    <cellStyle name="Comma 6 2 10" xfId="22532"/>
    <cellStyle name="Comma 6 2 11" xfId="22533"/>
    <cellStyle name="Comma 6 2 12" xfId="22534"/>
    <cellStyle name="Comma 6 2 13" xfId="22535"/>
    <cellStyle name="Comma 6 2 2" xfId="22536"/>
    <cellStyle name="Comma 6 2 2 2" xfId="22537"/>
    <cellStyle name="Comma 6 2 2 3" xfId="22538"/>
    <cellStyle name="Comma 6 2 2 3 2" xfId="22539"/>
    <cellStyle name="Comma 6 2 2 3_Sheet1" xfId="22540"/>
    <cellStyle name="Comma 6 2 2 4" xfId="22541"/>
    <cellStyle name="Comma 6 2 2 4 2" xfId="22542"/>
    <cellStyle name="Comma 6 2 2 4_Sheet1" xfId="22543"/>
    <cellStyle name="Comma 6 2 2 5" xfId="22544"/>
    <cellStyle name="Comma 6 2 2 5 2" xfId="22545"/>
    <cellStyle name="Comma 6 2 2 5_Sheet1" xfId="22546"/>
    <cellStyle name="Comma 6 2 2 6" xfId="22547"/>
    <cellStyle name="Comma 6 2 2_Schedule MP (2)" xfId="22548"/>
    <cellStyle name="Comma 6 2 3" xfId="22549"/>
    <cellStyle name="Comma 6 2 4" xfId="22550"/>
    <cellStyle name="Comma 6 2 4 2" xfId="22551"/>
    <cellStyle name="Comma 6 2 4_Sheet1" xfId="22552"/>
    <cellStyle name="Comma 6 2 5" xfId="22553"/>
    <cellStyle name="Comma 6 2 5 2" xfId="22554"/>
    <cellStyle name="Comma 6 2 5_Sheet1" xfId="22555"/>
    <cellStyle name="Comma 6 2 6" xfId="22556"/>
    <cellStyle name="Comma 6 2 6 2" xfId="22557"/>
    <cellStyle name="Comma 6 2 6_Sheet1" xfId="22558"/>
    <cellStyle name="Comma 6 2 7" xfId="22559"/>
    <cellStyle name="Comma 6 2 8" xfId="22560"/>
    <cellStyle name="Comma 6 2 9" xfId="22561"/>
    <cellStyle name="Comma 6 2_Schedule MP (2)" xfId="22562"/>
    <cellStyle name="Comma 6 20" xfId="22563"/>
    <cellStyle name="Comma 6 20 2" xfId="22564"/>
    <cellStyle name="Comma 6 20 3" xfId="22565"/>
    <cellStyle name="Comma 6 20 4" xfId="22566"/>
    <cellStyle name="Comma 6 20 5" xfId="22567"/>
    <cellStyle name="Comma 6 20 6" xfId="22568"/>
    <cellStyle name="Comma 6 20 7" xfId="22569"/>
    <cellStyle name="Comma 6 20_Sheet1" xfId="22570"/>
    <cellStyle name="Comma 6 21" xfId="22571"/>
    <cellStyle name="Comma 6 21 2" xfId="22572"/>
    <cellStyle name="Comma 6 21 3" xfId="22573"/>
    <cellStyle name="Comma 6 21 4" xfId="22574"/>
    <cellStyle name="Comma 6 21 5" xfId="22575"/>
    <cellStyle name="Comma 6 21 6" xfId="22576"/>
    <cellStyle name="Comma 6 21 7" xfId="22577"/>
    <cellStyle name="Comma 6 21_Sheet1" xfId="22578"/>
    <cellStyle name="Comma 6 22" xfId="22579"/>
    <cellStyle name="Comma 6 22 2" xfId="22580"/>
    <cellStyle name="Comma 6 22 3" xfId="22581"/>
    <cellStyle name="Comma 6 22 4" xfId="22582"/>
    <cellStyle name="Comma 6 22 5" xfId="22583"/>
    <cellStyle name="Comma 6 22 6" xfId="22584"/>
    <cellStyle name="Comma 6 22 7" xfId="22585"/>
    <cellStyle name="Comma 6 22_Sheet1" xfId="22586"/>
    <cellStyle name="Comma 6 23" xfId="22587"/>
    <cellStyle name="Comma 6 23 2" xfId="22588"/>
    <cellStyle name="Comma 6 23 3" xfId="22589"/>
    <cellStyle name="Comma 6 23 4" xfId="22590"/>
    <cellStyle name="Comma 6 23 5" xfId="22591"/>
    <cellStyle name="Comma 6 23 6" xfId="22592"/>
    <cellStyle name="Comma 6 23 7" xfId="22593"/>
    <cellStyle name="Comma 6 23_Sheet1" xfId="22594"/>
    <cellStyle name="Comma 6 24" xfId="22595"/>
    <cellStyle name="Comma 6 24 2" xfId="22596"/>
    <cellStyle name="Comma 6 24 3" xfId="22597"/>
    <cellStyle name="Comma 6 24 4" xfId="22598"/>
    <cellStyle name="Comma 6 24 5" xfId="22599"/>
    <cellStyle name="Comma 6 24 6" xfId="22600"/>
    <cellStyle name="Comma 6 24 7" xfId="22601"/>
    <cellStyle name="Comma 6 24_Sheet1" xfId="22602"/>
    <cellStyle name="Comma 6 25" xfId="22603"/>
    <cellStyle name="Comma 6 25 2" xfId="22604"/>
    <cellStyle name="Comma 6 25 3" xfId="22605"/>
    <cellStyle name="Comma 6 25 4" xfId="22606"/>
    <cellStyle name="Comma 6 25 5" xfId="22607"/>
    <cellStyle name="Comma 6 25 6" xfId="22608"/>
    <cellStyle name="Comma 6 25 7" xfId="22609"/>
    <cellStyle name="Comma 6 25_Sheet1" xfId="22610"/>
    <cellStyle name="Comma 6 26" xfId="22611"/>
    <cellStyle name="Comma 6 26 2" xfId="22612"/>
    <cellStyle name="Comma 6 26 3" xfId="22613"/>
    <cellStyle name="Comma 6 26 4" xfId="22614"/>
    <cellStyle name="Comma 6 26 5" xfId="22615"/>
    <cellStyle name="Comma 6 26 6" xfId="22616"/>
    <cellStyle name="Comma 6 26 7" xfId="22617"/>
    <cellStyle name="Comma 6 26_Sheet1" xfId="22618"/>
    <cellStyle name="Comma 6 27" xfId="22619"/>
    <cellStyle name="Comma 6 27 2" xfId="22620"/>
    <cellStyle name="Comma 6 27 3" xfId="22621"/>
    <cellStyle name="Comma 6 27 4" xfId="22622"/>
    <cellStyle name="Comma 6 27 5" xfId="22623"/>
    <cellStyle name="Comma 6 27 6" xfId="22624"/>
    <cellStyle name="Comma 6 27 7" xfId="22625"/>
    <cellStyle name="Comma 6 27_Sheet1" xfId="22626"/>
    <cellStyle name="Comma 6 28" xfId="22627"/>
    <cellStyle name="Comma 6 28 2" xfId="22628"/>
    <cellStyle name="Comma 6 28 3" xfId="22629"/>
    <cellStyle name="Comma 6 28 4" xfId="22630"/>
    <cellStyle name="Comma 6 28 5" xfId="22631"/>
    <cellStyle name="Comma 6 28 6" xfId="22632"/>
    <cellStyle name="Comma 6 28 7" xfId="22633"/>
    <cellStyle name="Comma 6 28_Sheet1" xfId="22634"/>
    <cellStyle name="Comma 6 29" xfId="22635"/>
    <cellStyle name="Comma 6 3" xfId="22636"/>
    <cellStyle name="Comma 6 3 10" xfId="22637"/>
    <cellStyle name="Comma 6 3 11" xfId="22638"/>
    <cellStyle name="Comma 6 3 12" xfId="22639"/>
    <cellStyle name="Comma 6 3 13" xfId="22640"/>
    <cellStyle name="Comma 6 3 2" xfId="22641"/>
    <cellStyle name="Comma 6 3 2 2" xfId="22642"/>
    <cellStyle name="Comma 6 3 2 3" xfId="22643"/>
    <cellStyle name="Comma 6 3 2 4" xfId="22644"/>
    <cellStyle name="Comma 6 3 2 5" xfId="22645"/>
    <cellStyle name="Comma 6 3 2 6" xfId="22646"/>
    <cellStyle name="Comma 6 3 2_Sheet1" xfId="22647"/>
    <cellStyle name="Comma 6 3 3" xfId="22648"/>
    <cellStyle name="Comma 6 3 3 2" xfId="22649"/>
    <cellStyle name="Comma 6 3 3 3" xfId="22650"/>
    <cellStyle name="Comma 6 3 3 4" xfId="22651"/>
    <cellStyle name="Comma 6 3 3 5" xfId="22652"/>
    <cellStyle name="Comma 6 3 3 6" xfId="22653"/>
    <cellStyle name="Comma 6 3 3 7" xfId="22654"/>
    <cellStyle name="Comma 6 3 3_Sheet1" xfId="22655"/>
    <cellStyle name="Comma 6 3 4" xfId="22656"/>
    <cellStyle name="Comma 6 3 5" xfId="22657"/>
    <cellStyle name="Comma 6 3 6" xfId="22658"/>
    <cellStyle name="Comma 6 3 7" xfId="22659"/>
    <cellStyle name="Comma 6 3 8" xfId="22660"/>
    <cellStyle name="Comma 6 3 9" xfId="22661"/>
    <cellStyle name="Comma 6 3_Sheet1" xfId="22662"/>
    <cellStyle name="Comma 6 30" xfId="22663"/>
    <cellStyle name="Comma 6 31" xfId="22664"/>
    <cellStyle name="Comma 6 32" xfId="22665"/>
    <cellStyle name="Comma 6 33" xfId="22666"/>
    <cellStyle name="Comma 6 34" xfId="22667"/>
    <cellStyle name="Comma 6 35" xfId="22668"/>
    <cellStyle name="Comma 6 36" xfId="22669"/>
    <cellStyle name="Comma 6 37" xfId="22670"/>
    <cellStyle name="Comma 6 38" xfId="22671"/>
    <cellStyle name="Comma 6 39" xfId="22672"/>
    <cellStyle name="Comma 6 4" xfId="22673"/>
    <cellStyle name="Comma 6 4 10" xfId="22674"/>
    <cellStyle name="Comma 6 4 11" xfId="22675"/>
    <cellStyle name="Comma 6 4 12" xfId="22676"/>
    <cellStyle name="Comma 6 4 13" xfId="22677"/>
    <cellStyle name="Comma 6 4 2" xfId="22678"/>
    <cellStyle name="Comma 6 4 3" xfId="22679"/>
    <cellStyle name="Comma 6 4 4" xfId="22680"/>
    <cellStyle name="Comma 6 4 5" xfId="22681"/>
    <cellStyle name="Comma 6 4 6" xfId="22682"/>
    <cellStyle name="Comma 6 4 7" xfId="22683"/>
    <cellStyle name="Comma 6 4 8" xfId="22684"/>
    <cellStyle name="Comma 6 4 9" xfId="22685"/>
    <cellStyle name="Comma 6 4_Sheet1" xfId="22686"/>
    <cellStyle name="Comma 6 40" xfId="22687"/>
    <cellStyle name="Comma 6 41" xfId="22688"/>
    <cellStyle name="Comma 6 42" xfId="22689"/>
    <cellStyle name="Comma 6 5" xfId="22690"/>
    <cellStyle name="Comma 6 5 10" xfId="22691"/>
    <cellStyle name="Comma 6 5 11" xfId="22692"/>
    <cellStyle name="Comma 6 5 12" xfId="22693"/>
    <cellStyle name="Comma 6 5 13" xfId="22694"/>
    <cellStyle name="Comma 6 5 2" xfId="22695"/>
    <cellStyle name="Comma 6 5 3" xfId="22696"/>
    <cellStyle name="Comma 6 5 4" xfId="22697"/>
    <cellStyle name="Comma 6 5 5" xfId="22698"/>
    <cellStyle name="Comma 6 5 6" xfId="22699"/>
    <cellStyle name="Comma 6 5 7" xfId="22700"/>
    <cellStyle name="Comma 6 5 8" xfId="22701"/>
    <cellStyle name="Comma 6 5 9" xfId="22702"/>
    <cellStyle name="Comma 6 5_Sheet1" xfId="22703"/>
    <cellStyle name="Comma 6 6" xfId="22704"/>
    <cellStyle name="Comma 6 6 10" xfId="22705"/>
    <cellStyle name="Comma 6 6 11" xfId="22706"/>
    <cellStyle name="Comma 6 6 12" xfId="22707"/>
    <cellStyle name="Comma 6 6 13" xfId="22708"/>
    <cellStyle name="Comma 6 6 2" xfId="22709"/>
    <cellStyle name="Comma 6 6 3" xfId="22710"/>
    <cellStyle name="Comma 6 6 4" xfId="22711"/>
    <cellStyle name="Comma 6 6 5" xfId="22712"/>
    <cellStyle name="Comma 6 6 6" xfId="22713"/>
    <cellStyle name="Comma 6 6 7" xfId="22714"/>
    <cellStyle name="Comma 6 6 8" xfId="22715"/>
    <cellStyle name="Comma 6 6 9" xfId="22716"/>
    <cellStyle name="Comma 6 6_Sheet1" xfId="22717"/>
    <cellStyle name="Comma 6 7" xfId="22718"/>
    <cellStyle name="Comma 6 7 10" xfId="22719"/>
    <cellStyle name="Comma 6 7 11" xfId="22720"/>
    <cellStyle name="Comma 6 7 12" xfId="22721"/>
    <cellStyle name="Comma 6 7 13" xfId="22722"/>
    <cellStyle name="Comma 6 7 2" xfId="22723"/>
    <cellStyle name="Comma 6 7 2 2" xfId="22724"/>
    <cellStyle name="Comma 6 7 2 3" xfId="22725"/>
    <cellStyle name="Comma 6 7 2 4" xfId="22726"/>
    <cellStyle name="Comma 6 7 2 5" xfId="22727"/>
    <cellStyle name="Comma 6 7 2 6" xfId="22728"/>
    <cellStyle name="Comma 6 7 2_Sheet1" xfId="22729"/>
    <cellStyle name="Comma 6 7 3" xfId="22730"/>
    <cellStyle name="Comma 6 7 3 2" xfId="22731"/>
    <cellStyle name="Comma 6 7 3 3" xfId="22732"/>
    <cellStyle name="Comma 6 7 3 4" xfId="22733"/>
    <cellStyle name="Comma 6 7 3 5" xfId="22734"/>
    <cellStyle name="Comma 6 7 3 6" xfId="22735"/>
    <cellStyle name="Comma 6 7 3_Sheet1" xfId="22736"/>
    <cellStyle name="Comma 6 7 4" xfId="22737"/>
    <cellStyle name="Comma 6 7 5" xfId="22738"/>
    <cellStyle name="Comma 6 7 6" xfId="22739"/>
    <cellStyle name="Comma 6 7 7" xfId="22740"/>
    <cellStyle name="Comma 6 7 8" xfId="22741"/>
    <cellStyle name="Comma 6 7 9" xfId="22742"/>
    <cellStyle name="Comma 6 7_Sheet1" xfId="22743"/>
    <cellStyle name="Comma 6 8" xfId="22744"/>
    <cellStyle name="Comma 6 8 10" xfId="22745"/>
    <cellStyle name="Comma 6 8 11" xfId="22746"/>
    <cellStyle name="Comma 6 8 12" xfId="22747"/>
    <cellStyle name="Comma 6 8 13" xfId="22748"/>
    <cellStyle name="Comma 6 8 2" xfId="22749"/>
    <cellStyle name="Comma 6 8 2 2" xfId="22750"/>
    <cellStyle name="Comma 6 8 2 3" xfId="22751"/>
    <cellStyle name="Comma 6 8 2 4" xfId="22752"/>
    <cellStyle name="Comma 6 8 2 5" xfId="22753"/>
    <cellStyle name="Comma 6 8 2 6" xfId="22754"/>
    <cellStyle name="Comma 6 8 2_Sheet1" xfId="22755"/>
    <cellStyle name="Comma 6 8 3" xfId="22756"/>
    <cellStyle name="Comma 6 8 4" xfId="22757"/>
    <cellStyle name="Comma 6 8 5" xfId="22758"/>
    <cellStyle name="Comma 6 8 6" xfId="22759"/>
    <cellStyle name="Comma 6 8 7" xfId="22760"/>
    <cellStyle name="Comma 6 8 8" xfId="22761"/>
    <cellStyle name="Comma 6 8 9" xfId="22762"/>
    <cellStyle name="Comma 6 8_Sheet1" xfId="22763"/>
    <cellStyle name="Comma 6 9" xfId="22764"/>
    <cellStyle name="Comma 6 9 10" xfId="22765"/>
    <cellStyle name="Comma 6 9 11" xfId="22766"/>
    <cellStyle name="Comma 6 9 12" xfId="22767"/>
    <cellStyle name="Comma 6 9 13" xfId="22768"/>
    <cellStyle name="Comma 6 9 2" xfId="22769"/>
    <cellStyle name="Comma 6 9 3" xfId="22770"/>
    <cellStyle name="Comma 6 9 4" xfId="22771"/>
    <cellStyle name="Comma 6 9 5" xfId="22772"/>
    <cellStyle name="Comma 6 9 6" xfId="22773"/>
    <cellStyle name="Comma 6 9 7" xfId="22774"/>
    <cellStyle name="Comma 6 9 8" xfId="22775"/>
    <cellStyle name="Comma 6 9 9" xfId="22776"/>
    <cellStyle name="Comma 6 9_Sheet1" xfId="22777"/>
    <cellStyle name="Comma 6_Cash Flow Petroneks_Induk+Konsol" xfId="22778"/>
    <cellStyle name="Comma 60" xfId="22779"/>
    <cellStyle name="Comma 61" xfId="22780"/>
    <cellStyle name="Comma 62" xfId="22781"/>
    <cellStyle name="Comma 63" xfId="22782"/>
    <cellStyle name="Comma 64" xfId="22783"/>
    <cellStyle name="Comma 65" xfId="22784"/>
    <cellStyle name="Comma 66" xfId="22785"/>
    <cellStyle name="Comma 67" xfId="22786"/>
    <cellStyle name="Comma 68" xfId="22787"/>
    <cellStyle name="Comma 69" xfId="22788"/>
    <cellStyle name="Comma 7" xfId="22789"/>
    <cellStyle name="Comma 7 10" xfId="22790"/>
    <cellStyle name="Comma 7 10 10" xfId="22791"/>
    <cellStyle name="Comma 7 10 11" xfId="22792"/>
    <cellStyle name="Comma 7 10 12" xfId="22793"/>
    <cellStyle name="Comma 7 10 13" xfId="22794"/>
    <cellStyle name="Comma 7 10 2" xfId="22795"/>
    <cellStyle name="Comma 7 10 3" xfId="22796"/>
    <cellStyle name="Comma 7 10 4" xfId="22797"/>
    <cellStyle name="Comma 7 10 5" xfId="22798"/>
    <cellStyle name="Comma 7 10 6" xfId="22799"/>
    <cellStyle name="Comma 7 10 7" xfId="22800"/>
    <cellStyle name="Comma 7 10 8" xfId="22801"/>
    <cellStyle name="Comma 7 10 9" xfId="22802"/>
    <cellStyle name="Comma 7 10_Sheet1" xfId="22803"/>
    <cellStyle name="Comma 7 11" xfId="22804"/>
    <cellStyle name="Comma 7 11 10" xfId="22805"/>
    <cellStyle name="Comma 7 11 11" xfId="22806"/>
    <cellStyle name="Comma 7 11 12" xfId="22807"/>
    <cellStyle name="Comma 7 11 13" xfId="22808"/>
    <cellStyle name="Comma 7 11 2" xfId="22809"/>
    <cellStyle name="Comma 7 11 3" xfId="22810"/>
    <cellStyle name="Comma 7 11 4" xfId="22811"/>
    <cellStyle name="Comma 7 11 5" xfId="22812"/>
    <cellStyle name="Comma 7 11 6" xfId="22813"/>
    <cellStyle name="Comma 7 11 7" xfId="22814"/>
    <cellStyle name="Comma 7 11 8" xfId="22815"/>
    <cellStyle name="Comma 7 11 9" xfId="22816"/>
    <cellStyle name="Comma 7 11_Sheet1" xfId="22817"/>
    <cellStyle name="Comma 7 12" xfId="22818"/>
    <cellStyle name="Comma 7 12 10" xfId="22819"/>
    <cellStyle name="Comma 7 12 11" xfId="22820"/>
    <cellStyle name="Comma 7 12 12" xfId="22821"/>
    <cellStyle name="Comma 7 12 13" xfId="22822"/>
    <cellStyle name="Comma 7 12 2" xfId="22823"/>
    <cellStyle name="Comma 7 12 3" xfId="22824"/>
    <cellStyle name="Comma 7 12 4" xfId="22825"/>
    <cellStyle name="Comma 7 12 5" xfId="22826"/>
    <cellStyle name="Comma 7 12 6" xfId="22827"/>
    <cellStyle name="Comma 7 12 7" xfId="22828"/>
    <cellStyle name="Comma 7 12 8" xfId="22829"/>
    <cellStyle name="Comma 7 12 9" xfId="22830"/>
    <cellStyle name="Comma 7 12_Sheet1" xfId="22831"/>
    <cellStyle name="Comma 7 13" xfId="22832"/>
    <cellStyle name="Comma 7 13 10" xfId="22833"/>
    <cellStyle name="Comma 7 13 11" xfId="22834"/>
    <cellStyle name="Comma 7 13 12" xfId="22835"/>
    <cellStyle name="Comma 7 13 13" xfId="22836"/>
    <cellStyle name="Comma 7 13 2" xfId="22837"/>
    <cellStyle name="Comma 7 13 3" xfId="22838"/>
    <cellStyle name="Comma 7 13 4" xfId="22839"/>
    <cellStyle name="Comma 7 13 5" xfId="22840"/>
    <cellStyle name="Comma 7 13 6" xfId="22841"/>
    <cellStyle name="Comma 7 13 7" xfId="22842"/>
    <cellStyle name="Comma 7 13 8" xfId="22843"/>
    <cellStyle name="Comma 7 13 9" xfId="22844"/>
    <cellStyle name="Comma 7 13_Sheet1" xfId="22845"/>
    <cellStyle name="Comma 7 14" xfId="22846"/>
    <cellStyle name="Comma 7 14 10" xfId="22847"/>
    <cellStyle name="Comma 7 14 11" xfId="22848"/>
    <cellStyle name="Comma 7 14 12" xfId="22849"/>
    <cellStyle name="Comma 7 14 13" xfId="22850"/>
    <cellStyle name="Comma 7 14 2" xfId="22851"/>
    <cellStyle name="Comma 7 14 3" xfId="22852"/>
    <cellStyle name="Comma 7 14 4" xfId="22853"/>
    <cellStyle name="Comma 7 14 5" xfId="22854"/>
    <cellStyle name="Comma 7 14 6" xfId="22855"/>
    <cellStyle name="Comma 7 14 7" xfId="22856"/>
    <cellStyle name="Comma 7 14 8" xfId="22857"/>
    <cellStyle name="Comma 7 14 9" xfId="22858"/>
    <cellStyle name="Comma 7 14_Sheet1" xfId="22859"/>
    <cellStyle name="Comma 7 15" xfId="22860"/>
    <cellStyle name="Comma 7 15 10" xfId="22861"/>
    <cellStyle name="Comma 7 15 11" xfId="22862"/>
    <cellStyle name="Comma 7 15 12" xfId="22863"/>
    <cellStyle name="Comma 7 15 13" xfId="22864"/>
    <cellStyle name="Comma 7 15 2" xfId="22865"/>
    <cellStyle name="Comma 7 15 3" xfId="22866"/>
    <cellStyle name="Comma 7 15 4" xfId="22867"/>
    <cellStyle name="Comma 7 15 5" xfId="22868"/>
    <cellStyle name="Comma 7 15 6" xfId="22869"/>
    <cellStyle name="Comma 7 15 7" xfId="22870"/>
    <cellStyle name="Comma 7 15 8" xfId="22871"/>
    <cellStyle name="Comma 7 15 9" xfId="22872"/>
    <cellStyle name="Comma 7 15_Sheet1" xfId="22873"/>
    <cellStyle name="Comma 7 16" xfId="22874"/>
    <cellStyle name="Comma 7 16 10" xfId="22875"/>
    <cellStyle name="Comma 7 16 11" xfId="22876"/>
    <cellStyle name="Comma 7 16 12" xfId="22877"/>
    <cellStyle name="Comma 7 16 13" xfId="22878"/>
    <cellStyle name="Comma 7 16 2" xfId="22879"/>
    <cellStyle name="Comma 7 16 3" xfId="22880"/>
    <cellStyle name="Comma 7 16 4" xfId="22881"/>
    <cellStyle name="Comma 7 16 5" xfId="22882"/>
    <cellStyle name="Comma 7 16 6" xfId="22883"/>
    <cellStyle name="Comma 7 16 7" xfId="22884"/>
    <cellStyle name="Comma 7 16 8" xfId="22885"/>
    <cellStyle name="Comma 7 16 9" xfId="22886"/>
    <cellStyle name="Comma 7 16_Sheet1" xfId="22887"/>
    <cellStyle name="Comma 7 17" xfId="22888"/>
    <cellStyle name="Comma 7 17 10" xfId="22889"/>
    <cellStyle name="Comma 7 17 11" xfId="22890"/>
    <cellStyle name="Comma 7 17 12" xfId="22891"/>
    <cellStyle name="Comma 7 17 13" xfId="22892"/>
    <cellStyle name="Comma 7 17 2" xfId="22893"/>
    <cellStyle name="Comma 7 17 3" xfId="22894"/>
    <cellStyle name="Comma 7 17 4" xfId="22895"/>
    <cellStyle name="Comma 7 17 5" xfId="22896"/>
    <cellStyle name="Comma 7 17 6" xfId="22897"/>
    <cellStyle name="Comma 7 17 7" xfId="22898"/>
    <cellStyle name="Comma 7 17 8" xfId="22899"/>
    <cellStyle name="Comma 7 17 9" xfId="22900"/>
    <cellStyle name="Comma 7 17_Sheet1" xfId="22901"/>
    <cellStyle name="Comma 7 18" xfId="22902"/>
    <cellStyle name="Comma 7 18 10" xfId="22903"/>
    <cellStyle name="Comma 7 18 11" xfId="22904"/>
    <cellStyle name="Comma 7 18 12" xfId="22905"/>
    <cellStyle name="Comma 7 18 13" xfId="22906"/>
    <cellStyle name="Comma 7 18 2" xfId="22907"/>
    <cellStyle name="Comma 7 18 3" xfId="22908"/>
    <cellStyle name="Comma 7 18 4" xfId="22909"/>
    <cellStyle name="Comma 7 18 5" xfId="22910"/>
    <cellStyle name="Comma 7 18 6" xfId="22911"/>
    <cellStyle name="Comma 7 18 7" xfId="22912"/>
    <cellStyle name="Comma 7 18 8" xfId="22913"/>
    <cellStyle name="Comma 7 18 9" xfId="22914"/>
    <cellStyle name="Comma 7 18_Sheet1" xfId="22915"/>
    <cellStyle name="Comma 7 19" xfId="22916"/>
    <cellStyle name="Comma 7 19 2" xfId="22917"/>
    <cellStyle name="Comma 7 19 3" xfId="22918"/>
    <cellStyle name="Comma 7 19 4" xfId="22919"/>
    <cellStyle name="Comma 7 19 5" xfId="22920"/>
    <cellStyle name="Comma 7 19 6" xfId="22921"/>
    <cellStyle name="Comma 7 19 7" xfId="22922"/>
    <cellStyle name="Comma 7 19_Sheet1" xfId="22923"/>
    <cellStyle name="Comma 7 2" xfId="22924"/>
    <cellStyle name="Comma 7 2 10" xfId="22925"/>
    <cellStyle name="Comma 7 2 10 2" xfId="22926"/>
    <cellStyle name="Comma 7 2 10 3" xfId="22927"/>
    <cellStyle name="Comma 7 2 10 4" xfId="22928"/>
    <cellStyle name="Comma 7 2 10 5" xfId="22929"/>
    <cellStyle name="Comma 7 2 10 6" xfId="22930"/>
    <cellStyle name="Comma 7 2 10 7" xfId="22931"/>
    <cellStyle name="Comma 7 2 10_Sheet1" xfId="22932"/>
    <cellStyle name="Comma 7 2 11" xfId="22933"/>
    <cellStyle name="Comma 7 2 11 2" xfId="22934"/>
    <cellStyle name="Comma 7 2 11 3" xfId="22935"/>
    <cellStyle name="Comma 7 2 11 4" xfId="22936"/>
    <cellStyle name="Comma 7 2 11 5" xfId="22937"/>
    <cellStyle name="Comma 7 2 11 6" xfId="22938"/>
    <cellStyle name="Comma 7 2 11 7" xfId="22939"/>
    <cellStyle name="Comma 7 2 11_Sheet1" xfId="22940"/>
    <cellStyle name="Comma 7 2 12" xfId="22941"/>
    <cellStyle name="Comma 7 2 12 2" xfId="22942"/>
    <cellStyle name="Comma 7 2 12 3" xfId="22943"/>
    <cellStyle name="Comma 7 2 12 4" xfId="22944"/>
    <cellStyle name="Comma 7 2 12 5" xfId="22945"/>
    <cellStyle name="Comma 7 2 12 6" xfId="22946"/>
    <cellStyle name="Comma 7 2 12 7" xfId="22947"/>
    <cellStyle name="Comma 7 2 12_Sheet1" xfId="22948"/>
    <cellStyle name="Comma 7 2 13" xfId="22949"/>
    <cellStyle name="Comma 7 2 13 2" xfId="22950"/>
    <cellStyle name="Comma 7 2 13 3" xfId="22951"/>
    <cellStyle name="Comma 7 2 13 4" xfId="22952"/>
    <cellStyle name="Comma 7 2 13 5" xfId="22953"/>
    <cellStyle name="Comma 7 2 13 6" xfId="22954"/>
    <cellStyle name="Comma 7 2 13 7" xfId="22955"/>
    <cellStyle name="Comma 7 2 13_Sheet1" xfId="22956"/>
    <cellStyle name="Comma 7 2 14" xfId="22957"/>
    <cellStyle name="Comma 7 2 14 2" xfId="22958"/>
    <cellStyle name="Comma 7 2 14 3" xfId="22959"/>
    <cellStyle name="Comma 7 2 14 4" xfId="22960"/>
    <cellStyle name="Comma 7 2 14 5" xfId="22961"/>
    <cellStyle name="Comma 7 2 14 6" xfId="22962"/>
    <cellStyle name="Comma 7 2 14 7" xfId="22963"/>
    <cellStyle name="Comma 7 2 14_Sheet1" xfId="22964"/>
    <cellStyle name="Comma 7 2 15" xfId="22965"/>
    <cellStyle name="Comma 7 2 15 2" xfId="22966"/>
    <cellStyle name="Comma 7 2 15 3" xfId="22967"/>
    <cellStyle name="Comma 7 2 15 4" xfId="22968"/>
    <cellStyle name="Comma 7 2 15 5" xfId="22969"/>
    <cellStyle name="Comma 7 2 15 6" xfId="22970"/>
    <cellStyle name="Comma 7 2 15 7" xfId="22971"/>
    <cellStyle name="Comma 7 2 15_Sheet1" xfId="22972"/>
    <cellStyle name="Comma 7 2 16" xfId="22973"/>
    <cellStyle name="Comma 7 2 17" xfId="22974"/>
    <cellStyle name="Comma 7 2 18" xfId="22975"/>
    <cellStyle name="Comma 7 2 19" xfId="22976"/>
    <cellStyle name="Comma 7 2 2" xfId="22977"/>
    <cellStyle name="Comma 7 2 2 2" xfId="22978"/>
    <cellStyle name="Comma 7 2 2 2 2" xfId="22979"/>
    <cellStyle name="Comma 7 2 2 2_Sheet1" xfId="22980"/>
    <cellStyle name="Comma 7 2 2 3" xfId="22981"/>
    <cellStyle name="Comma 7 2 2 3 2" xfId="22982"/>
    <cellStyle name="Comma 7 2 2 3_Sheet1" xfId="22983"/>
    <cellStyle name="Comma 7 2 2 4" xfId="22984"/>
    <cellStyle name="Comma 7 2 2 4 2" xfId="22985"/>
    <cellStyle name="Comma 7 2 2 4_Sheet1" xfId="22986"/>
    <cellStyle name="Comma 7 2 2 5" xfId="22987"/>
    <cellStyle name="Comma 7 2 2 5 2" xfId="22988"/>
    <cellStyle name="Comma 7 2 2 5_Sheet1" xfId="22989"/>
    <cellStyle name="Comma 7 2 2 6" xfId="22990"/>
    <cellStyle name="Comma 7 2 2 7" xfId="22991"/>
    <cellStyle name="Comma 7 2 2_Sheet1" xfId="22992"/>
    <cellStyle name="Comma 7 2 20" xfId="22993"/>
    <cellStyle name="Comma 7 2 21" xfId="22994"/>
    <cellStyle name="Comma 7 2 22" xfId="22995"/>
    <cellStyle name="Comma 7 2 23" xfId="22996"/>
    <cellStyle name="Comma 7 2 24" xfId="22997"/>
    <cellStyle name="Comma 7 2 25" xfId="22998"/>
    <cellStyle name="Comma 7 2 26" xfId="22999"/>
    <cellStyle name="Comma 7 2 27" xfId="23000"/>
    <cellStyle name="Comma 7 2 3" xfId="23001"/>
    <cellStyle name="Comma 7 2 3 2" xfId="23002"/>
    <cellStyle name="Comma 7 2 3 3" xfId="23003"/>
    <cellStyle name="Comma 7 2 3 4" xfId="23004"/>
    <cellStyle name="Comma 7 2 3 5" xfId="23005"/>
    <cellStyle name="Comma 7 2 3 6" xfId="23006"/>
    <cellStyle name="Comma 7 2 3 7" xfId="23007"/>
    <cellStyle name="Comma 7 2 3_Sheet1" xfId="23008"/>
    <cellStyle name="Comma 7 2 4" xfId="23009"/>
    <cellStyle name="Comma 7 2 4 2" xfId="23010"/>
    <cellStyle name="Comma 7 2 4 3" xfId="23011"/>
    <cellStyle name="Comma 7 2 4 4" xfId="23012"/>
    <cellStyle name="Comma 7 2 4 5" xfId="23013"/>
    <cellStyle name="Comma 7 2 4 6" xfId="23014"/>
    <cellStyle name="Comma 7 2 4 7" xfId="23015"/>
    <cellStyle name="Comma 7 2 4_Sheet1" xfId="23016"/>
    <cellStyle name="Comma 7 2 5" xfId="23017"/>
    <cellStyle name="Comma 7 2 5 2" xfId="23018"/>
    <cellStyle name="Comma 7 2 5 3" xfId="23019"/>
    <cellStyle name="Comma 7 2 5 4" xfId="23020"/>
    <cellStyle name="Comma 7 2 5 5" xfId="23021"/>
    <cellStyle name="Comma 7 2 5 6" xfId="23022"/>
    <cellStyle name="Comma 7 2 5 7" xfId="23023"/>
    <cellStyle name="Comma 7 2 5_Sheet1" xfId="23024"/>
    <cellStyle name="Comma 7 2 6" xfId="23025"/>
    <cellStyle name="Comma 7 2 6 2" xfId="23026"/>
    <cellStyle name="Comma 7 2 6 3" xfId="23027"/>
    <cellStyle name="Comma 7 2 6 4" xfId="23028"/>
    <cellStyle name="Comma 7 2 6 5" xfId="23029"/>
    <cellStyle name="Comma 7 2 6 6" xfId="23030"/>
    <cellStyle name="Comma 7 2 6 7" xfId="23031"/>
    <cellStyle name="Comma 7 2 6_Sheet1" xfId="23032"/>
    <cellStyle name="Comma 7 2 7" xfId="23033"/>
    <cellStyle name="Comma 7 2 7 2" xfId="23034"/>
    <cellStyle name="Comma 7 2 7 3" xfId="23035"/>
    <cellStyle name="Comma 7 2 7 4" xfId="23036"/>
    <cellStyle name="Comma 7 2 7 5" xfId="23037"/>
    <cellStyle name="Comma 7 2 7 6" xfId="23038"/>
    <cellStyle name="Comma 7 2 7 7" xfId="23039"/>
    <cellStyle name="Comma 7 2 7_Sheet1" xfId="23040"/>
    <cellStyle name="Comma 7 2 8" xfId="23041"/>
    <cellStyle name="Comma 7 2 8 2" xfId="23042"/>
    <cellStyle name="Comma 7 2 8 3" xfId="23043"/>
    <cellStyle name="Comma 7 2 8 4" xfId="23044"/>
    <cellStyle name="Comma 7 2 8 5" xfId="23045"/>
    <cellStyle name="Comma 7 2 8 6" xfId="23046"/>
    <cellStyle name="Comma 7 2 8 7" xfId="23047"/>
    <cellStyle name="Comma 7 2 8_Sheet1" xfId="23048"/>
    <cellStyle name="Comma 7 2 9" xfId="23049"/>
    <cellStyle name="Comma 7 2 9 2" xfId="23050"/>
    <cellStyle name="Comma 7 2 9 3" xfId="23051"/>
    <cellStyle name="Comma 7 2 9 4" xfId="23052"/>
    <cellStyle name="Comma 7 2 9 5" xfId="23053"/>
    <cellStyle name="Comma 7 2 9 6" xfId="23054"/>
    <cellStyle name="Comma 7 2 9 7" xfId="23055"/>
    <cellStyle name="Comma 7 2 9_Sheet1" xfId="23056"/>
    <cellStyle name="Comma 7 2_Schedule MP (2)" xfId="23057"/>
    <cellStyle name="Comma 7 20" xfId="23058"/>
    <cellStyle name="Comma 7 20 2" xfId="23059"/>
    <cellStyle name="Comma 7 20 3" xfId="23060"/>
    <cellStyle name="Comma 7 20 4" xfId="23061"/>
    <cellStyle name="Comma 7 20 5" xfId="23062"/>
    <cellStyle name="Comma 7 20 6" xfId="23063"/>
    <cellStyle name="Comma 7 20 7" xfId="23064"/>
    <cellStyle name="Comma 7 20_Sheet1" xfId="23065"/>
    <cellStyle name="Comma 7 21" xfId="23066"/>
    <cellStyle name="Comma 7 21 2" xfId="23067"/>
    <cellStyle name="Comma 7 21 3" xfId="23068"/>
    <cellStyle name="Comma 7 21 4" xfId="23069"/>
    <cellStyle name="Comma 7 21 5" xfId="23070"/>
    <cellStyle name="Comma 7 21 6" xfId="23071"/>
    <cellStyle name="Comma 7 21 7" xfId="23072"/>
    <cellStyle name="Comma 7 21_Sheet1" xfId="23073"/>
    <cellStyle name="Comma 7 22" xfId="23074"/>
    <cellStyle name="Comma 7 22 2" xfId="23075"/>
    <cellStyle name="Comma 7 22 3" xfId="23076"/>
    <cellStyle name="Comma 7 22 4" xfId="23077"/>
    <cellStyle name="Comma 7 22 5" xfId="23078"/>
    <cellStyle name="Comma 7 22 6" xfId="23079"/>
    <cellStyle name="Comma 7 22 7" xfId="23080"/>
    <cellStyle name="Comma 7 22_Sheet1" xfId="23081"/>
    <cellStyle name="Comma 7 23" xfId="23082"/>
    <cellStyle name="Comma 7 23 2" xfId="23083"/>
    <cellStyle name="Comma 7 23 3" xfId="23084"/>
    <cellStyle name="Comma 7 23 4" xfId="23085"/>
    <cellStyle name="Comma 7 23 5" xfId="23086"/>
    <cellStyle name="Comma 7 23 6" xfId="23087"/>
    <cellStyle name="Comma 7 23 7" xfId="23088"/>
    <cellStyle name="Comma 7 23_Sheet1" xfId="23089"/>
    <cellStyle name="Comma 7 24" xfId="23090"/>
    <cellStyle name="Comma 7 24 2" xfId="23091"/>
    <cellStyle name="Comma 7 24 3" xfId="23092"/>
    <cellStyle name="Comma 7 24 4" xfId="23093"/>
    <cellStyle name="Comma 7 24 5" xfId="23094"/>
    <cellStyle name="Comma 7 24 6" xfId="23095"/>
    <cellStyle name="Comma 7 24 7" xfId="23096"/>
    <cellStyle name="Comma 7 24_Sheet1" xfId="23097"/>
    <cellStyle name="Comma 7 25" xfId="23098"/>
    <cellStyle name="Comma 7 25 2" xfId="23099"/>
    <cellStyle name="Comma 7 25 3" xfId="23100"/>
    <cellStyle name="Comma 7 25 4" xfId="23101"/>
    <cellStyle name="Comma 7 25 5" xfId="23102"/>
    <cellStyle name="Comma 7 25 6" xfId="23103"/>
    <cellStyle name="Comma 7 25 7" xfId="23104"/>
    <cellStyle name="Comma 7 25_Sheet1" xfId="23105"/>
    <cellStyle name="Comma 7 26" xfId="23106"/>
    <cellStyle name="Comma 7 26 2" xfId="23107"/>
    <cellStyle name="Comma 7 26 3" xfId="23108"/>
    <cellStyle name="Comma 7 26 4" xfId="23109"/>
    <cellStyle name="Comma 7 26 5" xfId="23110"/>
    <cellStyle name="Comma 7 26 6" xfId="23111"/>
    <cellStyle name="Comma 7 26 7" xfId="23112"/>
    <cellStyle name="Comma 7 26_Sheet1" xfId="23113"/>
    <cellStyle name="Comma 7 27" xfId="23114"/>
    <cellStyle name="Comma 7 27 2" xfId="23115"/>
    <cellStyle name="Comma 7 27 3" xfId="23116"/>
    <cellStyle name="Comma 7 27 4" xfId="23117"/>
    <cellStyle name="Comma 7 27 5" xfId="23118"/>
    <cellStyle name="Comma 7 27 6" xfId="23119"/>
    <cellStyle name="Comma 7 27 7" xfId="23120"/>
    <cellStyle name="Comma 7 27_Sheet1" xfId="23121"/>
    <cellStyle name="Comma 7 28" xfId="23122"/>
    <cellStyle name="Comma 7 28 2" xfId="23123"/>
    <cellStyle name="Comma 7 28 3" xfId="23124"/>
    <cellStyle name="Comma 7 28 4" xfId="23125"/>
    <cellStyle name="Comma 7 28 5" xfId="23126"/>
    <cellStyle name="Comma 7 28 6" xfId="23127"/>
    <cellStyle name="Comma 7 28 7" xfId="23128"/>
    <cellStyle name="Comma 7 28_Sheet1" xfId="23129"/>
    <cellStyle name="Comma 7 29" xfId="23130"/>
    <cellStyle name="Comma 7 29 2" xfId="23131"/>
    <cellStyle name="Comma 7 29 3" xfId="23132"/>
    <cellStyle name="Comma 7 29 4" xfId="23133"/>
    <cellStyle name="Comma 7 29 5" xfId="23134"/>
    <cellStyle name="Comma 7 29 6" xfId="23135"/>
    <cellStyle name="Comma 7 29 7" xfId="23136"/>
    <cellStyle name="Comma 7 29 8" xfId="23137"/>
    <cellStyle name="Comma 7 29 8 2" xfId="23138"/>
    <cellStyle name="Comma 7 29 8_Sheet1" xfId="23139"/>
    <cellStyle name="Comma 7 29_Sheet1" xfId="23140"/>
    <cellStyle name="Comma 7 3" xfId="23141"/>
    <cellStyle name="Comma 7 3 10" xfId="23142"/>
    <cellStyle name="Comma 7 3 11" xfId="23143"/>
    <cellStyle name="Comma 7 3 12" xfId="23144"/>
    <cellStyle name="Comma 7 3 13" xfId="23145"/>
    <cellStyle name="Comma 7 3 2" xfId="23146"/>
    <cellStyle name="Comma 7 3 3" xfId="23147"/>
    <cellStyle name="Comma 7 3 4" xfId="23148"/>
    <cellStyle name="Comma 7 3 5" xfId="23149"/>
    <cellStyle name="Comma 7 3 6" xfId="23150"/>
    <cellStyle name="Comma 7 3 7" xfId="23151"/>
    <cellStyle name="Comma 7 3 8" xfId="23152"/>
    <cellStyle name="Comma 7 3 9" xfId="23153"/>
    <cellStyle name="Comma 7 3_Sheet1" xfId="23154"/>
    <cellStyle name="Comma 7 30" xfId="23155"/>
    <cellStyle name="Comma 7 30 2" xfId="23156"/>
    <cellStyle name="Comma 7 30 2 2" xfId="23157"/>
    <cellStyle name="Comma 7 30 2 2 2" xfId="23158"/>
    <cellStyle name="Comma 7 30 2 2 3" xfId="23159"/>
    <cellStyle name="Comma 7 30 2 2 4" xfId="23160"/>
    <cellStyle name="Comma 7 30 2 2 5" xfId="23161"/>
    <cellStyle name="Comma 7 30 2 2 6" xfId="23162"/>
    <cellStyle name="Comma 7 30 2 2 7" xfId="23163"/>
    <cellStyle name="Comma 7 30 2 2_Sheet1" xfId="23164"/>
    <cellStyle name="Comma 7 30 2 3" xfId="23165"/>
    <cellStyle name="Comma 7 30 2 4" xfId="23166"/>
    <cellStyle name="Comma 7 30 2 5" xfId="23167"/>
    <cellStyle name="Comma 7 30 2 6" xfId="23168"/>
    <cellStyle name="Comma 7 30 2 7" xfId="23169"/>
    <cellStyle name="Comma 7 30 2 8" xfId="23170"/>
    <cellStyle name="Comma 7 30 2_Sheet1" xfId="23171"/>
    <cellStyle name="Comma 7 30 3" xfId="23172"/>
    <cellStyle name="Comma 7 30 4" xfId="23173"/>
    <cellStyle name="Comma 7 30 5" xfId="23174"/>
    <cellStyle name="Comma 7 30 6" xfId="23175"/>
    <cellStyle name="Comma 7 30 7" xfId="23176"/>
    <cellStyle name="Comma 7 30 8" xfId="23177"/>
    <cellStyle name="Comma 7 30_Sheet1" xfId="23178"/>
    <cellStyle name="Comma 7 31" xfId="23179"/>
    <cellStyle name="Comma 7 32" xfId="23180"/>
    <cellStyle name="Comma 7 33" xfId="23181"/>
    <cellStyle name="Comma 7 34" xfId="23182"/>
    <cellStyle name="Comma 7 35" xfId="23183"/>
    <cellStyle name="Comma 7 36" xfId="23184"/>
    <cellStyle name="Comma 7 37" xfId="23185"/>
    <cellStyle name="Comma 7 38" xfId="23186"/>
    <cellStyle name="Comma 7 39" xfId="23187"/>
    <cellStyle name="Comma 7 4" xfId="23188"/>
    <cellStyle name="Comma 7 4 10" xfId="23189"/>
    <cellStyle name="Comma 7 4 11" xfId="23190"/>
    <cellStyle name="Comma 7 4 12" xfId="23191"/>
    <cellStyle name="Comma 7 4 13" xfId="23192"/>
    <cellStyle name="Comma 7 4 2" xfId="23193"/>
    <cellStyle name="Comma 7 4 3" xfId="23194"/>
    <cellStyle name="Comma 7 4 4" xfId="23195"/>
    <cellStyle name="Comma 7 4 5" xfId="23196"/>
    <cellStyle name="Comma 7 4 6" xfId="23197"/>
    <cellStyle name="Comma 7 4 7" xfId="23198"/>
    <cellStyle name="Comma 7 4 8" xfId="23199"/>
    <cellStyle name="Comma 7 4 9" xfId="23200"/>
    <cellStyle name="Comma 7 4_Sheet1" xfId="23201"/>
    <cellStyle name="Comma 7 40" xfId="23202"/>
    <cellStyle name="Comma 7 41" xfId="23203"/>
    <cellStyle name="Comma 7 42" xfId="23204"/>
    <cellStyle name="Comma 7 43" xfId="23205"/>
    <cellStyle name="Comma 7 44" xfId="23206"/>
    <cellStyle name="Comma 7 45" xfId="23207"/>
    <cellStyle name="Comma 7 45 2" xfId="23208"/>
    <cellStyle name="Comma 7 45_Sheet1" xfId="23209"/>
    <cellStyle name="Comma 7 46" xfId="23210"/>
    <cellStyle name="Comma 7 47" xfId="23211"/>
    <cellStyle name="Comma 7 47 2" xfId="23212"/>
    <cellStyle name="Comma 7 47 2 2" xfId="23213"/>
    <cellStyle name="Comma 7 47 2_Sheet1" xfId="23214"/>
    <cellStyle name="Comma 7 47_Sheet1" xfId="23215"/>
    <cellStyle name="Comma 7 48" xfId="23216"/>
    <cellStyle name="Comma 7 49" xfId="23217"/>
    <cellStyle name="Comma 7 5" xfId="23218"/>
    <cellStyle name="Comma 7 5 10" xfId="23219"/>
    <cellStyle name="Comma 7 5 11" xfId="23220"/>
    <cellStyle name="Comma 7 5 12" xfId="23221"/>
    <cellStyle name="Comma 7 5 13" xfId="23222"/>
    <cellStyle name="Comma 7 5 2" xfId="23223"/>
    <cellStyle name="Comma 7 5 3" xfId="23224"/>
    <cellStyle name="Comma 7 5 4" xfId="23225"/>
    <cellStyle name="Comma 7 5 5" xfId="23226"/>
    <cellStyle name="Comma 7 5 6" xfId="23227"/>
    <cellStyle name="Comma 7 5 7" xfId="23228"/>
    <cellStyle name="Comma 7 5 8" xfId="23229"/>
    <cellStyle name="Comma 7 5 9" xfId="23230"/>
    <cellStyle name="Comma 7 5_Sheet1" xfId="23231"/>
    <cellStyle name="Comma 7 6" xfId="23232"/>
    <cellStyle name="Comma 7 6 10" xfId="23233"/>
    <cellStyle name="Comma 7 6 11" xfId="23234"/>
    <cellStyle name="Comma 7 6 12" xfId="23235"/>
    <cellStyle name="Comma 7 6 13" xfId="23236"/>
    <cellStyle name="Comma 7 6 2" xfId="23237"/>
    <cellStyle name="Comma 7 6 3" xfId="23238"/>
    <cellStyle name="Comma 7 6 4" xfId="23239"/>
    <cellStyle name="Comma 7 6 5" xfId="23240"/>
    <cellStyle name="Comma 7 6 6" xfId="23241"/>
    <cellStyle name="Comma 7 6 7" xfId="23242"/>
    <cellStyle name="Comma 7 6 8" xfId="23243"/>
    <cellStyle name="Comma 7 6 9" xfId="23244"/>
    <cellStyle name="Comma 7 6_Sheet1" xfId="23245"/>
    <cellStyle name="Comma 7 7" xfId="23246"/>
    <cellStyle name="Comma 7 7 10" xfId="23247"/>
    <cellStyle name="Comma 7 7 11" xfId="23248"/>
    <cellStyle name="Comma 7 7 12" xfId="23249"/>
    <cellStyle name="Comma 7 7 13" xfId="23250"/>
    <cellStyle name="Comma 7 7 2" xfId="23251"/>
    <cellStyle name="Comma 7 7 3" xfId="23252"/>
    <cellStyle name="Comma 7 7 4" xfId="23253"/>
    <cellStyle name="Comma 7 7 5" xfId="23254"/>
    <cellStyle name="Comma 7 7 6" xfId="23255"/>
    <cellStyle name="Comma 7 7 7" xfId="23256"/>
    <cellStyle name="Comma 7 7 8" xfId="23257"/>
    <cellStyle name="Comma 7 7 9" xfId="23258"/>
    <cellStyle name="Comma 7 7_Sheet1" xfId="23259"/>
    <cellStyle name="Comma 7 8" xfId="23260"/>
    <cellStyle name="Comma 7 8 10" xfId="23261"/>
    <cellStyle name="Comma 7 8 11" xfId="23262"/>
    <cellStyle name="Comma 7 8 12" xfId="23263"/>
    <cellStyle name="Comma 7 8 13" xfId="23264"/>
    <cellStyle name="Comma 7 8 2" xfId="23265"/>
    <cellStyle name="Comma 7 8 3" xfId="23266"/>
    <cellStyle name="Comma 7 8 4" xfId="23267"/>
    <cellStyle name="Comma 7 8 5" xfId="23268"/>
    <cellStyle name="Comma 7 8 6" xfId="23269"/>
    <cellStyle name="Comma 7 8 7" xfId="23270"/>
    <cellStyle name="Comma 7 8 8" xfId="23271"/>
    <cellStyle name="Comma 7 8 9" xfId="23272"/>
    <cellStyle name="Comma 7 8_Sheet1" xfId="23273"/>
    <cellStyle name="Comma 7 9" xfId="23274"/>
    <cellStyle name="Comma 7 9 10" xfId="23275"/>
    <cellStyle name="Comma 7 9 11" xfId="23276"/>
    <cellStyle name="Comma 7 9 12" xfId="23277"/>
    <cellStyle name="Comma 7 9 13" xfId="23278"/>
    <cellStyle name="Comma 7 9 2" xfId="23279"/>
    <cellStyle name="Comma 7 9 3" xfId="23280"/>
    <cellStyle name="Comma 7 9 4" xfId="23281"/>
    <cellStyle name="Comma 7 9 5" xfId="23282"/>
    <cellStyle name="Comma 7 9 6" xfId="23283"/>
    <cellStyle name="Comma 7 9 7" xfId="23284"/>
    <cellStyle name="Comma 7 9 8" xfId="23285"/>
    <cellStyle name="Comma 7 9 9" xfId="23286"/>
    <cellStyle name="Comma 7 9_Sheet1" xfId="23287"/>
    <cellStyle name="Comma 7_Cash Flow Petroneks_Induk+Konsol" xfId="23288"/>
    <cellStyle name="Comma 70" xfId="23289"/>
    <cellStyle name="Comma 71" xfId="23290"/>
    <cellStyle name="Comma 72" xfId="23291"/>
    <cellStyle name="Comma 73" xfId="23292"/>
    <cellStyle name="Comma 74" xfId="23293"/>
    <cellStyle name="Comma 75" xfId="23294"/>
    <cellStyle name="Comma 76" xfId="23295"/>
    <cellStyle name="Comma 77" xfId="23296"/>
    <cellStyle name="Comma 78" xfId="23297"/>
    <cellStyle name="Comma 79" xfId="23298"/>
    <cellStyle name="Comma 8" xfId="23299"/>
    <cellStyle name="Comma 8 10" xfId="23300"/>
    <cellStyle name="Comma 8 11" xfId="23301"/>
    <cellStyle name="Comma 8 12" xfId="23302"/>
    <cellStyle name="Comma 8 13" xfId="23303"/>
    <cellStyle name="Comma 8 14" xfId="23304"/>
    <cellStyle name="Comma 8 15" xfId="23305"/>
    <cellStyle name="Comma 8 16" xfId="23306"/>
    <cellStyle name="Comma 8 17" xfId="23307"/>
    <cellStyle name="Comma 8 18" xfId="23308"/>
    <cellStyle name="Comma 8 19" xfId="23309"/>
    <cellStyle name="Comma 8 2" xfId="23310"/>
    <cellStyle name="Comma 8 2 2" xfId="23311"/>
    <cellStyle name="Comma 8 2 2 2" xfId="23312"/>
    <cellStyle name="Comma 8 2 2 3" xfId="23313"/>
    <cellStyle name="Comma 8 2 2_Sheet1" xfId="23314"/>
    <cellStyle name="Comma 8 2 3" xfId="23315"/>
    <cellStyle name="Comma 8 2 3 2" xfId="23316"/>
    <cellStyle name="Comma 8 2 3_Sheet1" xfId="23317"/>
    <cellStyle name="Comma 8 2 4" xfId="23318"/>
    <cellStyle name="Comma 8 2 4 2" xfId="23319"/>
    <cellStyle name="Comma 8 2 4_Sheet1" xfId="23320"/>
    <cellStyle name="Comma 8 2 5" xfId="23321"/>
    <cellStyle name="Comma 8 2 5 2" xfId="23322"/>
    <cellStyle name="Comma 8 2 5_Sheet1" xfId="23323"/>
    <cellStyle name="Comma 8 2 6" xfId="23324"/>
    <cellStyle name="Comma 8 2 7" xfId="23325"/>
    <cellStyle name="Comma 8 2_Schedule MP (2)" xfId="23326"/>
    <cellStyle name="Comma 8 20" xfId="23327"/>
    <cellStyle name="Comma 8 21" xfId="23328"/>
    <cellStyle name="Comma 8 22" xfId="23329"/>
    <cellStyle name="Comma 8 23" xfId="23330"/>
    <cellStyle name="Comma 8 24" xfId="23331"/>
    <cellStyle name="Comma 8 25" xfId="23332"/>
    <cellStyle name="Comma 8 26" xfId="23333"/>
    <cellStyle name="Comma 8 3" xfId="23334"/>
    <cellStyle name="Comma 8 3 2" xfId="23335"/>
    <cellStyle name="Comma 8 3_Sheet1" xfId="23336"/>
    <cellStyle name="Comma 8 4" xfId="23337"/>
    <cellStyle name="Comma 8 4 2" xfId="23338"/>
    <cellStyle name="Comma 8 4 3" xfId="23339"/>
    <cellStyle name="Comma 8 4_Sheet1" xfId="23340"/>
    <cellStyle name="Comma 8 5" xfId="23341"/>
    <cellStyle name="Comma 8 5 2" xfId="23342"/>
    <cellStyle name="Comma 8 5 2 2" xfId="23343"/>
    <cellStyle name="Comma 8 5 2 3" xfId="23344"/>
    <cellStyle name="Comma 8 5 2 4" xfId="23345"/>
    <cellStyle name="Comma 8 5 2 5" xfId="23346"/>
    <cellStyle name="Comma 8 5 2 6" xfId="23347"/>
    <cellStyle name="Comma 8 5 2 7" xfId="23348"/>
    <cellStyle name="Comma 8 5 2_Sheet1" xfId="23349"/>
    <cellStyle name="Comma 8 5 3" xfId="23350"/>
    <cellStyle name="Comma 8 5_Sheet1" xfId="23351"/>
    <cellStyle name="Comma 8 6" xfId="23352"/>
    <cellStyle name="Comma 8 6 2" xfId="23353"/>
    <cellStyle name="Comma 8 6 3" xfId="23354"/>
    <cellStyle name="Comma 8 6_Sheet1" xfId="23355"/>
    <cellStyle name="Comma 8 7" xfId="23356"/>
    <cellStyle name="Comma 8 7 2" xfId="23357"/>
    <cellStyle name="Comma 8 7_Sheet1" xfId="23358"/>
    <cellStyle name="Comma 8 8" xfId="23359"/>
    <cellStyle name="Comma 8 9" xfId="23360"/>
    <cellStyle name="Comma 8_Schedule MP (2)" xfId="23361"/>
    <cellStyle name="Comma 80" xfId="23362"/>
    <cellStyle name="Comma 81" xfId="23363"/>
    <cellStyle name="Comma 82" xfId="23364"/>
    <cellStyle name="Comma 83" xfId="23365"/>
    <cellStyle name="Comma 84" xfId="23366"/>
    <cellStyle name="Comma 85" xfId="23367"/>
    <cellStyle name="Comma 86" xfId="23368"/>
    <cellStyle name="Comma 87" xfId="23369"/>
    <cellStyle name="Comma 88" xfId="23370"/>
    <cellStyle name="Comma 89" xfId="23371"/>
    <cellStyle name="Comma 9" xfId="23372"/>
    <cellStyle name="Comma 9 10" xfId="23373"/>
    <cellStyle name="Comma 9 10 2" xfId="23374"/>
    <cellStyle name="Comma 9 10 3" xfId="23375"/>
    <cellStyle name="Comma 9 10 4" xfId="23376"/>
    <cellStyle name="Comma 9 10 5" xfId="23377"/>
    <cellStyle name="Comma 9 10 6" xfId="23378"/>
    <cellStyle name="Comma 9 10 7" xfId="23379"/>
    <cellStyle name="Comma 9 10_Sheet1" xfId="23380"/>
    <cellStyle name="Comma 9 11" xfId="23381"/>
    <cellStyle name="Comma 9 11 2" xfId="23382"/>
    <cellStyle name="Comma 9 11 3" xfId="23383"/>
    <cellStyle name="Comma 9 11 4" xfId="23384"/>
    <cellStyle name="Comma 9 11 5" xfId="23385"/>
    <cellStyle name="Comma 9 11 6" xfId="23386"/>
    <cellStyle name="Comma 9 11 7" xfId="23387"/>
    <cellStyle name="Comma 9 11_Sheet1" xfId="23388"/>
    <cellStyle name="Comma 9 12" xfId="23389"/>
    <cellStyle name="Comma 9 12 2" xfId="23390"/>
    <cellStyle name="Comma 9 12 3" xfId="23391"/>
    <cellStyle name="Comma 9 12 4" xfId="23392"/>
    <cellStyle name="Comma 9 12 5" xfId="23393"/>
    <cellStyle name="Comma 9 12 6" xfId="23394"/>
    <cellStyle name="Comma 9 12 7" xfId="23395"/>
    <cellStyle name="Comma 9 12_Sheet1" xfId="23396"/>
    <cellStyle name="Comma 9 13" xfId="23397"/>
    <cellStyle name="Comma 9 13 2" xfId="23398"/>
    <cellStyle name="Comma 9 13 3" xfId="23399"/>
    <cellStyle name="Comma 9 13 4" xfId="23400"/>
    <cellStyle name="Comma 9 13 5" xfId="23401"/>
    <cellStyle name="Comma 9 13 6" xfId="23402"/>
    <cellStyle name="Comma 9 13 7" xfId="23403"/>
    <cellStyle name="Comma 9 13_Sheet1" xfId="23404"/>
    <cellStyle name="Comma 9 14" xfId="23405"/>
    <cellStyle name="Comma 9 14 2" xfId="23406"/>
    <cellStyle name="Comma 9 14 3" xfId="23407"/>
    <cellStyle name="Comma 9 14 4" xfId="23408"/>
    <cellStyle name="Comma 9 14 5" xfId="23409"/>
    <cellStyle name="Comma 9 14 6" xfId="23410"/>
    <cellStyle name="Comma 9 14 7" xfId="23411"/>
    <cellStyle name="Comma 9 14_Sheet1" xfId="23412"/>
    <cellStyle name="Comma 9 15" xfId="23413"/>
    <cellStyle name="Comma 9 15 2" xfId="23414"/>
    <cellStyle name="Comma 9 15 3" xfId="23415"/>
    <cellStyle name="Comma 9 15 4" xfId="23416"/>
    <cellStyle name="Comma 9 15 5" xfId="23417"/>
    <cellStyle name="Comma 9 15 6" xfId="23418"/>
    <cellStyle name="Comma 9 15 7" xfId="23419"/>
    <cellStyle name="Comma 9 15_Sheet1" xfId="23420"/>
    <cellStyle name="Comma 9 16" xfId="23421"/>
    <cellStyle name="Comma 9 16 2" xfId="23422"/>
    <cellStyle name="Comma 9 16 3" xfId="23423"/>
    <cellStyle name="Comma 9 16 4" xfId="23424"/>
    <cellStyle name="Comma 9 16 5" xfId="23425"/>
    <cellStyle name="Comma 9 16 6" xfId="23426"/>
    <cellStyle name="Comma 9 16 7" xfId="23427"/>
    <cellStyle name="Comma 9 16_Sheet1" xfId="23428"/>
    <cellStyle name="Comma 9 17" xfId="23429"/>
    <cellStyle name="Comma 9 17 2" xfId="23430"/>
    <cellStyle name="Comma 9 17 3" xfId="23431"/>
    <cellStyle name="Comma 9 17 4" xfId="23432"/>
    <cellStyle name="Comma 9 17 5" xfId="23433"/>
    <cellStyle name="Comma 9 17 6" xfId="23434"/>
    <cellStyle name="Comma 9 17 7" xfId="23435"/>
    <cellStyle name="Comma 9 17_Sheet1" xfId="23436"/>
    <cellStyle name="Comma 9 18" xfId="23437"/>
    <cellStyle name="Comma 9 18 2" xfId="23438"/>
    <cellStyle name="Comma 9 18 3" xfId="23439"/>
    <cellStyle name="Comma 9 18 4" xfId="23440"/>
    <cellStyle name="Comma 9 18 5" xfId="23441"/>
    <cellStyle name="Comma 9 18 6" xfId="23442"/>
    <cellStyle name="Comma 9 18 7" xfId="23443"/>
    <cellStyle name="Comma 9 18_Sheet1" xfId="23444"/>
    <cellStyle name="Comma 9 19" xfId="23445"/>
    <cellStyle name="Comma 9 19 2" xfId="23446"/>
    <cellStyle name="Comma 9 19 3" xfId="23447"/>
    <cellStyle name="Comma 9 19 4" xfId="23448"/>
    <cellStyle name="Comma 9 19 5" xfId="23449"/>
    <cellStyle name="Comma 9 19 6" xfId="23450"/>
    <cellStyle name="Comma 9 19 7" xfId="23451"/>
    <cellStyle name="Comma 9 19_Sheet1" xfId="23452"/>
    <cellStyle name="Comma 9 2" xfId="23453"/>
    <cellStyle name="Comma 9 2 10" xfId="23454"/>
    <cellStyle name="Comma 9 2 11" xfId="23455"/>
    <cellStyle name="Comma 9 2 12" xfId="23456"/>
    <cellStyle name="Comma 9 2 13" xfId="23457"/>
    <cellStyle name="Comma 9 2 2" xfId="23458"/>
    <cellStyle name="Comma 9 2 2 2" xfId="23459"/>
    <cellStyle name="Comma 9 2 2 2 2" xfId="23460"/>
    <cellStyle name="Comma 9 2 2 2 3" xfId="23461"/>
    <cellStyle name="Comma 9 2 2 2 4" xfId="23462"/>
    <cellStyle name="Comma 9 2 2 2 5" xfId="23463"/>
    <cellStyle name="Comma 9 2 2 2 6" xfId="23464"/>
    <cellStyle name="Comma 9 2 2 2 7" xfId="23465"/>
    <cellStyle name="Comma 9 2 2 2_Sheet1" xfId="23466"/>
    <cellStyle name="Comma 9 2 2 3" xfId="23467"/>
    <cellStyle name="Comma 9 2 2 4" xfId="23468"/>
    <cellStyle name="Comma 9 2 2 5" xfId="23469"/>
    <cellStyle name="Comma 9 2 2 6" xfId="23470"/>
    <cellStyle name="Comma 9 2 2 7" xfId="23471"/>
    <cellStyle name="Comma 9 2 2 8" xfId="23472"/>
    <cellStyle name="Comma 9 2 2_Sheet1" xfId="23473"/>
    <cellStyle name="Comma 9 2 3" xfId="23474"/>
    <cellStyle name="Comma 9 2 3 2" xfId="23475"/>
    <cellStyle name="Comma 9 2 3 3" xfId="23476"/>
    <cellStyle name="Comma 9 2 3 4" xfId="23477"/>
    <cellStyle name="Comma 9 2 3 5" xfId="23478"/>
    <cellStyle name="Comma 9 2 3 6" xfId="23479"/>
    <cellStyle name="Comma 9 2 3 7" xfId="23480"/>
    <cellStyle name="Comma 9 2 3_Sheet1" xfId="23481"/>
    <cellStyle name="Comma 9 2 4" xfId="23482"/>
    <cellStyle name="Comma 9 2 4 2" xfId="23483"/>
    <cellStyle name="Comma 9 2 4 3" xfId="23484"/>
    <cellStyle name="Comma 9 2 4 4" xfId="23485"/>
    <cellStyle name="Comma 9 2 4 5" xfId="23486"/>
    <cellStyle name="Comma 9 2 4 6" xfId="23487"/>
    <cellStyle name="Comma 9 2 4 7" xfId="23488"/>
    <cellStyle name="Comma 9 2 4_Sheet1" xfId="23489"/>
    <cellStyle name="Comma 9 2 5" xfId="23490"/>
    <cellStyle name="Comma 9 2 5 2" xfId="23491"/>
    <cellStyle name="Comma 9 2 5 3" xfId="23492"/>
    <cellStyle name="Comma 9 2 5 4" xfId="23493"/>
    <cellStyle name="Comma 9 2 5 5" xfId="23494"/>
    <cellStyle name="Comma 9 2 5 6" xfId="23495"/>
    <cellStyle name="Comma 9 2 5 7" xfId="23496"/>
    <cellStyle name="Comma 9 2 5_Sheet1" xfId="23497"/>
    <cellStyle name="Comma 9 2 6" xfId="23498"/>
    <cellStyle name="Comma 9 2 6 2" xfId="23499"/>
    <cellStyle name="Comma 9 2 6 3" xfId="23500"/>
    <cellStyle name="Comma 9 2 6 4" xfId="23501"/>
    <cellStyle name="Comma 9 2 6 5" xfId="23502"/>
    <cellStyle name="Comma 9 2 6 6" xfId="23503"/>
    <cellStyle name="Comma 9 2 6 7" xfId="23504"/>
    <cellStyle name="Comma 9 2 6_Sheet1" xfId="23505"/>
    <cellStyle name="Comma 9 2 7" xfId="23506"/>
    <cellStyle name="Comma 9 2 7 2" xfId="23507"/>
    <cellStyle name="Comma 9 2 7 3" xfId="23508"/>
    <cellStyle name="Comma 9 2 7 4" xfId="23509"/>
    <cellStyle name="Comma 9 2 7 5" xfId="23510"/>
    <cellStyle name="Comma 9 2 7 6" xfId="23511"/>
    <cellStyle name="Comma 9 2 7 7" xfId="23512"/>
    <cellStyle name="Comma 9 2 7_Sheet1" xfId="23513"/>
    <cellStyle name="Comma 9 2 8" xfId="23514"/>
    <cellStyle name="Comma 9 2 9" xfId="23515"/>
    <cellStyle name="Comma 9 2_Sheet1" xfId="23516"/>
    <cellStyle name="Comma 9 20" xfId="23517"/>
    <cellStyle name="Comma 9 20 2" xfId="23518"/>
    <cellStyle name="Comma 9 20 3" xfId="23519"/>
    <cellStyle name="Comma 9 20 4" xfId="23520"/>
    <cellStyle name="Comma 9 20 5" xfId="23521"/>
    <cellStyle name="Comma 9 20 6" xfId="23522"/>
    <cellStyle name="Comma 9 20 7" xfId="23523"/>
    <cellStyle name="Comma 9 20_Sheet1" xfId="23524"/>
    <cellStyle name="Comma 9 21" xfId="23525"/>
    <cellStyle name="Comma 9 21 2" xfId="23526"/>
    <cellStyle name="Comma 9 21 3" xfId="23527"/>
    <cellStyle name="Comma 9 21 4" xfId="23528"/>
    <cellStyle name="Comma 9 21 5" xfId="23529"/>
    <cellStyle name="Comma 9 21 6" xfId="23530"/>
    <cellStyle name="Comma 9 21 7" xfId="23531"/>
    <cellStyle name="Comma 9 21_Sheet1" xfId="23532"/>
    <cellStyle name="Comma 9 22" xfId="23533"/>
    <cellStyle name="Comma 9 22 2" xfId="23534"/>
    <cellStyle name="Comma 9 22 3" xfId="23535"/>
    <cellStyle name="Comma 9 22 4" xfId="23536"/>
    <cellStyle name="Comma 9 22 5" xfId="23537"/>
    <cellStyle name="Comma 9 22 6" xfId="23538"/>
    <cellStyle name="Comma 9 22 7" xfId="23539"/>
    <cellStyle name="Comma 9 22_Sheet1" xfId="23540"/>
    <cellStyle name="Comma 9 23" xfId="23541"/>
    <cellStyle name="Comma 9 23 2" xfId="23542"/>
    <cellStyle name="Comma 9 23 3" xfId="23543"/>
    <cellStyle name="Comma 9 23 4" xfId="23544"/>
    <cellStyle name="Comma 9 23 5" xfId="23545"/>
    <cellStyle name="Comma 9 23 6" xfId="23546"/>
    <cellStyle name="Comma 9 23 7" xfId="23547"/>
    <cellStyle name="Comma 9 23_Sheet1" xfId="23548"/>
    <cellStyle name="Comma 9 24" xfId="23549"/>
    <cellStyle name="Comma 9 24 2" xfId="23550"/>
    <cellStyle name="Comma 9 24 3" xfId="23551"/>
    <cellStyle name="Comma 9 24 4" xfId="23552"/>
    <cellStyle name="Comma 9 24 5" xfId="23553"/>
    <cellStyle name="Comma 9 24 6" xfId="23554"/>
    <cellStyle name="Comma 9 24 7" xfId="23555"/>
    <cellStyle name="Comma 9 24_Sheet1" xfId="23556"/>
    <cellStyle name="Comma 9 25" xfId="23557"/>
    <cellStyle name="Comma 9 26" xfId="23558"/>
    <cellStyle name="Comma 9 3" xfId="23559"/>
    <cellStyle name="Comma 9 3 2" xfId="23560"/>
    <cellStyle name="Comma 9 3 3" xfId="23561"/>
    <cellStyle name="Comma 9 3 4" xfId="23562"/>
    <cellStyle name="Comma 9 3 5" xfId="23563"/>
    <cellStyle name="Comma 9 3 6" xfId="23564"/>
    <cellStyle name="Comma 9 3 7" xfId="23565"/>
    <cellStyle name="Comma 9 3_Sheet1" xfId="23566"/>
    <cellStyle name="Comma 9 4" xfId="23567"/>
    <cellStyle name="Comma 9 4 2" xfId="23568"/>
    <cellStyle name="Comma 9 4 3" xfId="23569"/>
    <cellStyle name="Comma 9 4 4" xfId="23570"/>
    <cellStyle name="Comma 9 4 5" xfId="23571"/>
    <cellStyle name="Comma 9 4 6" xfId="23572"/>
    <cellStyle name="Comma 9 4 7" xfId="23573"/>
    <cellStyle name="Comma 9 4_Sheet1" xfId="23574"/>
    <cellStyle name="Comma 9 5" xfId="23575"/>
    <cellStyle name="Comma 9 5 2" xfId="23576"/>
    <cellStyle name="Comma 9 5 3" xfId="23577"/>
    <cellStyle name="Comma 9 5 4" xfId="23578"/>
    <cellStyle name="Comma 9 5 5" xfId="23579"/>
    <cellStyle name="Comma 9 5 6" xfId="23580"/>
    <cellStyle name="Comma 9 5 7" xfId="23581"/>
    <cellStyle name="Comma 9 5_Sheet1" xfId="23582"/>
    <cellStyle name="Comma 9 6" xfId="23583"/>
    <cellStyle name="Comma 9 6 2" xfId="23584"/>
    <cellStyle name="Comma 9 6 3" xfId="23585"/>
    <cellStyle name="Comma 9 6 4" xfId="23586"/>
    <cellStyle name="Comma 9 6 5" xfId="23587"/>
    <cellStyle name="Comma 9 6 6" xfId="23588"/>
    <cellStyle name="Comma 9 6 7" xfId="23589"/>
    <cellStyle name="Comma 9 6_Sheet1" xfId="23590"/>
    <cellStyle name="Comma 9 7" xfId="23591"/>
    <cellStyle name="Comma 9 7 2" xfId="23592"/>
    <cellStyle name="Comma 9 7 3" xfId="23593"/>
    <cellStyle name="Comma 9 7 4" xfId="23594"/>
    <cellStyle name="Comma 9 7 5" xfId="23595"/>
    <cellStyle name="Comma 9 7 6" xfId="23596"/>
    <cellStyle name="Comma 9 7 7" xfId="23597"/>
    <cellStyle name="Comma 9 7_Sheet1" xfId="23598"/>
    <cellStyle name="Comma 9 8" xfId="23599"/>
    <cellStyle name="Comma 9 8 2" xfId="23600"/>
    <cellStyle name="Comma 9 8 3" xfId="23601"/>
    <cellStyle name="Comma 9 8 4" xfId="23602"/>
    <cellStyle name="Comma 9 8 5" xfId="23603"/>
    <cellStyle name="Comma 9 8 6" xfId="23604"/>
    <cellStyle name="Comma 9 8 7" xfId="23605"/>
    <cellStyle name="Comma 9 8_Sheet1" xfId="23606"/>
    <cellStyle name="Comma 9 9" xfId="23607"/>
    <cellStyle name="Comma 9 9 2" xfId="23608"/>
    <cellStyle name="Comma 9 9 3" xfId="23609"/>
    <cellStyle name="Comma 9 9 4" xfId="23610"/>
    <cellStyle name="Comma 9 9 5" xfId="23611"/>
    <cellStyle name="Comma 9 9 6" xfId="23612"/>
    <cellStyle name="Comma 9 9 7" xfId="23613"/>
    <cellStyle name="Comma 9 9_Sheet1" xfId="23614"/>
    <cellStyle name="Comma 9_Sheet1" xfId="23615"/>
    <cellStyle name="Comma 90" xfId="23616"/>
    <cellStyle name="Comma 91" xfId="23617"/>
    <cellStyle name="Comma 92" xfId="23618"/>
    <cellStyle name="Comma 93" xfId="23619"/>
    <cellStyle name="Comma 94" xfId="23620"/>
    <cellStyle name="Comma 95" xfId="23621"/>
    <cellStyle name="Comma 96" xfId="23622"/>
    <cellStyle name="Comma 97" xfId="23623"/>
    <cellStyle name="Comma 98" xfId="23624"/>
    <cellStyle name="Comma 99" xfId="23625"/>
    <cellStyle name="comma zerodec" xfId="23626"/>
    <cellStyle name="Comma0" xfId="23627"/>
    <cellStyle name="Comma0 2" xfId="23628"/>
    <cellStyle name="Comma0_Sheet1" xfId="23629"/>
    <cellStyle name="CommaTM" xfId="23630"/>
    <cellStyle name="CommaTM 2" xfId="23631"/>
    <cellStyle name="CommaTM 2 2" xfId="23632"/>
    <cellStyle name="CommaTM 2 2 2" xfId="23633"/>
    <cellStyle name="CommaTM 2 2_Sheet1" xfId="23634"/>
    <cellStyle name="CommaTM 2 3" xfId="23635"/>
    <cellStyle name="CommaTM 2_Sheet1" xfId="23636"/>
    <cellStyle name="CommaTM 3" xfId="23637"/>
    <cellStyle name="CommaTM 3 2" xfId="23638"/>
    <cellStyle name="CommaTM 3_Sheet1" xfId="23639"/>
    <cellStyle name="CommaTM 4" xfId="23640"/>
    <cellStyle name="CommaTM_Sheet1" xfId="23641"/>
    <cellStyle name="Company Name" xfId="23642"/>
    <cellStyle name="CompanyName" xfId="23643"/>
    <cellStyle name="ConditionalStyle_1" xfId="23644"/>
    <cellStyle name="Control" xfId="23645"/>
    <cellStyle name="Control 2" xfId="23646"/>
    <cellStyle name="Control_Sheet1" xfId="23647"/>
    <cellStyle name="Copied" xfId="23648"/>
    <cellStyle name="Cost Code" xfId="23649"/>
    <cellStyle name="Cost Type" xfId="23650"/>
    <cellStyle name="cp0 -CalPercent" xfId="23651"/>
    <cellStyle name="cp1 -CalPercent" xfId="23652"/>
    <cellStyle name="cp2 -CalPercent" xfId="23653"/>
    <cellStyle name="cp3 -CalPercent" xfId="23654"/>
    <cellStyle name="CR Comma" xfId="23655"/>
    <cellStyle name="CR Currency" xfId="23656"/>
    <cellStyle name="CR Currency 2" xfId="23657"/>
    <cellStyle name="CR Currency 3" xfId="23658"/>
    <cellStyle name="CR Currency_Sheet1" xfId="23659"/>
    <cellStyle name="cr0 -CalCurr" xfId="23660"/>
    <cellStyle name="cr1 -CalCurr" xfId="23661"/>
    <cellStyle name="cr2 -CalCurr" xfId="23662"/>
    <cellStyle name="cr3 -CalCurr" xfId="23663"/>
    <cellStyle name="cr4 -CalCurr" xfId="23664"/>
    <cellStyle name="Credit" xfId="23665"/>
    <cellStyle name="Credit subtotal" xfId="23666"/>
    <cellStyle name="Credit subtotal 2" xfId="23667"/>
    <cellStyle name="Credit subtotal_Sheet1" xfId="23668"/>
    <cellStyle name="Credit Total" xfId="23669"/>
    <cellStyle name="Credit Total 2" xfId="23670"/>
    <cellStyle name="Credit Total_Sheet1" xfId="23671"/>
    <cellStyle name="Credit_Sheet1" xfId="23672"/>
    <cellStyle name="CSI" xfId="23673"/>
    <cellStyle name="Curren - Style3" xfId="23674"/>
    <cellStyle name="Curren - Style3 2" xfId="23675"/>
    <cellStyle name="Curren - Style3_Sheet1" xfId="23676"/>
    <cellStyle name="Curren - Style4" xfId="23677"/>
    <cellStyle name="Curren - Style4 2" xfId="23678"/>
    <cellStyle name="Curren - Style4_Sheet1" xfId="23679"/>
    <cellStyle name="Currency %" xfId="23680"/>
    <cellStyle name="Currency % 2" xfId="23681"/>
    <cellStyle name="Currency % 3" xfId="23682"/>
    <cellStyle name="Currency %_Sheet1" xfId="23683"/>
    <cellStyle name="Currency ($)" xfId="23684"/>
    <cellStyle name="Currency ($) 2" xfId="23685"/>
    <cellStyle name="Currency ($) 3" xfId="23686"/>
    <cellStyle name="Currency ($)_Sheet1" xfId="23687"/>
    <cellStyle name="Currency (£)" xfId="23688"/>
    <cellStyle name="Currency (0.00)" xfId="23689"/>
    <cellStyle name="Currency (0.00) 10" xfId="23690"/>
    <cellStyle name="Currency (0.00) 2" xfId="23691"/>
    <cellStyle name="Currency (0.00) 2 2" xfId="23692"/>
    <cellStyle name="Currency (0.00) 2 2 2" xfId="23693"/>
    <cellStyle name="Currency (0.00) 2 2 2 2" xfId="23694"/>
    <cellStyle name="Currency (0.00) 2 2 2 2 2" xfId="23695"/>
    <cellStyle name="Currency (0.00) 2 2 2 2_Sheet1" xfId="23696"/>
    <cellStyle name="Currency (0.00) 2 2 2 3" xfId="23697"/>
    <cellStyle name="Currency (0.00) 2 2 2_Sheet1" xfId="23698"/>
    <cellStyle name="Currency (0.00) 2 2 3" xfId="23699"/>
    <cellStyle name="Currency (0.00) 2 2 3 2" xfId="23700"/>
    <cellStyle name="Currency (0.00) 2 2 3_Sheet1" xfId="23701"/>
    <cellStyle name="Currency (0.00) 2 2 4" xfId="23702"/>
    <cellStyle name="Currency (0.00) 2 2_Sheet1" xfId="23703"/>
    <cellStyle name="Currency (0.00) 2 3" xfId="23704"/>
    <cellStyle name="Currency (0.00) 2 3 2" xfId="23705"/>
    <cellStyle name="Currency (0.00) 2 3 2 2" xfId="23706"/>
    <cellStyle name="Currency (0.00) 2 3 2 2 2" xfId="23707"/>
    <cellStyle name="Currency (0.00) 2 3 2 2_Sheet1" xfId="23708"/>
    <cellStyle name="Currency (0.00) 2 3 2 3" xfId="23709"/>
    <cellStyle name="Currency (0.00) 2 3 2_Sheet1" xfId="23710"/>
    <cellStyle name="Currency (0.00) 2 3 3" xfId="23711"/>
    <cellStyle name="Currency (0.00) 2 3 3 2" xfId="23712"/>
    <cellStyle name="Currency (0.00) 2 3 3_Sheet1" xfId="23713"/>
    <cellStyle name="Currency (0.00) 2 3 4" xfId="23714"/>
    <cellStyle name="Currency (0.00) 2 3_Sheet1" xfId="23715"/>
    <cellStyle name="Currency (0.00) 2 4" xfId="23716"/>
    <cellStyle name="Currency (0.00) 2 4 2" xfId="23717"/>
    <cellStyle name="Currency (0.00) 2 4 2 2" xfId="23718"/>
    <cellStyle name="Currency (0.00) 2 4 2_Sheet1" xfId="23719"/>
    <cellStyle name="Currency (0.00) 2 4 3" xfId="23720"/>
    <cellStyle name="Currency (0.00) 2 4_Sheet1" xfId="23721"/>
    <cellStyle name="Currency (0.00) 2 5" xfId="23722"/>
    <cellStyle name="Currency (0.00) 2 5 2" xfId="23723"/>
    <cellStyle name="Currency (0.00) 2 5_Sheet1" xfId="23724"/>
    <cellStyle name="Currency (0.00) 2 6" xfId="23725"/>
    <cellStyle name="Currency (0.00) 2_Sheet1" xfId="23726"/>
    <cellStyle name="Currency (0.00) 3" xfId="23727"/>
    <cellStyle name="Currency (0.00) 3 2" xfId="23728"/>
    <cellStyle name="Currency (0.00) 3 2 2" xfId="23729"/>
    <cellStyle name="Currency (0.00) 3 2 2 2" xfId="23730"/>
    <cellStyle name="Currency (0.00) 3 2 2 2 2" xfId="23731"/>
    <cellStyle name="Currency (0.00) 3 2 2 2_Sheet1" xfId="23732"/>
    <cellStyle name="Currency (0.00) 3 2 2 3" xfId="23733"/>
    <cellStyle name="Currency (0.00) 3 2 2_Sheet1" xfId="23734"/>
    <cellStyle name="Currency (0.00) 3 2 3" xfId="23735"/>
    <cellStyle name="Currency (0.00) 3 2 3 2" xfId="23736"/>
    <cellStyle name="Currency (0.00) 3 2 3_Sheet1" xfId="23737"/>
    <cellStyle name="Currency (0.00) 3 2 4" xfId="23738"/>
    <cellStyle name="Currency (0.00) 3 2_Sheet1" xfId="23739"/>
    <cellStyle name="Currency (0.00) 3 3" xfId="23740"/>
    <cellStyle name="Currency (0.00) 3 3 2" xfId="23741"/>
    <cellStyle name="Currency (0.00) 3 3 2 2" xfId="23742"/>
    <cellStyle name="Currency (0.00) 3 3 2_Sheet1" xfId="23743"/>
    <cellStyle name="Currency (0.00) 3 3 3" xfId="23744"/>
    <cellStyle name="Currency (0.00) 3 3_Sheet1" xfId="23745"/>
    <cellStyle name="Currency (0.00) 3 4" xfId="23746"/>
    <cellStyle name="Currency (0.00) 3 4 2" xfId="23747"/>
    <cellStyle name="Currency (0.00) 3 4_Sheet1" xfId="23748"/>
    <cellStyle name="Currency (0.00) 3 5" xfId="23749"/>
    <cellStyle name="Currency (0.00) 3_Sheet1" xfId="23750"/>
    <cellStyle name="Currency (0.00) 4" xfId="23751"/>
    <cellStyle name="Currency (0.00) 4 2" xfId="23752"/>
    <cellStyle name="Currency (0.00) 4 2 2" xfId="23753"/>
    <cellStyle name="Currency (0.00) 4 2 2 2" xfId="23754"/>
    <cellStyle name="Currency (0.00) 4 2 2_Sheet1" xfId="23755"/>
    <cellStyle name="Currency (0.00) 4 2 3" xfId="23756"/>
    <cellStyle name="Currency (0.00) 4 2_Sheet1" xfId="23757"/>
    <cellStyle name="Currency (0.00) 4 3" xfId="23758"/>
    <cellStyle name="Currency (0.00) 4 3 2" xfId="23759"/>
    <cellStyle name="Currency (0.00) 4 3_Sheet1" xfId="23760"/>
    <cellStyle name="Currency (0.00) 4 4" xfId="23761"/>
    <cellStyle name="Currency (0.00) 4_Sheet1" xfId="23762"/>
    <cellStyle name="Currency (0.00) 5" xfId="23763"/>
    <cellStyle name="Currency (0.00) 5 2" xfId="23764"/>
    <cellStyle name="Currency (0.00) 5 2 2" xfId="23765"/>
    <cellStyle name="Currency (0.00) 5 2 2 2" xfId="23766"/>
    <cellStyle name="Currency (0.00) 5 2 2_Sheet1" xfId="23767"/>
    <cellStyle name="Currency (0.00) 5 2 3" xfId="23768"/>
    <cellStyle name="Currency (0.00) 5 2_Sheet1" xfId="23769"/>
    <cellStyle name="Currency (0.00) 5 3" xfId="23770"/>
    <cellStyle name="Currency (0.00) 5 3 2" xfId="23771"/>
    <cellStyle name="Currency (0.00) 5 3_Sheet1" xfId="23772"/>
    <cellStyle name="Currency (0.00) 5 4" xfId="23773"/>
    <cellStyle name="Currency (0.00) 5_Sheet1" xfId="23774"/>
    <cellStyle name="Currency (0.00) 6" xfId="23775"/>
    <cellStyle name="Currency (0.00) 6 2" xfId="23776"/>
    <cellStyle name="Currency (0.00) 6 2 2" xfId="23777"/>
    <cellStyle name="Currency (0.00) 6 2 2 2" xfId="23778"/>
    <cellStyle name="Currency (0.00) 6 2 2_Sheet1" xfId="23779"/>
    <cellStyle name="Currency (0.00) 6 2 3" xfId="23780"/>
    <cellStyle name="Currency (0.00) 6 2_Sheet1" xfId="23781"/>
    <cellStyle name="Currency (0.00) 6 3" xfId="23782"/>
    <cellStyle name="Currency (0.00) 6 3 2" xfId="23783"/>
    <cellStyle name="Currency (0.00) 6 3_Sheet1" xfId="23784"/>
    <cellStyle name="Currency (0.00) 6 4" xfId="23785"/>
    <cellStyle name="Currency (0.00) 6_Sheet1" xfId="23786"/>
    <cellStyle name="Currency (0.00) 7" xfId="23787"/>
    <cellStyle name="Currency (0.00) 7 2" xfId="23788"/>
    <cellStyle name="Currency (0.00) 7 2 2" xfId="23789"/>
    <cellStyle name="Currency (0.00) 7 2_Sheet1" xfId="23790"/>
    <cellStyle name="Currency (0.00) 7 3" xfId="23791"/>
    <cellStyle name="Currency (0.00) 7 3 2" xfId="23792"/>
    <cellStyle name="Currency (0.00) 7 3_Sheet1" xfId="23793"/>
    <cellStyle name="Currency (0.00) 7 4" xfId="23794"/>
    <cellStyle name="Currency (0.00) 7_Sheet1" xfId="23795"/>
    <cellStyle name="Currency (0.00) 8" xfId="23796"/>
    <cellStyle name="Currency (0.00) 8 2" xfId="23797"/>
    <cellStyle name="Currency (0.00) 8 2 2" xfId="23798"/>
    <cellStyle name="Currency (0.00) 8 2_Sheet1" xfId="23799"/>
    <cellStyle name="Currency (0.00) 8 3" xfId="23800"/>
    <cellStyle name="Currency (0.00) 8_Sheet1" xfId="23801"/>
    <cellStyle name="Currency (0.00) 9" xfId="23802"/>
    <cellStyle name="Currency (0.00) 9 2" xfId="23803"/>
    <cellStyle name="Currency (0.00) 9_Sheet1" xfId="23804"/>
    <cellStyle name="Currency (0.00)_01. Lati Mine Operation" xfId="23805"/>
    <cellStyle name="Currency [0] 2" xfId="23806"/>
    <cellStyle name="Currency [0] 2 2" xfId="23807"/>
    <cellStyle name="Currency [0] 2 2 2" xfId="23808"/>
    <cellStyle name="Currency [0] 2 2 3" xfId="23809"/>
    <cellStyle name="Currency [0] 2 2 4" xfId="23810"/>
    <cellStyle name="Currency [0] 2 2 5" xfId="23811"/>
    <cellStyle name="Currency [0] 2 2 6" xfId="23812"/>
    <cellStyle name="Currency [0] 2 2_Sheet1" xfId="23813"/>
    <cellStyle name="Currency [0] 2 3" xfId="23814"/>
    <cellStyle name="Currency [0] 2 3 2" xfId="23815"/>
    <cellStyle name="Currency [0] 2 3 3" xfId="23816"/>
    <cellStyle name="Currency [0] 2 3 4" xfId="23817"/>
    <cellStyle name="Currency [0] 2 3 5" xfId="23818"/>
    <cellStyle name="Currency [0] 2 3 6" xfId="23819"/>
    <cellStyle name="Currency [0] 2 3_Sheet1" xfId="23820"/>
    <cellStyle name="Currency [0] 2 4" xfId="23821"/>
    <cellStyle name="Currency [0] 2 5" xfId="23822"/>
    <cellStyle name="Currency [0] 2 6" xfId="23823"/>
    <cellStyle name="Currency [0] 2 7" xfId="23824"/>
    <cellStyle name="Currency [0] 2 8" xfId="23825"/>
    <cellStyle name="Currency [0] 2_Sheet1" xfId="23826"/>
    <cellStyle name="Currency [0] 3" xfId="23827"/>
    <cellStyle name="Currency [0] 3 2" xfId="23828"/>
    <cellStyle name="Currency [0] 3 2 2" xfId="23829"/>
    <cellStyle name="Currency [0] 3 2 2 2" xfId="23830"/>
    <cellStyle name="Currency [0] 3 2 2 2 2" xfId="23831"/>
    <cellStyle name="Currency [0] 3 2 2 2_Sheet1" xfId="23832"/>
    <cellStyle name="Currency [0] 3 2 2_Sheet1" xfId="23833"/>
    <cellStyle name="Currency [0] 3 2_Sheet1" xfId="23834"/>
    <cellStyle name="Currency [0] 3_Sheet1" xfId="23835"/>
    <cellStyle name="Currency [0] U" xfId="23836"/>
    <cellStyle name="Currency [00]" xfId="23837"/>
    <cellStyle name="Currency [00] 2" xfId="23838"/>
    <cellStyle name="Currency [00] 3" xfId="23839"/>
    <cellStyle name="Currency [00]_Sheet1" xfId="23840"/>
    <cellStyle name="Currency [1]" xfId="23841"/>
    <cellStyle name="Currency [1] 2" xfId="23842"/>
    <cellStyle name="Currency [1] 3" xfId="23843"/>
    <cellStyle name="Currency [1]_Sheet1" xfId="23844"/>
    <cellStyle name="Currency [2]" xfId="23845"/>
    <cellStyle name="Currency [2] 2" xfId="23846"/>
    <cellStyle name="Currency [2] 3" xfId="23847"/>
    <cellStyle name="Currency [2]_Sheet1" xfId="23848"/>
    <cellStyle name="Currency [3]" xfId="23849"/>
    <cellStyle name="Currency [3] 2" xfId="23850"/>
    <cellStyle name="Currency [3] 3" xfId="23851"/>
    <cellStyle name="Currency [3]_Sheet1" xfId="23852"/>
    <cellStyle name="Currency 0.0" xfId="23853"/>
    <cellStyle name="Currency 0.0 2" xfId="23854"/>
    <cellStyle name="Currency 0.0 3" xfId="23855"/>
    <cellStyle name="Currency 0.0%" xfId="23856"/>
    <cellStyle name="Currency 0.0% 2" xfId="23857"/>
    <cellStyle name="Currency 0.0% 3" xfId="23858"/>
    <cellStyle name="Currency 0.0%_Sheet1" xfId="23859"/>
    <cellStyle name="Currency 0.0_06. THP - Semberah" xfId="23860"/>
    <cellStyle name="Currency 0.00" xfId="23861"/>
    <cellStyle name="Currency 0.00 2" xfId="23862"/>
    <cellStyle name="Currency 0.00 3" xfId="23863"/>
    <cellStyle name="Currency 0.00%" xfId="23864"/>
    <cellStyle name="Currency 0.00% 2" xfId="23865"/>
    <cellStyle name="Currency 0.00% 3" xfId="23866"/>
    <cellStyle name="Currency 0.00%_Sheet1" xfId="23867"/>
    <cellStyle name="Currency 0.00_06. THP - Semberah" xfId="23868"/>
    <cellStyle name="Currency 0.000" xfId="23869"/>
    <cellStyle name="Currency 0.000 2" xfId="23870"/>
    <cellStyle name="Currency 0.000 3" xfId="23871"/>
    <cellStyle name="Currency 0.000%" xfId="23872"/>
    <cellStyle name="Currency 0.000% 2" xfId="23873"/>
    <cellStyle name="Currency 0.000% 3" xfId="23874"/>
    <cellStyle name="Currency 0.000%_Sheet1" xfId="23875"/>
    <cellStyle name="Currency 0.000_06. THP - Semberah" xfId="23876"/>
    <cellStyle name="Currency 10" xfId="23877"/>
    <cellStyle name="Currency 10 2" xfId="23878"/>
    <cellStyle name="Currency 10 3" xfId="23879"/>
    <cellStyle name="Currency 10 4" xfId="23880"/>
    <cellStyle name="Currency 10_Sheet1" xfId="23881"/>
    <cellStyle name="Currency 2" xfId="23882"/>
    <cellStyle name="Currency 2 2" xfId="23883"/>
    <cellStyle name="Currency 2 2 2" xfId="23884"/>
    <cellStyle name="Currency 2 2_Sheet1" xfId="23885"/>
    <cellStyle name="Currency 2 3" xfId="23886"/>
    <cellStyle name="Currency 2 4" xfId="23887"/>
    <cellStyle name="Currency 2 5" xfId="23888"/>
    <cellStyle name="Currency 2 6" xfId="23889"/>
    <cellStyle name="Currency 2 7" xfId="23890"/>
    <cellStyle name="Currency 2_Sheet1" xfId="23891"/>
    <cellStyle name="Currency 3" xfId="23892"/>
    <cellStyle name="Currency 3 10" xfId="23893"/>
    <cellStyle name="Currency 3 10 2" xfId="23894"/>
    <cellStyle name="Currency 3 10_Sheet1" xfId="23895"/>
    <cellStyle name="Currency 3 11" xfId="23896"/>
    <cellStyle name="Currency 3 11 2" xfId="23897"/>
    <cellStyle name="Currency 3 11_Sheet1" xfId="23898"/>
    <cellStyle name="Currency 3 12" xfId="23899"/>
    <cellStyle name="Currency 3 12 2" xfId="23900"/>
    <cellStyle name="Currency 3 12_Sheet1" xfId="23901"/>
    <cellStyle name="Currency 3 13" xfId="23902"/>
    <cellStyle name="Currency 3 13 2" xfId="23903"/>
    <cellStyle name="Currency 3 13_Sheet1" xfId="23904"/>
    <cellStyle name="Currency 3 14" xfId="23905"/>
    <cellStyle name="Currency 3 14 2" xfId="23906"/>
    <cellStyle name="Currency 3 14_Sheet1" xfId="23907"/>
    <cellStyle name="Currency 3 15" xfId="23908"/>
    <cellStyle name="Currency 3 15 2" xfId="23909"/>
    <cellStyle name="Currency 3 15_Sheet1" xfId="23910"/>
    <cellStyle name="Currency 3 16" xfId="23911"/>
    <cellStyle name="Currency 3 16 2" xfId="23912"/>
    <cellStyle name="Currency 3 16_Sheet1" xfId="23913"/>
    <cellStyle name="Currency 3 17" xfId="23914"/>
    <cellStyle name="Currency 3 17 2" xfId="23915"/>
    <cellStyle name="Currency 3 17_Sheet1" xfId="23916"/>
    <cellStyle name="Currency 3 18" xfId="23917"/>
    <cellStyle name="Currency 3 2" xfId="23918"/>
    <cellStyle name="Currency 3 2 2" xfId="23919"/>
    <cellStyle name="Currency 3 2 2 2" xfId="23920"/>
    <cellStyle name="Currency 3 2 2 2 2" xfId="23921"/>
    <cellStyle name="Currency 3 2 2 2_Sheet1" xfId="23922"/>
    <cellStyle name="Currency 3 2 2_Sheet1" xfId="23923"/>
    <cellStyle name="Currency 3 2 3" xfId="23924"/>
    <cellStyle name="Currency 3 2 4" xfId="23925"/>
    <cellStyle name="Currency 3 2_Sheet1" xfId="23926"/>
    <cellStyle name="Currency 3 3" xfId="23927"/>
    <cellStyle name="Currency 3 3 2" xfId="23928"/>
    <cellStyle name="Currency 3 3 3" xfId="23929"/>
    <cellStyle name="Currency 3 3_Sheet1" xfId="23930"/>
    <cellStyle name="Currency 3 4" xfId="23931"/>
    <cellStyle name="Currency 3 4 2" xfId="23932"/>
    <cellStyle name="Currency 3 4 3" xfId="23933"/>
    <cellStyle name="Currency 3 4_Sheet1" xfId="23934"/>
    <cellStyle name="Currency 3 5" xfId="23935"/>
    <cellStyle name="Currency 3 5 2" xfId="23936"/>
    <cellStyle name="Currency 3 5_Sheet1" xfId="23937"/>
    <cellStyle name="Currency 3 6" xfId="23938"/>
    <cellStyle name="Currency 3 6 2" xfId="23939"/>
    <cellStyle name="Currency 3 6_Sheet1" xfId="23940"/>
    <cellStyle name="Currency 3 7" xfId="23941"/>
    <cellStyle name="Currency 3 7 2" xfId="23942"/>
    <cellStyle name="Currency 3 7_Sheet1" xfId="23943"/>
    <cellStyle name="Currency 3 8" xfId="23944"/>
    <cellStyle name="Currency 3 8 2" xfId="23945"/>
    <cellStyle name="Currency 3 8_Sheet1" xfId="23946"/>
    <cellStyle name="Currency 3 9" xfId="23947"/>
    <cellStyle name="Currency 3 9 2" xfId="23948"/>
    <cellStyle name="Currency 3 9_Sheet1" xfId="23949"/>
    <cellStyle name="Currency 3_Sheet1" xfId="23950"/>
    <cellStyle name="Currency 4" xfId="23951"/>
    <cellStyle name="Currency 4 2" xfId="23952"/>
    <cellStyle name="Currency 4 2 2" xfId="23953"/>
    <cellStyle name="Currency 4 2 3" xfId="23954"/>
    <cellStyle name="Currency 4 2 4" xfId="23955"/>
    <cellStyle name="Currency 4 2 5" xfId="23956"/>
    <cellStyle name="Currency 4 2 6" xfId="23957"/>
    <cellStyle name="Currency 4 2 7" xfId="23958"/>
    <cellStyle name="Currency 4 2_Sheet1" xfId="23959"/>
    <cellStyle name="Currency 4 3" xfId="23960"/>
    <cellStyle name="Currency 4_Sheet1" xfId="23961"/>
    <cellStyle name="Currency 5" xfId="23962"/>
    <cellStyle name="Currency 5 2" xfId="23963"/>
    <cellStyle name="Currency 5 3" xfId="23964"/>
    <cellStyle name="Currency 5_Sheet1" xfId="23965"/>
    <cellStyle name="Currency 6" xfId="23966"/>
    <cellStyle name="Currency 6 2" xfId="23967"/>
    <cellStyle name="Currency 6 3" xfId="23968"/>
    <cellStyle name="Currency 6 4" xfId="23969"/>
    <cellStyle name="Currency 6 5" xfId="23970"/>
    <cellStyle name="Currency 6 6" xfId="23971"/>
    <cellStyle name="Currency 6 7" xfId="23972"/>
    <cellStyle name="Currency 6_Sheet1" xfId="23973"/>
    <cellStyle name="Currency 7" xfId="23974"/>
    <cellStyle name="Currency 7 2" xfId="23975"/>
    <cellStyle name="Currency 7 3" xfId="23976"/>
    <cellStyle name="Currency 7 4" xfId="23977"/>
    <cellStyle name="Currency 7 5" xfId="23978"/>
    <cellStyle name="Currency 7 6" xfId="23979"/>
    <cellStyle name="Currency 7 7" xfId="23980"/>
    <cellStyle name="Currency 7_Sheet1" xfId="23981"/>
    <cellStyle name="Currency(000)" xfId="23982"/>
    <cellStyle name="Currency0" xfId="23983"/>
    <cellStyle name="Currency0 2" xfId="23984"/>
    <cellStyle name="Currency0 3" xfId="23985"/>
    <cellStyle name="Currency0_Sheet1" xfId="23986"/>
    <cellStyle name="Currency1" xfId="23987"/>
    <cellStyle name="Currency1 2" xfId="23988"/>
    <cellStyle name="Currency1_Sheet1" xfId="23989"/>
    <cellStyle name="custom" xfId="23990"/>
    <cellStyle name="Custom - Style8" xfId="23991"/>
    <cellStyle name="custom 2" xfId="23992"/>
    <cellStyle name="custom_Sheet1" xfId="23993"/>
    <cellStyle name="d_Chorus Model 22 Sep 04 V6 " xfId="23994"/>
    <cellStyle name="Data   - Style2" xfId="23995"/>
    <cellStyle name="Data   - Style2 2" xfId="23996"/>
    <cellStyle name="Data   - Style2_Sheet1" xfId="23997"/>
    <cellStyle name="Date" xfId="23998"/>
    <cellStyle name="Date [d-mmm-yy]" xfId="23999"/>
    <cellStyle name="Date [mm-d-yy]" xfId="24000"/>
    <cellStyle name="Date [mm-d-yyyy]" xfId="24001"/>
    <cellStyle name="Date [mm-d-yyyy] 2" xfId="24002"/>
    <cellStyle name="Date [mm-d-yyyy] 2 2" xfId="24003"/>
    <cellStyle name="Date [mm-d-yyyy] 2 2 2" xfId="24004"/>
    <cellStyle name="Date [mm-d-yyyy] 2 2 3" xfId="24005"/>
    <cellStyle name="Date [mm-d-yyyy] 2 2 4" xfId="24006"/>
    <cellStyle name="Date [mm-d-yyyy] 2 2 5" xfId="24007"/>
    <cellStyle name="Date [mm-d-yyyy] 2 2_Sheet1" xfId="24008"/>
    <cellStyle name="Date [mm-d-yyyy] 2 3" xfId="24009"/>
    <cellStyle name="Date [mm-d-yyyy] 2 4" xfId="24010"/>
    <cellStyle name="Date [mm-d-yyyy] 2 5" xfId="24011"/>
    <cellStyle name="Date [mm-d-yyyy] 2 6" xfId="24012"/>
    <cellStyle name="Date [mm-d-yyyy] 2_Sheet1" xfId="24013"/>
    <cellStyle name="Date [mm-d-yyyy] 3" xfId="24014"/>
    <cellStyle name="Date [mm-d-yyyy] 3 2" xfId="24015"/>
    <cellStyle name="Date [mm-d-yyyy] 3 3" xfId="24016"/>
    <cellStyle name="Date [mm-d-yyyy] 3 4" xfId="24017"/>
    <cellStyle name="Date [mm-d-yyyy] 3 5" xfId="24018"/>
    <cellStyle name="Date [mm-d-yyyy] 3_Sheet1" xfId="24019"/>
    <cellStyle name="Date [mm-d-yyyy] 4" xfId="24020"/>
    <cellStyle name="Date [mm-d-yyyy] 5" xfId="24021"/>
    <cellStyle name="Date [mm-d-yyyy] 6" xfId="24022"/>
    <cellStyle name="Date [mm-d-yyyy] 7" xfId="24023"/>
    <cellStyle name="Date [mm-d-yyyy]_Sheet1" xfId="24024"/>
    <cellStyle name="Date [mmm-yy]" xfId="24025"/>
    <cellStyle name="DATE 2" xfId="24026"/>
    <cellStyle name="DATE 2 2" xfId="24027"/>
    <cellStyle name="DATE 2_Sheet1" xfId="24028"/>
    <cellStyle name="DATE 3" xfId="24029"/>
    <cellStyle name="DATE 3 2" xfId="24030"/>
    <cellStyle name="DATE 3_Sheet1" xfId="24031"/>
    <cellStyle name="DATE 4" xfId="24032"/>
    <cellStyle name="DATE 4 2" xfId="24033"/>
    <cellStyle name="DATE 4_Sheet1" xfId="24034"/>
    <cellStyle name="DATE 5" xfId="24035"/>
    <cellStyle name="DATE 5 2" xfId="24036"/>
    <cellStyle name="DATE 5_Sheet1" xfId="24037"/>
    <cellStyle name="DATE 6" xfId="24038"/>
    <cellStyle name="DATE 6 2" xfId="24039"/>
    <cellStyle name="DATE 6_Sheet1" xfId="24040"/>
    <cellStyle name="DATE 7" xfId="24041"/>
    <cellStyle name="DATE 7 2" xfId="24042"/>
    <cellStyle name="DATE 7_Sheet1" xfId="24043"/>
    <cellStyle name="Date 8" xfId="24044"/>
    <cellStyle name="Date Short" xfId="24045"/>
    <cellStyle name="Date_AHS-Baru-01" xfId="24046"/>
    <cellStyle name="date1" xfId="24047"/>
    <cellStyle name="date1 2" xfId="24048"/>
    <cellStyle name="date1 2 2" xfId="24049"/>
    <cellStyle name="date1 2_Sheet1" xfId="24050"/>
    <cellStyle name="date1 3" xfId="24051"/>
    <cellStyle name="date1 3 2" xfId="24052"/>
    <cellStyle name="date1 3_Sheet1" xfId="24053"/>
    <cellStyle name="date1 4" xfId="24054"/>
    <cellStyle name="date1 4 2" xfId="24055"/>
    <cellStyle name="date1 4_Sheet1" xfId="24056"/>
    <cellStyle name="date1 5" xfId="24057"/>
    <cellStyle name="date1 5 2" xfId="24058"/>
    <cellStyle name="date1 5_Sheet1" xfId="24059"/>
    <cellStyle name="date1 6" xfId="24060"/>
    <cellStyle name="date1 6 2" xfId="24061"/>
    <cellStyle name="date1 6_Sheet1" xfId="24062"/>
    <cellStyle name="date1 7" xfId="24063"/>
    <cellStyle name="date1 7 2" xfId="24064"/>
    <cellStyle name="date1 7_Sheet1" xfId="24065"/>
    <cellStyle name="date1 8" xfId="24066"/>
    <cellStyle name="date1_Sheet1" xfId="24067"/>
    <cellStyle name="Decimal [0]" xfId="24068"/>
    <cellStyle name="Decimal [2]" xfId="24069"/>
    <cellStyle name="Decimal [4]" xfId="24070"/>
    <cellStyle name="Define your own named style" xfId="24071"/>
    <cellStyle name="Desc" xfId="24072"/>
    <cellStyle name="Description" xfId="24073"/>
    <cellStyle name="Dezimal [0]_3200.0600" xfId="24074"/>
    <cellStyle name="Dezimal_3200.0600" xfId="24075"/>
    <cellStyle name="Dia" xfId="24076"/>
    <cellStyle name="Dollar (zero dec)" xfId="24077"/>
    <cellStyle name="Dollar (zero dec) 2" xfId="24078"/>
    <cellStyle name="Dollar (zero dec)_Sheet1" xfId="24079"/>
    <cellStyle name="Draw lines around data in range" xfId="24080"/>
    <cellStyle name="Draw lines around data in range 2" xfId="24081"/>
    <cellStyle name="Draw lines around data in range_Sheet1" xfId="24082"/>
    <cellStyle name="Draw shadow and lines within range" xfId="24083"/>
    <cellStyle name="Draw shadow and lines within range 2" xfId="24084"/>
    <cellStyle name="Draw shadow and lines within range_Sheet1" xfId="24085"/>
    <cellStyle name="DUA" xfId="24086"/>
    <cellStyle name="DUA 2" xfId="24087"/>
    <cellStyle name="DUA_Sheet1" xfId="24088"/>
    <cellStyle name="Emphasis 1" xfId="24089"/>
    <cellStyle name="Emphasis 2" xfId="24090"/>
    <cellStyle name="Emphasis 3" xfId="24091"/>
    <cellStyle name="Encabez1" xfId="24092"/>
    <cellStyle name="Encabez2" xfId="24093"/>
    <cellStyle name="Enlarge title text, yellow on blue" xfId="24094"/>
    <cellStyle name="Enter Currency (0)" xfId="24095"/>
    <cellStyle name="Enter Currency (0) 2" xfId="24096"/>
    <cellStyle name="Enter Currency (0) 3" xfId="24097"/>
    <cellStyle name="Enter Currency (0) 3 2" xfId="24098"/>
    <cellStyle name="Enter Currency (0) 3_Sheet1" xfId="24099"/>
    <cellStyle name="Enter Currency (0) 4" xfId="24100"/>
    <cellStyle name="Enter Currency (0)_01. Lati Mine Operation" xfId="24101"/>
    <cellStyle name="Enter Currency (2)" xfId="24102"/>
    <cellStyle name="Enter Currency (2) 2" xfId="24103"/>
    <cellStyle name="Enter Currency (2) 3" xfId="24104"/>
    <cellStyle name="Enter Currency (2)_01. Lati Mine Operation" xfId="24105"/>
    <cellStyle name="Enter Units (0)" xfId="24106"/>
    <cellStyle name="Enter Units (0) 2" xfId="24107"/>
    <cellStyle name="Enter Units (0) 3" xfId="24108"/>
    <cellStyle name="Enter Units (0) 3 2" xfId="24109"/>
    <cellStyle name="Enter Units (0) 3_Sheet1" xfId="24110"/>
    <cellStyle name="Enter Units (0) 4" xfId="24111"/>
    <cellStyle name="Enter Units (0)_01. Lati Mine Operation" xfId="24112"/>
    <cellStyle name="Enter Units (1)" xfId="24113"/>
    <cellStyle name="Enter Units (1) 2" xfId="24114"/>
    <cellStyle name="Enter Units (1) 3" xfId="24115"/>
    <cellStyle name="Enter Units (1) 3 2" xfId="24116"/>
    <cellStyle name="Enter Units (1) 3_Sheet1" xfId="24117"/>
    <cellStyle name="Enter Units (1) 4" xfId="24118"/>
    <cellStyle name="Enter Units (1)_01. Lati Mine Operation" xfId="24119"/>
    <cellStyle name="Enter Units (2)" xfId="24120"/>
    <cellStyle name="Enter Units (2) 2" xfId="24121"/>
    <cellStyle name="Enter Units (2) 3" xfId="24122"/>
    <cellStyle name="Enter Units (2)_01. Lati Mine Operation" xfId="24123"/>
    <cellStyle name="Entered" xfId="24124"/>
    <cellStyle name="Euro" xfId="24125"/>
    <cellStyle name="Euro 2" xfId="24126"/>
    <cellStyle name="Euro_Sheet1" xfId="24127"/>
    <cellStyle name="Excel Built-in Comma" xfId="24128"/>
    <cellStyle name="Excel Built-in Normal" xfId="24129"/>
    <cellStyle name="Explanatory Text 2" xfId="24130"/>
    <cellStyle name="Explanatory Text 2 2" xfId="24131"/>
    <cellStyle name="Explanatory Text 2 3" xfId="24132"/>
    <cellStyle name="Explanatory Text 2 4" xfId="24133"/>
    <cellStyle name="Explanatory Text 2 5" xfId="24134"/>
    <cellStyle name="Explanatory Text 2 6" xfId="24135"/>
    <cellStyle name="Explanatory Text 2_Laporan Aspal Per Bulan 2009" xfId="24136"/>
    <cellStyle name="Explanatory Text 3" xfId="24137"/>
    <cellStyle name="Explanatory Text 3 2" xfId="24138"/>
    <cellStyle name="Explanatory Text 3 3" xfId="24139"/>
    <cellStyle name="Explanatory Text 3 4" xfId="24140"/>
    <cellStyle name="Explanatory Text 3 5" xfId="24141"/>
    <cellStyle name="Explanatory Text 3 6" xfId="24142"/>
    <cellStyle name="Explanatory Text 3_Sheet1" xfId="24143"/>
    <cellStyle name="Explanatory Text 4" xfId="24144"/>
    <cellStyle name="Explanatory Text 4 2" xfId="24145"/>
    <cellStyle name="Explanatory Text 4 3" xfId="24146"/>
    <cellStyle name="Explanatory Text 4 4" xfId="24147"/>
    <cellStyle name="Explanatory Text 4_Sheet1" xfId="24148"/>
    <cellStyle name="Explanatory Text 5" xfId="24149"/>
    <cellStyle name="Explanatory Text 5 2" xfId="24150"/>
    <cellStyle name="Explanatory Text 5 3" xfId="24151"/>
    <cellStyle name="Explanatory Text 5_Sheet1" xfId="24152"/>
    <cellStyle name="Explanatory Text 6" xfId="24153"/>
    <cellStyle name="Explanatory Text 6 2" xfId="24154"/>
    <cellStyle name="Explanatory Text 6_Sheet1" xfId="24155"/>
    <cellStyle name="Explanatory Text 7" xfId="24156"/>
    <cellStyle name="Explanatory Text 8" xfId="24157"/>
    <cellStyle name="ƒ" xfId="24158"/>
    <cellStyle name="ƒ_Sheet1" xfId="24159"/>
    <cellStyle name="F2" xfId="24160"/>
    <cellStyle name="F3" xfId="24161"/>
    <cellStyle name="F4" xfId="24162"/>
    <cellStyle name="F5" xfId="24163"/>
    <cellStyle name="F6" xfId="24164"/>
    <cellStyle name="F7" xfId="24165"/>
    <cellStyle name="F8" xfId="24166"/>
    <cellStyle name="Fijo" xfId="24167"/>
    <cellStyle name="Financiero" xfId="24168"/>
    <cellStyle name="Fixed" xfId="24169"/>
    <cellStyle name="Fixed [0]" xfId="24170"/>
    <cellStyle name="Fixed 2" xfId="24171"/>
    <cellStyle name="Fixed 3" xfId="24172"/>
    <cellStyle name="Fixed_AHS-Baru-01" xfId="24173"/>
    <cellStyle name="Foottitle" xfId="24174"/>
    <cellStyle name="Format a column of totals" xfId="24175"/>
    <cellStyle name="Format a row of totals" xfId="24176"/>
    <cellStyle name="Format a row of totals 2" xfId="24177"/>
    <cellStyle name="Format a row of totals_Sheet1" xfId="24178"/>
    <cellStyle name="Good 2" xfId="24179"/>
    <cellStyle name="Good 2 10" xfId="24180"/>
    <cellStyle name="Good 2 11" xfId="24181"/>
    <cellStyle name="Good 2 12" xfId="24182"/>
    <cellStyle name="Good 2 13" xfId="24183"/>
    <cellStyle name="Good 2 2" xfId="24184"/>
    <cellStyle name="Good 2 3" xfId="24185"/>
    <cellStyle name="Good 2 4" xfId="24186"/>
    <cellStyle name="Good 2 5" xfId="24187"/>
    <cellStyle name="Good 2 6" xfId="24188"/>
    <cellStyle name="Good 2 7" xfId="24189"/>
    <cellStyle name="Good 2 8" xfId="24190"/>
    <cellStyle name="Good 2 9" xfId="24191"/>
    <cellStyle name="Good 2_Laporan Aspal Per Bulan 2009" xfId="24192"/>
    <cellStyle name="Good 3" xfId="24193"/>
    <cellStyle name="Good 3 2" xfId="24194"/>
    <cellStyle name="Good 3 3" xfId="24195"/>
    <cellStyle name="Good 3 4" xfId="24196"/>
    <cellStyle name="Good 3 5" xfId="24197"/>
    <cellStyle name="Good 3_Sheet1" xfId="24198"/>
    <cellStyle name="Good 4" xfId="24199"/>
    <cellStyle name="Good 4 2" xfId="24200"/>
    <cellStyle name="Good 4 3" xfId="24201"/>
    <cellStyle name="Good 4 4" xfId="24202"/>
    <cellStyle name="Good 4_Sheet1" xfId="24203"/>
    <cellStyle name="Good 5" xfId="24204"/>
    <cellStyle name="Good 5 2" xfId="24205"/>
    <cellStyle name="Good 5 3" xfId="24206"/>
    <cellStyle name="Good 5_Sheet1" xfId="24207"/>
    <cellStyle name="Good 6" xfId="24208"/>
    <cellStyle name="Good 6 2" xfId="24209"/>
    <cellStyle name="Good 6_Sheet1" xfId="24210"/>
    <cellStyle name="Good 7" xfId="24211"/>
    <cellStyle name="Good 8" xfId="24212"/>
    <cellStyle name="Grey" xfId="24213"/>
    <cellStyle name="Grey 2" xfId="24214"/>
    <cellStyle name="Grey 3" xfId="24215"/>
    <cellStyle name="Grey 4" xfId="24216"/>
    <cellStyle name="Grey 5" xfId="24217"/>
    <cellStyle name="Grey_Sheet1" xfId="24218"/>
    <cellStyle name="GTT%" xfId="24219"/>
    <cellStyle name="GTT% 10" xfId="24220"/>
    <cellStyle name="GTT% 11" xfId="24221"/>
    <cellStyle name="GTT% 12" xfId="24222"/>
    <cellStyle name="GTT% 13" xfId="24223"/>
    <cellStyle name="GTT% 2" xfId="24224"/>
    <cellStyle name="GTT% 2 2" xfId="24225"/>
    <cellStyle name="GTT% 2 3" xfId="24226"/>
    <cellStyle name="GTT% 2 4" xfId="24227"/>
    <cellStyle name="GTT% 2 5" xfId="24228"/>
    <cellStyle name="GTT% 2 6" xfId="24229"/>
    <cellStyle name="GTT% 2 7" xfId="24230"/>
    <cellStyle name="GTT% 2_Sheet1" xfId="24231"/>
    <cellStyle name="GTT% 3" xfId="24232"/>
    <cellStyle name="GTT% 3 2" xfId="24233"/>
    <cellStyle name="GTT% 3 3" xfId="24234"/>
    <cellStyle name="GTT% 3 4" xfId="24235"/>
    <cellStyle name="GTT% 3 5" xfId="24236"/>
    <cellStyle name="GTT% 3 6" xfId="24237"/>
    <cellStyle name="GTT% 3 7" xfId="24238"/>
    <cellStyle name="GTT% 3_Sheet1" xfId="24239"/>
    <cellStyle name="GTT% 4" xfId="24240"/>
    <cellStyle name="GTT% 4 2" xfId="24241"/>
    <cellStyle name="GTT% 4 3" xfId="24242"/>
    <cellStyle name="GTT% 4 4" xfId="24243"/>
    <cellStyle name="GTT% 4 5" xfId="24244"/>
    <cellStyle name="GTT% 4 6" xfId="24245"/>
    <cellStyle name="GTT% 4 7" xfId="24246"/>
    <cellStyle name="GTT% 4_Sheet1" xfId="24247"/>
    <cellStyle name="GTT% 5" xfId="24248"/>
    <cellStyle name="GTT% 5 2" xfId="24249"/>
    <cellStyle name="GTT% 5 3" xfId="24250"/>
    <cellStyle name="GTT% 5 4" xfId="24251"/>
    <cellStyle name="GTT% 5 5" xfId="24252"/>
    <cellStyle name="GTT% 5 6" xfId="24253"/>
    <cellStyle name="GTT% 5 7" xfId="24254"/>
    <cellStyle name="GTT% 5_Sheet1" xfId="24255"/>
    <cellStyle name="GTT% 6" xfId="24256"/>
    <cellStyle name="GTT% 6 2" xfId="24257"/>
    <cellStyle name="GTT% 6 3" xfId="24258"/>
    <cellStyle name="GTT% 6 4" xfId="24259"/>
    <cellStyle name="GTT% 6 5" xfId="24260"/>
    <cellStyle name="GTT% 6 6" xfId="24261"/>
    <cellStyle name="GTT% 6 7" xfId="24262"/>
    <cellStyle name="GTT% 6_Sheet1" xfId="24263"/>
    <cellStyle name="GTT% 7" xfId="24264"/>
    <cellStyle name="GTT% 7 2" xfId="24265"/>
    <cellStyle name="GTT% 7 3" xfId="24266"/>
    <cellStyle name="GTT% 7 4" xfId="24267"/>
    <cellStyle name="GTT% 7 5" xfId="24268"/>
    <cellStyle name="GTT% 7 6" xfId="24269"/>
    <cellStyle name="GTT% 7 7" xfId="24270"/>
    <cellStyle name="GTT% 7_Sheet1" xfId="24271"/>
    <cellStyle name="GTT% 8" xfId="24272"/>
    <cellStyle name="GTT% 9" xfId="24273"/>
    <cellStyle name="GTT%_Sheet1" xfId="24274"/>
    <cellStyle name="h0 -Heading" xfId="24275"/>
    <cellStyle name="h1 -Heading" xfId="24276"/>
    <cellStyle name="h2 -Heading" xfId="24277"/>
    <cellStyle name="h2 -Heading 2" xfId="24278"/>
    <cellStyle name="h2 -Heading 3" xfId="24279"/>
    <cellStyle name="h2 -Heading_Sheet1" xfId="24280"/>
    <cellStyle name="h3 -Heading" xfId="24281"/>
    <cellStyle name="header" xfId="24282"/>
    <cellStyle name="Header - Style1" xfId="24283"/>
    <cellStyle name="Header - Style1 2" xfId="24284"/>
    <cellStyle name="Header - Style1 2 2" xfId="24285"/>
    <cellStyle name="Header - Style1 2_Sheet1" xfId="24286"/>
    <cellStyle name="Header - Style1 3" xfId="24287"/>
    <cellStyle name="Header - Style1_Sheet1" xfId="24288"/>
    <cellStyle name="HEADER_Sheet1" xfId="24289"/>
    <cellStyle name="Header1" xfId="24290"/>
    <cellStyle name="Header1 2" xfId="24291"/>
    <cellStyle name="Header1 2 2" xfId="24292"/>
    <cellStyle name="Header1 2 2 2" xfId="24293"/>
    <cellStyle name="Header1 2 2 2 2" xfId="24294"/>
    <cellStyle name="Header1 2 2 2 3" xfId="24295"/>
    <cellStyle name="Header1 2 2 2_Sheet1" xfId="24296"/>
    <cellStyle name="Header1 2 2 3" xfId="24297"/>
    <cellStyle name="Header1 2 2_Sheet1" xfId="24298"/>
    <cellStyle name="Header1 2 3" xfId="24299"/>
    <cellStyle name="Header1 2 3 2" xfId="24300"/>
    <cellStyle name="Header1 2 3 2 2" xfId="24301"/>
    <cellStyle name="Header1 2 3 2 3" xfId="24302"/>
    <cellStyle name="Header1 2 3 2_Sheet1" xfId="24303"/>
    <cellStyle name="Header1 2 3 3" xfId="24304"/>
    <cellStyle name="Header1 2 3_Sheet1" xfId="24305"/>
    <cellStyle name="Header1 2 4" xfId="24306"/>
    <cellStyle name="Header1 2 4 2" xfId="24307"/>
    <cellStyle name="Header1 2 4 3" xfId="24308"/>
    <cellStyle name="Header1 2 4_Sheet1" xfId="24309"/>
    <cellStyle name="Header1 2 5" xfId="24310"/>
    <cellStyle name="Header1 2 6" xfId="24311"/>
    <cellStyle name="Header1 2_Sheet1" xfId="24312"/>
    <cellStyle name="Header1 3" xfId="24313"/>
    <cellStyle name="Header1 3 2" xfId="24314"/>
    <cellStyle name="Header1 3 2 2" xfId="24315"/>
    <cellStyle name="Header1 3 2_Sheet1" xfId="24316"/>
    <cellStyle name="Header1 3 3" xfId="24317"/>
    <cellStyle name="Header1 3_Sheet1" xfId="24318"/>
    <cellStyle name="Header1 4" xfId="24319"/>
    <cellStyle name="Header1 4 2" xfId="24320"/>
    <cellStyle name="Header1 4 2 2" xfId="24321"/>
    <cellStyle name="Header1 4 2 3" xfId="24322"/>
    <cellStyle name="Header1 4 2_Sheet1" xfId="24323"/>
    <cellStyle name="Header1 4 3" xfId="24324"/>
    <cellStyle name="Header1 4_Sheet1" xfId="24325"/>
    <cellStyle name="Header1 5" xfId="24326"/>
    <cellStyle name="Header1 5 2" xfId="24327"/>
    <cellStyle name="Header1 5 3" xfId="24328"/>
    <cellStyle name="Header1 5_Sheet1" xfId="24329"/>
    <cellStyle name="Header1 6" xfId="24330"/>
    <cellStyle name="Header1 7" xfId="24331"/>
    <cellStyle name="Header1_Sheet1" xfId="24332"/>
    <cellStyle name="Header2" xfId="24333"/>
    <cellStyle name="Header2 2" xfId="24334"/>
    <cellStyle name="Header2 2 2" xfId="24335"/>
    <cellStyle name="Header2 2 2 2" xfId="24336"/>
    <cellStyle name="Header2 2 2_Sheet1" xfId="24337"/>
    <cellStyle name="Header2 2 3" xfId="24338"/>
    <cellStyle name="Header2 2 3 2" xfId="24339"/>
    <cellStyle name="Header2 2 3_Sheet1" xfId="24340"/>
    <cellStyle name="Header2 2 4" xfId="24341"/>
    <cellStyle name="Header2 2_Sheet1" xfId="24342"/>
    <cellStyle name="Header2 3" xfId="24343"/>
    <cellStyle name="Header2 3 2" xfId="24344"/>
    <cellStyle name="Header2 3 2 2" xfId="24345"/>
    <cellStyle name="Header2 3 2_Sheet1" xfId="24346"/>
    <cellStyle name="Header2 3 3" xfId="24347"/>
    <cellStyle name="Header2 3 3 2" xfId="24348"/>
    <cellStyle name="Header2 3 3_Sheet1" xfId="24349"/>
    <cellStyle name="Header2 3 4" xfId="24350"/>
    <cellStyle name="Header2 3_Sheet1" xfId="24351"/>
    <cellStyle name="Header2 4" xfId="24352"/>
    <cellStyle name="Header2 4 2" xfId="24353"/>
    <cellStyle name="Header2 4 2 2" xfId="24354"/>
    <cellStyle name="Header2 4 2_Sheet1" xfId="24355"/>
    <cellStyle name="Header2 4 3" xfId="24356"/>
    <cellStyle name="Header2 4_Sheet1" xfId="24357"/>
    <cellStyle name="Header2 5" xfId="24358"/>
    <cellStyle name="Header2 5 2" xfId="24359"/>
    <cellStyle name="Header2 5_Sheet1" xfId="24360"/>
    <cellStyle name="Header2 6" xfId="24361"/>
    <cellStyle name="Header2 6 2" xfId="24362"/>
    <cellStyle name="Header2 6_Sheet1" xfId="24363"/>
    <cellStyle name="Header2 7" xfId="24364"/>
    <cellStyle name="Header2_Sheet1" xfId="24365"/>
    <cellStyle name="Heading" xfId="24366"/>
    <cellStyle name="Heading 1 1" xfId="24367"/>
    <cellStyle name="Heading 1 1 2" xfId="24368"/>
    <cellStyle name="Heading 1 1_Sheet1" xfId="24369"/>
    <cellStyle name="Heading 1 2" xfId="24370"/>
    <cellStyle name="Heading 1 2 10" xfId="24371"/>
    <cellStyle name="Heading 1 2 11" xfId="24372"/>
    <cellStyle name="Heading 1 2 12" xfId="24373"/>
    <cellStyle name="Heading 1 2 13" xfId="24374"/>
    <cellStyle name="Heading 1 2 2" xfId="24375"/>
    <cellStyle name="Heading 1 2 3" xfId="24376"/>
    <cellStyle name="Heading 1 2 4" xfId="24377"/>
    <cellStyle name="Heading 1 2 5" xfId="24378"/>
    <cellStyle name="Heading 1 2 6" xfId="24379"/>
    <cellStyle name="Heading 1 2 7" xfId="24380"/>
    <cellStyle name="Heading 1 2 8" xfId="24381"/>
    <cellStyle name="Heading 1 2 9" xfId="24382"/>
    <cellStyle name="Heading 1 2_Laporan Aspal Per Bulan 2009" xfId="24383"/>
    <cellStyle name="Heading 1 3" xfId="24384"/>
    <cellStyle name="Heading 1 3 2" xfId="24385"/>
    <cellStyle name="Heading 1 3 3" xfId="24386"/>
    <cellStyle name="Heading 1 3 4" xfId="24387"/>
    <cellStyle name="Heading 1 3 5" xfId="24388"/>
    <cellStyle name="Heading 1 3_Laporan Aspal Per Bulan 2009" xfId="24389"/>
    <cellStyle name="Heading 1 4" xfId="24390"/>
    <cellStyle name="Heading 1 4 2" xfId="24391"/>
    <cellStyle name="Heading 1 4 3" xfId="24392"/>
    <cellStyle name="Heading 1 4 4" xfId="24393"/>
    <cellStyle name="Heading 1 4_Laporan Aspal Per Bulan 2009" xfId="24394"/>
    <cellStyle name="Heading 1 5" xfId="24395"/>
    <cellStyle name="Heading 1 5 2" xfId="24396"/>
    <cellStyle name="Heading 1 5 3" xfId="24397"/>
    <cellStyle name="Heading 1 5_Sheet1" xfId="24398"/>
    <cellStyle name="Heading 1 6" xfId="24399"/>
    <cellStyle name="Heading 1 6 2" xfId="24400"/>
    <cellStyle name="Heading 1 6_Sheet1" xfId="24401"/>
    <cellStyle name="Heading 1 7" xfId="24402"/>
    <cellStyle name="Heading 1 8" xfId="24403"/>
    <cellStyle name="Heading 10" xfId="24404"/>
    <cellStyle name="Heading 2 2" xfId="24405"/>
    <cellStyle name="Heading 2 2 10" xfId="24406"/>
    <cellStyle name="Heading 2 2 11" xfId="24407"/>
    <cellStyle name="Heading 2 2 12" xfId="24408"/>
    <cellStyle name="Heading 2 2 13" xfId="24409"/>
    <cellStyle name="Heading 2 2 2" xfId="24410"/>
    <cellStyle name="Heading 2 2 3" xfId="24411"/>
    <cellStyle name="Heading 2 2 4" xfId="24412"/>
    <cellStyle name="Heading 2 2 5" xfId="24413"/>
    <cellStyle name="Heading 2 2 6" xfId="24414"/>
    <cellStyle name="Heading 2 2 7" xfId="24415"/>
    <cellStyle name="Heading 2 2 8" xfId="24416"/>
    <cellStyle name="Heading 2 2 9" xfId="24417"/>
    <cellStyle name="Heading 2 2_Laporan Aspal Per Bulan 2009" xfId="24418"/>
    <cellStyle name="Heading 2 3" xfId="24419"/>
    <cellStyle name="Heading 2 3 2" xfId="24420"/>
    <cellStyle name="Heading 2 3 3" xfId="24421"/>
    <cellStyle name="Heading 2 3 4" xfId="24422"/>
    <cellStyle name="Heading 2 3 5" xfId="24423"/>
    <cellStyle name="Heading 2 3_Laporan Aspal Per Bulan 2009" xfId="24424"/>
    <cellStyle name="Heading 2 4" xfId="24425"/>
    <cellStyle name="Heading 2 4 2" xfId="24426"/>
    <cellStyle name="Heading 2 4 3" xfId="24427"/>
    <cellStyle name="Heading 2 4 4" xfId="24428"/>
    <cellStyle name="Heading 2 4_Laporan Aspal Per Bulan 2009" xfId="24429"/>
    <cellStyle name="Heading 2 5" xfId="24430"/>
    <cellStyle name="Heading 2 5 2" xfId="24431"/>
    <cellStyle name="Heading 2 5 3" xfId="24432"/>
    <cellStyle name="Heading 2 5_Sheet1" xfId="24433"/>
    <cellStyle name="Heading 2 6" xfId="24434"/>
    <cellStyle name="Heading 2 6 2" xfId="24435"/>
    <cellStyle name="Heading 2 6_Sheet1" xfId="24436"/>
    <cellStyle name="Heading 2 7" xfId="24437"/>
    <cellStyle name="Heading 2 8" xfId="24438"/>
    <cellStyle name="Heading 3 2" xfId="24439"/>
    <cellStyle name="Heading 3 2 10" xfId="24440"/>
    <cellStyle name="Heading 3 2 11" xfId="24441"/>
    <cellStyle name="Heading 3 2 12" xfId="24442"/>
    <cellStyle name="Heading 3 2 13" xfId="24443"/>
    <cellStyle name="Heading 3 2 2" xfId="24444"/>
    <cellStyle name="Heading 3 2 2 2" xfId="24445"/>
    <cellStyle name="Heading 3 2 2 2 2" xfId="24446"/>
    <cellStyle name="Heading 3 2 2 2 2 2" xfId="24447"/>
    <cellStyle name="Heading 3 2 2 2 2 3" xfId="24448"/>
    <cellStyle name="Heading 3 2 2 2 2_Sheet1" xfId="24449"/>
    <cellStyle name="Heading 3 2 2 2 3" xfId="24450"/>
    <cellStyle name="Heading 3 2 2 2 3 2" xfId="24451"/>
    <cellStyle name="Heading 3 2 2 2 3_Sheet1" xfId="24452"/>
    <cellStyle name="Heading 3 2 2 2 4" xfId="24453"/>
    <cellStyle name="Heading 3 2 2 2_Sheet1" xfId="24454"/>
    <cellStyle name="Heading 3 2 2 3" xfId="24455"/>
    <cellStyle name="Heading 3 2 2 3 2" xfId="24456"/>
    <cellStyle name="Heading 3 2 2 3 2 2" xfId="24457"/>
    <cellStyle name="Heading 3 2 2 3 2 3" xfId="24458"/>
    <cellStyle name="Heading 3 2 2 3 2_Sheet1" xfId="24459"/>
    <cellStyle name="Heading 3 2 2 3 3" xfId="24460"/>
    <cellStyle name="Heading 3 2 2 3_Sheet1" xfId="24461"/>
    <cellStyle name="Heading 3 2 2 4" xfId="24462"/>
    <cellStyle name="Heading 3 2 2 4 2" xfId="24463"/>
    <cellStyle name="Heading 3 2 2 4 3" xfId="24464"/>
    <cellStyle name="Heading 3 2 2 4_Sheet1" xfId="24465"/>
    <cellStyle name="Heading 3 2 2 5" xfId="24466"/>
    <cellStyle name="Heading 3 2 2 6" xfId="24467"/>
    <cellStyle name="Heading 3 2 2_Sheet1" xfId="24468"/>
    <cellStyle name="Heading 3 2 3" xfId="24469"/>
    <cellStyle name="Heading 3 2 3 2" xfId="24470"/>
    <cellStyle name="Heading 3 2 3 2 2" xfId="24471"/>
    <cellStyle name="Heading 3 2 3 2 2 2" xfId="24472"/>
    <cellStyle name="Heading 3 2 3 2 2 3" xfId="24473"/>
    <cellStyle name="Heading 3 2 3 2 2_Sheet1" xfId="24474"/>
    <cellStyle name="Heading 3 2 3 2 3" xfId="24475"/>
    <cellStyle name="Heading 3 2 3 2 3 2" xfId="24476"/>
    <cellStyle name="Heading 3 2 3 2 3_Sheet1" xfId="24477"/>
    <cellStyle name="Heading 3 2 3 2 4" xfId="24478"/>
    <cellStyle name="Heading 3 2 3 2_Sheet1" xfId="24479"/>
    <cellStyle name="Heading 3 2 3 3" xfId="24480"/>
    <cellStyle name="Heading 3 2 3 3 2" xfId="24481"/>
    <cellStyle name="Heading 3 2 3 3 2 2" xfId="24482"/>
    <cellStyle name="Heading 3 2 3 3 2 3" xfId="24483"/>
    <cellStyle name="Heading 3 2 3 3 2_Sheet1" xfId="24484"/>
    <cellStyle name="Heading 3 2 3 3 3" xfId="24485"/>
    <cellStyle name="Heading 3 2 3 3_Sheet1" xfId="24486"/>
    <cellStyle name="Heading 3 2 3 4" xfId="24487"/>
    <cellStyle name="Heading 3 2 3 4 2" xfId="24488"/>
    <cellStyle name="Heading 3 2 3 4 3" xfId="24489"/>
    <cellStyle name="Heading 3 2 3 4_Sheet1" xfId="24490"/>
    <cellStyle name="Heading 3 2 3 5" xfId="24491"/>
    <cellStyle name="Heading 3 2 3 6" xfId="24492"/>
    <cellStyle name="Heading 3 2 3_Sheet1" xfId="24493"/>
    <cellStyle name="Heading 3 2 4" xfId="24494"/>
    <cellStyle name="Heading 3 2 4 2" xfId="24495"/>
    <cellStyle name="Heading 3 2 4 2 2" xfId="24496"/>
    <cellStyle name="Heading 3 2 4 2 2 2" xfId="24497"/>
    <cellStyle name="Heading 3 2 4 2 2 3" xfId="24498"/>
    <cellStyle name="Heading 3 2 4 2 2_Sheet1" xfId="24499"/>
    <cellStyle name="Heading 3 2 4 2 3" xfId="24500"/>
    <cellStyle name="Heading 3 2 4 2_Sheet1" xfId="24501"/>
    <cellStyle name="Heading 3 2 4 3" xfId="24502"/>
    <cellStyle name="Heading 3 2 4 3 2" xfId="24503"/>
    <cellStyle name="Heading 3 2 4 3 3" xfId="24504"/>
    <cellStyle name="Heading 3 2 4 3_Sheet1" xfId="24505"/>
    <cellStyle name="Heading 3 2 4 4" xfId="24506"/>
    <cellStyle name="Heading 3 2 4 5" xfId="24507"/>
    <cellStyle name="Heading 3 2 4_Sheet1" xfId="24508"/>
    <cellStyle name="Heading 3 2 5" xfId="24509"/>
    <cellStyle name="Heading 3 2 5 2" xfId="24510"/>
    <cellStyle name="Heading 3 2 5 2 2" xfId="24511"/>
    <cellStyle name="Heading 3 2 5 2 2 2" xfId="24512"/>
    <cellStyle name="Heading 3 2 5 2 2 3" xfId="24513"/>
    <cellStyle name="Heading 3 2 5 2 2_Sheet1" xfId="24514"/>
    <cellStyle name="Heading 3 2 5 2 3" xfId="24515"/>
    <cellStyle name="Heading 3 2 5 2_Sheet1" xfId="24516"/>
    <cellStyle name="Heading 3 2 5 3" xfId="24517"/>
    <cellStyle name="Heading 3 2 5 3 2" xfId="24518"/>
    <cellStyle name="Heading 3 2 5 3 3" xfId="24519"/>
    <cellStyle name="Heading 3 2 5 3_Sheet1" xfId="24520"/>
    <cellStyle name="Heading 3 2 5 4" xfId="24521"/>
    <cellStyle name="Heading 3 2 5 5" xfId="24522"/>
    <cellStyle name="Heading 3 2 5_Sheet1" xfId="24523"/>
    <cellStyle name="Heading 3 2 6" xfId="24524"/>
    <cellStyle name="Heading 3 2 6 2" xfId="24525"/>
    <cellStyle name="Heading 3 2 6 2 2" xfId="24526"/>
    <cellStyle name="Heading 3 2 6 2 2 2" xfId="24527"/>
    <cellStyle name="Heading 3 2 6 2 2 3" xfId="24528"/>
    <cellStyle name="Heading 3 2 6 2 2_Sheet1" xfId="24529"/>
    <cellStyle name="Heading 3 2 6 2 3" xfId="24530"/>
    <cellStyle name="Heading 3 2 6 2_Sheet1" xfId="24531"/>
    <cellStyle name="Heading 3 2 6 3" xfId="24532"/>
    <cellStyle name="Heading 3 2 6 3 2" xfId="24533"/>
    <cellStyle name="Heading 3 2 6 3 3" xfId="24534"/>
    <cellStyle name="Heading 3 2 6 3_Sheet1" xfId="24535"/>
    <cellStyle name="Heading 3 2 6 4" xfId="24536"/>
    <cellStyle name="Heading 3 2 6 5" xfId="24537"/>
    <cellStyle name="Heading 3 2 6_Sheet1" xfId="24538"/>
    <cellStyle name="Heading 3 2 7" xfId="24539"/>
    <cellStyle name="Heading 3 2 7 2" xfId="24540"/>
    <cellStyle name="Heading 3 2 7 2 2" xfId="24541"/>
    <cellStyle name="Heading 3 2 7 2 3" xfId="24542"/>
    <cellStyle name="Heading 3 2 7 2_Sheet1" xfId="24543"/>
    <cellStyle name="Heading 3 2 7 3" xfId="24544"/>
    <cellStyle name="Heading 3 2 7 3 2" xfId="24545"/>
    <cellStyle name="Heading 3 2 7 3_Sheet1" xfId="24546"/>
    <cellStyle name="Heading 3 2 7 4" xfId="24547"/>
    <cellStyle name="Heading 3 2 7_Sheet1" xfId="24548"/>
    <cellStyle name="Heading 3 2 8" xfId="24549"/>
    <cellStyle name="Heading 3 2 8 2" xfId="24550"/>
    <cellStyle name="Heading 3 2 8 2 2" xfId="24551"/>
    <cellStyle name="Heading 3 2 8 2 3" xfId="24552"/>
    <cellStyle name="Heading 3 2 8 2_Sheet1" xfId="24553"/>
    <cellStyle name="Heading 3 2 8 3" xfId="24554"/>
    <cellStyle name="Heading 3 2 8_Sheet1" xfId="24555"/>
    <cellStyle name="Heading 3 2 9" xfId="24556"/>
    <cellStyle name="Heading 3 2 9 2" xfId="24557"/>
    <cellStyle name="Heading 3 2 9 3" xfId="24558"/>
    <cellStyle name="Heading 3 2 9_Sheet1" xfId="24559"/>
    <cellStyle name="Heading 3 2_Laporan Aspal Per Bulan 2009" xfId="24560"/>
    <cellStyle name="Heading 3 3" xfId="24561"/>
    <cellStyle name="Heading 3 3 10" xfId="24562"/>
    <cellStyle name="Heading 3 3 2" xfId="24563"/>
    <cellStyle name="Heading 3 3 2 2" xfId="24564"/>
    <cellStyle name="Heading 3 3 2 2 2" xfId="24565"/>
    <cellStyle name="Heading 3 3 2 2 2 2" xfId="24566"/>
    <cellStyle name="Heading 3 3 2 2 2 3" xfId="24567"/>
    <cellStyle name="Heading 3 3 2 2 2_Sheet1" xfId="24568"/>
    <cellStyle name="Heading 3 3 2 2 3" xfId="24569"/>
    <cellStyle name="Heading 3 3 2 2 3 2" xfId="24570"/>
    <cellStyle name="Heading 3 3 2 2 3_Sheet1" xfId="24571"/>
    <cellStyle name="Heading 3 3 2 2 4" xfId="24572"/>
    <cellStyle name="Heading 3 3 2 2_Sheet1" xfId="24573"/>
    <cellStyle name="Heading 3 3 2 3" xfId="24574"/>
    <cellStyle name="Heading 3 3 2 3 2" xfId="24575"/>
    <cellStyle name="Heading 3 3 2 3 2 2" xfId="24576"/>
    <cellStyle name="Heading 3 3 2 3 2 3" xfId="24577"/>
    <cellStyle name="Heading 3 3 2 3 2_Sheet1" xfId="24578"/>
    <cellStyle name="Heading 3 3 2 3 3" xfId="24579"/>
    <cellStyle name="Heading 3 3 2 3_Sheet1" xfId="24580"/>
    <cellStyle name="Heading 3 3 2 4" xfId="24581"/>
    <cellStyle name="Heading 3 3 2 4 2" xfId="24582"/>
    <cellStyle name="Heading 3 3 2 4 3" xfId="24583"/>
    <cellStyle name="Heading 3 3 2 4_Sheet1" xfId="24584"/>
    <cellStyle name="Heading 3 3 2 5" xfId="24585"/>
    <cellStyle name="Heading 3 3 2 6" xfId="24586"/>
    <cellStyle name="Heading 3 3 2_Sheet1" xfId="24587"/>
    <cellStyle name="Heading 3 3 3" xfId="24588"/>
    <cellStyle name="Heading 3 3 3 2" xfId="24589"/>
    <cellStyle name="Heading 3 3 3 2 2" xfId="24590"/>
    <cellStyle name="Heading 3 3 3 2 2 2" xfId="24591"/>
    <cellStyle name="Heading 3 3 3 2 2 3" xfId="24592"/>
    <cellStyle name="Heading 3 3 3 2 2_Sheet1" xfId="24593"/>
    <cellStyle name="Heading 3 3 3 2 3" xfId="24594"/>
    <cellStyle name="Heading 3 3 3 2 3 2" xfId="24595"/>
    <cellStyle name="Heading 3 3 3 2 3_Sheet1" xfId="24596"/>
    <cellStyle name="Heading 3 3 3 2 4" xfId="24597"/>
    <cellStyle name="Heading 3 3 3 2_Sheet1" xfId="24598"/>
    <cellStyle name="Heading 3 3 3 3" xfId="24599"/>
    <cellStyle name="Heading 3 3 3 3 2" xfId="24600"/>
    <cellStyle name="Heading 3 3 3 3 2 2" xfId="24601"/>
    <cellStyle name="Heading 3 3 3 3 2 3" xfId="24602"/>
    <cellStyle name="Heading 3 3 3 3 2_Sheet1" xfId="24603"/>
    <cellStyle name="Heading 3 3 3 3 3" xfId="24604"/>
    <cellStyle name="Heading 3 3 3 3_Sheet1" xfId="24605"/>
    <cellStyle name="Heading 3 3 3 4" xfId="24606"/>
    <cellStyle name="Heading 3 3 3 4 2" xfId="24607"/>
    <cellStyle name="Heading 3 3 3 4 3" xfId="24608"/>
    <cellStyle name="Heading 3 3 3 4_Sheet1" xfId="24609"/>
    <cellStyle name="Heading 3 3 3 5" xfId="24610"/>
    <cellStyle name="Heading 3 3 3 6" xfId="24611"/>
    <cellStyle name="Heading 3 3 3_Sheet1" xfId="24612"/>
    <cellStyle name="Heading 3 3 4" xfId="24613"/>
    <cellStyle name="Heading 3 3 4 2" xfId="24614"/>
    <cellStyle name="Heading 3 3 4 2 2" xfId="24615"/>
    <cellStyle name="Heading 3 3 4 2 2 2" xfId="24616"/>
    <cellStyle name="Heading 3 3 4 2 2 3" xfId="24617"/>
    <cellStyle name="Heading 3 3 4 2 2_Sheet1" xfId="24618"/>
    <cellStyle name="Heading 3 3 4 2 3" xfId="24619"/>
    <cellStyle name="Heading 3 3 4 2_Sheet1" xfId="24620"/>
    <cellStyle name="Heading 3 3 4 3" xfId="24621"/>
    <cellStyle name="Heading 3 3 4 3 2" xfId="24622"/>
    <cellStyle name="Heading 3 3 4 3 3" xfId="24623"/>
    <cellStyle name="Heading 3 3 4 3_Sheet1" xfId="24624"/>
    <cellStyle name="Heading 3 3 4 4" xfId="24625"/>
    <cellStyle name="Heading 3 3 4 5" xfId="24626"/>
    <cellStyle name="Heading 3 3 4_Sheet1" xfId="24627"/>
    <cellStyle name="Heading 3 3 5" xfId="24628"/>
    <cellStyle name="Heading 3 3 5 2" xfId="24629"/>
    <cellStyle name="Heading 3 3 5 2 2" xfId="24630"/>
    <cellStyle name="Heading 3 3 5 2 2 2" xfId="24631"/>
    <cellStyle name="Heading 3 3 5 2 2 3" xfId="24632"/>
    <cellStyle name="Heading 3 3 5 2 2_Sheet1" xfId="24633"/>
    <cellStyle name="Heading 3 3 5 2 3" xfId="24634"/>
    <cellStyle name="Heading 3 3 5 2_Sheet1" xfId="24635"/>
    <cellStyle name="Heading 3 3 5 3" xfId="24636"/>
    <cellStyle name="Heading 3 3 5 3 2" xfId="24637"/>
    <cellStyle name="Heading 3 3 5 3 3" xfId="24638"/>
    <cellStyle name="Heading 3 3 5 3_Sheet1" xfId="24639"/>
    <cellStyle name="Heading 3 3 5 4" xfId="24640"/>
    <cellStyle name="Heading 3 3 5 5" xfId="24641"/>
    <cellStyle name="Heading 3 3 5_Sheet1" xfId="24642"/>
    <cellStyle name="Heading 3 3 6" xfId="24643"/>
    <cellStyle name="Heading 3 3 6 2" xfId="24644"/>
    <cellStyle name="Heading 3 3 6 2 2" xfId="24645"/>
    <cellStyle name="Heading 3 3 6 2 3" xfId="24646"/>
    <cellStyle name="Heading 3 3 6 2_Sheet1" xfId="24647"/>
    <cellStyle name="Heading 3 3 6 3" xfId="24648"/>
    <cellStyle name="Heading 3 3 6 3 2" xfId="24649"/>
    <cellStyle name="Heading 3 3 6 3_Sheet1" xfId="24650"/>
    <cellStyle name="Heading 3 3 6 4" xfId="24651"/>
    <cellStyle name="Heading 3 3 6_Sheet1" xfId="24652"/>
    <cellStyle name="Heading 3 3 7" xfId="24653"/>
    <cellStyle name="Heading 3 3 7 2" xfId="24654"/>
    <cellStyle name="Heading 3 3 7 2 2" xfId="24655"/>
    <cellStyle name="Heading 3 3 7 2 3" xfId="24656"/>
    <cellStyle name="Heading 3 3 7 2_Sheet1" xfId="24657"/>
    <cellStyle name="Heading 3 3 7 3" xfId="24658"/>
    <cellStyle name="Heading 3 3 7_Sheet1" xfId="24659"/>
    <cellStyle name="Heading 3 3 8" xfId="24660"/>
    <cellStyle name="Heading 3 3 8 2" xfId="24661"/>
    <cellStyle name="Heading 3 3 8 3" xfId="24662"/>
    <cellStyle name="Heading 3 3 8_Sheet1" xfId="24663"/>
    <cellStyle name="Heading 3 3 9" xfId="24664"/>
    <cellStyle name="Heading 3 3_Laporan Aspal Per Bulan 2009" xfId="24665"/>
    <cellStyle name="Heading 3 4" xfId="24666"/>
    <cellStyle name="Heading 3 4 2" xfId="24667"/>
    <cellStyle name="Heading 3 4 2 2" xfId="24668"/>
    <cellStyle name="Heading 3 4 2 2 2" xfId="24669"/>
    <cellStyle name="Heading 3 4 2 2 2 2" xfId="24670"/>
    <cellStyle name="Heading 3 4 2 2 2 3" xfId="24671"/>
    <cellStyle name="Heading 3 4 2 2 2_Sheet1" xfId="24672"/>
    <cellStyle name="Heading 3 4 2 2 3" xfId="24673"/>
    <cellStyle name="Heading 3 4 2 2 3 2" xfId="24674"/>
    <cellStyle name="Heading 3 4 2 2 3_Sheet1" xfId="24675"/>
    <cellStyle name="Heading 3 4 2 2 4" xfId="24676"/>
    <cellStyle name="Heading 3 4 2 2_Sheet1" xfId="24677"/>
    <cellStyle name="Heading 3 4 2 3" xfId="24678"/>
    <cellStyle name="Heading 3 4 2 3 2" xfId="24679"/>
    <cellStyle name="Heading 3 4 2 3 2 2" xfId="24680"/>
    <cellStyle name="Heading 3 4 2 3 2 3" xfId="24681"/>
    <cellStyle name="Heading 3 4 2 3 2_Sheet1" xfId="24682"/>
    <cellStyle name="Heading 3 4 2 3 3" xfId="24683"/>
    <cellStyle name="Heading 3 4 2 3_Sheet1" xfId="24684"/>
    <cellStyle name="Heading 3 4 2 4" xfId="24685"/>
    <cellStyle name="Heading 3 4 2 4 2" xfId="24686"/>
    <cellStyle name="Heading 3 4 2 4 3" xfId="24687"/>
    <cellStyle name="Heading 3 4 2 4_Sheet1" xfId="24688"/>
    <cellStyle name="Heading 3 4 2 5" xfId="24689"/>
    <cellStyle name="Heading 3 4 2 6" xfId="24690"/>
    <cellStyle name="Heading 3 4 2_Sheet1" xfId="24691"/>
    <cellStyle name="Heading 3 4 3" xfId="24692"/>
    <cellStyle name="Heading 3 4 3 2" xfId="24693"/>
    <cellStyle name="Heading 3 4 3 2 2" xfId="24694"/>
    <cellStyle name="Heading 3 4 3 2 2 2" xfId="24695"/>
    <cellStyle name="Heading 3 4 3 2 2 3" xfId="24696"/>
    <cellStyle name="Heading 3 4 3 2 2_Sheet1" xfId="24697"/>
    <cellStyle name="Heading 3 4 3 2 3" xfId="24698"/>
    <cellStyle name="Heading 3 4 3 2 3 2" xfId="24699"/>
    <cellStyle name="Heading 3 4 3 2 3_Sheet1" xfId="24700"/>
    <cellStyle name="Heading 3 4 3 2 4" xfId="24701"/>
    <cellStyle name="Heading 3 4 3 2_Sheet1" xfId="24702"/>
    <cellStyle name="Heading 3 4 3 3" xfId="24703"/>
    <cellStyle name="Heading 3 4 3 3 2" xfId="24704"/>
    <cellStyle name="Heading 3 4 3 3 2 2" xfId="24705"/>
    <cellStyle name="Heading 3 4 3 3 2 3" xfId="24706"/>
    <cellStyle name="Heading 3 4 3 3 2_Sheet1" xfId="24707"/>
    <cellStyle name="Heading 3 4 3 3 3" xfId="24708"/>
    <cellStyle name="Heading 3 4 3 3_Sheet1" xfId="24709"/>
    <cellStyle name="Heading 3 4 3 4" xfId="24710"/>
    <cellStyle name="Heading 3 4 3 4 2" xfId="24711"/>
    <cellStyle name="Heading 3 4 3 4 3" xfId="24712"/>
    <cellStyle name="Heading 3 4 3 4_Sheet1" xfId="24713"/>
    <cellStyle name="Heading 3 4 3 5" xfId="24714"/>
    <cellStyle name="Heading 3 4 3 6" xfId="24715"/>
    <cellStyle name="Heading 3 4 3_Sheet1" xfId="24716"/>
    <cellStyle name="Heading 3 4 4" xfId="24717"/>
    <cellStyle name="Heading 3 4 4 2" xfId="24718"/>
    <cellStyle name="Heading 3 4 4 2 2" xfId="24719"/>
    <cellStyle name="Heading 3 4 4 2 2 2" xfId="24720"/>
    <cellStyle name="Heading 3 4 4 2 2 3" xfId="24721"/>
    <cellStyle name="Heading 3 4 4 2 2_Sheet1" xfId="24722"/>
    <cellStyle name="Heading 3 4 4 2 3" xfId="24723"/>
    <cellStyle name="Heading 3 4 4 2_Sheet1" xfId="24724"/>
    <cellStyle name="Heading 3 4 4 3" xfId="24725"/>
    <cellStyle name="Heading 3 4 4 3 2" xfId="24726"/>
    <cellStyle name="Heading 3 4 4 3 3" xfId="24727"/>
    <cellStyle name="Heading 3 4 4 3_Sheet1" xfId="24728"/>
    <cellStyle name="Heading 3 4 4 4" xfId="24729"/>
    <cellStyle name="Heading 3 4 4 5" xfId="24730"/>
    <cellStyle name="Heading 3 4 4_Sheet1" xfId="24731"/>
    <cellStyle name="Heading 3 4 5" xfId="24732"/>
    <cellStyle name="Heading 3 4 5 2" xfId="24733"/>
    <cellStyle name="Heading 3 4 5 2 2" xfId="24734"/>
    <cellStyle name="Heading 3 4 5 2 3" xfId="24735"/>
    <cellStyle name="Heading 3 4 5 2_Sheet1" xfId="24736"/>
    <cellStyle name="Heading 3 4 5 3" xfId="24737"/>
    <cellStyle name="Heading 3 4 5 3 2" xfId="24738"/>
    <cellStyle name="Heading 3 4 5 3_Sheet1" xfId="24739"/>
    <cellStyle name="Heading 3 4 5 4" xfId="24740"/>
    <cellStyle name="Heading 3 4 5_Sheet1" xfId="24741"/>
    <cellStyle name="Heading 3 4 6" xfId="24742"/>
    <cellStyle name="Heading 3 4 6 2" xfId="24743"/>
    <cellStyle name="Heading 3 4 6 2 2" xfId="24744"/>
    <cellStyle name="Heading 3 4 6 2 3" xfId="24745"/>
    <cellStyle name="Heading 3 4 6 2_Sheet1" xfId="24746"/>
    <cellStyle name="Heading 3 4 6 3" xfId="24747"/>
    <cellStyle name="Heading 3 4 6_Sheet1" xfId="24748"/>
    <cellStyle name="Heading 3 4 7" xfId="24749"/>
    <cellStyle name="Heading 3 4 7 2" xfId="24750"/>
    <cellStyle name="Heading 3 4 7 3" xfId="24751"/>
    <cellStyle name="Heading 3 4 7_Sheet1" xfId="24752"/>
    <cellStyle name="Heading 3 4 8" xfId="24753"/>
    <cellStyle name="Heading 3 4 9" xfId="24754"/>
    <cellStyle name="Heading 3 4_Laporan Aspal Per Bulan 2009" xfId="24755"/>
    <cellStyle name="Heading 3 5" xfId="24756"/>
    <cellStyle name="Heading 3 5 2" xfId="24757"/>
    <cellStyle name="Heading 3 5 2 2" xfId="24758"/>
    <cellStyle name="Heading 3 5 2 2 2" xfId="24759"/>
    <cellStyle name="Heading 3 5 2 2 2 2" xfId="24760"/>
    <cellStyle name="Heading 3 5 2 2 2 3" xfId="24761"/>
    <cellStyle name="Heading 3 5 2 2 2_Sheet1" xfId="24762"/>
    <cellStyle name="Heading 3 5 2 2 3" xfId="24763"/>
    <cellStyle name="Heading 3 5 2 2_Sheet1" xfId="24764"/>
    <cellStyle name="Heading 3 5 2 3" xfId="24765"/>
    <cellStyle name="Heading 3 5 2 3 2" xfId="24766"/>
    <cellStyle name="Heading 3 5 2 3 3" xfId="24767"/>
    <cellStyle name="Heading 3 5 2 3_Sheet1" xfId="24768"/>
    <cellStyle name="Heading 3 5 2 4" xfId="24769"/>
    <cellStyle name="Heading 3 5 2 5" xfId="24770"/>
    <cellStyle name="Heading 3 5 2_Sheet1" xfId="24771"/>
    <cellStyle name="Heading 3 5 3" xfId="24772"/>
    <cellStyle name="Heading 3 5 3 2" xfId="24773"/>
    <cellStyle name="Heading 3 5 3 2 2" xfId="24774"/>
    <cellStyle name="Heading 3 5 3 2 2 2" xfId="24775"/>
    <cellStyle name="Heading 3 5 3 2 2 3" xfId="24776"/>
    <cellStyle name="Heading 3 5 3 2 2_Sheet1" xfId="24777"/>
    <cellStyle name="Heading 3 5 3 2 3" xfId="24778"/>
    <cellStyle name="Heading 3 5 3 2_Sheet1" xfId="24779"/>
    <cellStyle name="Heading 3 5 3 3" xfId="24780"/>
    <cellStyle name="Heading 3 5 3 3 2" xfId="24781"/>
    <cellStyle name="Heading 3 5 3 3 3" xfId="24782"/>
    <cellStyle name="Heading 3 5 3 3_Sheet1" xfId="24783"/>
    <cellStyle name="Heading 3 5 3 4" xfId="24784"/>
    <cellStyle name="Heading 3 5 3 5" xfId="24785"/>
    <cellStyle name="Heading 3 5 3_Sheet1" xfId="24786"/>
    <cellStyle name="Heading 3 5 4" xfId="24787"/>
    <cellStyle name="Heading 3 5 4 2" xfId="24788"/>
    <cellStyle name="Heading 3 5 4 2 2" xfId="24789"/>
    <cellStyle name="Heading 3 5 4 2 3" xfId="24790"/>
    <cellStyle name="Heading 3 5 4 2_Sheet1" xfId="24791"/>
    <cellStyle name="Heading 3 5 4 3" xfId="24792"/>
    <cellStyle name="Heading 3 5 4 3 2" xfId="24793"/>
    <cellStyle name="Heading 3 5 4 3_Sheet1" xfId="24794"/>
    <cellStyle name="Heading 3 5 4 4" xfId="24795"/>
    <cellStyle name="Heading 3 5 4_Sheet1" xfId="24796"/>
    <cellStyle name="Heading 3 5 5" xfId="24797"/>
    <cellStyle name="Heading 3 5 5 2" xfId="24798"/>
    <cellStyle name="Heading 3 5 5 2 2" xfId="24799"/>
    <cellStyle name="Heading 3 5 5 2 3" xfId="24800"/>
    <cellStyle name="Heading 3 5 5 2_Sheet1" xfId="24801"/>
    <cellStyle name="Heading 3 5 5 3" xfId="24802"/>
    <cellStyle name="Heading 3 5 5_Sheet1" xfId="24803"/>
    <cellStyle name="Heading 3 5 6" xfId="24804"/>
    <cellStyle name="Heading 3 5 6 2" xfId="24805"/>
    <cellStyle name="Heading 3 5 6 3" xfId="24806"/>
    <cellStyle name="Heading 3 5 6_Sheet1" xfId="24807"/>
    <cellStyle name="Heading 3 5 7" xfId="24808"/>
    <cellStyle name="Heading 3 5 8" xfId="24809"/>
    <cellStyle name="Heading 3 5_Sheet1" xfId="24810"/>
    <cellStyle name="Heading 3 6" xfId="24811"/>
    <cellStyle name="Heading 3 6 2" xfId="24812"/>
    <cellStyle name="Heading 3 6 2 2" xfId="24813"/>
    <cellStyle name="Heading 3 6 2 2 2" xfId="24814"/>
    <cellStyle name="Heading 3 6 2 2 2 2" xfId="24815"/>
    <cellStyle name="Heading 3 6 2 2 2 3" xfId="24816"/>
    <cellStyle name="Heading 3 6 2 2 2_Sheet1" xfId="24817"/>
    <cellStyle name="Heading 3 6 2 2 3" xfId="24818"/>
    <cellStyle name="Heading 3 6 2 2_Sheet1" xfId="24819"/>
    <cellStyle name="Heading 3 6 2 3" xfId="24820"/>
    <cellStyle name="Heading 3 6 2 3 2" xfId="24821"/>
    <cellStyle name="Heading 3 6 2 3 3" xfId="24822"/>
    <cellStyle name="Heading 3 6 2 3_Sheet1" xfId="24823"/>
    <cellStyle name="Heading 3 6 2 4" xfId="24824"/>
    <cellStyle name="Heading 3 6 2 5" xfId="24825"/>
    <cellStyle name="Heading 3 6 2_Sheet1" xfId="24826"/>
    <cellStyle name="Heading 3 6 3" xfId="24827"/>
    <cellStyle name="Heading 3 6 3 2" xfId="24828"/>
    <cellStyle name="Heading 3 6 3 2 2" xfId="24829"/>
    <cellStyle name="Heading 3 6 3 2 3" xfId="24830"/>
    <cellStyle name="Heading 3 6 3 2_Sheet1" xfId="24831"/>
    <cellStyle name="Heading 3 6 3 3" xfId="24832"/>
    <cellStyle name="Heading 3 6 3_Sheet1" xfId="24833"/>
    <cellStyle name="Heading 3 6 4" xfId="24834"/>
    <cellStyle name="Heading 3 6 4 2" xfId="24835"/>
    <cellStyle name="Heading 3 6 4 3" xfId="24836"/>
    <cellStyle name="Heading 3 6 4_Sheet1" xfId="24837"/>
    <cellStyle name="Heading 3 6 5" xfId="24838"/>
    <cellStyle name="Heading 3 6 6" xfId="24839"/>
    <cellStyle name="Heading 3 6_Sheet1" xfId="24840"/>
    <cellStyle name="Heading 3 7" xfId="24841"/>
    <cellStyle name="Heading 3 7 2" xfId="24842"/>
    <cellStyle name="Heading 3 7 2 2" xfId="24843"/>
    <cellStyle name="Heading 3 7 2 2 2" xfId="24844"/>
    <cellStyle name="Heading 3 7 2 2 3" xfId="24845"/>
    <cellStyle name="Heading 3 7 2 2_Sheet1" xfId="24846"/>
    <cellStyle name="Heading 3 7 2 3" xfId="24847"/>
    <cellStyle name="Heading 3 7 2_Sheet1" xfId="24848"/>
    <cellStyle name="Heading 3 7 3" xfId="24849"/>
    <cellStyle name="Heading 3 7 3 2" xfId="24850"/>
    <cellStyle name="Heading 3 7 3 3" xfId="24851"/>
    <cellStyle name="Heading 3 7 3_Sheet1" xfId="24852"/>
    <cellStyle name="Heading 3 7 4" xfId="24853"/>
    <cellStyle name="Heading 3 7 5" xfId="24854"/>
    <cellStyle name="Heading 3 7_Sheet1" xfId="24855"/>
    <cellStyle name="Heading 3 8" xfId="24856"/>
    <cellStyle name="Heading 3 8 2" xfId="24857"/>
    <cellStyle name="Heading 3 8 2 2" xfId="24858"/>
    <cellStyle name="Heading 3 8 2 2 2" xfId="24859"/>
    <cellStyle name="Heading 3 8 2 2 3" xfId="24860"/>
    <cellStyle name="Heading 3 8 2 2_Sheet1" xfId="24861"/>
    <cellStyle name="Heading 3 8 2 3" xfId="24862"/>
    <cellStyle name="Heading 3 8 2_Sheet1" xfId="24863"/>
    <cellStyle name="Heading 3 8 3" xfId="24864"/>
    <cellStyle name="Heading 3 8 3 2" xfId="24865"/>
    <cellStyle name="Heading 3 8 3 3" xfId="24866"/>
    <cellStyle name="Heading 3 8 3_Sheet1" xfId="24867"/>
    <cellStyle name="Heading 3 8 4" xfId="24868"/>
    <cellStyle name="Heading 3 8 5" xfId="24869"/>
    <cellStyle name="Heading 3 8_Sheet1" xfId="24870"/>
    <cellStyle name="Heading 4 2" xfId="24871"/>
    <cellStyle name="Heading 4 2 10" xfId="24872"/>
    <cellStyle name="Heading 4 2 11" xfId="24873"/>
    <cellStyle name="Heading 4 2 12" xfId="24874"/>
    <cellStyle name="Heading 4 2 13" xfId="24875"/>
    <cellStyle name="Heading 4 2 2" xfId="24876"/>
    <cellStyle name="Heading 4 2 3" xfId="24877"/>
    <cellStyle name="Heading 4 2 4" xfId="24878"/>
    <cellStyle name="Heading 4 2 5" xfId="24879"/>
    <cellStyle name="Heading 4 2 6" xfId="24880"/>
    <cellStyle name="Heading 4 2 7" xfId="24881"/>
    <cellStyle name="Heading 4 2 8" xfId="24882"/>
    <cellStyle name="Heading 4 2 9" xfId="24883"/>
    <cellStyle name="Heading 4 2_Laporan Aspal Per Bulan 2009" xfId="24884"/>
    <cellStyle name="Heading 4 3" xfId="24885"/>
    <cellStyle name="Heading 4 3 2" xfId="24886"/>
    <cellStyle name="Heading 4 3 3" xfId="24887"/>
    <cellStyle name="Heading 4 3 4" xfId="24888"/>
    <cellStyle name="Heading 4 3 5" xfId="24889"/>
    <cellStyle name="Heading 4 3_Sheet1" xfId="24890"/>
    <cellStyle name="Heading 4 4" xfId="24891"/>
    <cellStyle name="Heading 4 4 2" xfId="24892"/>
    <cellStyle name="Heading 4 4 3" xfId="24893"/>
    <cellStyle name="Heading 4 4 4" xfId="24894"/>
    <cellStyle name="Heading 4 4_Sheet1" xfId="24895"/>
    <cellStyle name="Heading 4 5" xfId="24896"/>
    <cellStyle name="Heading 4 5 2" xfId="24897"/>
    <cellStyle name="Heading 4 5 3" xfId="24898"/>
    <cellStyle name="Heading 4 5_Sheet1" xfId="24899"/>
    <cellStyle name="Heading 4 6" xfId="24900"/>
    <cellStyle name="Heading 4 6 2" xfId="24901"/>
    <cellStyle name="Heading 4 6_Sheet1" xfId="24902"/>
    <cellStyle name="Heading 4 7" xfId="24903"/>
    <cellStyle name="Heading 4 8" xfId="24904"/>
    <cellStyle name="Heading 5" xfId="24905"/>
    <cellStyle name="Heading 5 2" xfId="24906"/>
    <cellStyle name="Heading 5 2 2" xfId="24907"/>
    <cellStyle name="Heading 5 2 2 2" xfId="24908"/>
    <cellStyle name="Heading 5 2 2_Sheet1" xfId="24909"/>
    <cellStyle name="Heading 5 2 3" xfId="24910"/>
    <cellStyle name="Heading 5 2_Sheet1" xfId="24911"/>
    <cellStyle name="Heading 5 3" xfId="24912"/>
    <cellStyle name="Heading 5 3 2" xfId="24913"/>
    <cellStyle name="Heading 5 3 2 2" xfId="24914"/>
    <cellStyle name="Heading 5 3 2_Sheet1" xfId="24915"/>
    <cellStyle name="Heading 5 3 3" xfId="24916"/>
    <cellStyle name="Heading 5 3_Sheet1" xfId="24917"/>
    <cellStyle name="Heading 5 4" xfId="24918"/>
    <cellStyle name="Heading 5 4 2" xfId="24919"/>
    <cellStyle name="Heading 5 4_Sheet1" xfId="24920"/>
    <cellStyle name="Heading 5 5" xfId="24921"/>
    <cellStyle name="Heading 5 6" xfId="24922"/>
    <cellStyle name="Heading 5_Sheet1" xfId="24923"/>
    <cellStyle name="Heading 6" xfId="24924"/>
    <cellStyle name="Heading 6 2" xfId="24925"/>
    <cellStyle name="Heading 6 2 2" xfId="24926"/>
    <cellStyle name="Heading 6 2_Sheet1" xfId="24927"/>
    <cellStyle name="Heading 6 3" xfId="24928"/>
    <cellStyle name="Heading 6_Sheet1" xfId="24929"/>
    <cellStyle name="Heading 7" xfId="24930"/>
    <cellStyle name="Heading 7 2" xfId="24931"/>
    <cellStyle name="Heading 7 2 2" xfId="24932"/>
    <cellStyle name="Heading 7 2_Sheet1" xfId="24933"/>
    <cellStyle name="Heading 7 3" xfId="24934"/>
    <cellStyle name="Heading 7_Sheet1" xfId="24935"/>
    <cellStyle name="Heading 8" xfId="24936"/>
    <cellStyle name="Heading 8 2" xfId="24937"/>
    <cellStyle name="Heading 8_Sheet1" xfId="24938"/>
    <cellStyle name="Heading 9" xfId="24939"/>
    <cellStyle name="Heading1" xfId="24940"/>
    <cellStyle name="Heading1 2" xfId="24941"/>
    <cellStyle name="Heading1_Sheet1" xfId="24942"/>
    <cellStyle name="Heading2" xfId="24943"/>
    <cellStyle name="Heading2 2" xfId="24944"/>
    <cellStyle name="Heading2_Sheet1" xfId="24945"/>
    <cellStyle name="HEADINGS" xfId="24946"/>
    <cellStyle name="HEADINGS 2" xfId="24947"/>
    <cellStyle name="HEADINGS 2 2" xfId="24948"/>
    <cellStyle name="HEADINGS 2 2 2" xfId="24949"/>
    <cellStyle name="HEADINGS 2 2 3" xfId="24950"/>
    <cellStyle name="HEADINGS 2 2_Sheet1" xfId="24951"/>
    <cellStyle name="HEADINGS 2 3" xfId="24952"/>
    <cellStyle name="HEADINGS 2 3 2" xfId="24953"/>
    <cellStyle name="HEADINGS 2 3_Sheet1" xfId="24954"/>
    <cellStyle name="HEADINGS 2 4" xfId="24955"/>
    <cellStyle name="HEADINGS 2_Sheet1" xfId="24956"/>
    <cellStyle name="HEADINGS 3" xfId="24957"/>
    <cellStyle name="HEADINGS 3 2" xfId="24958"/>
    <cellStyle name="HEADINGS 3 2 2" xfId="24959"/>
    <cellStyle name="HEADINGS 3 2 3" xfId="24960"/>
    <cellStyle name="HEADINGS 3 2_Sheet1" xfId="24961"/>
    <cellStyle name="HEADINGS 3 3" xfId="24962"/>
    <cellStyle name="HEADINGS 3_Sheet1" xfId="24963"/>
    <cellStyle name="HEADINGS 4" xfId="24964"/>
    <cellStyle name="HEADINGS 4 2" xfId="24965"/>
    <cellStyle name="HEADINGS 4 3" xfId="24966"/>
    <cellStyle name="HEADINGS 4_Sheet1" xfId="24967"/>
    <cellStyle name="HEADINGS 5" xfId="24968"/>
    <cellStyle name="HEADINGS 6" xfId="24969"/>
    <cellStyle name="HEADINGS_Sheet1" xfId="24970"/>
    <cellStyle name="HEADINGSTOP" xfId="24971"/>
    <cellStyle name="Helv8_PFD4.XLS" xfId="24972"/>
    <cellStyle name="hp0 -Hyperlink" xfId="24973"/>
    <cellStyle name="hp1 -Hyperlink" xfId="24974"/>
    <cellStyle name="hp2 -Hyperlink" xfId="24975"/>
    <cellStyle name="hp3 -Hyperlink" xfId="24976"/>
    <cellStyle name="Hyperlink 2" xfId="24977"/>
    <cellStyle name="Hyperlink 2 2" xfId="24978"/>
    <cellStyle name="Hyperlink 2 3" xfId="24979"/>
    <cellStyle name="Hyperlink 2_Sheet1" xfId="24980"/>
    <cellStyle name="Hyperlink 3" xfId="24981"/>
    <cellStyle name="Hyperlink 3 2" xfId="24982"/>
    <cellStyle name="Hyperlink 3_Sheet1" xfId="24983"/>
    <cellStyle name="Hyperlink 4" xfId="24984"/>
    <cellStyle name="Hyperlink 4 2" xfId="24985"/>
    <cellStyle name="Hyperlink 4_Sheet1" xfId="24986"/>
    <cellStyle name="Hyperlink 5" xfId="24987"/>
    <cellStyle name="Hyperlink 5 2" xfId="24988"/>
    <cellStyle name="Hyperlink 5_Sheet1" xfId="24989"/>
    <cellStyle name="Hyperlink 6" xfId="24990"/>
    <cellStyle name="Hyperlink 6 2" xfId="24991"/>
    <cellStyle name="Hyperlink 6_Sheet1" xfId="24992"/>
    <cellStyle name="ic0 -InpComma" xfId="24993"/>
    <cellStyle name="ic1 -InpComma" xfId="24994"/>
    <cellStyle name="ic2 -InpComma" xfId="24995"/>
    <cellStyle name="ic3 -InpComma" xfId="24996"/>
    <cellStyle name="ic4 -InpComma" xfId="24997"/>
    <cellStyle name="idDMMY -InpDate" xfId="24998"/>
    <cellStyle name="idDMMYHM -InpDateTime" xfId="24999"/>
    <cellStyle name="idDMY -InpDate" xfId="25000"/>
    <cellStyle name="idMDY -InpDate" xfId="25001"/>
    <cellStyle name="idMMY -InpDate" xfId="25002"/>
    <cellStyle name="if0 -InpFixed" xfId="25003"/>
    <cellStyle name="if0b-InpFixedB" xfId="25004"/>
    <cellStyle name="if0-InpFixed" xfId="25005"/>
    <cellStyle name="iln -InpTableTextNoWrap" xfId="25006"/>
    <cellStyle name="ilnb-InpTableTextNoWrapB" xfId="25007"/>
    <cellStyle name="ilw -InpTableTextWrap" xfId="25008"/>
    <cellStyle name="imHM  -InpTime" xfId="25009"/>
    <cellStyle name="imHM24+ -InpTime" xfId="25010"/>
    <cellStyle name="Input [yellow]" xfId="25011"/>
    <cellStyle name="Input [yellow] 10" xfId="25012"/>
    <cellStyle name="Input [yellow] 10 2" xfId="25013"/>
    <cellStyle name="Input [yellow] 10_Sheet1" xfId="25014"/>
    <cellStyle name="Input [yellow] 11" xfId="25015"/>
    <cellStyle name="Input [yellow] 2" xfId="25016"/>
    <cellStyle name="Input [yellow] 2 2" xfId="25017"/>
    <cellStyle name="Input [yellow] 2 2 2" xfId="25018"/>
    <cellStyle name="Input [yellow] 2 2 2 2" xfId="25019"/>
    <cellStyle name="Input [yellow] 2 2 2_Sheet1" xfId="25020"/>
    <cellStyle name="Input [yellow] 2 2 3" xfId="25021"/>
    <cellStyle name="Input [yellow] 2 2_Sheet1" xfId="25022"/>
    <cellStyle name="Input [yellow] 2 3" xfId="25023"/>
    <cellStyle name="Input [yellow] 2 3 2" xfId="25024"/>
    <cellStyle name="Input [yellow] 2 3_Sheet1" xfId="25025"/>
    <cellStyle name="Input [yellow] 2 4" xfId="25026"/>
    <cellStyle name="Input [yellow] 2_Sheet1" xfId="25027"/>
    <cellStyle name="Input [yellow] 3" xfId="25028"/>
    <cellStyle name="Input [yellow] 3 2" xfId="25029"/>
    <cellStyle name="Input [yellow] 3 2 2" xfId="25030"/>
    <cellStyle name="Input [yellow] 3 2 2 2" xfId="25031"/>
    <cellStyle name="Input [yellow] 3 2 2_Sheet1" xfId="25032"/>
    <cellStyle name="Input [yellow] 3 2 3" xfId="25033"/>
    <cellStyle name="Input [yellow] 3 2_Sheet1" xfId="25034"/>
    <cellStyle name="Input [yellow] 3 3" xfId="25035"/>
    <cellStyle name="Input [yellow] 3 3 2" xfId="25036"/>
    <cellStyle name="Input [yellow] 3 3_Sheet1" xfId="25037"/>
    <cellStyle name="Input [yellow] 3 4" xfId="25038"/>
    <cellStyle name="Input [yellow] 3_Sheet1" xfId="25039"/>
    <cellStyle name="Input [yellow] 4" xfId="25040"/>
    <cellStyle name="Input [yellow] 4 2" xfId="25041"/>
    <cellStyle name="Input [yellow] 4 2 2" xfId="25042"/>
    <cellStyle name="Input [yellow] 4 2 2 2" xfId="25043"/>
    <cellStyle name="Input [yellow] 4 2 2_Sheet1" xfId="25044"/>
    <cellStyle name="Input [yellow] 4 2 3" xfId="25045"/>
    <cellStyle name="Input [yellow] 4 2_Sheet1" xfId="25046"/>
    <cellStyle name="Input [yellow] 4 3" xfId="25047"/>
    <cellStyle name="Input [yellow] 4 3 2" xfId="25048"/>
    <cellStyle name="Input [yellow] 4 3_Sheet1" xfId="25049"/>
    <cellStyle name="Input [yellow] 4 4" xfId="25050"/>
    <cellStyle name="Input [yellow] 4_Sheet1" xfId="25051"/>
    <cellStyle name="Input [yellow] 5" xfId="25052"/>
    <cellStyle name="Input [yellow] 5 2" xfId="25053"/>
    <cellStyle name="Input [yellow] 5 2 2" xfId="25054"/>
    <cellStyle name="Input [yellow] 5 2 2 2" xfId="25055"/>
    <cellStyle name="Input [yellow] 5 2 2_Sheet1" xfId="25056"/>
    <cellStyle name="Input [yellow] 5 2 3" xfId="25057"/>
    <cellStyle name="Input [yellow] 5 2_Sheet1" xfId="25058"/>
    <cellStyle name="Input [yellow] 5 3" xfId="25059"/>
    <cellStyle name="Input [yellow] 5 3 2" xfId="25060"/>
    <cellStyle name="Input [yellow] 5 3_Sheet1" xfId="25061"/>
    <cellStyle name="Input [yellow] 5 4" xfId="25062"/>
    <cellStyle name="Input [yellow] 5_Sheet1" xfId="25063"/>
    <cellStyle name="Input [yellow] 6" xfId="25064"/>
    <cellStyle name="Input [yellow] 6 2" xfId="25065"/>
    <cellStyle name="Input [yellow] 6 2 2" xfId="25066"/>
    <cellStyle name="Input [yellow] 6 2 2 2" xfId="25067"/>
    <cellStyle name="Input [yellow] 6 2 2_Sheet1" xfId="25068"/>
    <cellStyle name="Input [yellow] 6 2 3" xfId="25069"/>
    <cellStyle name="Input [yellow] 6 2_Sheet1" xfId="25070"/>
    <cellStyle name="Input [yellow] 6 3" xfId="25071"/>
    <cellStyle name="Input [yellow] 6 3 2" xfId="25072"/>
    <cellStyle name="Input [yellow] 6 3_Sheet1" xfId="25073"/>
    <cellStyle name="Input [yellow] 6 4" xfId="25074"/>
    <cellStyle name="Input [yellow] 6_Sheet1" xfId="25075"/>
    <cellStyle name="Input [yellow] 7" xfId="25076"/>
    <cellStyle name="Input [yellow] 7 2" xfId="25077"/>
    <cellStyle name="Input [yellow] 7 2 2" xfId="25078"/>
    <cellStyle name="Input [yellow] 7 2 2 2" xfId="25079"/>
    <cellStyle name="Input [yellow] 7 2 2_Sheet1" xfId="25080"/>
    <cellStyle name="Input [yellow] 7 2 3" xfId="25081"/>
    <cellStyle name="Input [yellow] 7 2_Sheet1" xfId="25082"/>
    <cellStyle name="Input [yellow] 7 3" xfId="25083"/>
    <cellStyle name="Input [yellow] 7 3 2" xfId="25084"/>
    <cellStyle name="Input [yellow] 7 3_Sheet1" xfId="25085"/>
    <cellStyle name="Input [yellow] 7 4" xfId="25086"/>
    <cellStyle name="Input [yellow] 7_Sheet1" xfId="25087"/>
    <cellStyle name="Input [yellow] 8" xfId="25088"/>
    <cellStyle name="Input [yellow] 8 2" xfId="25089"/>
    <cellStyle name="Input [yellow] 8 2 2" xfId="25090"/>
    <cellStyle name="Input [yellow] 8 2_Sheet1" xfId="25091"/>
    <cellStyle name="Input [yellow] 8 3" xfId="25092"/>
    <cellStyle name="Input [yellow] 8 3 2" xfId="25093"/>
    <cellStyle name="Input [yellow] 8 3_Sheet1" xfId="25094"/>
    <cellStyle name="Input [yellow] 8 4" xfId="25095"/>
    <cellStyle name="Input [yellow] 8_Sheet1" xfId="25096"/>
    <cellStyle name="Input [yellow] 9" xfId="25097"/>
    <cellStyle name="Input [yellow] 9 2" xfId="25098"/>
    <cellStyle name="Input [yellow] 9 2 2" xfId="25099"/>
    <cellStyle name="Input [yellow] 9 2_Sheet1" xfId="25100"/>
    <cellStyle name="Input [yellow] 9 3" xfId="25101"/>
    <cellStyle name="Input [yellow] 9_Sheet1" xfId="25102"/>
    <cellStyle name="Input [yellow]_Sheet1" xfId="25103"/>
    <cellStyle name="Input 2" xfId="25104"/>
    <cellStyle name="Input 2 10" xfId="25105"/>
    <cellStyle name="Input 2 10 2" xfId="25106"/>
    <cellStyle name="Input 2 10 2 2" xfId="25107"/>
    <cellStyle name="Input 2 10 2 2 2" xfId="25108"/>
    <cellStyle name="Input 2 10 2 2_Sheet1" xfId="25109"/>
    <cellStyle name="Input 2 10 2 3" xfId="25110"/>
    <cellStyle name="Input 2 10 2_Sheet1" xfId="25111"/>
    <cellStyle name="Input 2 10 3" xfId="25112"/>
    <cellStyle name="Input 2 10 3 2" xfId="25113"/>
    <cellStyle name="Input 2 10 3 2 2" xfId="25114"/>
    <cellStyle name="Input 2 10 3 2_Sheet1" xfId="25115"/>
    <cellStyle name="Input 2 10 3 3" xfId="25116"/>
    <cellStyle name="Input 2 10 3_Sheet1" xfId="25117"/>
    <cellStyle name="Input 2 10 4" xfId="25118"/>
    <cellStyle name="Input 2 10 4 2" xfId="25119"/>
    <cellStyle name="Input 2 10 4 2 2" xfId="25120"/>
    <cellStyle name="Input 2 10 4 2_Sheet1" xfId="25121"/>
    <cellStyle name="Input 2 10 4 3" xfId="25122"/>
    <cellStyle name="Input 2 10 4_Sheet1" xfId="25123"/>
    <cellStyle name="Input 2 10 5" xfId="25124"/>
    <cellStyle name="Input 2 10_Sheet1" xfId="25125"/>
    <cellStyle name="Input 2 11" xfId="25126"/>
    <cellStyle name="Input 2 11 2" xfId="25127"/>
    <cellStyle name="Input 2 11 2 2" xfId="25128"/>
    <cellStyle name="Input 2 11 2 2 2" xfId="25129"/>
    <cellStyle name="Input 2 11 2 2_Sheet1" xfId="25130"/>
    <cellStyle name="Input 2 11 2 3" xfId="25131"/>
    <cellStyle name="Input 2 11 2_Sheet1" xfId="25132"/>
    <cellStyle name="Input 2 11 3" xfId="25133"/>
    <cellStyle name="Input 2 11 3 2" xfId="25134"/>
    <cellStyle name="Input 2 11 3 2 2" xfId="25135"/>
    <cellStyle name="Input 2 11 3 2_Sheet1" xfId="25136"/>
    <cellStyle name="Input 2 11 3 3" xfId="25137"/>
    <cellStyle name="Input 2 11 3_Sheet1" xfId="25138"/>
    <cellStyle name="Input 2 11 4" xfId="25139"/>
    <cellStyle name="Input 2 11 4 2" xfId="25140"/>
    <cellStyle name="Input 2 11 4 2 2" xfId="25141"/>
    <cellStyle name="Input 2 11 4 2_Sheet1" xfId="25142"/>
    <cellStyle name="Input 2 11 4 3" xfId="25143"/>
    <cellStyle name="Input 2 11 4_Sheet1" xfId="25144"/>
    <cellStyle name="Input 2 11 5" xfId="25145"/>
    <cellStyle name="Input 2 11_Sheet1" xfId="25146"/>
    <cellStyle name="Input 2 12" xfId="25147"/>
    <cellStyle name="Input 2 12 2" xfId="25148"/>
    <cellStyle name="Input 2 12 2 2" xfId="25149"/>
    <cellStyle name="Input 2 12 2 2 2" xfId="25150"/>
    <cellStyle name="Input 2 12 2 2_Sheet1" xfId="25151"/>
    <cellStyle name="Input 2 12 2 3" xfId="25152"/>
    <cellStyle name="Input 2 12 2_Sheet1" xfId="25153"/>
    <cellStyle name="Input 2 12 3" xfId="25154"/>
    <cellStyle name="Input 2 12 3 2" xfId="25155"/>
    <cellStyle name="Input 2 12 3 2 2" xfId="25156"/>
    <cellStyle name="Input 2 12 3 2_Sheet1" xfId="25157"/>
    <cellStyle name="Input 2 12 3 3" xfId="25158"/>
    <cellStyle name="Input 2 12 3_Sheet1" xfId="25159"/>
    <cellStyle name="Input 2 12 4" xfId="25160"/>
    <cellStyle name="Input 2 12 4 2" xfId="25161"/>
    <cellStyle name="Input 2 12 4 2 2" xfId="25162"/>
    <cellStyle name="Input 2 12 4 2_Sheet1" xfId="25163"/>
    <cellStyle name="Input 2 12 4 3" xfId="25164"/>
    <cellStyle name="Input 2 12 4_Sheet1" xfId="25165"/>
    <cellStyle name="Input 2 12 5" xfId="25166"/>
    <cellStyle name="Input 2 12_Sheet1" xfId="25167"/>
    <cellStyle name="Input 2 13" xfId="25168"/>
    <cellStyle name="Input 2 13 2" xfId="25169"/>
    <cellStyle name="Input 2 13 2 2" xfId="25170"/>
    <cellStyle name="Input 2 13 2 2 2" xfId="25171"/>
    <cellStyle name="Input 2 13 2 2_Sheet1" xfId="25172"/>
    <cellStyle name="Input 2 13 2 3" xfId="25173"/>
    <cellStyle name="Input 2 13 2_Sheet1" xfId="25174"/>
    <cellStyle name="Input 2 13 3" xfId="25175"/>
    <cellStyle name="Input 2 13 3 2" xfId="25176"/>
    <cellStyle name="Input 2 13 3 2 2" xfId="25177"/>
    <cellStyle name="Input 2 13 3 2_Sheet1" xfId="25178"/>
    <cellStyle name="Input 2 13 3 3" xfId="25179"/>
    <cellStyle name="Input 2 13 3_Sheet1" xfId="25180"/>
    <cellStyle name="Input 2 13 4" xfId="25181"/>
    <cellStyle name="Input 2 13 4 2" xfId="25182"/>
    <cellStyle name="Input 2 13 4 2 2" xfId="25183"/>
    <cellStyle name="Input 2 13 4 2_Sheet1" xfId="25184"/>
    <cellStyle name="Input 2 13 4 3" xfId="25185"/>
    <cellStyle name="Input 2 13 4_Sheet1" xfId="25186"/>
    <cellStyle name="Input 2 13 5" xfId="25187"/>
    <cellStyle name="Input 2 13_Sheet1" xfId="25188"/>
    <cellStyle name="Input 2 14" xfId="25189"/>
    <cellStyle name="Input 2 14 2" xfId="25190"/>
    <cellStyle name="Input 2 14 2 2" xfId="25191"/>
    <cellStyle name="Input 2 14 2 2 2" xfId="25192"/>
    <cellStyle name="Input 2 14 2 2_Sheet1" xfId="25193"/>
    <cellStyle name="Input 2 14 2 3" xfId="25194"/>
    <cellStyle name="Input 2 14 2_Sheet1" xfId="25195"/>
    <cellStyle name="Input 2 14 3" xfId="25196"/>
    <cellStyle name="Input 2 14 3 2" xfId="25197"/>
    <cellStyle name="Input 2 14 3 2 2" xfId="25198"/>
    <cellStyle name="Input 2 14 3 2_Sheet1" xfId="25199"/>
    <cellStyle name="Input 2 14 3 3" xfId="25200"/>
    <cellStyle name="Input 2 14 3_Sheet1" xfId="25201"/>
    <cellStyle name="Input 2 14 4" xfId="25202"/>
    <cellStyle name="Input 2 14 4 2" xfId="25203"/>
    <cellStyle name="Input 2 14 4 2 2" xfId="25204"/>
    <cellStyle name="Input 2 14 4 2_Sheet1" xfId="25205"/>
    <cellStyle name="Input 2 14 4 3" xfId="25206"/>
    <cellStyle name="Input 2 14 4_Sheet1" xfId="25207"/>
    <cellStyle name="Input 2 14 5" xfId="25208"/>
    <cellStyle name="Input 2 14_Sheet1" xfId="25209"/>
    <cellStyle name="Input 2 15" xfId="25210"/>
    <cellStyle name="Input 2 15 2" xfId="25211"/>
    <cellStyle name="Input 2 15 2 2" xfId="25212"/>
    <cellStyle name="Input 2 15 2 2 2" xfId="25213"/>
    <cellStyle name="Input 2 15 2 2_Sheet1" xfId="25214"/>
    <cellStyle name="Input 2 15 2 3" xfId="25215"/>
    <cellStyle name="Input 2 15 2_Sheet1" xfId="25216"/>
    <cellStyle name="Input 2 15 3" xfId="25217"/>
    <cellStyle name="Input 2 15 3 2" xfId="25218"/>
    <cellStyle name="Input 2 15 3 2 2" xfId="25219"/>
    <cellStyle name="Input 2 15 3 2_Sheet1" xfId="25220"/>
    <cellStyle name="Input 2 15 3 3" xfId="25221"/>
    <cellStyle name="Input 2 15 3_Sheet1" xfId="25222"/>
    <cellStyle name="Input 2 15 4" xfId="25223"/>
    <cellStyle name="Input 2 15 4 2" xfId="25224"/>
    <cellStyle name="Input 2 15 4 2 2" xfId="25225"/>
    <cellStyle name="Input 2 15 4 2_Sheet1" xfId="25226"/>
    <cellStyle name="Input 2 15 4 3" xfId="25227"/>
    <cellStyle name="Input 2 15 4_Sheet1" xfId="25228"/>
    <cellStyle name="Input 2 15 5" xfId="25229"/>
    <cellStyle name="Input 2 15_Sheet1" xfId="25230"/>
    <cellStyle name="Input 2 16" xfId="25231"/>
    <cellStyle name="Input 2 16 2" xfId="25232"/>
    <cellStyle name="Input 2 16 2 2" xfId="25233"/>
    <cellStyle name="Input 2 16 2 2 2" xfId="25234"/>
    <cellStyle name="Input 2 16 2 2_Sheet1" xfId="25235"/>
    <cellStyle name="Input 2 16 2 3" xfId="25236"/>
    <cellStyle name="Input 2 16 2_Sheet1" xfId="25237"/>
    <cellStyle name="Input 2 16 3" xfId="25238"/>
    <cellStyle name="Input 2 16 3 2" xfId="25239"/>
    <cellStyle name="Input 2 16 3 2 2" xfId="25240"/>
    <cellStyle name="Input 2 16 3 2_Sheet1" xfId="25241"/>
    <cellStyle name="Input 2 16 3 3" xfId="25242"/>
    <cellStyle name="Input 2 16 3_Sheet1" xfId="25243"/>
    <cellStyle name="Input 2 16 4" xfId="25244"/>
    <cellStyle name="Input 2 16 4 2" xfId="25245"/>
    <cellStyle name="Input 2 16 4 2 2" xfId="25246"/>
    <cellStyle name="Input 2 16 4 2_Sheet1" xfId="25247"/>
    <cellStyle name="Input 2 16 4 3" xfId="25248"/>
    <cellStyle name="Input 2 16 4_Sheet1" xfId="25249"/>
    <cellStyle name="Input 2 16 5" xfId="25250"/>
    <cellStyle name="Input 2 16_Sheet1" xfId="25251"/>
    <cellStyle name="Input 2 17" xfId="25252"/>
    <cellStyle name="Input 2 17 2" xfId="25253"/>
    <cellStyle name="Input 2 17 2 2" xfId="25254"/>
    <cellStyle name="Input 2 17 2 2 2" xfId="25255"/>
    <cellStyle name="Input 2 17 2 2_Sheet1" xfId="25256"/>
    <cellStyle name="Input 2 17 2 3" xfId="25257"/>
    <cellStyle name="Input 2 17 2_Sheet1" xfId="25258"/>
    <cellStyle name="Input 2 17 3" xfId="25259"/>
    <cellStyle name="Input 2 17 3 2" xfId="25260"/>
    <cellStyle name="Input 2 17 3 2 2" xfId="25261"/>
    <cellStyle name="Input 2 17 3 2_Sheet1" xfId="25262"/>
    <cellStyle name="Input 2 17 3 3" xfId="25263"/>
    <cellStyle name="Input 2 17 3_Sheet1" xfId="25264"/>
    <cellStyle name="Input 2 17 4" xfId="25265"/>
    <cellStyle name="Input 2 17 4 2" xfId="25266"/>
    <cellStyle name="Input 2 17 4 2 2" xfId="25267"/>
    <cellStyle name="Input 2 17 4 2_Sheet1" xfId="25268"/>
    <cellStyle name="Input 2 17 4 3" xfId="25269"/>
    <cellStyle name="Input 2 17 4_Sheet1" xfId="25270"/>
    <cellStyle name="Input 2 17 5" xfId="25271"/>
    <cellStyle name="Input 2 17_Sheet1" xfId="25272"/>
    <cellStyle name="Input 2 18" xfId="25273"/>
    <cellStyle name="Input 2 18 2" xfId="25274"/>
    <cellStyle name="Input 2 18 2 2" xfId="25275"/>
    <cellStyle name="Input 2 18 2 2 2" xfId="25276"/>
    <cellStyle name="Input 2 18 2 2_Sheet1" xfId="25277"/>
    <cellStyle name="Input 2 18 2 3" xfId="25278"/>
    <cellStyle name="Input 2 18 2_Sheet1" xfId="25279"/>
    <cellStyle name="Input 2 18 3" xfId="25280"/>
    <cellStyle name="Input 2 18 3 2" xfId="25281"/>
    <cellStyle name="Input 2 18 3 2 2" xfId="25282"/>
    <cellStyle name="Input 2 18 3 2_Sheet1" xfId="25283"/>
    <cellStyle name="Input 2 18 3 3" xfId="25284"/>
    <cellStyle name="Input 2 18 3_Sheet1" xfId="25285"/>
    <cellStyle name="Input 2 18 4" xfId="25286"/>
    <cellStyle name="Input 2 18 4 2" xfId="25287"/>
    <cellStyle name="Input 2 18 4 2 2" xfId="25288"/>
    <cellStyle name="Input 2 18 4 2_Sheet1" xfId="25289"/>
    <cellStyle name="Input 2 18 4 3" xfId="25290"/>
    <cellStyle name="Input 2 18 4_Sheet1" xfId="25291"/>
    <cellStyle name="Input 2 18 5" xfId="25292"/>
    <cellStyle name="Input 2 18_Sheet1" xfId="25293"/>
    <cellStyle name="Input 2 19" xfId="25294"/>
    <cellStyle name="Input 2 19 2" xfId="25295"/>
    <cellStyle name="Input 2 19 2 2" xfId="25296"/>
    <cellStyle name="Input 2 19 2 2 2" xfId="25297"/>
    <cellStyle name="Input 2 19 2 2_Sheet1" xfId="25298"/>
    <cellStyle name="Input 2 19 2 3" xfId="25299"/>
    <cellStyle name="Input 2 19 2_Sheet1" xfId="25300"/>
    <cellStyle name="Input 2 19 3" xfId="25301"/>
    <cellStyle name="Input 2 19 3 2" xfId="25302"/>
    <cellStyle name="Input 2 19 3 2 2" xfId="25303"/>
    <cellStyle name="Input 2 19 3 2_Sheet1" xfId="25304"/>
    <cellStyle name="Input 2 19 3 3" xfId="25305"/>
    <cellStyle name="Input 2 19 3_Sheet1" xfId="25306"/>
    <cellStyle name="Input 2 19 4" xfId="25307"/>
    <cellStyle name="Input 2 19 4 2" xfId="25308"/>
    <cellStyle name="Input 2 19 4 2 2" xfId="25309"/>
    <cellStyle name="Input 2 19 4 2_Sheet1" xfId="25310"/>
    <cellStyle name="Input 2 19 4 3" xfId="25311"/>
    <cellStyle name="Input 2 19 4_Sheet1" xfId="25312"/>
    <cellStyle name="Input 2 19 5" xfId="25313"/>
    <cellStyle name="Input 2 19_Sheet1" xfId="25314"/>
    <cellStyle name="Input 2 2" xfId="25315"/>
    <cellStyle name="Input 2 2 10" xfId="25316"/>
    <cellStyle name="Input 2 2 10 2" xfId="25317"/>
    <cellStyle name="Input 2 2 10 2 2" xfId="25318"/>
    <cellStyle name="Input 2 2 10 2 2 2" xfId="25319"/>
    <cellStyle name="Input 2 2 10 2 2_Sheet1" xfId="25320"/>
    <cellStyle name="Input 2 2 10 2 3" xfId="25321"/>
    <cellStyle name="Input 2 2 10 2_Sheet1" xfId="25322"/>
    <cellStyle name="Input 2 2 10 3" xfId="25323"/>
    <cellStyle name="Input 2 2 10 3 2" xfId="25324"/>
    <cellStyle name="Input 2 2 10 3 2 2" xfId="25325"/>
    <cellStyle name="Input 2 2 10 3 2_Sheet1" xfId="25326"/>
    <cellStyle name="Input 2 2 10 3 3" xfId="25327"/>
    <cellStyle name="Input 2 2 10 3_Sheet1" xfId="25328"/>
    <cellStyle name="Input 2 2 10 4" xfId="25329"/>
    <cellStyle name="Input 2 2 10 4 2" xfId="25330"/>
    <cellStyle name="Input 2 2 10 4 2 2" xfId="25331"/>
    <cellStyle name="Input 2 2 10 4 2_Sheet1" xfId="25332"/>
    <cellStyle name="Input 2 2 10 4 3" xfId="25333"/>
    <cellStyle name="Input 2 2 10 4_Sheet1" xfId="25334"/>
    <cellStyle name="Input 2 2 10 5" xfId="25335"/>
    <cellStyle name="Input 2 2 10_Sheet1" xfId="25336"/>
    <cellStyle name="Input 2 2 11" xfId="25337"/>
    <cellStyle name="Input 2 2 11 2" xfId="25338"/>
    <cellStyle name="Input 2 2 11 2 2" xfId="25339"/>
    <cellStyle name="Input 2 2 11 2 2 2" xfId="25340"/>
    <cellStyle name="Input 2 2 11 2 2_Sheet1" xfId="25341"/>
    <cellStyle name="Input 2 2 11 2 3" xfId="25342"/>
    <cellStyle name="Input 2 2 11 2_Sheet1" xfId="25343"/>
    <cellStyle name="Input 2 2 11 3" xfId="25344"/>
    <cellStyle name="Input 2 2 11 3 2" xfId="25345"/>
    <cellStyle name="Input 2 2 11 3 2 2" xfId="25346"/>
    <cellStyle name="Input 2 2 11 3 2_Sheet1" xfId="25347"/>
    <cellStyle name="Input 2 2 11 3 3" xfId="25348"/>
    <cellStyle name="Input 2 2 11 3_Sheet1" xfId="25349"/>
    <cellStyle name="Input 2 2 11 4" xfId="25350"/>
    <cellStyle name="Input 2 2 11 4 2" xfId="25351"/>
    <cellStyle name="Input 2 2 11 4 2 2" xfId="25352"/>
    <cellStyle name="Input 2 2 11 4 2_Sheet1" xfId="25353"/>
    <cellStyle name="Input 2 2 11 4 3" xfId="25354"/>
    <cellStyle name="Input 2 2 11 4_Sheet1" xfId="25355"/>
    <cellStyle name="Input 2 2 11 5" xfId="25356"/>
    <cellStyle name="Input 2 2 11_Sheet1" xfId="25357"/>
    <cellStyle name="Input 2 2 12" xfId="25358"/>
    <cellStyle name="Input 2 2 12 2" xfId="25359"/>
    <cellStyle name="Input 2 2 12 2 2" xfId="25360"/>
    <cellStyle name="Input 2 2 12 2 2 2" xfId="25361"/>
    <cellStyle name="Input 2 2 12 2 2_Sheet1" xfId="25362"/>
    <cellStyle name="Input 2 2 12 2 3" xfId="25363"/>
    <cellStyle name="Input 2 2 12 2_Sheet1" xfId="25364"/>
    <cellStyle name="Input 2 2 12 3" xfId="25365"/>
    <cellStyle name="Input 2 2 12 3 2" xfId="25366"/>
    <cellStyle name="Input 2 2 12 3 2 2" xfId="25367"/>
    <cellStyle name="Input 2 2 12 3 2_Sheet1" xfId="25368"/>
    <cellStyle name="Input 2 2 12 3 3" xfId="25369"/>
    <cellStyle name="Input 2 2 12 3_Sheet1" xfId="25370"/>
    <cellStyle name="Input 2 2 12 4" xfId="25371"/>
    <cellStyle name="Input 2 2 12 4 2" xfId="25372"/>
    <cellStyle name="Input 2 2 12 4 2 2" xfId="25373"/>
    <cellStyle name="Input 2 2 12 4 2_Sheet1" xfId="25374"/>
    <cellStyle name="Input 2 2 12 4 3" xfId="25375"/>
    <cellStyle name="Input 2 2 12 4_Sheet1" xfId="25376"/>
    <cellStyle name="Input 2 2 12 5" xfId="25377"/>
    <cellStyle name="Input 2 2 12_Sheet1" xfId="25378"/>
    <cellStyle name="Input 2 2 13" xfId="25379"/>
    <cellStyle name="Input 2 2 13 2" xfId="25380"/>
    <cellStyle name="Input 2 2 13 2 2" xfId="25381"/>
    <cellStyle name="Input 2 2 13 2 2 2" xfId="25382"/>
    <cellStyle name="Input 2 2 13 2 2_Sheet1" xfId="25383"/>
    <cellStyle name="Input 2 2 13 2 3" xfId="25384"/>
    <cellStyle name="Input 2 2 13 2_Sheet1" xfId="25385"/>
    <cellStyle name="Input 2 2 13 3" xfId="25386"/>
    <cellStyle name="Input 2 2 13 3 2" xfId="25387"/>
    <cellStyle name="Input 2 2 13 3 2 2" xfId="25388"/>
    <cellStyle name="Input 2 2 13 3 2_Sheet1" xfId="25389"/>
    <cellStyle name="Input 2 2 13 3 3" xfId="25390"/>
    <cellStyle name="Input 2 2 13 3_Sheet1" xfId="25391"/>
    <cellStyle name="Input 2 2 13 4" xfId="25392"/>
    <cellStyle name="Input 2 2 13 4 2" xfId="25393"/>
    <cellStyle name="Input 2 2 13 4 2 2" xfId="25394"/>
    <cellStyle name="Input 2 2 13 4 2_Sheet1" xfId="25395"/>
    <cellStyle name="Input 2 2 13 4 3" xfId="25396"/>
    <cellStyle name="Input 2 2 13 4_Sheet1" xfId="25397"/>
    <cellStyle name="Input 2 2 13 5" xfId="25398"/>
    <cellStyle name="Input 2 2 13_Sheet1" xfId="25399"/>
    <cellStyle name="Input 2 2 14" xfId="25400"/>
    <cellStyle name="Input 2 2 14 2" xfId="25401"/>
    <cellStyle name="Input 2 2 14 2 2" xfId="25402"/>
    <cellStyle name="Input 2 2 14 2 2 2" xfId="25403"/>
    <cellStyle name="Input 2 2 14 2 2_Sheet1" xfId="25404"/>
    <cellStyle name="Input 2 2 14 2 3" xfId="25405"/>
    <cellStyle name="Input 2 2 14 2_Sheet1" xfId="25406"/>
    <cellStyle name="Input 2 2 14 3" xfId="25407"/>
    <cellStyle name="Input 2 2 14 3 2" xfId="25408"/>
    <cellStyle name="Input 2 2 14 3 2 2" xfId="25409"/>
    <cellStyle name="Input 2 2 14 3 2_Sheet1" xfId="25410"/>
    <cellStyle name="Input 2 2 14 3 3" xfId="25411"/>
    <cellStyle name="Input 2 2 14 3_Sheet1" xfId="25412"/>
    <cellStyle name="Input 2 2 14 4" xfId="25413"/>
    <cellStyle name="Input 2 2 14 4 2" xfId="25414"/>
    <cellStyle name="Input 2 2 14 4 2 2" xfId="25415"/>
    <cellStyle name="Input 2 2 14 4 2_Sheet1" xfId="25416"/>
    <cellStyle name="Input 2 2 14 4 3" xfId="25417"/>
    <cellStyle name="Input 2 2 14 4_Sheet1" xfId="25418"/>
    <cellStyle name="Input 2 2 14 5" xfId="25419"/>
    <cellStyle name="Input 2 2 14_Sheet1" xfId="25420"/>
    <cellStyle name="Input 2 2 15" xfId="25421"/>
    <cellStyle name="Input 2 2 15 2" xfId="25422"/>
    <cellStyle name="Input 2 2 15 2 2" xfId="25423"/>
    <cellStyle name="Input 2 2 15 2 2 2" xfId="25424"/>
    <cellStyle name="Input 2 2 15 2 2_Sheet1" xfId="25425"/>
    <cellStyle name="Input 2 2 15 2 3" xfId="25426"/>
    <cellStyle name="Input 2 2 15 2_Sheet1" xfId="25427"/>
    <cellStyle name="Input 2 2 15 3" xfId="25428"/>
    <cellStyle name="Input 2 2 15 3 2" xfId="25429"/>
    <cellStyle name="Input 2 2 15 3 2 2" xfId="25430"/>
    <cellStyle name="Input 2 2 15 3 2_Sheet1" xfId="25431"/>
    <cellStyle name="Input 2 2 15 3 3" xfId="25432"/>
    <cellStyle name="Input 2 2 15 3_Sheet1" xfId="25433"/>
    <cellStyle name="Input 2 2 15 4" xfId="25434"/>
    <cellStyle name="Input 2 2 15 4 2" xfId="25435"/>
    <cellStyle name="Input 2 2 15 4 2 2" xfId="25436"/>
    <cellStyle name="Input 2 2 15 4 2_Sheet1" xfId="25437"/>
    <cellStyle name="Input 2 2 15 4 3" xfId="25438"/>
    <cellStyle name="Input 2 2 15 4_Sheet1" xfId="25439"/>
    <cellStyle name="Input 2 2 15 5" xfId="25440"/>
    <cellStyle name="Input 2 2 15_Sheet1" xfId="25441"/>
    <cellStyle name="Input 2 2 16" xfId="25442"/>
    <cellStyle name="Input 2 2 16 2" xfId="25443"/>
    <cellStyle name="Input 2 2 16 2 2" xfId="25444"/>
    <cellStyle name="Input 2 2 16 2 2 2" xfId="25445"/>
    <cellStyle name="Input 2 2 16 2 2_Sheet1" xfId="25446"/>
    <cellStyle name="Input 2 2 16 2 3" xfId="25447"/>
    <cellStyle name="Input 2 2 16 2_Sheet1" xfId="25448"/>
    <cellStyle name="Input 2 2 16 3" xfId="25449"/>
    <cellStyle name="Input 2 2 16 3 2" xfId="25450"/>
    <cellStyle name="Input 2 2 16 3 2 2" xfId="25451"/>
    <cellStyle name="Input 2 2 16 3 2_Sheet1" xfId="25452"/>
    <cellStyle name="Input 2 2 16 3 3" xfId="25453"/>
    <cellStyle name="Input 2 2 16 3_Sheet1" xfId="25454"/>
    <cellStyle name="Input 2 2 16 4" xfId="25455"/>
    <cellStyle name="Input 2 2 16 4 2" xfId="25456"/>
    <cellStyle name="Input 2 2 16 4 2 2" xfId="25457"/>
    <cellStyle name="Input 2 2 16 4 2_Sheet1" xfId="25458"/>
    <cellStyle name="Input 2 2 16 4 3" xfId="25459"/>
    <cellStyle name="Input 2 2 16 4_Sheet1" xfId="25460"/>
    <cellStyle name="Input 2 2 16 5" xfId="25461"/>
    <cellStyle name="Input 2 2 16_Sheet1" xfId="25462"/>
    <cellStyle name="Input 2 2 17" xfId="25463"/>
    <cellStyle name="Input 2 2 17 2" xfId="25464"/>
    <cellStyle name="Input 2 2 17 2 2" xfId="25465"/>
    <cellStyle name="Input 2 2 17 2 2 2" xfId="25466"/>
    <cellStyle name="Input 2 2 17 2 2_Sheet1" xfId="25467"/>
    <cellStyle name="Input 2 2 17 2 3" xfId="25468"/>
    <cellStyle name="Input 2 2 17 2_Sheet1" xfId="25469"/>
    <cellStyle name="Input 2 2 17 3" xfId="25470"/>
    <cellStyle name="Input 2 2 17 3 2" xfId="25471"/>
    <cellStyle name="Input 2 2 17 3 2 2" xfId="25472"/>
    <cellStyle name="Input 2 2 17 3 2_Sheet1" xfId="25473"/>
    <cellStyle name="Input 2 2 17 3 3" xfId="25474"/>
    <cellStyle name="Input 2 2 17 3_Sheet1" xfId="25475"/>
    <cellStyle name="Input 2 2 17 4" xfId="25476"/>
    <cellStyle name="Input 2 2 17 4 2" xfId="25477"/>
    <cellStyle name="Input 2 2 17 4 2 2" xfId="25478"/>
    <cellStyle name="Input 2 2 17 4 2_Sheet1" xfId="25479"/>
    <cellStyle name="Input 2 2 17 4 3" xfId="25480"/>
    <cellStyle name="Input 2 2 17 4_Sheet1" xfId="25481"/>
    <cellStyle name="Input 2 2 17 5" xfId="25482"/>
    <cellStyle name="Input 2 2 17_Sheet1" xfId="25483"/>
    <cellStyle name="Input 2 2 18" xfId="25484"/>
    <cellStyle name="Input 2 2 18 2" xfId="25485"/>
    <cellStyle name="Input 2 2 18 2 2" xfId="25486"/>
    <cellStyle name="Input 2 2 18 2 2 2" xfId="25487"/>
    <cellStyle name="Input 2 2 18 2 2_Sheet1" xfId="25488"/>
    <cellStyle name="Input 2 2 18 2 3" xfId="25489"/>
    <cellStyle name="Input 2 2 18 2_Sheet1" xfId="25490"/>
    <cellStyle name="Input 2 2 18 3" xfId="25491"/>
    <cellStyle name="Input 2 2 18 3 2" xfId="25492"/>
    <cellStyle name="Input 2 2 18 3 2 2" xfId="25493"/>
    <cellStyle name="Input 2 2 18 3 2_Sheet1" xfId="25494"/>
    <cellStyle name="Input 2 2 18 3 3" xfId="25495"/>
    <cellStyle name="Input 2 2 18 3_Sheet1" xfId="25496"/>
    <cellStyle name="Input 2 2 18 4" xfId="25497"/>
    <cellStyle name="Input 2 2 18 4 2" xfId="25498"/>
    <cellStyle name="Input 2 2 18 4 2 2" xfId="25499"/>
    <cellStyle name="Input 2 2 18 4 2_Sheet1" xfId="25500"/>
    <cellStyle name="Input 2 2 18 4 3" xfId="25501"/>
    <cellStyle name="Input 2 2 18 4_Sheet1" xfId="25502"/>
    <cellStyle name="Input 2 2 18 5" xfId="25503"/>
    <cellStyle name="Input 2 2 18_Sheet1" xfId="25504"/>
    <cellStyle name="Input 2 2 19" xfId="25505"/>
    <cellStyle name="Input 2 2 19 2" xfId="25506"/>
    <cellStyle name="Input 2 2 19 2 2" xfId="25507"/>
    <cellStyle name="Input 2 2 19 2 2 2" xfId="25508"/>
    <cellStyle name="Input 2 2 19 2 2_Sheet1" xfId="25509"/>
    <cellStyle name="Input 2 2 19 2 3" xfId="25510"/>
    <cellStyle name="Input 2 2 19 2_Sheet1" xfId="25511"/>
    <cellStyle name="Input 2 2 19 3" xfId="25512"/>
    <cellStyle name="Input 2 2 19 3 2" xfId="25513"/>
    <cellStyle name="Input 2 2 19 3 2 2" xfId="25514"/>
    <cellStyle name="Input 2 2 19 3 2_Sheet1" xfId="25515"/>
    <cellStyle name="Input 2 2 19 3 3" xfId="25516"/>
    <cellStyle name="Input 2 2 19 3_Sheet1" xfId="25517"/>
    <cellStyle name="Input 2 2 19 4" xfId="25518"/>
    <cellStyle name="Input 2 2 19 4 2" xfId="25519"/>
    <cellStyle name="Input 2 2 19 4 2 2" xfId="25520"/>
    <cellStyle name="Input 2 2 19 4 2_Sheet1" xfId="25521"/>
    <cellStyle name="Input 2 2 19 4 3" xfId="25522"/>
    <cellStyle name="Input 2 2 19 4_Sheet1" xfId="25523"/>
    <cellStyle name="Input 2 2 19 5" xfId="25524"/>
    <cellStyle name="Input 2 2 19_Sheet1" xfId="25525"/>
    <cellStyle name="Input 2 2 2" xfId="25526"/>
    <cellStyle name="Input 2 2 2 2" xfId="25527"/>
    <cellStyle name="Input 2 2 2 2 2" xfId="25528"/>
    <cellStyle name="Input 2 2 2 2 2 2" xfId="25529"/>
    <cellStyle name="Input 2 2 2 2 2_Sheet1" xfId="25530"/>
    <cellStyle name="Input 2 2 2 2 3" xfId="25531"/>
    <cellStyle name="Input 2 2 2 2_Sheet1" xfId="25532"/>
    <cellStyle name="Input 2 2 2 3" xfId="25533"/>
    <cellStyle name="Input 2 2 2 3 2" xfId="25534"/>
    <cellStyle name="Input 2 2 2 3 2 2" xfId="25535"/>
    <cellStyle name="Input 2 2 2 3 2_Sheet1" xfId="25536"/>
    <cellStyle name="Input 2 2 2 3 3" xfId="25537"/>
    <cellStyle name="Input 2 2 2 3_Sheet1" xfId="25538"/>
    <cellStyle name="Input 2 2 2 4" xfId="25539"/>
    <cellStyle name="Input 2 2 2 4 2" xfId="25540"/>
    <cellStyle name="Input 2 2 2 4 2 2" xfId="25541"/>
    <cellStyle name="Input 2 2 2 4 2_Sheet1" xfId="25542"/>
    <cellStyle name="Input 2 2 2 4 3" xfId="25543"/>
    <cellStyle name="Input 2 2 2 4_Sheet1" xfId="25544"/>
    <cellStyle name="Input 2 2 2 5" xfId="25545"/>
    <cellStyle name="Input 2 2 2_Sheet1" xfId="25546"/>
    <cellStyle name="Input 2 2 20" xfId="25547"/>
    <cellStyle name="Input 2 2 20 2" xfId="25548"/>
    <cellStyle name="Input 2 2 20 2 2" xfId="25549"/>
    <cellStyle name="Input 2 2 20 2 2 2" xfId="25550"/>
    <cellStyle name="Input 2 2 20 2 2_Sheet1" xfId="25551"/>
    <cellStyle name="Input 2 2 20 2 3" xfId="25552"/>
    <cellStyle name="Input 2 2 20 2_Sheet1" xfId="25553"/>
    <cellStyle name="Input 2 2 20 3" xfId="25554"/>
    <cellStyle name="Input 2 2 20 3 2" xfId="25555"/>
    <cellStyle name="Input 2 2 20 3 2 2" xfId="25556"/>
    <cellStyle name="Input 2 2 20 3 2_Sheet1" xfId="25557"/>
    <cellStyle name="Input 2 2 20 3 3" xfId="25558"/>
    <cellStyle name="Input 2 2 20 3_Sheet1" xfId="25559"/>
    <cellStyle name="Input 2 2 20 4" xfId="25560"/>
    <cellStyle name="Input 2 2 20 4 2" xfId="25561"/>
    <cellStyle name="Input 2 2 20 4 2 2" xfId="25562"/>
    <cellStyle name="Input 2 2 20 4 2_Sheet1" xfId="25563"/>
    <cellStyle name="Input 2 2 20 4 3" xfId="25564"/>
    <cellStyle name="Input 2 2 20 4_Sheet1" xfId="25565"/>
    <cellStyle name="Input 2 2 20 5" xfId="25566"/>
    <cellStyle name="Input 2 2 20_Sheet1" xfId="25567"/>
    <cellStyle name="Input 2 2 21" xfId="25568"/>
    <cellStyle name="Input 2 2 21 2" xfId="25569"/>
    <cellStyle name="Input 2 2 21 2 2" xfId="25570"/>
    <cellStyle name="Input 2 2 21 2 2 2" xfId="25571"/>
    <cellStyle name="Input 2 2 21 2 2_Sheet1" xfId="25572"/>
    <cellStyle name="Input 2 2 21 2 3" xfId="25573"/>
    <cellStyle name="Input 2 2 21 2_Sheet1" xfId="25574"/>
    <cellStyle name="Input 2 2 21 3" xfId="25575"/>
    <cellStyle name="Input 2 2 21 3 2" xfId="25576"/>
    <cellStyle name="Input 2 2 21 3 2 2" xfId="25577"/>
    <cellStyle name="Input 2 2 21 3 2_Sheet1" xfId="25578"/>
    <cellStyle name="Input 2 2 21 3 3" xfId="25579"/>
    <cellStyle name="Input 2 2 21 3_Sheet1" xfId="25580"/>
    <cellStyle name="Input 2 2 21 4" xfId="25581"/>
    <cellStyle name="Input 2 2 21 4 2" xfId="25582"/>
    <cellStyle name="Input 2 2 21 4 2 2" xfId="25583"/>
    <cellStyle name="Input 2 2 21 4 2_Sheet1" xfId="25584"/>
    <cellStyle name="Input 2 2 21 4 3" xfId="25585"/>
    <cellStyle name="Input 2 2 21 4_Sheet1" xfId="25586"/>
    <cellStyle name="Input 2 2 21 5" xfId="25587"/>
    <cellStyle name="Input 2 2 21_Sheet1" xfId="25588"/>
    <cellStyle name="Input 2 2 22" xfId="25589"/>
    <cellStyle name="Input 2 2 22 2" xfId="25590"/>
    <cellStyle name="Input 2 2 22 2 2" xfId="25591"/>
    <cellStyle name="Input 2 2 22 2 2 2" xfId="25592"/>
    <cellStyle name="Input 2 2 22 2 2_Sheet1" xfId="25593"/>
    <cellStyle name="Input 2 2 22 2 3" xfId="25594"/>
    <cellStyle name="Input 2 2 22 2_Sheet1" xfId="25595"/>
    <cellStyle name="Input 2 2 22 3" xfId="25596"/>
    <cellStyle name="Input 2 2 22 3 2" xfId="25597"/>
    <cellStyle name="Input 2 2 22 3 2 2" xfId="25598"/>
    <cellStyle name="Input 2 2 22 3 2_Sheet1" xfId="25599"/>
    <cellStyle name="Input 2 2 22 3 3" xfId="25600"/>
    <cellStyle name="Input 2 2 22 3_Sheet1" xfId="25601"/>
    <cellStyle name="Input 2 2 22 4" xfId="25602"/>
    <cellStyle name="Input 2 2 22 4 2" xfId="25603"/>
    <cellStyle name="Input 2 2 22 4 2 2" xfId="25604"/>
    <cellStyle name="Input 2 2 22 4 2_Sheet1" xfId="25605"/>
    <cellStyle name="Input 2 2 22 4 3" xfId="25606"/>
    <cellStyle name="Input 2 2 22 4_Sheet1" xfId="25607"/>
    <cellStyle name="Input 2 2 22 5" xfId="25608"/>
    <cellStyle name="Input 2 2 22_Sheet1" xfId="25609"/>
    <cellStyle name="Input 2 2 23" xfId="25610"/>
    <cellStyle name="Input 2 2 23 2" xfId="25611"/>
    <cellStyle name="Input 2 2 23 2 2" xfId="25612"/>
    <cellStyle name="Input 2 2 23 2_Sheet1" xfId="25613"/>
    <cellStyle name="Input 2 2 23 3" xfId="25614"/>
    <cellStyle name="Input 2 2 23_Sheet1" xfId="25615"/>
    <cellStyle name="Input 2 2 24" xfId="25616"/>
    <cellStyle name="Input 2 2 24 2" xfId="25617"/>
    <cellStyle name="Input 2 2 24 2 2" xfId="25618"/>
    <cellStyle name="Input 2 2 24 2_Sheet1" xfId="25619"/>
    <cellStyle name="Input 2 2 24 3" xfId="25620"/>
    <cellStyle name="Input 2 2 24_Sheet1" xfId="25621"/>
    <cellStyle name="Input 2 2 25" xfId="25622"/>
    <cellStyle name="Input 2 2 25 2" xfId="25623"/>
    <cellStyle name="Input 2 2 25 2 2" xfId="25624"/>
    <cellStyle name="Input 2 2 25 2_Sheet1" xfId="25625"/>
    <cellStyle name="Input 2 2 25 3" xfId="25626"/>
    <cellStyle name="Input 2 2 25_Sheet1" xfId="25627"/>
    <cellStyle name="Input 2 2 26" xfId="25628"/>
    <cellStyle name="Input 2 2 3" xfId="25629"/>
    <cellStyle name="Input 2 2 3 2" xfId="25630"/>
    <cellStyle name="Input 2 2 3 2 2" xfId="25631"/>
    <cellStyle name="Input 2 2 3 2 2 2" xfId="25632"/>
    <cellStyle name="Input 2 2 3 2 2_Sheet1" xfId="25633"/>
    <cellStyle name="Input 2 2 3 2 3" xfId="25634"/>
    <cellStyle name="Input 2 2 3 2_Sheet1" xfId="25635"/>
    <cellStyle name="Input 2 2 3 3" xfId="25636"/>
    <cellStyle name="Input 2 2 3 3 2" xfId="25637"/>
    <cellStyle name="Input 2 2 3 3 2 2" xfId="25638"/>
    <cellStyle name="Input 2 2 3 3 2_Sheet1" xfId="25639"/>
    <cellStyle name="Input 2 2 3 3 3" xfId="25640"/>
    <cellStyle name="Input 2 2 3 3_Sheet1" xfId="25641"/>
    <cellStyle name="Input 2 2 3 4" xfId="25642"/>
    <cellStyle name="Input 2 2 3 4 2" xfId="25643"/>
    <cellStyle name="Input 2 2 3 4 2 2" xfId="25644"/>
    <cellStyle name="Input 2 2 3 4 2_Sheet1" xfId="25645"/>
    <cellStyle name="Input 2 2 3 4 3" xfId="25646"/>
    <cellStyle name="Input 2 2 3 4_Sheet1" xfId="25647"/>
    <cellStyle name="Input 2 2 3 5" xfId="25648"/>
    <cellStyle name="Input 2 2 3_Sheet1" xfId="25649"/>
    <cellStyle name="Input 2 2 4" xfId="25650"/>
    <cellStyle name="Input 2 2 4 2" xfId="25651"/>
    <cellStyle name="Input 2 2 4 2 2" xfId="25652"/>
    <cellStyle name="Input 2 2 4 2 2 2" xfId="25653"/>
    <cellStyle name="Input 2 2 4 2 2_Sheet1" xfId="25654"/>
    <cellStyle name="Input 2 2 4 2 3" xfId="25655"/>
    <cellStyle name="Input 2 2 4 2_Sheet1" xfId="25656"/>
    <cellStyle name="Input 2 2 4 3" xfId="25657"/>
    <cellStyle name="Input 2 2 4 3 2" xfId="25658"/>
    <cellStyle name="Input 2 2 4 3 2 2" xfId="25659"/>
    <cellStyle name="Input 2 2 4 3 2_Sheet1" xfId="25660"/>
    <cellStyle name="Input 2 2 4 3 3" xfId="25661"/>
    <cellStyle name="Input 2 2 4 3_Sheet1" xfId="25662"/>
    <cellStyle name="Input 2 2 4 4" xfId="25663"/>
    <cellStyle name="Input 2 2 4 4 2" xfId="25664"/>
    <cellStyle name="Input 2 2 4 4 2 2" xfId="25665"/>
    <cellStyle name="Input 2 2 4 4 2_Sheet1" xfId="25666"/>
    <cellStyle name="Input 2 2 4 4 3" xfId="25667"/>
    <cellStyle name="Input 2 2 4 4_Sheet1" xfId="25668"/>
    <cellStyle name="Input 2 2 4 5" xfId="25669"/>
    <cellStyle name="Input 2 2 4_Sheet1" xfId="25670"/>
    <cellStyle name="Input 2 2 5" xfId="25671"/>
    <cellStyle name="Input 2 2 5 2" xfId="25672"/>
    <cellStyle name="Input 2 2 5 2 2" xfId="25673"/>
    <cellStyle name="Input 2 2 5 2 2 2" xfId="25674"/>
    <cellStyle name="Input 2 2 5 2 2_Sheet1" xfId="25675"/>
    <cellStyle name="Input 2 2 5 2 3" xfId="25676"/>
    <cellStyle name="Input 2 2 5 2_Sheet1" xfId="25677"/>
    <cellStyle name="Input 2 2 5 3" xfId="25678"/>
    <cellStyle name="Input 2 2 5 3 2" xfId="25679"/>
    <cellStyle name="Input 2 2 5 3 2 2" xfId="25680"/>
    <cellStyle name="Input 2 2 5 3 2_Sheet1" xfId="25681"/>
    <cellStyle name="Input 2 2 5 3 3" xfId="25682"/>
    <cellStyle name="Input 2 2 5 3_Sheet1" xfId="25683"/>
    <cellStyle name="Input 2 2 5 4" xfId="25684"/>
    <cellStyle name="Input 2 2 5 4 2" xfId="25685"/>
    <cellStyle name="Input 2 2 5 4 2 2" xfId="25686"/>
    <cellStyle name="Input 2 2 5 4 2_Sheet1" xfId="25687"/>
    <cellStyle name="Input 2 2 5 4 3" xfId="25688"/>
    <cellStyle name="Input 2 2 5 4_Sheet1" xfId="25689"/>
    <cellStyle name="Input 2 2 5 5" xfId="25690"/>
    <cellStyle name="Input 2 2 5_Sheet1" xfId="25691"/>
    <cellStyle name="Input 2 2 6" xfId="25692"/>
    <cellStyle name="Input 2 2 6 2" xfId="25693"/>
    <cellStyle name="Input 2 2 6 2 2" xfId="25694"/>
    <cellStyle name="Input 2 2 6 2 2 2" xfId="25695"/>
    <cellStyle name="Input 2 2 6 2 2_Sheet1" xfId="25696"/>
    <cellStyle name="Input 2 2 6 2 3" xfId="25697"/>
    <cellStyle name="Input 2 2 6 2_Sheet1" xfId="25698"/>
    <cellStyle name="Input 2 2 6 3" xfId="25699"/>
    <cellStyle name="Input 2 2 6 3 2" xfId="25700"/>
    <cellStyle name="Input 2 2 6 3 2 2" xfId="25701"/>
    <cellStyle name="Input 2 2 6 3 2_Sheet1" xfId="25702"/>
    <cellStyle name="Input 2 2 6 3 3" xfId="25703"/>
    <cellStyle name="Input 2 2 6 3_Sheet1" xfId="25704"/>
    <cellStyle name="Input 2 2 6 4" xfId="25705"/>
    <cellStyle name="Input 2 2 6 4 2" xfId="25706"/>
    <cellStyle name="Input 2 2 6 4 2 2" xfId="25707"/>
    <cellStyle name="Input 2 2 6 4 2_Sheet1" xfId="25708"/>
    <cellStyle name="Input 2 2 6 4 3" xfId="25709"/>
    <cellStyle name="Input 2 2 6 4_Sheet1" xfId="25710"/>
    <cellStyle name="Input 2 2 6 5" xfId="25711"/>
    <cellStyle name="Input 2 2 6_Sheet1" xfId="25712"/>
    <cellStyle name="Input 2 2 7" xfId="25713"/>
    <cellStyle name="Input 2 2 7 2" xfId="25714"/>
    <cellStyle name="Input 2 2 7 2 2" xfId="25715"/>
    <cellStyle name="Input 2 2 7 2 2 2" xfId="25716"/>
    <cellStyle name="Input 2 2 7 2 2_Sheet1" xfId="25717"/>
    <cellStyle name="Input 2 2 7 2 3" xfId="25718"/>
    <cellStyle name="Input 2 2 7 2_Sheet1" xfId="25719"/>
    <cellStyle name="Input 2 2 7 3" xfId="25720"/>
    <cellStyle name="Input 2 2 7 3 2" xfId="25721"/>
    <cellStyle name="Input 2 2 7 3 2 2" xfId="25722"/>
    <cellStyle name="Input 2 2 7 3 2_Sheet1" xfId="25723"/>
    <cellStyle name="Input 2 2 7 3 3" xfId="25724"/>
    <cellStyle name="Input 2 2 7 3_Sheet1" xfId="25725"/>
    <cellStyle name="Input 2 2 7 4" xfId="25726"/>
    <cellStyle name="Input 2 2 7 4 2" xfId="25727"/>
    <cellStyle name="Input 2 2 7 4 2 2" xfId="25728"/>
    <cellStyle name="Input 2 2 7 4 2_Sheet1" xfId="25729"/>
    <cellStyle name="Input 2 2 7 4 3" xfId="25730"/>
    <cellStyle name="Input 2 2 7 4_Sheet1" xfId="25731"/>
    <cellStyle name="Input 2 2 7 5" xfId="25732"/>
    <cellStyle name="Input 2 2 7_Sheet1" xfId="25733"/>
    <cellStyle name="Input 2 2 8" xfId="25734"/>
    <cellStyle name="Input 2 2 8 2" xfId="25735"/>
    <cellStyle name="Input 2 2 8 2 2" xfId="25736"/>
    <cellStyle name="Input 2 2 8 2 2 2" xfId="25737"/>
    <cellStyle name="Input 2 2 8 2 2_Sheet1" xfId="25738"/>
    <cellStyle name="Input 2 2 8 2 3" xfId="25739"/>
    <cellStyle name="Input 2 2 8 2_Sheet1" xfId="25740"/>
    <cellStyle name="Input 2 2 8 3" xfId="25741"/>
    <cellStyle name="Input 2 2 8 3 2" xfId="25742"/>
    <cellStyle name="Input 2 2 8 3 2 2" xfId="25743"/>
    <cellStyle name="Input 2 2 8 3 2_Sheet1" xfId="25744"/>
    <cellStyle name="Input 2 2 8 3 3" xfId="25745"/>
    <cellStyle name="Input 2 2 8 3_Sheet1" xfId="25746"/>
    <cellStyle name="Input 2 2 8 4" xfId="25747"/>
    <cellStyle name="Input 2 2 8 4 2" xfId="25748"/>
    <cellStyle name="Input 2 2 8 4 2 2" xfId="25749"/>
    <cellStyle name="Input 2 2 8 4 2_Sheet1" xfId="25750"/>
    <cellStyle name="Input 2 2 8 4 3" xfId="25751"/>
    <cellStyle name="Input 2 2 8 4_Sheet1" xfId="25752"/>
    <cellStyle name="Input 2 2 8 5" xfId="25753"/>
    <cellStyle name="Input 2 2 8_Sheet1" xfId="25754"/>
    <cellStyle name="Input 2 2 9" xfId="25755"/>
    <cellStyle name="Input 2 2 9 2" xfId="25756"/>
    <cellStyle name="Input 2 2 9 2 2" xfId="25757"/>
    <cellStyle name="Input 2 2 9 2 2 2" xfId="25758"/>
    <cellStyle name="Input 2 2 9 2 2_Sheet1" xfId="25759"/>
    <cellStyle name="Input 2 2 9 2 3" xfId="25760"/>
    <cellStyle name="Input 2 2 9 2_Sheet1" xfId="25761"/>
    <cellStyle name="Input 2 2 9 3" xfId="25762"/>
    <cellStyle name="Input 2 2 9 3 2" xfId="25763"/>
    <cellStyle name="Input 2 2 9 3 2 2" xfId="25764"/>
    <cellStyle name="Input 2 2 9 3 2_Sheet1" xfId="25765"/>
    <cellStyle name="Input 2 2 9 3 3" xfId="25766"/>
    <cellStyle name="Input 2 2 9 3_Sheet1" xfId="25767"/>
    <cellStyle name="Input 2 2 9 4" xfId="25768"/>
    <cellStyle name="Input 2 2 9 4 2" xfId="25769"/>
    <cellStyle name="Input 2 2 9 4 2 2" xfId="25770"/>
    <cellStyle name="Input 2 2 9 4 2_Sheet1" xfId="25771"/>
    <cellStyle name="Input 2 2 9 4 3" xfId="25772"/>
    <cellStyle name="Input 2 2 9 4_Sheet1" xfId="25773"/>
    <cellStyle name="Input 2 2 9 5" xfId="25774"/>
    <cellStyle name="Input 2 2 9_Sheet1" xfId="25775"/>
    <cellStyle name="Input 2 2_Sheet1" xfId="25776"/>
    <cellStyle name="Input 2 20" xfId="25777"/>
    <cellStyle name="Input 2 20 2" xfId="25778"/>
    <cellStyle name="Input 2 20 2 2" xfId="25779"/>
    <cellStyle name="Input 2 20 2 2 2" xfId="25780"/>
    <cellStyle name="Input 2 20 2 2_Sheet1" xfId="25781"/>
    <cellStyle name="Input 2 20 2 3" xfId="25782"/>
    <cellStyle name="Input 2 20 2_Sheet1" xfId="25783"/>
    <cellStyle name="Input 2 20 3" xfId="25784"/>
    <cellStyle name="Input 2 20 3 2" xfId="25785"/>
    <cellStyle name="Input 2 20 3 2 2" xfId="25786"/>
    <cellStyle name="Input 2 20 3 2_Sheet1" xfId="25787"/>
    <cellStyle name="Input 2 20 3 3" xfId="25788"/>
    <cellStyle name="Input 2 20 3_Sheet1" xfId="25789"/>
    <cellStyle name="Input 2 20 4" xfId="25790"/>
    <cellStyle name="Input 2 20 4 2" xfId="25791"/>
    <cellStyle name="Input 2 20 4 2 2" xfId="25792"/>
    <cellStyle name="Input 2 20 4 2_Sheet1" xfId="25793"/>
    <cellStyle name="Input 2 20 4 3" xfId="25794"/>
    <cellStyle name="Input 2 20 4_Sheet1" xfId="25795"/>
    <cellStyle name="Input 2 20 5" xfId="25796"/>
    <cellStyle name="Input 2 20_Sheet1" xfId="25797"/>
    <cellStyle name="Input 2 21" xfId="25798"/>
    <cellStyle name="Input 2 21 2" xfId="25799"/>
    <cellStyle name="Input 2 21 2 2" xfId="25800"/>
    <cellStyle name="Input 2 21 2 2 2" xfId="25801"/>
    <cellStyle name="Input 2 21 2 2_Sheet1" xfId="25802"/>
    <cellStyle name="Input 2 21 2 3" xfId="25803"/>
    <cellStyle name="Input 2 21 2_Sheet1" xfId="25804"/>
    <cellStyle name="Input 2 21 3" xfId="25805"/>
    <cellStyle name="Input 2 21 3 2" xfId="25806"/>
    <cellStyle name="Input 2 21 3 2 2" xfId="25807"/>
    <cellStyle name="Input 2 21 3 2_Sheet1" xfId="25808"/>
    <cellStyle name="Input 2 21 3 3" xfId="25809"/>
    <cellStyle name="Input 2 21 3_Sheet1" xfId="25810"/>
    <cellStyle name="Input 2 21 4" xfId="25811"/>
    <cellStyle name="Input 2 21 4 2" xfId="25812"/>
    <cellStyle name="Input 2 21 4 2 2" xfId="25813"/>
    <cellStyle name="Input 2 21 4 2_Sheet1" xfId="25814"/>
    <cellStyle name="Input 2 21 4 3" xfId="25815"/>
    <cellStyle name="Input 2 21 4_Sheet1" xfId="25816"/>
    <cellStyle name="Input 2 21 5" xfId="25817"/>
    <cellStyle name="Input 2 21_Sheet1" xfId="25818"/>
    <cellStyle name="Input 2 22" xfId="25819"/>
    <cellStyle name="Input 2 22 2" xfId="25820"/>
    <cellStyle name="Input 2 22 2 2" xfId="25821"/>
    <cellStyle name="Input 2 22 2 2 2" xfId="25822"/>
    <cellStyle name="Input 2 22 2 2_Sheet1" xfId="25823"/>
    <cellStyle name="Input 2 22 2 3" xfId="25824"/>
    <cellStyle name="Input 2 22 2_Sheet1" xfId="25825"/>
    <cellStyle name="Input 2 22 3" xfId="25826"/>
    <cellStyle name="Input 2 22 3 2" xfId="25827"/>
    <cellStyle name="Input 2 22 3 2 2" xfId="25828"/>
    <cellStyle name="Input 2 22 3 2_Sheet1" xfId="25829"/>
    <cellStyle name="Input 2 22 3 3" xfId="25830"/>
    <cellStyle name="Input 2 22 3_Sheet1" xfId="25831"/>
    <cellStyle name="Input 2 22 4" xfId="25832"/>
    <cellStyle name="Input 2 22 4 2" xfId="25833"/>
    <cellStyle name="Input 2 22 4 2 2" xfId="25834"/>
    <cellStyle name="Input 2 22 4 2_Sheet1" xfId="25835"/>
    <cellStyle name="Input 2 22 4 3" xfId="25836"/>
    <cellStyle name="Input 2 22 4_Sheet1" xfId="25837"/>
    <cellStyle name="Input 2 22 5" xfId="25838"/>
    <cellStyle name="Input 2 22_Sheet1" xfId="25839"/>
    <cellStyle name="Input 2 23" xfId="25840"/>
    <cellStyle name="Input 2 23 2" xfId="25841"/>
    <cellStyle name="Input 2 23 2 2" xfId="25842"/>
    <cellStyle name="Input 2 23 2 2 2" xfId="25843"/>
    <cellStyle name="Input 2 23 2 2_Sheet1" xfId="25844"/>
    <cellStyle name="Input 2 23 2 3" xfId="25845"/>
    <cellStyle name="Input 2 23 2_Sheet1" xfId="25846"/>
    <cellStyle name="Input 2 23 3" xfId="25847"/>
    <cellStyle name="Input 2 23 3 2" xfId="25848"/>
    <cellStyle name="Input 2 23 3 2 2" xfId="25849"/>
    <cellStyle name="Input 2 23 3 2_Sheet1" xfId="25850"/>
    <cellStyle name="Input 2 23 3 3" xfId="25851"/>
    <cellStyle name="Input 2 23 3_Sheet1" xfId="25852"/>
    <cellStyle name="Input 2 23 4" xfId="25853"/>
    <cellStyle name="Input 2 23 4 2" xfId="25854"/>
    <cellStyle name="Input 2 23 4 2 2" xfId="25855"/>
    <cellStyle name="Input 2 23 4 2_Sheet1" xfId="25856"/>
    <cellStyle name="Input 2 23 4 3" xfId="25857"/>
    <cellStyle name="Input 2 23 4_Sheet1" xfId="25858"/>
    <cellStyle name="Input 2 23 5" xfId="25859"/>
    <cellStyle name="Input 2 23_Sheet1" xfId="25860"/>
    <cellStyle name="Input 2 24" xfId="25861"/>
    <cellStyle name="Input 2 24 2" xfId="25862"/>
    <cellStyle name="Input 2 24 2 2" xfId="25863"/>
    <cellStyle name="Input 2 24 2 2 2" xfId="25864"/>
    <cellStyle name="Input 2 24 2 2_Sheet1" xfId="25865"/>
    <cellStyle name="Input 2 24 2 3" xfId="25866"/>
    <cellStyle name="Input 2 24 2_Sheet1" xfId="25867"/>
    <cellStyle name="Input 2 24 3" xfId="25868"/>
    <cellStyle name="Input 2 24 3 2" xfId="25869"/>
    <cellStyle name="Input 2 24 3 2 2" xfId="25870"/>
    <cellStyle name="Input 2 24 3 2_Sheet1" xfId="25871"/>
    <cellStyle name="Input 2 24 3 3" xfId="25872"/>
    <cellStyle name="Input 2 24 3_Sheet1" xfId="25873"/>
    <cellStyle name="Input 2 24 4" xfId="25874"/>
    <cellStyle name="Input 2 24 4 2" xfId="25875"/>
    <cellStyle name="Input 2 24 4 2 2" xfId="25876"/>
    <cellStyle name="Input 2 24 4 2_Sheet1" xfId="25877"/>
    <cellStyle name="Input 2 24 4 3" xfId="25878"/>
    <cellStyle name="Input 2 24 4_Sheet1" xfId="25879"/>
    <cellStyle name="Input 2 24 5" xfId="25880"/>
    <cellStyle name="Input 2 24_Sheet1" xfId="25881"/>
    <cellStyle name="Input 2 25" xfId="25882"/>
    <cellStyle name="Input 2 25 2" xfId="25883"/>
    <cellStyle name="Input 2 25 2 2" xfId="25884"/>
    <cellStyle name="Input 2 25 2 2 2" xfId="25885"/>
    <cellStyle name="Input 2 25 2 2_Sheet1" xfId="25886"/>
    <cellStyle name="Input 2 25 2 3" xfId="25887"/>
    <cellStyle name="Input 2 25 2_Sheet1" xfId="25888"/>
    <cellStyle name="Input 2 25 3" xfId="25889"/>
    <cellStyle name="Input 2 25 3 2" xfId="25890"/>
    <cellStyle name="Input 2 25 3 2 2" xfId="25891"/>
    <cellStyle name="Input 2 25 3 2_Sheet1" xfId="25892"/>
    <cellStyle name="Input 2 25 3 3" xfId="25893"/>
    <cellStyle name="Input 2 25 3_Sheet1" xfId="25894"/>
    <cellStyle name="Input 2 25 4" xfId="25895"/>
    <cellStyle name="Input 2 25 4 2" xfId="25896"/>
    <cellStyle name="Input 2 25 4 2 2" xfId="25897"/>
    <cellStyle name="Input 2 25 4 2_Sheet1" xfId="25898"/>
    <cellStyle name="Input 2 25 4 3" xfId="25899"/>
    <cellStyle name="Input 2 25 4_Sheet1" xfId="25900"/>
    <cellStyle name="Input 2 25 5" xfId="25901"/>
    <cellStyle name="Input 2 25_Sheet1" xfId="25902"/>
    <cellStyle name="Input 2 26" xfId="25903"/>
    <cellStyle name="Input 2 26 2" xfId="25904"/>
    <cellStyle name="Input 2 26 2 2" xfId="25905"/>
    <cellStyle name="Input 2 26 2 2 2" xfId="25906"/>
    <cellStyle name="Input 2 26 2 2_Sheet1" xfId="25907"/>
    <cellStyle name="Input 2 26 2 3" xfId="25908"/>
    <cellStyle name="Input 2 26 2_Sheet1" xfId="25909"/>
    <cellStyle name="Input 2 26 3" xfId="25910"/>
    <cellStyle name="Input 2 26 3 2" xfId="25911"/>
    <cellStyle name="Input 2 26 3 2 2" xfId="25912"/>
    <cellStyle name="Input 2 26 3 2_Sheet1" xfId="25913"/>
    <cellStyle name="Input 2 26 3 3" xfId="25914"/>
    <cellStyle name="Input 2 26 3_Sheet1" xfId="25915"/>
    <cellStyle name="Input 2 26 4" xfId="25916"/>
    <cellStyle name="Input 2 26 4 2" xfId="25917"/>
    <cellStyle name="Input 2 26 4 2 2" xfId="25918"/>
    <cellStyle name="Input 2 26 4 2_Sheet1" xfId="25919"/>
    <cellStyle name="Input 2 26 4 3" xfId="25920"/>
    <cellStyle name="Input 2 26 4_Sheet1" xfId="25921"/>
    <cellStyle name="Input 2 26 5" xfId="25922"/>
    <cellStyle name="Input 2 26_Sheet1" xfId="25923"/>
    <cellStyle name="Input 2 27" xfId="25924"/>
    <cellStyle name="Input 2 27 2" xfId="25925"/>
    <cellStyle name="Input 2 27 2 2" xfId="25926"/>
    <cellStyle name="Input 2 27 2 2 2" xfId="25927"/>
    <cellStyle name="Input 2 27 2 2_Sheet1" xfId="25928"/>
    <cellStyle name="Input 2 27 2 3" xfId="25929"/>
    <cellStyle name="Input 2 27 2_Sheet1" xfId="25930"/>
    <cellStyle name="Input 2 27 3" xfId="25931"/>
    <cellStyle name="Input 2 27 3 2" xfId="25932"/>
    <cellStyle name="Input 2 27 3 2 2" xfId="25933"/>
    <cellStyle name="Input 2 27 3 2_Sheet1" xfId="25934"/>
    <cellStyle name="Input 2 27 3 3" xfId="25935"/>
    <cellStyle name="Input 2 27 3_Sheet1" xfId="25936"/>
    <cellStyle name="Input 2 27 4" xfId="25937"/>
    <cellStyle name="Input 2 27 4 2" xfId="25938"/>
    <cellStyle name="Input 2 27 4 2 2" xfId="25939"/>
    <cellStyle name="Input 2 27 4 2_Sheet1" xfId="25940"/>
    <cellStyle name="Input 2 27 4 3" xfId="25941"/>
    <cellStyle name="Input 2 27 4_Sheet1" xfId="25942"/>
    <cellStyle name="Input 2 27 5" xfId="25943"/>
    <cellStyle name="Input 2 27_Sheet1" xfId="25944"/>
    <cellStyle name="Input 2 28" xfId="25945"/>
    <cellStyle name="Input 2 28 2" xfId="25946"/>
    <cellStyle name="Input 2 28 2 2" xfId="25947"/>
    <cellStyle name="Input 2 28 2 2 2" xfId="25948"/>
    <cellStyle name="Input 2 28 2 2_Sheet1" xfId="25949"/>
    <cellStyle name="Input 2 28 2 3" xfId="25950"/>
    <cellStyle name="Input 2 28 2_Sheet1" xfId="25951"/>
    <cellStyle name="Input 2 28 3" xfId="25952"/>
    <cellStyle name="Input 2 28 3 2" xfId="25953"/>
    <cellStyle name="Input 2 28 3 2 2" xfId="25954"/>
    <cellStyle name="Input 2 28 3 2_Sheet1" xfId="25955"/>
    <cellStyle name="Input 2 28 3 3" xfId="25956"/>
    <cellStyle name="Input 2 28 3_Sheet1" xfId="25957"/>
    <cellStyle name="Input 2 28 4" xfId="25958"/>
    <cellStyle name="Input 2 28 4 2" xfId="25959"/>
    <cellStyle name="Input 2 28 4 2 2" xfId="25960"/>
    <cellStyle name="Input 2 28 4 2_Sheet1" xfId="25961"/>
    <cellStyle name="Input 2 28 4 3" xfId="25962"/>
    <cellStyle name="Input 2 28 4_Sheet1" xfId="25963"/>
    <cellStyle name="Input 2 28 5" xfId="25964"/>
    <cellStyle name="Input 2 28_Sheet1" xfId="25965"/>
    <cellStyle name="Input 2 29" xfId="25966"/>
    <cellStyle name="Input 2 29 2" xfId="25967"/>
    <cellStyle name="Input 2 29 2 2" xfId="25968"/>
    <cellStyle name="Input 2 29 2 2 2" xfId="25969"/>
    <cellStyle name="Input 2 29 2 2_Sheet1" xfId="25970"/>
    <cellStyle name="Input 2 29 2 3" xfId="25971"/>
    <cellStyle name="Input 2 29 2_Sheet1" xfId="25972"/>
    <cellStyle name="Input 2 29 3" xfId="25973"/>
    <cellStyle name="Input 2 29 3 2" xfId="25974"/>
    <cellStyle name="Input 2 29 3 2 2" xfId="25975"/>
    <cellStyle name="Input 2 29 3 2_Sheet1" xfId="25976"/>
    <cellStyle name="Input 2 29 3 3" xfId="25977"/>
    <cellStyle name="Input 2 29 3_Sheet1" xfId="25978"/>
    <cellStyle name="Input 2 29 4" xfId="25979"/>
    <cellStyle name="Input 2 29 4 2" xfId="25980"/>
    <cellStyle name="Input 2 29 4 2 2" xfId="25981"/>
    <cellStyle name="Input 2 29 4 2_Sheet1" xfId="25982"/>
    <cellStyle name="Input 2 29 4 3" xfId="25983"/>
    <cellStyle name="Input 2 29 4_Sheet1" xfId="25984"/>
    <cellStyle name="Input 2 29 5" xfId="25985"/>
    <cellStyle name="Input 2 29_Sheet1" xfId="25986"/>
    <cellStyle name="Input 2 3" xfId="25987"/>
    <cellStyle name="Input 2 3 10" xfId="25988"/>
    <cellStyle name="Input 2 3 10 2" xfId="25989"/>
    <cellStyle name="Input 2 3 10 2 2" xfId="25990"/>
    <cellStyle name="Input 2 3 10 2_Sheet1" xfId="25991"/>
    <cellStyle name="Input 2 3 10 3" xfId="25992"/>
    <cellStyle name="Input 2 3 10_Sheet1" xfId="25993"/>
    <cellStyle name="Input 2 3 11" xfId="25994"/>
    <cellStyle name="Input 2 3 11 2" xfId="25995"/>
    <cellStyle name="Input 2 3 11 2 2" xfId="25996"/>
    <cellStyle name="Input 2 3 11 2_Sheet1" xfId="25997"/>
    <cellStyle name="Input 2 3 11 3" xfId="25998"/>
    <cellStyle name="Input 2 3 11_Sheet1" xfId="25999"/>
    <cellStyle name="Input 2 3 12" xfId="26000"/>
    <cellStyle name="Input 2 3 12 2" xfId="26001"/>
    <cellStyle name="Input 2 3 12 2 2" xfId="26002"/>
    <cellStyle name="Input 2 3 12 2_Sheet1" xfId="26003"/>
    <cellStyle name="Input 2 3 12 3" xfId="26004"/>
    <cellStyle name="Input 2 3 12_Sheet1" xfId="26005"/>
    <cellStyle name="Input 2 3 13" xfId="26006"/>
    <cellStyle name="Input 2 3 2" xfId="26007"/>
    <cellStyle name="Input 2 3 2 2" xfId="26008"/>
    <cellStyle name="Input 2 3 2 2 2" xfId="26009"/>
    <cellStyle name="Input 2 3 2 2 2 2" xfId="26010"/>
    <cellStyle name="Input 2 3 2 2 2_Sheet1" xfId="26011"/>
    <cellStyle name="Input 2 3 2 2 3" xfId="26012"/>
    <cellStyle name="Input 2 3 2 2_Sheet1" xfId="26013"/>
    <cellStyle name="Input 2 3 2 3" xfId="26014"/>
    <cellStyle name="Input 2 3 2 3 2" xfId="26015"/>
    <cellStyle name="Input 2 3 2 3 2 2" xfId="26016"/>
    <cellStyle name="Input 2 3 2 3 2_Sheet1" xfId="26017"/>
    <cellStyle name="Input 2 3 2 3 3" xfId="26018"/>
    <cellStyle name="Input 2 3 2 3_Sheet1" xfId="26019"/>
    <cellStyle name="Input 2 3 2 4" xfId="26020"/>
    <cellStyle name="Input 2 3 2 4 2" xfId="26021"/>
    <cellStyle name="Input 2 3 2 4 2 2" xfId="26022"/>
    <cellStyle name="Input 2 3 2 4 2_Sheet1" xfId="26023"/>
    <cellStyle name="Input 2 3 2 4 3" xfId="26024"/>
    <cellStyle name="Input 2 3 2 4_Sheet1" xfId="26025"/>
    <cellStyle name="Input 2 3 2 5" xfId="26026"/>
    <cellStyle name="Input 2 3 2_Sheet1" xfId="26027"/>
    <cellStyle name="Input 2 3 3" xfId="26028"/>
    <cellStyle name="Input 2 3 3 2" xfId="26029"/>
    <cellStyle name="Input 2 3 3 2 2" xfId="26030"/>
    <cellStyle name="Input 2 3 3 2 2 2" xfId="26031"/>
    <cellStyle name="Input 2 3 3 2 2_Sheet1" xfId="26032"/>
    <cellStyle name="Input 2 3 3 2 3" xfId="26033"/>
    <cellStyle name="Input 2 3 3 2_Sheet1" xfId="26034"/>
    <cellStyle name="Input 2 3 3 3" xfId="26035"/>
    <cellStyle name="Input 2 3 3 3 2" xfId="26036"/>
    <cellStyle name="Input 2 3 3 3 2 2" xfId="26037"/>
    <cellStyle name="Input 2 3 3 3 2_Sheet1" xfId="26038"/>
    <cellStyle name="Input 2 3 3 3 3" xfId="26039"/>
    <cellStyle name="Input 2 3 3 3_Sheet1" xfId="26040"/>
    <cellStyle name="Input 2 3 3 4" xfId="26041"/>
    <cellStyle name="Input 2 3 3 4 2" xfId="26042"/>
    <cellStyle name="Input 2 3 3 4 2 2" xfId="26043"/>
    <cellStyle name="Input 2 3 3 4 2_Sheet1" xfId="26044"/>
    <cellStyle name="Input 2 3 3 4 3" xfId="26045"/>
    <cellStyle name="Input 2 3 3 4_Sheet1" xfId="26046"/>
    <cellStyle name="Input 2 3 3 5" xfId="26047"/>
    <cellStyle name="Input 2 3 3_Sheet1" xfId="26048"/>
    <cellStyle name="Input 2 3 4" xfId="26049"/>
    <cellStyle name="Input 2 3 4 2" xfId="26050"/>
    <cellStyle name="Input 2 3 4 2 2" xfId="26051"/>
    <cellStyle name="Input 2 3 4 2 2 2" xfId="26052"/>
    <cellStyle name="Input 2 3 4 2 2_Sheet1" xfId="26053"/>
    <cellStyle name="Input 2 3 4 2 3" xfId="26054"/>
    <cellStyle name="Input 2 3 4 2_Sheet1" xfId="26055"/>
    <cellStyle name="Input 2 3 4 3" xfId="26056"/>
    <cellStyle name="Input 2 3 4 3 2" xfId="26057"/>
    <cellStyle name="Input 2 3 4 3 2 2" xfId="26058"/>
    <cellStyle name="Input 2 3 4 3 2_Sheet1" xfId="26059"/>
    <cellStyle name="Input 2 3 4 3 3" xfId="26060"/>
    <cellStyle name="Input 2 3 4 3_Sheet1" xfId="26061"/>
    <cellStyle name="Input 2 3 4 4" xfId="26062"/>
    <cellStyle name="Input 2 3 4 4 2" xfId="26063"/>
    <cellStyle name="Input 2 3 4 4 2 2" xfId="26064"/>
    <cellStyle name="Input 2 3 4 4 2_Sheet1" xfId="26065"/>
    <cellStyle name="Input 2 3 4 4 3" xfId="26066"/>
    <cellStyle name="Input 2 3 4 4_Sheet1" xfId="26067"/>
    <cellStyle name="Input 2 3 4 5" xfId="26068"/>
    <cellStyle name="Input 2 3 4_Sheet1" xfId="26069"/>
    <cellStyle name="Input 2 3 5" xfId="26070"/>
    <cellStyle name="Input 2 3 5 2" xfId="26071"/>
    <cellStyle name="Input 2 3 5 2 2" xfId="26072"/>
    <cellStyle name="Input 2 3 5 2 2 2" xfId="26073"/>
    <cellStyle name="Input 2 3 5 2 2_Sheet1" xfId="26074"/>
    <cellStyle name="Input 2 3 5 2 3" xfId="26075"/>
    <cellStyle name="Input 2 3 5 2_Sheet1" xfId="26076"/>
    <cellStyle name="Input 2 3 5 3" xfId="26077"/>
    <cellStyle name="Input 2 3 5 3 2" xfId="26078"/>
    <cellStyle name="Input 2 3 5 3 2 2" xfId="26079"/>
    <cellStyle name="Input 2 3 5 3 2_Sheet1" xfId="26080"/>
    <cellStyle name="Input 2 3 5 3 3" xfId="26081"/>
    <cellStyle name="Input 2 3 5 3_Sheet1" xfId="26082"/>
    <cellStyle name="Input 2 3 5 4" xfId="26083"/>
    <cellStyle name="Input 2 3 5 4 2" xfId="26084"/>
    <cellStyle name="Input 2 3 5 4 2 2" xfId="26085"/>
    <cellStyle name="Input 2 3 5 4 2_Sheet1" xfId="26086"/>
    <cellStyle name="Input 2 3 5 4 3" xfId="26087"/>
    <cellStyle name="Input 2 3 5 4_Sheet1" xfId="26088"/>
    <cellStyle name="Input 2 3 5 5" xfId="26089"/>
    <cellStyle name="Input 2 3 5_Sheet1" xfId="26090"/>
    <cellStyle name="Input 2 3 6" xfId="26091"/>
    <cellStyle name="Input 2 3 6 2" xfId="26092"/>
    <cellStyle name="Input 2 3 6 2 2" xfId="26093"/>
    <cellStyle name="Input 2 3 6 2 2 2" xfId="26094"/>
    <cellStyle name="Input 2 3 6 2 2_Sheet1" xfId="26095"/>
    <cellStyle name="Input 2 3 6 2 3" xfId="26096"/>
    <cellStyle name="Input 2 3 6 2_Sheet1" xfId="26097"/>
    <cellStyle name="Input 2 3 6 3" xfId="26098"/>
    <cellStyle name="Input 2 3 6 3 2" xfId="26099"/>
    <cellStyle name="Input 2 3 6 3 2 2" xfId="26100"/>
    <cellStyle name="Input 2 3 6 3 2_Sheet1" xfId="26101"/>
    <cellStyle name="Input 2 3 6 3 3" xfId="26102"/>
    <cellStyle name="Input 2 3 6 3_Sheet1" xfId="26103"/>
    <cellStyle name="Input 2 3 6 4" xfId="26104"/>
    <cellStyle name="Input 2 3 6 4 2" xfId="26105"/>
    <cellStyle name="Input 2 3 6 4 2 2" xfId="26106"/>
    <cellStyle name="Input 2 3 6 4 2_Sheet1" xfId="26107"/>
    <cellStyle name="Input 2 3 6 4 3" xfId="26108"/>
    <cellStyle name="Input 2 3 6 4_Sheet1" xfId="26109"/>
    <cellStyle name="Input 2 3 6 5" xfId="26110"/>
    <cellStyle name="Input 2 3 6_Sheet1" xfId="26111"/>
    <cellStyle name="Input 2 3 7" xfId="26112"/>
    <cellStyle name="Input 2 3 7 2" xfId="26113"/>
    <cellStyle name="Input 2 3 7 2 2" xfId="26114"/>
    <cellStyle name="Input 2 3 7 2 2 2" xfId="26115"/>
    <cellStyle name="Input 2 3 7 2 2_Sheet1" xfId="26116"/>
    <cellStyle name="Input 2 3 7 2 3" xfId="26117"/>
    <cellStyle name="Input 2 3 7 2_Sheet1" xfId="26118"/>
    <cellStyle name="Input 2 3 7 3" xfId="26119"/>
    <cellStyle name="Input 2 3 7 3 2" xfId="26120"/>
    <cellStyle name="Input 2 3 7 3 2 2" xfId="26121"/>
    <cellStyle name="Input 2 3 7 3 2_Sheet1" xfId="26122"/>
    <cellStyle name="Input 2 3 7 3 3" xfId="26123"/>
    <cellStyle name="Input 2 3 7 3_Sheet1" xfId="26124"/>
    <cellStyle name="Input 2 3 7 4" xfId="26125"/>
    <cellStyle name="Input 2 3 7 4 2" xfId="26126"/>
    <cellStyle name="Input 2 3 7 4 2 2" xfId="26127"/>
    <cellStyle name="Input 2 3 7 4 2_Sheet1" xfId="26128"/>
    <cellStyle name="Input 2 3 7 4 3" xfId="26129"/>
    <cellStyle name="Input 2 3 7 4_Sheet1" xfId="26130"/>
    <cellStyle name="Input 2 3 7 5" xfId="26131"/>
    <cellStyle name="Input 2 3 7_Sheet1" xfId="26132"/>
    <cellStyle name="Input 2 3 8" xfId="26133"/>
    <cellStyle name="Input 2 3 8 2" xfId="26134"/>
    <cellStyle name="Input 2 3 8 2 2" xfId="26135"/>
    <cellStyle name="Input 2 3 8 2 2 2" xfId="26136"/>
    <cellStyle name="Input 2 3 8 2 2_Sheet1" xfId="26137"/>
    <cellStyle name="Input 2 3 8 2 3" xfId="26138"/>
    <cellStyle name="Input 2 3 8 2_Sheet1" xfId="26139"/>
    <cellStyle name="Input 2 3 8 3" xfId="26140"/>
    <cellStyle name="Input 2 3 8 3 2" xfId="26141"/>
    <cellStyle name="Input 2 3 8 3 2 2" xfId="26142"/>
    <cellStyle name="Input 2 3 8 3 2_Sheet1" xfId="26143"/>
    <cellStyle name="Input 2 3 8 3 3" xfId="26144"/>
    <cellStyle name="Input 2 3 8 3_Sheet1" xfId="26145"/>
    <cellStyle name="Input 2 3 8 4" xfId="26146"/>
    <cellStyle name="Input 2 3 8 4 2" xfId="26147"/>
    <cellStyle name="Input 2 3 8 4 2 2" xfId="26148"/>
    <cellStyle name="Input 2 3 8 4 2_Sheet1" xfId="26149"/>
    <cellStyle name="Input 2 3 8 4 3" xfId="26150"/>
    <cellStyle name="Input 2 3 8 4_Sheet1" xfId="26151"/>
    <cellStyle name="Input 2 3 8 5" xfId="26152"/>
    <cellStyle name="Input 2 3 8_Sheet1" xfId="26153"/>
    <cellStyle name="Input 2 3 9" xfId="26154"/>
    <cellStyle name="Input 2 3 9 2" xfId="26155"/>
    <cellStyle name="Input 2 3 9 2 2" xfId="26156"/>
    <cellStyle name="Input 2 3 9 2 2 2" xfId="26157"/>
    <cellStyle name="Input 2 3 9 2 2_Sheet1" xfId="26158"/>
    <cellStyle name="Input 2 3 9 2 3" xfId="26159"/>
    <cellStyle name="Input 2 3 9 2_Sheet1" xfId="26160"/>
    <cellStyle name="Input 2 3 9 3" xfId="26161"/>
    <cellStyle name="Input 2 3 9 3 2" xfId="26162"/>
    <cellStyle name="Input 2 3 9 3 2 2" xfId="26163"/>
    <cellStyle name="Input 2 3 9 3 2_Sheet1" xfId="26164"/>
    <cellStyle name="Input 2 3 9 3 3" xfId="26165"/>
    <cellStyle name="Input 2 3 9 3_Sheet1" xfId="26166"/>
    <cellStyle name="Input 2 3 9 4" xfId="26167"/>
    <cellStyle name="Input 2 3 9 4 2" xfId="26168"/>
    <cellStyle name="Input 2 3 9 4 2 2" xfId="26169"/>
    <cellStyle name="Input 2 3 9 4 2_Sheet1" xfId="26170"/>
    <cellStyle name="Input 2 3 9 4 3" xfId="26171"/>
    <cellStyle name="Input 2 3 9 4_Sheet1" xfId="26172"/>
    <cellStyle name="Input 2 3 9 5" xfId="26173"/>
    <cellStyle name="Input 2 3 9_Sheet1" xfId="26174"/>
    <cellStyle name="Input 2 3_Sheet1" xfId="26175"/>
    <cellStyle name="Input 2 30" xfId="26176"/>
    <cellStyle name="Input 2 30 2" xfId="26177"/>
    <cellStyle name="Input 2 30 2 2" xfId="26178"/>
    <cellStyle name="Input 2 30 2 2 2" xfId="26179"/>
    <cellStyle name="Input 2 30 2 2_Sheet1" xfId="26180"/>
    <cellStyle name="Input 2 30 2 3" xfId="26181"/>
    <cellStyle name="Input 2 30 2_Sheet1" xfId="26182"/>
    <cellStyle name="Input 2 30 3" xfId="26183"/>
    <cellStyle name="Input 2 30 3 2" xfId="26184"/>
    <cellStyle name="Input 2 30 3 2 2" xfId="26185"/>
    <cellStyle name="Input 2 30 3 2_Sheet1" xfId="26186"/>
    <cellStyle name="Input 2 30 3 3" xfId="26187"/>
    <cellStyle name="Input 2 30 3_Sheet1" xfId="26188"/>
    <cellStyle name="Input 2 30 4" xfId="26189"/>
    <cellStyle name="Input 2 30 4 2" xfId="26190"/>
    <cellStyle name="Input 2 30 4 2 2" xfId="26191"/>
    <cellStyle name="Input 2 30 4 2_Sheet1" xfId="26192"/>
    <cellStyle name="Input 2 30 4 3" xfId="26193"/>
    <cellStyle name="Input 2 30 4_Sheet1" xfId="26194"/>
    <cellStyle name="Input 2 30 5" xfId="26195"/>
    <cellStyle name="Input 2 30_Sheet1" xfId="26196"/>
    <cellStyle name="Input 2 31" xfId="26197"/>
    <cellStyle name="Input 2 31 2" xfId="26198"/>
    <cellStyle name="Input 2 31 2 2" xfId="26199"/>
    <cellStyle name="Input 2 31 2 2 2" xfId="26200"/>
    <cellStyle name="Input 2 31 2 2_Sheet1" xfId="26201"/>
    <cellStyle name="Input 2 31 2 3" xfId="26202"/>
    <cellStyle name="Input 2 31 2_Sheet1" xfId="26203"/>
    <cellStyle name="Input 2 31 3" xfId="26204"/>
    <cellStyle name="Input 2 31 3 2" xfId="26205"/>
    <cellStyle name="Input 2 31 3 2 2" xfId="26206"/>
    <cellStyle name="Input 2 31 3 2_Sheet1" xfId="26207"/>
    <cellStyle name="Input 2 31 3 3" xfId="26208"/>
    <cellStyle name="Input 2 31 3_Sheet1" xfId="26209"/>
    <cellStyle name="Input 2 31 4" xfId="26210"/>
    <cellStyle name="Input 2 31 4 2" xfId="26211"/>
    <cellStyle name="Input 2 31 4 2 2" xfId="26212"/>
    <cellStyle name="Input 2 31 4 2_Sheet1" xfId="26213"/>
    <cellStyle name="Input 2 31 4 3" xfId="26214"/>
    <cellStyle name="Input 2 31 4_Sheet1" xfId="26215"/>
    <cellStyle name="Input 2 31 5" xfId="26216"/>
    <cellStyle name="Input 2 31_Sheet1" xfId="26217"/>
    <cellStyle name="Input 2 32" xfId="26218"/>
    <cellStyle name="Input 2 32 2" xfId="26219"/>
    <cellStyle name="Input 2 32 2 2" xfId="26220"/>
    <cellStyle name="Input 2 32 2 2 2" xfId="26221"/>
    <cellStyle name="Input 2 32 2 2_Sheet1" xfId="26222"/>
    <cellStyle name="Input 2 32 2 3" xfId="26223"/>
    <cellStyle name="Input 2 32 2_Sheet1" xfId="26224"/>
    <cellStyle name="Input 2 32 3" xfId="26225"/>
    <cellStyle name="Input 2 32 3 2" xfId="26226"/>
    <cellStyle name="Input 2 32 3 2 2" xfId="26227"/>
    <cellStyle name="Input 2 32 3 2_Sheet1" xfId="26228"/>
    <cellStyle name="Input 2 32 3 3" xfId="26229"/>
    <cellStyle name="Input 2 32 3_Sheet1" xfId="26230"/>
    <cellStyle name="Input 2 32 4" xfId="26231"/>
    <cellStyle name="Input 2 32 4 2" xfId="26232"/>
    <cellStyle name="Input 2 32 4 2 2" xfId="26233"/>
    <cellStyle name="Input 2 32 4 2_Sheet1" xfId="26234"/>
    <cellStyle name="Input 2 32 4 3" xfId="26235"/>
    <cellStyle name="Input 2 32 4_Sheet1" xfId="26236"/>
    <cellStyle name="Input 2 32 5" xfId="26237"/>
    <cellStyle name="Input 2 32_Sheet1" xfId="26238"/>
    <cellStyle name="Input 2 33" xfId="26239"/>
    <cellStyle name="Input 2 33 2" xfId="26240"/>
    <cellStyle name="Input 2 33 2 2" xfId="26241"/>
    <cellStyle name="Input 2 33 2 2 2" xfId="26242"/>
    <cellStyle name="Input 2 33 2 2_Sheet1" xfId="26243"/>
    <cellStyle name="Input 2 33 2 3" xfId="26244"/>
    <cellStyle name="Input 2 33 2_Sheet1" xfId="26245"/>
    <cellStyle name="Input 2 33 3" xfId="26246"/>
    <cellStyle name="Input 2 33 3 2" xfId="26247"/>
    <cellStyle name="Input 2 33 3 2 2" xfId="26248"/>
    <cellStyle name="Input 2 33 3 2_Sheet1" xfId="26249"/>
    <cellStyle name="Input 2 33 3 3" xfId="26250"/>
    <cellStyle name="Input 2 33 3_Sheet1" xfId="26251"/>
    <cellStyle name="Input 2 33 4" xfId="26252"/>
    <cellStyle name="Input 2 33 4 2" xfId="26253"/>
    <cellStyle name="Input 2 33 4 2 2" xfId="26254"/>
    <cellStyle name="Input 2 33 4 2_Sheet1" xfId="26255"/>
    <cellStyle name="Input 2 33 4 3" xfId="26256"/>
    <cellStyle name="Input 2 33 4_Sheet1" xfId="26257"/>
    <cellStyle name="Input 2 33 5" xfId="26258"/>
    <cellStyle name="Input 2 33_Sheet1" xfId="26259"/>
    <cellStyle name="Input 2 34" xfId="26260"/>
    <cellStyle name="Input 2 34 2" xfId="26261"/>
    <cellStyle name="Input 2 34 2 2" xfId="26262"/>
    <cellStyle name="Input 2 34 2 2 2" xfId="26263"/>
    <cellStyle name="Input 2 34 2 2_Sheet1" xfId="26264"/>
    <cellStyle name="Input 2 34 2 3" xfId="26265"/>
    <cellStyle name="Input 2 34 2_Sheet1" xfId="26266"/>
    <cellStyle name="Input 2 34 3" xfId="26267"/>
    <cellStyle name="Input 2 34 3 2" xfId="26268"/>
    <cellStyle name="Input 2 34 3 2 2" xfId="26269"/>
    <cellStyle name="Input 2 34 3 2_Sheet1" xfId="26270"/>
    <cellStyle name="Input 2 34 3 3" xfId="26271"/>
    <cellStyle name="Input 2 34 3_Sheet1" xfId="26272"/>
    <cellStyle name="Input 2 34 4" xfId="26273"/>
    <cellStyle name="Input 2 34 4 2" xfId="26274"/>
    <cellStyle name="Input 2 34 4 2 2" xfId="26275"/>
    <cellStyle name="Input 2 34 4 2_Sheet1" xfId="26276"/>
    <cellStyle name="Input 2 34 4 3" xfId="26277"/>
    <cellStyle name="Input 2 34 4_Sheet1" xfId="26278"/>
    <cellStyle name="Input 2 34 5" xfId="26279"/>
    <cellStyle name="Input 2 34_Sheet1" xfId="26280"/>
    <cellStyle name="Input 2 35" xfId="26281"/>
    <cellStyle name="Input 2 35 2" xfId="26282"/>
    <cellStyle name="Input 2 35 2 2" xfId="26283"/>
    <cellStyle name="Input 2 35 2 2 2" xfId="26284"/>
    <cellStyle name="Input 2 35 2 2_Sheet1" xfId="26285"/>
    <cellStyle name="Input 2 35 2 3" xfId="26286"/>
    <cellStyle name="Input 2 35 2_Sheet1" xfId="26287"/>
    <cellStyle name="Input 2 35 3" xfId="26288"/>
    <cellStyle name="Input 2 35 3 2" xfId="26289"/>
    <cellStyle name="Input 2 35 3 2 2" xfId="26290"/>
    <cellStyle name="Input 2 35 3 2_Sheet1" xfId="26291"/>
    <cellStyle name="Input 2 35 3 3" xfId="26292"/>
    <cellStyle name="Input 2 35 3_Sheet1" xfId="26293"/>
    <cellStyle name="Input 2 35 4" xfId="26294"/>
    <cellStyle name="Input 2 35 4 2" xfId="26295"/>
    <cellStyle name="Input 2 35 4 2 2" xfId="26296"/>
    <cellStyle name="Input 2 35 4 2_Sheet1" xfId="26297"/>
    <cellStyle name="Input 2 35 4 3" xfId="26298"/>
    <cellStyle name="Input 2 35 4_Sheet1" xfId="26299"/>
    <cellStyle name="Input 2 35 5" xfId="26300"/>
    <cellStyle name="Input 2 35_Sheet1" xfId="26301"/>
    <cellStyle name="Input 2 36" xfId="26302"/>
    <cellStyle name="Input 2 36 2" xfId="26303"/>
    <cellStyle name="Input 2 36 2 2" xfId="26304"/>
    <cellStyle name="Input 2 36 2 2 2" xfId="26305"/>
    <cellStyle name="Input 2 36 2 2_Sheet1" xfId="26306"/>
    <cellStyle name="Input 2 36 2 3" xfId="26307"/>
    <cellStyle name="Input 2 36 2_Sheet1" xfId="26308"/>
    <cellStyle name="Input 2 36 3" xfId="26309"/>
    <cellStyle name="Input 2 36 3 2" xfId="26310"/>
    <cellStyle name="Input 2 36 3 2 2" xfId="26311"/>
    <cellStyle name="Input 2 36 3 2_Sheet1" xfId="26312"/>
    <cellStyle name="Input 2 36 3 3" xfId="26313"/>
    <cellStyle name="Input 2 36 3_Sheet1" xfId="26314"/>
    <cellStyle name="Input 2 36 4" xfId="26315"/>
    <cellStyle name="Input 2 36 4 2" xfId="26316"/>
    <cellStyle name="Input 2 36 4 2 2" xfId="26317"/>
    <cellStyle name="Input 2 36 4 2_Sheet1" xfId="26318"/>
    <cellStyle name="Input 2 36 4 3" xfId="26319"/>
    <cellStyle name="Input 2 36 4_Sheet1" xfId="26320"/>
    <cellStyle name="Input 2 36 5" xfId="26321"/>
    <cellStyle name="Input 2 36_Sheet1" xfId="26322"/>
    <cellStyle name="Input 2 37" xfId="26323"/>
    <cellStyle name="Input 2 37 2" xfId="26324"/>
    <cellStyle name="Input 2 37 2 2" xfId="26325"/>
    <cellStyle name="Input 2 37 2_Sheet1" xfId="26326"/>
    <cellStyle name="Input 2 37 3" xfId="26327"/>
    <cellStyle name="Input 2 37_Sheet1" xfId="26328"/>
    <cellStyle name="Input 2 38" xfId="26329"/>
    <cellStyle name="Input 2 38 2" xfId="26330"/>
    <cellStyle name="Input 2 38 2 2" xfId="26331"/>
    <cellStyle name="Input 2 38 2_Sheet1" xfId="26332"/>
    <cellStyle name="Input 2 38 3" xfId="26333"/>
    <cellStyle name="Input 2 38_Sheet1" xfId="26334"/>
    <cellStyle name="Input 2 39" xfId="26335"/>
    <cellStyle name="Input 2 39 2" xfId="26336"/>
    <cellStyle name="Input 2 39 2 2" xfId="26337"/>
    <cellStyle name="Input 2 39 2_Sheet1" xfId="26338"/>
    <cellStyle name="Input 2 39 3" xfId="26339"/>
    <cellStyle name="Input 2 39_Sheet1" xfId="26340"/>
    <cellStyle name="Input 2 4" xfId="26341"/>
    <cellStyle name="Input 2 4 10" xfId="26342"/>
    <cellStyle name="Input 2 4 10 2" xfId="26343"/>
    <cellStyle name="Input 2 4 10 2 2" xfId="26344"/>
    <cellStyle name="Input 2 4 10 2_Sheet1" xfId="26345"/>
    <cellStyle name="Input 2 4 10 3" xfId="26346"/>
    <cellStyle name="Input 2 4 10_Sheet1" xfId="26347"/>
    <cellStyle name="Input 2 4 11" xfId="26348"/>
    <cellStyle name="Input 2 4 11 2" xfId="26349"/>
    <cellStyle name="Input 2 4 11 2 2" xfId="26350"/>
    <cellStyle name="Input 2 4 11 2_Sheet1" xfId="26351"/>
    <cellStyle name="Input 2 4 11 3" xfId="26352"/>
    <cellStyle name="Input 2 4 11_Sheet1" xfId="26353"/>
    <cellStyle name="Input 2 4 12" xfId="26354"/>
    <cellStyle name="Input 2 4 12 2" xfId="26355"/>
    <cellStyle name="Input 2 4 12 2 2" xfId="26356"/>
    <cellStyle name="Input 2 4 12 2_Sheet1" xfId="26357"/>
    <cellStyle name="Input 2 4 12 3" xfId="26358"/>
    <cellStyle name="Input 2 4 12_Sheet1" xfId="26359"/>
    <cellStyle name="Input 2 4 13" xfId="26360"/>
    <cellStyle name="Input 2 4 2" xfId="26361"/>
    <cellStyle name="Input 2 4 2 2" xfId="26362"/>
    <cellStyle name="Input 2 4 2 2 2" xfId="26363"/>
    <cellStyle name="Input 2 4 2 2 2 2" xfId="26364"/>
    <cellStyle name="Input 2 4 2 2 2_Sheet1" xfId="26365"/>
    <cellStyle name="Input 2 4 2 2 3" xfId="26366"/>
    <cellStyle name="Input 2 4 2 2_Sheet1" xfId="26367"/>
    <cellStyle name="Input 2 4 2 3" xfId="26368"/>
    <cellStyle name="Input 2 4 2 3 2" xfId="26369"/>
    <cellStyle name="Input 2 4 2 3 2 2" xfId="26370"/>
    <cellStyle name="Input 2 4 2 3 2_Sheet1" xfId="26371"/>
    <cellStyle name="Input 2 4 2 3 3" xfId="26372"/>
    <cellStyle name="Input 2 4 2 3_Sheet1" xfId="26373"/>
    <cellStyle name="Input 2 4 2 4" xfId="26374"/>
    <cellStyle name="Input 2 4 2 4 2" xfId="26375"/>
    <cellStyle name="Input 2 4 2 4 2 2" xfId="26376"/>
    <cellStyle name="Input 2 4 2 4 2_Sheet1" xfId="26377"/>
    <cellStyle name="Input 2 4 2 4 3" xfId="26378"/>
    <cellStyle name="Input 2 4 2 4_Sheet1" xfId="26379"/>
    <cellStyle name="Input 2 4 2 5" xfId="26380"/>
    <cellStyle name="Input 2 4 2_Sheet1" xfId="26381"/>
    <cellStyle name="Input 2 4 3" xfId="26382"/>
    <cellStyle name="Input 2 4 3 2" xfId="26383"/>
    <cellStyle name="Input 2 4 3 2 2" xfId="26384"/>
    <cellStyle name="Input 2 4 3 2 2 2" xfId="26385"/>
    <cellStyle name="Input 2 4 3 2 2_Sheet1" xfId="26386"/>
    <cellStyle name="Input 2 4 3 2 3" xfId="26387"/>
    <cellStyle name="Input 2 4 3 2_Sheet1" xfId="26388"/>
    <cellStyle name="Input 2 4 3 3" xfId="26389"/>
    <cellStyle name="Input 2 4 3 3 2" xfId="26390"/>
    <cellStyle name="Input 2 4 3 3 2 2" xfId="26391"/>
    <cellStyle name="Input 2 4 3 3 2_Sheet1" xfId="26392"/>
    <cellStyle name="Input 2 4 3 3 3" xfId="26393"/>
    <cellStyle name="Input 2 4 3 3_Sheet1" xfId="26394"/>
    <cellStyle name="Input 2 4 3 4" xfId="26395"/>
    <cellStyle name="Input 2 4 3 4 2" xfId="26396"/>
    <cellStyle name="Input 2 4 3 4 2 2" xfId="26397"/>
    <cellStyle name="Input 2 4 3 4 2_Sheet1" xfId="26398"/>
    <cellStyle name="Input 2 4 3 4 3" xfId="26399"/>
    <cellStyle name="Input 2 4 3 4_Sheet1" xfId="26400"/>
    <cellStyle name="Input 2 4 3 5" xfId="26401"/>
    <cellStyle name="Input 2 4 3_Sheet1" xfId="26402"/>
    <cellStyle name="Input 2 4 4" xfId="26403"/>
    <cellStyle name="Input 2 4 4 2" xfId="26404"/>
    <cellStyle name="Input 2 4 4 2 2" xfId="26405"/>
    <cellStyle name="Input 2 4 4 2 2 2" xfId="26406"/>
    <cellStyle name="Input 2 4 4 2 2_Sheet1" xfId="26407"/>
    <cellStyle name="Input 2 4 4 2 3" xfId="26408"/>
    <cellStyle name="Input 2 4 4 2_Sheet1" xfId="26409"/>
    <cellStyle name="Input 2 4 4 3" xfId="26410"/>
    <cellStyle name="Input 2 4 4 3 2" xfId="26411"/>
    <cellStyle name="Input 2 4 4 3 2 2" xfId="26412"/>
    <cellStyle name="Input 2 4 4 3 2_Sheet1" xfId="26413"/>
    <cellStyle name="Input 2 4 4 3 3" xfId="26414"/>
    <cellStyle name="Input 2 4 4 3_Sheet1" xfId="26415"/>
    <cellStyle name="Input 2 4 4 4" xfId="26416"/>
    <cellStyle name="Input 2 4 4 4 2" xfId="26417"/>
    <cellStyle name="Input 2 4 4 4 2 2" xfId="26418"/>
    <cellStyle name="Input 2 4 4 4 2_Sheet1" xfId="26419"/>
    <cellStyle name="Input 2 4 4 4 3" xfId="26420"/>
    <cellStyle name="Input 2 4 4 4_Sheet1" xfId="26421"/>
    <cellStyle name="Input 2 4 4 5" xfId="26422"/>
    <cellStyle name="Input 2 4 4_Sheet1" xfId="26423"/>
    <cellStyle name="Input 2 4 5" xfId="26424"/>
    <cellStyle name="Input 2 4 5 2" xfId="26425"/>
    <cellStyle name="Input 2 4 5 2 2" xfId="26426"/>
    <cellStyle name="Input 2 4 5 2 2 2" xfId="26427"/>
    <cellStyle name="Input 2 4 5 2 2_Sheet1" xfId="26428"/>
    <cellStyle name="Input 2 4 5 2 3" xfId="26429"/>
    <cellStyle name="Input 2 4 5 2_Sheet1" xfId="26430"/>
    <cellStyle name="Input 2 4 5 3" xfId="26431"/>
    <cellStyle name="Input 2 4 5 3 2" xfId="26432"/>
    <cellStyle name="Input 2 4 5 3 2 2" xfId="26433"/>
    <cellStyle name="Input 2 4 5 3 2_Sheet1" xfId="26434"/>
    <cellStyle name="Input 2 4 5 3 3" xfId="26435"/>
    <cellStyle name="Input 2 4 5 3_Sheet1" xfId="26436"/>
    <cellStyle name="Input 2 4 5 4" xfId="26437"/>
    <cellStyle name="Input 2 4 5 4 2" xfId="26438"/>
    <cellStyle name="Input 2 4 5 4 2 2" xfId="26439"/>
    <cellStyle name="Input 2 4 5 4 2_Sheet1" xfId="26440"/>
    <cellStyle name="Input 2 4 5 4 3" xfId="26441"/>
    <cellStyle name="Input 2 4 5 4_Sheet1" xfId="26442"/>
    <cellStyle name="Input 2 4 5 5" xfId="26443"/>
    <cellStyle name="Input 2 4 5_Sheet1" xfId="26444"/>
    <cellStyle name="Input 2 4 6" xfId="26445"/>
    <cellStyle name="Input 2 4 6 2" xfId="26446"/>
    <cellStyle name="Input 2 4 6 2 2" xfId="26447"/>
    <cellStyle name="Input 2 4 6 2 2 2" xfId="26448"/>
    <cellStyle name="Input 2 4 6 2 2_Sheet1" xfId="26449"/>
    <cellStyle name="Input 2 4 6 2 3" xfId="26450"/>
    <cellStyle name="Input 2 4 6 2_Sheet1" xfId="26451"/>
    <cellStyle name="Input 2 4 6 3" xfId="26452"/>
    <cellStyle name="Input 2 4 6 3 2" xfId="26453"/>
    <cellStyle name="Input 2 4 6 3 2 2" xfId="26454"/>
    <cellStyle name="Input 2 4 6 3 2_Sheet1" xfId="26455"/>
    <cellStyle name="Input 2 4 6 3 3" xfId="26456"/>
    <cellStyle name="Input 2 4 6 3_Sheet1" xfId="26457"/>
    <cellStyle name="Input 2 4 6 4" xfId="26458"/>
    <cellStyle name="Input 2 4 6 4 2" xfId="26459"/>
    <cellStyle name="Input 2 4 6 4 2 2" xfId="26460"/>
    <cellStyle name="Input 2 4 6 4 2_Sheet1" xfId="26461"/>
    <cellStyle name="Input 2 4 6 4 3" xfId="26462"/>
    <cellStyle name="Input 2 4 6 4_Sheet1" xfId="26463"/>
    <cellStyle name="Input 2 4 6 5" xfId="26464"/>
    <cellStyle name="Input 2 4 6_Sheet1" xfId="26465"/>
    <cellStyle name="Input 2 4 7" xfId="26466"/>
    <cellStyle name="Input 2 4 7 2" xfId="26467"/>
    <cellStyle name="Input 2 4 7 2 2" xfId="26468"/>
    <cellStyle name="Input 2 4 7 2 2 2" xfId="26469"/>
    <cellStyle name="Input 2 4 7 2 2_Sheet1" xfId="26470"/>
    <cellStyle name="Input 2 4 7 2 3" xfId="26471"/>
    <cellStyle name="Input 2 4 7 2_Sheet1" xfId="26472"/>
    <cellStyle name="Input 2 4 7 3" xfId="26473"/>
    <cellStyle name="Input 2 4 7 3 2" xfId="26474"/>
    <cellStyle name="Input 2 4 7 3 2 2" xfId="26475"/>
    <cellStyle name="Input 2 4 7 3 2_Sheet1" xfId="26476"/>
    <cellStyle name="Input 2 4 7 3 3" xfId="26477"/>
    <cellStyle name="Input 2 4 7 3_Sheet1" xfId="26478"/>
    <cellStyle name="Input 2 4 7 4" xfId="26479"/>
    <cellStyle name="Input 2 4 7 4 2" xfId="26480"/>
    <cellStyle name="Input 2 4 7 4 2 2" xfId="26481"/>
    <cellStyle name="Input 2 4 7 4 2_Sheet1" xfId="26482"/>
    <cellStyle name="Input 2 4 7 4 3" xfId="26483"/>
    <cellStyle name="Input 2 4 7 4_Sheet1" xfId="26484"/>
    <cellStyle name="Input 2 4 7 5" xfId="26485"/>
    <cellStyle name="Input 2 4 7_Sheet1" xfId="26486"/>
    <cellStyle name="Input 2 4 8" xfId="26487"/>
    <cellStyle name="Input 2 4 8 2" xfId="26488"/>
    <cellStyle name="Input 2 4 8 2 2" xfId="26489"/>
    <cellStyle name="Input 2 4 8 2 2 2" xfId="26490"/>
    <cellStyle name="Input 2 4 8 2 2_Sheet1" xfId="26491"/>
    <cellStyle name="Input 2 4 8 2 3" xfId="26492"/>
    <cellStyle name="Input 2 4 8 2_Sheet1" xfId="26493"/>
    <cellStyle name="Input 2 4 8 3" xfId="26494"/>
    <cellStyle name="Input 2 4 8 3 2" xfId="26495"/>
    <cellStyle name="Input 2 4 8 3 2 2" xfId="26496"/>
    <cellStyle name="Input 2 4 8 3 2_Sheet1" xfId="26497"/>
    <cellStyle name="Input 2 4 8 3 3" xfId="26498"/>
    <cellStyle name="Input 2 4 8 3_Sheet1" xfId="26499"/>
    <cellStyle name="Input 2 4 8 4" xfId="26500"/>
    <cellStyle name="Input 2 4 8 4 2" xfId="26501"/>
    <cellStyle name="Input 2 4 8 4 2 2" xfId="26502"/>
    <cellStyle name="Input 2 4 8 4 2_Sheet1" xfId="26503"/>
    <cellStyle name="Input 2 4 8 4 3" xfId="26504"/>
    <cellStyle name="Input 2 4 8 4_Sheet1" xfId="26505"/>
    <cellStyle name="Input 2 4 8 5" xfId="26506"/>
    <cellStyle name="Input 2 4 8_Sheet1" xfId="26507"/>
    <cellStyle name="Input 2 4 9" xfId="26508"/>
    <cellStyle name="Input 2 4 9 2" xfId="26509"/>
    <cellStyle name="Input 2 4 9 2 2" xfId="26510"/>
    <cellStyle name="Input 2 4 9 2 2 2" xfId="26511"/>
    <cellStyle name="Input 2 4 9 2 2_Sheet1" xfId="26512"/>
    <cellStyle name="Input 2 4 9 2 3" xfId="26513"/>
    <cellStyle name="Input 2 4 9 2_Sheet1" xfId="26514"/>
    <cellStyle name="Input 2 4 9 3" xfId="26515"/>
    <cellStyle name="Input 2 4 9 3 2" xfId="26516"/>
    <cellStyle name="Input 2 4 9 3 2 2" xfId="26517"/>
    <cellStyle name="Input 2 4 9 3 2_Sheet1" xfId="26518"/>
    <cellStyle name="Input 2 4 9 3 3" xfId="26519"/>
    <cellStyle name="Input 2 4 9 3_Sheet1" xfId="26520"/>
    <cellStyle name="Input 2 4 9 4" xfId="26521"/>
    <cellStyle name="Input 2 4 9 4 2" xfId="26522"/>
    <cellStyle name="Input 2 4 9 4 2 2" xfId="26523"/>
    <cellStyle name="Input 2 4 9 4 2_Sheet1" xfId="26524"/>
    <cellStyle name="Input 2 4 9 4 3" xfId="26525"/>
    <cellStyle name="Input 2 4 9 4_Sheet1" xfId="26526"/>
    <cellStyle name="Input 2 4 9 5" xfId="26527"/>
    <cellStyle name="Input 2 4 9_Sheet1" xfId="26528"/>
    <cellStyle name="Input 2 4_Sheet1" xfId="26529"/>
    <cellStyle name="Input 2 40" xfId="26530"/>
    <cellStyle name="Input 2 5" xfId="26531"/>
    <cellStyle name="Input 2 5 10" xfId="26532"/>
    <cellStyle name="Input 2 5 10 2" xfId="26533"/>
    <cellStyle name="Input 2 5 10 2 2" xfId="26534"/>
    <cellStyle name="Input 2 5 10 2_Sheet1" xfId="26535"/>
    <cellStyle name="Input 2 5 10 3" xfId="26536"/>
    <cellStyle name="Input 2 5 10_Sheet1" xfId="26537"/>
    <cellStyle name="Input 2 5 11" xfId="26538"/>
    <cellStyle name="Input 2 5 11 2" xfId="26539"/>
    <cellStyle name="Input 2 5 11 2 2" xfId="26540"/>
    <cellStyle name="Input 2 5 11 2_Sheet1" xfId="26541"/>
    <cellStyle name="Input 2 5 11 3" xfId="26542"/>
    <cellStyle name="Input 2 5 11_Sheet1" xfId="26543"/>
    <cellStyle name="Input 2 5 12" xfId="26544"/>
    <cellStyle name="Input 2 5 12 2" xfId="26545"/>
    <cellStyle name="Input 2 5 12 2 2" xfId="26546"/>
    <cellStyle name="Input 2 5 12 2_Sheet1" xfId="26547"/>
    <cellStyle name="Input 2 5 12 3" xfId="26548"/>
    <cellStyle name="Input 2 5 12_Sheet1" xfId="26549"/>
    <cellStyle name="Input 2 5 13" xfId="26550"/>
    <cellStyle name="Input 2 5 2" xfId="26551"/>
    <cellStyle name="Input 2 5 2 2" xfId="26552"/>
    <cellStyle name="Input 2 5 2 2 2" xfId="26553"/>
    <cellStyle name="Input 2 5 2 2 2 2" xfId="26554"/>
    <cellStyle name="Input 2 5 2 2 2_Sheet1" xfId="26555"/>
    <cellStyle name="Input 2 5 2 2 3" xfId="26556"/>
    <cellStyle name="Input 2 5 2 2_Sheet1" xfId="26557"/>
    <cellStyle name="Input 2 5 2 3" xfId="26558"/>
    <cellStyle name="Input 2 5 2 3 2" xfId="26559"/>
    <cellStyle name="Input 2 5 2 3 2 2" xfId="26560"/>
    <cellStyle name="Input 2 5 2 3 2_Sheet1" xfId="26561"/>
    <cellStyle name="Input 2 5 2 3 3" xfId="26562"/>
    <cellStyle name="Input 2 5 2 3_Sheet1" xfId="26563"/>
    <cellStyle name="Input 2 5 2 4" xfId="26564"/>
    <cellStyle name="Input 2 5 2 4 2" xfId="26565"/>
    <cellStyle name="Input 2 5 2 4 2 2" xfId="26566"/>
    <cellStyle name="Input 2 5 2 4 2_Sheet1" xfId="26567"/>
    <cellStyle name="Input 2 5 2 4 3" xfId="26568"/>
    <cellStyle name="Input 2 5 2 4_Sheet1" xfId="26569"/>
    <cellStyle name="Input 2 5 2 5" xfId="26570"/>
    <cellStyle name="Input 2 5 2_Sheet1" xfId="26571"/>
    <cellStyle name="Input 2 5 3" xfId="26572"/>
    <cellStyle name="Input 2 5 3 2" xfId="26573"/>
    <cellStyle name="Input 2 5 3 2 2" xfId="26574"/>
    <cellStyle name="Input 2 5 3 2 2 2" xfId="26575"/>
    <cellStyle name="Input 2 5 3 2 2_Sheet1" xfId="26576"/>
    <cellStyle name="Input 2 5 3 2 3" xfId="26577"/>
    <cellStyle name="Input 2 5 3 2_Sheet1" xfId="26578"/>
    <cellStyle name="Input 2 5 3 3" xfId="26579"/>
    <cellStyle name="Input 2 5 3 3 2" xfId="26580"/>
    <cellStyle name="Input 2 5 3 3 2 2" xfId="26581"/>
    <cellStyle name="Input 2 5 3 3 2_Sheet1" xfId="26582"/>
    <cellStyle name="Input 2 5 3 3 3" xfId="26583"/>
    <cellStyle name="Input 2 5 3 3_Sheet1" xfId="26584"/>
    <cellStyle name="Input 2 5 3 4" xfId="26585"/>
    <cellStyle name="Input 2 5 3 4 2" xfId="26586"/>
    <cellStyle name="Input 2 5 3 4 2 2" xfId="26587"/>
    <cellStyle name="Input 2 5 3 4 2_Sheet1" xfId="26588"/>
    <cellStyle name="Input 2 5 3 4 3" xfId="26589"/>
    <cellStyle name="Input 2 5 3 4_Sheet1" xfId="26590"/>
    <cellStyle name="Input 2 5 3 5" xfId="26591"/>
    <cellStyle name="Input 2 5 3_Sheet1" xfId="26592"/>
    <cellStyle name="Input 2 5 4" xfId="26593"/>
    <cellStyle name="Input 2 5 4 2" xfId="26594"/>
    <cellStyle name="Input 2 5 4 2 2" xfId="26595"/>
    <cellStyle name="Input 2 5 4 2 2 2" xfId="26596"/>
    <cellStyle name="Input 2 5 4 2 2_Sheet1" xfId="26597"/>
    <cellStyle name="Input 2 5 4 2 3" xfId="26598"/>
    <cellStyle name="Input 2 5 4 2_Sheet1" xfId="26599"/>
    <cellStyle name="Input 2 5 4 3" xfId="26600"/>
    <cellStyle name="Input 2 5 4 3 2" xfId="26601"/>
    <cellStyle name="Input 2 5 4 3 2 2" xfId="26602"/>
    <cellStyle name="Input 2 5 4 3 2_Sheet1" xfId="26603"/>
    <cellStyle name="Input 2 5 4 3 3" xfId="26604"/>
    <cellStyle name="Input 2 5 4 3_Sheet1" xfId="26605"/>
    <cellStyle name="Input 2 5 4 4" xfId="26606"/>
    <cellStyle name="Input 2 5 4 4 2" xfId="26607"/>
    <cellStyle name="Input 2 5 4 4 2 2" xfId="26608"/>
    <cellStyle name="Input 2 5 4 4 2_Sheet1" xfId="26609"/>
    <cellStyle name="Input 2 5 4 4 3" xfId="26610"/>
    <cellStyle name="Input 2 5 4 4_Sheet1" xfId="26611"/>
    <cellStyle name="Input 2 5 4 5" xfId="26612"/>
    <cellStyle name="Input 2 5 4_Sheet1" xfId="26613"/>
    <cellStyle name="Input 2 5 5" xfId="26614"/>
    <cellStyle name="Input 2 5 5 2" xfId="26615"/>
    <cellStyle name="Input 2 5 5 2 2" xfId="26616"/>
    <cellStyle name="Input 2 5 5 2 2 2" xfId="26617"/>
    <cellStyle name="Input 2 5 5 2 2_Sheet1" xfId="26618"/>
    <cellStyle name="Input 2 5 5 2 3" xfId="26619"/>
    <cellStyle name="Input 2 5 5 2_Sheet1" xfId="26620"/>
    <cellStyle name="Input 2 5 5 3" xfId="26621"/>
    <cellStyle name="Input 2 5 5 3 2" xfId="26622"/>
    <cellStyle name="Input 2 5 5 3 2 2" xfId="26623"/>
    <cellStyle name="Input 2 5 5 3 2_Sheet1" xfId="26624"/>
    <cellStyle name="Input 2 5 5 3 3" xfId="26625"/>
    <cellStyle name="Input 2 5 5 3_Sheet1" xfId="26626"/>
    <cellStyle name="Input 2 5 5 4" xfId="26627"/>
    <cellStyle name="Input 2 5 5 4 2" xfId="26628"/>
    <cellStyle name="Input 2 5 5 4 2 2" xfId="26629"/>
    <cellStyle name="Input 2 5 5 4 2_Sheet1" xfId="26630"/>
    <cellStyle name="Input 2 5 5 4 3" xfId="26631"/>
    <cellStyle name="Input 2 5 5 4_Sheet1" xfId="26632"/>
    <cellStyle name="Input 2 5 5 5" xfId="26633"/>
    <cellStyle name="Input 2 5 5_Sheet1" xfId="26634"/>
    <cellStyle name="Input 2 5 6" xfId="26635"/>
    <cellStyle name="Input 2 5 6 2" xfId="26636"/>
    <cellStyle name="Input 2 5 6 2 2" xfId="26637"/>
    <cellStyle name="Input 2 5 6 2 2 2" xfId="26638"/>
    <cellStyle name="Input 2 5 6 2 2_Sheet1" xfId="26639"/>
    <cellStyle name="Input 2 5 6 2 3" xfId="26640"/>
    <cellStyle name="Input 2 5 6 2_Sheet1" xfId="26641"/>
    <cellStyle name="Input 2 5 6 3" xfId="26642"/>
    <cellStyle name="Input 2 5 6 3 2" xfId="26643"/>
    <cellStyle name="Input 2 5 6 3 2 2" xfId="26644"/>
    <cellStyle name="Input 2 5 6 3 2_Sheet1" xfId="26645"/>
    <cellStyle name="Input 2 5 6 3 3" xfId="26646"/>
    <cellStyle name="Input 2 5 6 3_Sheet1" xfId="26647"/>
    <cellStyle name="Input 2 5 6 4" xfId="26648"/>
    <cellStyle name="Input 2 5 6 4 2" xfId="26649"/>
    <cellStyle name="Input 2 5 6 4 2 2" xfId="26650"/>
    <cellStyle name="Input 2 5 6 4 2_Sheet1" xfId="26651"/>
    <cellStyle name="Input 2 5 6 4 3" xfId="26652"/>
    <cellStyle name="Input 2 5 6 4_Sheet1" xfId="26653"/>
    <cellStyle name="Input 2 5 6 5" xfId="26654"/>
    <cellStyle name="Input 2 5 6_Sheet1" xfId="26655"/>
    <cellStyle name="Input 2 5 7" xfId="26656"/>
    <cellStyle name="Input 2 5 7 2" xfId="26657"/>
    <cellStyle name="Input 2 5 7 2 2" xfId="26658"/>
    <cellStyle name="Input 2 5 7 2 2 2" xfId="26659"/>
    <cellStyle name="Input 2 5 7 2 2_Sheet1" xfId="26660"/>
    <cellStyle name="Input 2 5 7 2 3" xfId="26661"/>
    <cellStyle name="Input 2 5 7 2_Sheet1" xfId="26662"/>
    <cellStyle name="Input 2 5 7 3" xfId="26663"/>
    <cellStyle name="Input 2 5 7 3 2" xfId="26664"/>
    <cellStyle name="Input 2 5 7 3 2 2" xfId="26665"/>
    <cellStyle name="Input 2 5 7 3 2_Sheet1" xfId="26666"/>
    <cellStyle name="Input 2 5 7 3 3" xfId="26667"/>
    <cellStyle name="Input 2 5 7 3_Sheet1" xfId="26668"/>
    <cellStyle name="Input 2 5 7 4" xfId="26669"/>
    <cellStyle name="Input 2 5 7 4 2" xfId="26670"/>
    <cellStyle name="Input 2 5 7 4 2 2" xfId="26671"/>
    <cellStyle name="Input 2 5 7 4 2_Sheet1" xfId="26672"/>
    <cellStyle name="Input 2 5 7 4 3" xfId="26673"/>
    <cellStyle name="Input 2 5 7 4_Sheet1" xfId="26674"/>
    <cellStyle name="Input 2 5 7 5" xfId="26675"/>
    <cellStyle name="Input 2 5 7_Sheet1" xfId="26676"/>
    <cellStyle name="Input 2 5 8" xfId="26677"/>
    <cellStyle name="Input 2 5 8 2" xfId="26678"/>
    <cellStyle name="Input 2 5 8 2 2" xfId="26679"/>
    <cellStyle name="Input 2 5 8 2 2 2" xfId="26680"/>
    <cellStyle name="Input 2 5 8 2 2_Sheet1" xfId="26681"/>
    <cellStyle name="Input 2 5 8 2 3" xfId="26682"/>
    <cellStyle name="Input 2 5 8 2_Sheet1" xfId="26683"/>
    <cellStyle name="Input 2 5 8 3" xfId="26684"/>
    <cellStyle name="Input 2 5 8 3 2" xfId="26685"/>
    <cellStyle name="Input 2 5 8 3 2 2" xfId="26686"/>
    <cellStyle name="Input 2 5 8 3 2_Sheet1" xfId="26687"/>
    <cellStyle name="Input 2 5 8 3 3" xfId="26688"/>
    <cellStyle name="Input 2 5 8 3_Sheet1" xfId="26689"/>
    <cellStyle name="Input 2 5 8 4" xfId="26690"/>
    <cellStyle name="Input 2 5 8 4 2" xfId="26691"/>
    <cellStyle name="Input 2 5 8 4 2 2" xfId="26692"/>
    <cellStyle name="Input 2 5 8 4 2_Sheet1" xfId="26693"/>
    <cellStyle name="Input 2 5 8 4 3" xfId="26694"/>
    <cellStyle name="Input 2 5 8 4_Sheet1" xfId="26695"/>
    <cellStyle name="Input 2 5 8 5" xfId="26696"/>
    <cellStyle name="Input 2 5 8_Sheet1" xfId="26697"/>
    <cellStyle name="Input 2 5 9" xfId="26698"/>
    <cellStyle name="Input 2 5 9 2" xfId="26699"/>
    <cellStyle name="Input 2 5 9 2 2" xfId="26700"/>
    <cellStyle name="Input 2 5 9 2 2 2" xfId="26701"/>
    <cellStyle name="Input 2 5 9 2 2_Sheet1" xfId="26702"/>
    <cellStyle name="Input 2 5 9 2 3" xfId="26703"/>
    <cellStyle name="Input 2 5 9 2_Sheet1" xfId="26704"/>
    <cellStyle name="Input 2 5 9 3" xfId="26705"/>
    <cellStyle name="Input 2 5 9 3 2" xfId="26706"/>
    <cellStyle name="Input 2 5 9 3 2 2" xfId="26707"/>
    <cellStyle name="Input 2 5 9 3 2_Sheet1" xfId="26708"/>
    <cellStyle name="Input 2 5 9 3 3" xfId="26709"/>
    <cellStyle name="Input 2 5 9 3_Sheet1" xfId="26710"/>
    <cellStyle name="Input 2 5 9 4" xfId="26711"/>
    <cellStyle name="Input 2 5 9 4 2" xfId="26712"/>
    <cellStyle name="Input 2 5 9 4 2 2" xfId="26713"/>
    <cellStyle name="Input 2 5 9 4 2_Sheet1" xfId="26714"/>
    <cellStyle name="Input 2 5 9 4 3" xfId="26715"/>
    <cellStyle name="Input 2 5 9 4_Sheet1" xfId="26716"/>
    <cellStyle name="Input 2 5 9 5" xfId="26717"/>
    <cellStyle name="Input 2 5 9_Sheet1" xfId="26718"/>
    <cellStyle name="Input 2 5_Sheet1" xfId="26719"/>
    <cellStyle name="Input 2 6" xfId="26720"/>
    <cellStyle name="Input 2 6 10" xfId="26721"/>
    <cellStyle name="Input 2 6 10 2" xfId="26722"/>
    <cellStyle name="Input 2 6 10 2 2" xfId="26723"/>
    <cellStyle name="Input 2 6 10 2_Sheet1" xfId="26724"/>
    <cellStyle name="Input 2 6 10 3" xfId="26725"/>
    <cellStyle name="Input 2 6 10_Sheet1" xfId="26726"/>
    <cellStyle name="Input 2 6 11" xfId="26727"/>
    <cellStyle name="Input 2 6 11 2" xfId="26728"/>
    <cellStyle name="Input 2 6 11 2 2" xfId="26729"/>
    <cellStyle name="Input 2 6 11 2_Sheet1" xfId="26730"/>
    <cellStyle name="Input 2 6 11 3" xfId="26731"/>
    <cellStyle name="Input 2 6 11_Sheet1" xfId="26732"/>
    <cellStyle name="Input 2 6 12" xfId="26733"/>
    <cellStyle name="Input 2 6 12 2" xfId="26734"/>
    <cellStyle name="Input 2 6 12 2 2" xfId="26735"/>
    <cellStyle name="Input 2 6 12 2_Sheet1" xfId="26736"/>
    <cellStyle name="Input 2 6 12 3" xfId="26737"/>
    <cellStyle name="Input 2 6 12_Sheet1" xfId="26738"/>
    <cellStyle name="Input 2 6 13" xfId="26739"/>
    <cellStyle name="Input 2 6 2" xfId="26740"/>
    <cellStyle name="Input 2 6 2 2" xfId="26741"/>
    <cellStyle name="Input 2 6 2 2 2" xfId="26742"/>
    <cellStyle name="Input 2 6 2 2 2 2" xfId="26743"/>
    <cellStyle name="Input 2 6 2 2 2_Sheet1" xfId="26744"/>
    <cellStyle name="Input 2 6 2 2 3" xfId="26745"/>
    <cellStyle name="Input 2 6 2 2_Sheet1" xfId="26746"/>
    <cellStyle name="Input 2 6 2 3" xfId="26747"/>
    <cellStyle name="Input 2 6 2 3 2" xfId="26748"/>
    <cellStyle name="Input 2 6 2 3 2 2" xfId="26749"/>
    <cellStyle name="Input 2 6 2 3 2_Sheet1" xfId="26750"/>
    <cellStyle name="Input 2 6 2 3 3" xfId="26751"/>
    <cellStyle name="Input 2 6 2 3_Sheet1" xfId="26752"/>
    <cellStyle name="Input 2 6 2 4" xfId="26753"/>
    <cellStyle name="Input 2 6 2 4 2" xfId="26754"/>
    <cellStyle name="Input 2 6 2 4 2 2" xfId="26755"/>
    <cellStyle name="Input 2 6 2 4 2_Sheet1" xfId="26756"/>
    <cellStyle name="Input 2 6 2 4 3" xfId="26757"/>
    <cellStyle name="Input 2 6 2 4_Sheet1" xfId="26758"/>
    <cellStyle name="Input 2 6 2 5" xfId="26759"/>
    <cellStyle name="Input 2 6 2_Sheet1" xfId="26760"/>
    <cellStyle name="Input 2 6 3" xfId="26761"/>
    <cellStyle name="Input 2 6 3 2" xfId="26762"/>
    <cellStyle name="Input 2 6 3 2 2" xfId="26763"/>
    <cellStyle name="Input 2 6 3 2 2 2" xfId="26764"/>
    <cellStyle name="Input 2 6 3 2 2_Sheet1" xfId="26765"/>
    <cellStyle name="Input 2 6 3 2 3" xfId="26766"/>
    <cellStyle name="Input 2 6 3 2_Sheet1" xfId="26767"/>
    <cellStyle name="Input 2 6 3 3" xfId="26768"/>
    <cellStyle name="Input 2 6 3 3 2" xfId="26769"/>
    <cellStyle name="Input 2 6 3 3 2 2" xfId="26770"/>
    <cellStyle name="Input 2 6 3 3 2_Sheet1" xfId="26771"/>
    <cellStyle name="Input 2 6 3 3 3" xfId="26772"/>
    <cellStyle name="Input 2 6 3 3_Sheet1" xfId="26773"/>
    <cellStyle name="Input 2 6 3 4" xfId="26774"/>
    <cellStyle name="Input 2 6 3 4 2" xfId="26775"/>
    <cellStyle name="Input 2 6 3 4 2 2" xfId="26776"/>
    <cellStyle name="Input 2 6 3 4 2_Sheet1" xfId="26777"/>
    <cellStyle name="Input 2 6 3 4 3" xfId="26778"/>
    <cellStyle name="Input 2 6 3 4_Sheet1" xfId="26779"/>
    <cellStyle name="Input 2 6 3 5" xfId="26780"/>
    <cellStyle name="Input 2 6 3_Sheet1" xfId="26781"/>
    <cellStyle name="Input 2 6 4" xfId="26782"/>
    <cellStyle name="Input 2 6 4 2" xfId="26783"/>
    <cellStyle name="Input 2 6 4 2 2" xfId="26784"/>
    <cellStyle name="Input 2 6 4 2 2 2" xfId="26785"/>
    <cellStyle name="Input 2 6 4 2 2_Sheet1" xfId="26786"/>
    <cellStyle name="Input 2 6 4 2 3" xfId="26787"/>
    <cellStyle name="Input 2 6 4 2_Sheet1" xfId="26788"/>
    <cellStyle name="Input 2 6 4 3" xfId="26789"/>
    <cellStyle name="Input 2 6 4 3 2" xfId="26790"/>
    <cellStyle name="Input 2 6 4 3 2 2" xfId="26791"/>
    <cellStyle name="Input 2 6 4 3 2_Sheet1" xfId="26792"/>
    <cellStyle name="Input 2 6 4 3 3" xfId="26793"/>
    <cellStyle name="Input 2 6 4 3_Sheet1" xfId="26794"/>
    <cellStyle name="Input 2 6 4 4" xfId="26795"/>
    <cellStyle name="Input 2 6 4 4 2" xfId="26796"/>
    <cellStyle name="Input 2 6 4 4 2 2" xfId="26797"/>
    <cellStyle name="Input 2 6 4 4 2_Sheet1" xfId="26798"/>
    <cellStyle name="Input 2 6 4 4 3" xfId="26799"/>
    <cellStyle name="Input 2 6 4 4_Sheet1" xfId="26800"/>
    <cellStyle name="Input 2 6 4 5" xfId="26801"/>
    <cellStyle name="Input 2 6 4_Sheet1" xfId="26802"/>
    <cellStyle name="Input 2 6 5" xfId="26803"/>
    <cellStyle name="Input 2 6 5 2" xfId="26804"/>
    <cellStyle name="Input 2 6 5 2 2" xfId="26805"/>
    <cellStyle name="Input 2 6 5 2 2 2" xfId="26806"/>
    <cellStyle name="Input 2 6 5 2 2_Sheet1" xfId="26807"/>
    <cellStyle name="Input 2 6 5 2 3" xfId="26808"/>
    <cellStyle name="Input 2 6 5 2_Sheet1" xfId="26809"/>
    <cellStyle name="Input 2 6 5 3" xfId="26810"/>
    <cellStyle name="Input 2 6 5 3 2" xfId="26811"/>
    <cellStyle name="Input 2 6 5 3 2 2" xfId="26812"/>
    <cellStyle name="Input 2 6 5 3 2_Sheet1" xfId="26813"/>
    <cellStyle name="Input 2 6 5 3 3" xfId="26814"/>
    <cellStyle name="Input 2 6 5 3_Sheet1" xfId="26815"/>
    <cellStyle name="Input 2 6 5 4" xfId="26816"/>
    <cellStyle name="Input 2 6 5 4 2" xfId="26817"/>
    <cellStyle name="Input 2 6 5 4 2 2" xfId="26818"/>
    <cellStyle name="Input 2 6 5 4 2_Sheet1" xfId="26819"/>
    <cellStyle name="Input 2 6 5 4 3" xfId="26820"/>
    <cellStyle name="Input 2 6 5 4_Sheet1" xfId="26821"/>
    <cellStyle name="Input 2 6 5 5" xfId="26822"/>
    <cellStyle name="Input 2 6 5_Sheet1" xfId="26823"/>
    <cellStyle name="Input 2 6 6" xfId="26824"/>
    <cellStyle name="Input 2 6 6 2" xfId="26825"/>
    <cellStyle name="Input 2 6 6 2 2" xfId="26826"/>
    <cellStyle name="Input 2 6 6 2 2 2" xfId="26827"/>
    <cellStyle name="Input 2 6 6 2 2_Sheet1" xfId="26828"/>
    <cellStyle name="Input 2 6 6 2 3" xfId="26829"/>
    <cellStyle name="Input 2 6 6 2_Sheet1" xfId="26830"/>
    <cellStyle name="Input 2 6 6 3" xfId="26831"/>
    <cellStyle name="Input 2 6 6 3 2" xfId="26832"/>
    <cellStyle name="Input 2 6 6 3 2 2" xfId="26833"/>
    <cellStyle name="Input 2 6 6 3 2_Sheet1" xfId="26834"/>
    <cellStyle name="Input 2 6 6 3 3" xfId="26835"/>
    <cellStyle name="Input 2 6 6 3_Sheet1" xfId="26836"/>
    <cellStyle name="Input 2 6 6 4" xfId="26837"/>
    <cellStyle name="Input 2 6 6 4 2" xfId="26838"/>
    <cellStyle name="Input 2 6 6 4 2 2" xfId="26839"/>
    <cellStyle name="Input 2 6 6 4 2_Sheet1" xfId="26840"/>
    <cellStyle name="Input 2 6 6 4 3" xfId="26841"/>
    <cellStyle name="Input 2 6 6 4_Sheet1" xfId="26842"/>
    <cellStyle name="Input 2 6 6 5" xfId="26843"/>
    <cellStyle name="Input 2 6 6_Sheet1" xfId="26844"/>
    <cellStyle name="Input 2 6 7" xfId="26845"/>
    <cellStyle name="Input 2 6 7 2" xfId="26846"/>
    <cellStyle name="Input 2 6 7 2 2" xfId="26847"/>
    <cellStyle name="Input 2 6 7 2 2 2" xfId="26848"/>
    <cellStyle name="Input 2 6 7 2 2_Sheet1" xfId="26849"/>
    <cellStyle name="Input 2 6 7 2 3" xfId="26850"/>
    <cellStyle name="Input 2 6 7 2_Sheet1" xfId="26851"/>
    <cellStyle name="Input 2 6 7 3" xfId="26852"/>
    <cellStyle name="Input 2 6 7 3 2" xfId="26853"/>
    <cellStyle name="Input 2 6 7 3 2 2" xfId="26854"/>
    <cellStyle name="Input 2 6 7 3 2_Sheet1" xfId="26855"/>
    <cellStyle name="Input 2 6 7 3 3" xfId="26856"/>
    <cellStyle name="Input 2 6 7 3_Sheet1" xfId="26857"/>
    <cellStyle name="Input 2 6 7 4" xfId="26858"/>
    <cellStyle name="Input 2 6 7 4 2" xfId="26859"/>
    <cellStyle name="Input 2 6 7 4 2 2" xfId="26860"/>
    <cellStyle name="Input 2 6 7 4 2_Sheet1" xfId="26861"/>
    <cellStyle name="Input 2 6 7 4 3" xfId="26862"/>
    <cellStyle name="Input 2 6 7 4_Sheet1" xfId="26863"/>
    <cellStyle name="Input 2 6 7 5" xfId="26864"/>
    <cellStyle name="Input 2 6 7_Sheet1" xfId="26865"/>
    <cellStyle name="Input 2 6 8" xfId="26866"/>
    <cellStyle name="Input 2 6 8 2" xfId="26867"/>
    <cellStyle name="Input 2 6 8 2 2" xfId="26868"/>
    <cellStyle name="Input 2 6 8 2 2 2" xfId="26869"/>
    <cellStyle name="Input 2 6 8 2 2_Sheet1" xfId="26870"/>
    <cellStyle name="Input 2 6 8 2 3" xfId="26871"/>
    <cellStyle name="Input 2 6 8 2_Sheet1" xfId="26872"/>
    <cellStyle name="Input 2 6 8 3" xfId="26873"/>
    <cellStyle name="Input 2 6 8 3 2" xfId="26874"/>
    <cellStyle name="Input 2 6 8 3 2 2" xfId="26875"/>
    <cellStyle name="Input 2 6 8 3 2_Sheet1" xfId="26876"/>
    <cellStyle name="Input 2 6 8 3 3" xfId="26877"/>
    <cellStyle name="Input 2 6 8 3_Sheet1" xfId="26878"/>
    <cellStyle name="Input 2 6 8 4" xfId="26879"/>
    <cellStyle name="Input 2 6 8 4 2" xfId="26880"/>
    <cellStyle name="Input 2 6 8 4 2 2" xfId="26881"/>
    <cellStyle name="Input 2 6 8 4 2_Sheet1" xfId="26882"/>
    <cellStyle name="Input 2 6 8 4 3" xfId="26883"/>
    <cellStyle name="Input 2 6 8 4_Sheet1" xfId="26884"/>
    <cellStyle name="Input 2 6 8 5" xfId="26885"/>
    <cellStyle name="Input 2 6 8_Sheet1" xfId="26886"/>
    <cellStyle name="Input 2 6 9" xfId="26887"/>
    <cellStyle name="Input 2 6 9 2" xfId="26888"/>
    <cellStyle name="Input 2 6 9 2 2" xfId="26889"/>
    <cellStyle name="Input 2 6 9 2 2 2" xfId="26890"/>
    <cellStyle name="Input 2 6 9 2 2_Sheet1" xfId="26891"/>
    <cellStyle name="Input 2 6 9 2 3" xfId="26892"/>
    <cellStyle name="Input 2 6 9 2_Sheet1" xfId="26893"/>
    <cellStyle name="Input 2 6 9 3" xfId="26894"/>
    <cellStyle name="Input 2 6 9 3 2" xfId="26895"/>
    <cellStyle name="Input 2 6 9 3 2 2" xfId="26896"/>
    <cellStyle name="Input 2 6 9 3 2_Sheet1" xfId="26897"/>
    <cellStyle name="Input 2 6 9 3 3" xfId="26898"/>
    <cellStyle name="Input 2 6 9 3_Sheet1" xfId="26899"/>
    <cellStyle name="Input 2 6 9 4" xfId="26900"/>
    <cellStyle name="Input 2 6 9 4 2" xfId="26901"/>
    <cellStyle name="Input 2 6 9 4 2 2" xfId="26902"/>
    <cellStyle name="Input 2 6 9 4 2_Sheet1" xfId="26903"/>
    <cellStyle name="Input 2 6 9 4 3" xfId="26904"/>
    <cellStyle name="Input 2 6 9 4_Sheet1" xfId="26905"/>
    <cellStyle name="Input 2 6 9 5" xfId="26906"/>
    <cellStyle name="Input 2 6 9_Sheet1" xfId="26907"/>
    <cellStyle name="Input 2 6_Sheet1" xfId="26908"/>
    <cellStyle name="Input 2 7" xfId="26909"/>
    <cellStyle name="Input 2 7 2" xfId="26910"/>
    <cellStyle name="Input 2 7 2 2" xfId="26911"/>
    <cellStyle name="Input 2 7 2 2 2" xfId="26912"/>
    <cellStyle name="Input 2 7 2 2_Sheet1" xfId="26913"/>
    <cellStyle name="Input 2 7 2 3" xfId="26914"/>
    <cellStyle name="Input 2 7 2_Sheet1" xfId="26915"/>
    <cellStyle name="Input 2 7 3" xfId="26916"/>
    <cellStyle name="Input 2 7 3 2" xfId="26917"/>
    <cellStyle name="Input 2 7 3 2 2" xfId="26918"/>
    <cellStyle name="Input 2 7 3 2_Sheet1" xfId="26919"/>
    <cellStyle name="Input 2 7 3 3" xfId="26920"/>
    <cellStyle name="Input 2 7 3_Sheet1" xfId="26921"/>
    <cellStyle name="Input 2 7 4" xfId="26922"/>
    <cellStyle name="Input 2 7 4 2" xfId="26923"/>
    <cellStyle name="Input 2 7 4 2 2" xfId="26924"/>
    <cellStyle name="Input 2 7 4 2_Sheet1" xfId="26925"/>
    <cellStyle name="Input 2 7 4 3" xfId="26926"/>
    <cellStyle name="Input 2 7 4_Sheet1" xfId="26927"/>
    <cellStyle name="Input 2 7 5" xfId="26928"/>
    <cellStyle name="Input 2 7_Sheet1" xfId="26929"/>
    <cellStyle name="Input 2 8" xfId="26930"/>
    <cellStyle name="Input 2 8 2" xfId="26931"/>
    <cellStyle name="Input 2 8 2 2" xfId="26932"/>
    <cellStyle name="Input 2 8 2 2 2" xfId="26933"/>
    <cellStyle name="Input 2 8 2 2_Sheet1" xfId="26934"/>
    <cellStyle name="Input 2 8 2 3" xfId="26935"/>
    <cellStyle name="Input 2 8 2_Sheet1" xfId="26936"/>
    <cellStyle name="Input 2 8 3" xfId="26937"/>
    <cellStyle name="Input 2 8 3 2" xfId="26938"/>
    <cellStyle name="Input 2 8 3 2 2" xfId="26939"/>
    <cellStyle name="Input 2 8 3 2_Sheet1" xfId="26940"/>
    <cellStyle name="Input 2 8 3 3" xfId="26941"/>
    <cellStyle name="Input 2 8 3_Sheet1" xfId="26942"/>
    <cellStyle name="Input 2 8 4" xfId="26943"/>
    <cellStyle name="Input 2 8 4 2" xfId="26944"/>
    <cellStyle name="Input 2 8 4 2 2" xfId="26945"/>
    <cellStyle name="Input 2 8 4 2_Sheet1" xfId="26946"/>
    <cellStyle name="Input 2 8 4 3" xfId="26947"/>
    <cellStyle name="Input 2 8 4_Sheet1" xfId="26948"/>
    <cellStyle name="Input 2 8 5" xfId="26949"/>
    <cellStyle name="Input 2 8_Sheet1" xfId="26950"/>
    <cellStyle name="Input 2 9" xfId="26951"/>
    <cellStyle name="Input 2 9 2" xfId="26952"/>
    <cellStyle name="Input 2 9 2 2" xfId="26953"/>
    <cellStyle name="Input 2 9 2 2 2" xfId="26954"/>
    <cellStyle name="Input 2 9 2 2_Sheet1" xfId="26955"/>
    <cellStyle name="Input 2 9 2 3" xfId="26956"/>
    <cellStyle name="Input 2 9 2_Sheet1" xfId="26957"/>
    <cellStyle name="Input 2 9 3" xfId="26958"/>
    <cellStyle name="Input 2 9 3 2" xfId="26959"/>
    <cellStyle name="Input 2 9 3 2 2" xfId="26960"/>
    <cellStyle name="Input 2 9 3 2_Sheet1" xfId="26961"/>
    <cellStyle name="Input 2 9 3 3" xfId="26962"/>
    <cellStyle name="Input 2 9 3_Sheet1" xfId="26963"/>
    <cellStyle name="Input 2 9 4" xfId="26964"/>
    <cellStyle name="Input 2 9 4 2" xfId="26965"/>
    <cellStyle name="Input 2 9 4 2 2" xfId="26966"/>
    <cellStyle name="Input 2 9 4 2_Sheet1" xfId="26967"/>
    <cellStyle name="Input 2 9 4 3" xfId="26968"/>
    <cellStyle name="Input 2 9 4_Sheet1" xfId="26969"/>
    <cellStyle name="Input 2 9 5" xfId="26970"/>
    <cellStyle name="Input 2 9_Sheet1" xfId="26971"/>
    <cellStyle name="Input 2_Laporan Aspal Per Bulan 2009" xfId="26972"/>
    <cellStyle name="Input 3" xfId="26973"/>
    <cellStyle name="Input 3 2" xfId="26974"/>
    <cellStyle name="Input 3 2 2" xfId="26975"/>
    <cellStyle name="Input 3 2 2 2" xfId="26976"/>
    <cellStyle name="Input 3 2 2 2 2" xfId="26977"/>
    <cellStyle name="Input 3 2 2 2_Sheet1" xfId="26978"/>
    <cellStyle name="Input 3 2 2 3" xfId="26979"/>
    <cellStyle name="Input 3 2 2_Sheet1" xfId="26980"/>
    <cellStyle name="Input 3 2 3" xfId="26981"/>
    <cellStyle name="Input 3 2 3 2" xfId="26982"/>
    <cellStyle name="Input 3 2 3 2 2" xfId="26983"/>
    <cellStyle name="Input 3 2 3 2_Sheet1" xfId="26984"/>
    <cellStyle name="Input 3 2 3 3" xfId="26985"/>
    <cellStyle name="Input 3 2 3_Sheet1" xfId="26986"/>
    <cellStyle name="Input 3 2 4" xfId="26987"/>
    <cellStyle name="Input 3 2 4 2" xfId="26988"/>
    <cellStyle name="Input 3 2 4 2 2" xfId="26989"/>
    <cellStyle name="Input 3 2 4 2_Sheet1" xfId="26990"/>
    <cellStyle name="Input 3 2 4 3" xfId="26991"/>
    <cellStyle name="Input 3 2 4_Sheet1" xfId="26992"/>
    <cellStyle name="Input 3 2 5" xfId="26993"/>
    <cellStyle name="Input 3 2_Sheet1" xfId="26994"/>
    <cellStyle name="Input 3 3" xfId="26995"/>
    <cellStyle name="Input 3 3 2" xfId="26996"/>
    <cellStyle name="Input 3 3 2 2" xfId="26997"/>
    <cellStyle name="Input 3 3 2 2 2" xfId="26998"/>
    <cellStyle name="Input 3 3 2 2_Sheet1" xfId="26999"/>
    <cellStyle name="Input 3 3 2 3" xfId="27000"/>
    <cellStyle name="Input 3 3 2_Sheet1" xfId="27001"/>
    <cellStyle name="Input 3 3 3" xfId="27002"/>
    <cellStyle name="Input 3 3 3 2" xfId="27003"/>
    <cellStyle name="Input 3 3 3 2 2" xfId="27004"/>
    <cellStyle name="Input 3 3 3 2_Sheet1" xfId="27005"/>
    <cellStyle name="Input 3 3 3 3" xfId="27006"/>
    <cellStyle name="Input 3 3 3_Sheet1" xfId="27007"/>
    <cellStyle name="Input 3 3 4" xfId="27008"/>
    <cellStyle name="Input 3 3 4 2" xfId="27009"/>
    <cellStyle name="Input 3 3 4 2 2" xfId="27010"/>
    <cellStyle name="Input 3 3 4 2_Sheet1" xfId="27011"/>
    <cellStyle name="Input 3 3 4 3" xfId="27012"/>
    <cellStyle name="Input 3 3 4_Sheet1" xfId="27013"/>
    <cellStyle name="Input 3 3 5" xfId="27014"/>
    <cellStyle name="Input 3 3_Sheet1" xfId="27015"/>
    <cellStyle name="Input 3 4" xfId="27016"/>
    <cellStyle name="Input 3 4 2" xfId="27017"/>
    <cellStyle name="Input 3 4 2 2" xfId="27018"/>
    <cellStyle name="Input 3 4 2 2 2" xfId="27019"/>
    <cellStyle name="Input 3 4 2 2_Sheet1" xfId="27020"/>
    <cellStyle name="Input 3 4 2 3" xfId="27021"/>
    <cellStyle name="Input 3 4 2_Sheet1" xfId="27022"/>
    <cellStyle name="Input 3 4 3" xfId="27023"/>
    <cellStyle name="Input 3 4 3 2" xfId="27024"/>
    <cellStyle name="Input 3 4 3 2 2" xfId="27025"/>
    <cellStyle name="Input 3 4 3 2_Sheet1" xfId="27026"/>
    <cellStyle name="Input 3 4 3 3" xfId="27027"/>
    <cellStyle name="Input 3 4 3_Sheet1" xfId="27028"/>
    <cellStyle name="Input 3 4 4" xfId="27029"/>
    <cellStyle name="Input 3 4 4 2" xfId="27030"/>
    <cellStyle name="Input 3 4 4 2 2" xfId="27031"/>
    <cellStyle name="Input 3 4 4 2_Sheet1" xfId="27032"/>
    <cellStyle name="Input 3 4 4 3" xfId="27033"/>
    <cellStyle name="Input 3 4 4_Sheet1" xfId="27034"/>
    <cellStyle name="Input 3 4 5" xfId="27035"/>
    <cellStyle name="Input 3 4_Sheet1" xfId="27036"/>
    <cellStyle name="Input 3 5" xfId="27037"/>
    <cellStyle name="Input 3 5 2" xfId="27038"/>
    <cellStyle name="Input 3 5 2 2" xfId="27039"/>
    <cellStyle name="Input 3 5 2 2 2" xfId="27040"/>
    <cellStyle name="Input 3 5 2 2_Sheet1" xfId="27041"/>
    <cellStyle name="Input 3 5 2 3" xfId="27042"/>
    <cellStyle name="Input 3 5 2_Sheet1" xfId="27043"/>
    <cellStyle name="Input 3 5 3" xfId="27044"/>
    <cellStyle name="Input 3 5 3 2" xfId="27045"/>
    <cellStyle name="Input 3 5 3 2 2" xfId="27046"/>
    <cellStyle name="Input 3 5 3 2_Sheet1" xfId="27047"/>
    <cellStyle name="Input 3 5 3 3" xfId="27048"/>
    <cellStyle name="Input 3 5 3_Sheet1" xfId="27049"/>
    <cellStyle name="Input 3 5 4" xfId="27050"/>
    <cellStyle name="Input 3 5 4 2" xfId="27051"/>
    <cellStyle name="Input 3 5 4 2 2" xfId="27052"/>
    <cellStyle name="Input 3 5 4 2_Sheet1" xfId="27053"/>
    <cellStyle name="Input 3 5 4 3" xfId="27054"/>
    <cellStyle name="Input 3 5 4_Sheet1" xfId="27055"/>
    <cellStyle name="Input 3 5 5" xfId="27056"/>
    <cellStyle name="Input 3 5_Sheet1" xfId="27057"/>
    <cellStyle name="Input 3 6" xfId="27058"/>
    <cellStyle name="Input 3 6 2" xfId="27059"/>
    <cellStyle name="Input 3 6 2 2" xfId="27060"/>
    <cellStyle name="Input 3 6 2_Sheet1" xfId="27061"/>
    <cellStyle name="Input 3 6 3" xfId="27062"/>
    <cellStyle name="Input 3 6_Sheet1" xfId="27063"/>
    <cellStyle name="Input 3 7" xfId="27064"/>
    <cellStyle name="Input 3 7 2" xfId="27065"/>
    <cellStyle name="Input 3 7 2 2" xfId="27066"/>
    <cellStyle name="Input 3 7 2_Sheet1" xfId="27067"/>
    <cellStyle name="Input 3 7 3" xfId="27068"/>
    <cellStyle name="Input 3 7_Sheet1" xfId="27069"/>
    <cellStyle name="Input 3 8" xfId="27070"/>
    <cellStyle name="Input 3 8 2" xfId="27071"/>
    <cellStyle name="Input 3 8 2 2" xfId="27072"/>
    <cellStyle name="Input 3 8 2_Sheet1" xfId="27073"/>
    <cellStyle name="Input 3 8 3" xfId="27074"/>
    <cellStyle name="Input 3 8_Sheet1" xfId="27075"/>
    <cellStyle name="Input 3 9" xfId="27076"/>
    <cellStyle name="Input 3_Laporan Aspal Per Bulan 2009" xfId="27077"/>
    <cellStyle name="Input 4" xfId="27078"/>
    <cellStyle name="Input 4 2" xfId="27079"/>
    <cellStyle name="Input 4 2 2" xfId="27080"/>
    <cellStyle name="Input 4 2 2 2" xfId="27081"/>
    <cellStyle name="Input 4 2 2 2 2" xfId="27082"/>
    <cellStyle name="Input 4 2 2 2_Sheet1" xfId="27083"/>
    <cellStyle name="Input 4 2 2 3" xfId="27084"/>
    <cellStyle name="Input 4 2 2_Sheet1" xfId="27085"/>
    <cellStyle name="Input 4 2 3" xfId="27086"/>
    <cellStyle name="Input 4 2 3 2" xfId="27087"/>
    <cellStyle name="Input 4 2 3 2 2" xfId="27088"/>
    <cellStyle name="Input 4 2 3 2_Sheet1" xfId="27089"/>
    <cellStyle name="Input 4 2 3 3" xfId="27090"/>
    <cellStyle name="Input 4 2 3_Sheet1" xfId="27091"/>
    <cellStyle name="Input 4 2 4" xfId="27092"/>
    <cellStyle name="Input 4 2 4 2" xfId="27093"/>
    <cellStyle name="Input 4 2 4 2 2" xfId="27094"/>
    <cellStyle name="Input 4 2 4 2_Sheet1" xfId="27095"/>
    <cellStyle name="Input 4 2 4 3" xfId="27096"/>
    <cellStyle name="Input 4 2 4_Sheet1" xfId="27097"/>
    <cellStyle name="Input 4 2 5" xfId="27098"/>
    <cellStyle name="Input 4 2_Sheet1" xfId="27099"/>
    <cellStyle name="Input 4 3" xfId="27100"/>
    <cellStyle name="Input 4 3 2" xfId="27101"/>
    <cellStyle name="Input 4 3 2 2" xfId="27102"/>
    <cellStyle name="Input 4 3 2 2 2" xfId="27103"/>
    <cellStyle name="Input 4 3 2 2_Sheet1" xfId="27104"/>
    <cellStyle name="Input 4 3 2 3" xfId="27105"/>
    <cellStyle name="Input 4 3 2_Sheet1" xfId="27106"/>
    <cellStyle name="Input 4 3 3" xfId="27107"/>
    <cellStyle name="Input 4 3 3 2" xfId="27108"/>
    <cellStyle name="Input 4 3 3 2 2" xfId="27109"/>
    <cellStyle name="Input 4 3 3 2_Sheet1" xfId="27110"/>
    <cellStyle name="Input 4 3 3 3" xfId="27111"/>
    <cellStyle name="Input 4 3 3_Sheet1" xfId="27112"/>
    <cellStyle name="Input 4 3 4" xfId="27113"/>
    <cellStyle name="Input 4 3 4 2" xfId="27114"/>
    <cellStyle name="Input 4 3 4 2 2" xfId="27115"/>
    <cellStyle name="Input 4 3 4 2_Sheet1" xfId="27116"/>
    <cellStyle name="Input 4 3 4 3" xfId="27117"/>
    <cellStyle name="Input 4 3 4_Sheet1" xfId="27118"/>
    <cellStyle name="Input 4 3 5" xfId="27119"/>
    <cellStyle name="Input 4 3_Sheet1" xfId="27120"/>
    <cellStyle name="Input 4 4" xfId="27121"/>
    <cellStyle name="Input 4 4 2" xfId="27122"/>
    <cellStyle name="Input 4 4 2 2" xfId="27123"/>
    <cellStyle name="Input 4 4 2 2 2" xfId="27124"/>
    <cellStyle name="Input 4 4 2 2_Sheet1" xfId="27125"/>
    <cellStyle name="Input 4 4 2 3" xfId="27126"/>
    <cellStyle name="Input 4 4 2_Sheet1" xfId="27127"/>
    <cellStyle name="Input 4 4 3" xfId="27128"/>
    <cellStyle name="Input 4 4 3 2" xfId="27129"/>
    <cellStyle name="Input 4 4 3 2 2" xfId="27130"/>
    <cellStyle name="Input 4 4 3 2_Sheet1" xfId="27131"/>
    <cellStyle name="Input 4 4 3 3" xfId="27132"/>
    <cellStyle name="Input 4 4 3_Sheet1" xfId="27133"/>
    <cellStyle name="Input 4 4 4" xfId="27134"/>
    <cellStyle name="Input 4 4 4 2" xfId="27135"/>
    <cellStyle name="Input 4 4 4 2 2" xfId="27136"/>
    <cellStyle name="Input 4 4 4 2_Sheet1" xfId="27137"/>
    <cellStyle name="Input 4 4 4 3" xfId="27138"/>
    <cellStyle name="Input 4 4 4_Sheet1" xfId="27139"/>
    <cellStyle name="Input 4 4 5" xfId="27140"/>
    <cellStyle name="Input 4 4_Sheet1" xfId="27141"/>
    <cellStyle name="Input 4 5" xfId="27142"/>
    <cellStyle name="Input 4 5 2" xfId="27143"/>
    <cellStyle name="Input 4 5 2 2" xfId="27144"/>
    <cellStyle name="Input 4 5 2_Sheet1" xfId="27145"/>
    <cellStyle name="Input 4 5 3" xfId="27146"/>
    <cellStyle name="Input 4 5_Sheet1" xfId="27147"/>
    <cellStyle name="Input 4 6" xfId="27148"/>
    <cellStyle name="Input 4 6 2" xfId="27149"/>
    <cellStyle name="Input 4 6 2 2" xfId="27150"/>
    <cellStyle name="Input 4 6 2_Sheet1" xfId="27151"/>
    <cellStyle name="Input 4 6 3" xfId="27152"/>
    <cellStyle name="Input 4 6_Sheet1" xfId="27153"/>
    <cellStyle name="Input 4 7" xfId="27154"/>
    <cellStyle name="Input 4 7 2" xfId="27155"/>
    <cellStyle name="Input 4 7 2 2" xfId="27156"/>
    <cellStyle name="Input 4 7 2_Sheet1" xfId="27157"/>
    <cellStyle name="Input 4 7 3" xfId="27158"/>
    <cellStyle name="Input 4 7_Sheet1" xfId="27159"/>
    <cellStyle name="Input 4 8" xfId="27160"/>
    <cellStyle name="Input 4_Laporan Aspal Per Bulan 2009" xfId="27161"/>
    <cellStyle name="Input 5" xfId="27162"/>
    <cellStyle name="Input 5 2" xfId="27163"/>
    <cellStyle name="Input 5 2 2" xfId="27164"/>
    <cellStyle name="Input 5 2 2 2" xfId="27165"/>
    <cellStyle name="Input 5 2 2 2 2" xfId="27166"/>
    <cellStyle name="Input 5 2 2 2_Sheet1" xfId="27167"/>
    <cellStyle name="Input 5 2 2 3" xfId="27168"/>
    <cellStyle name="Input 5 2 2_Sheet1" xfId="27169"/>
    <cellStyle name="Input 5 2 3" xfId="27170"/>
    <cellStyle name="Input 5 2 3 2" xfId="27171"/>
    <cellStyle name="Input 5 2 3 2 2" xfId="27172"/>
    <cellStyle name="Input 5 2 3 2_Sheet1" xfId="27173"/>
    <cellStyle name="Input 5 2 3 3" xfId="27174"/>
    <cellStyle name="Input 5 2 3_Sheet1" xfId="27175"/>
    <cellStyle name="Input 5 2 4" xfId="27176"/>
    <cellStyle name="Input 5 2 4 2" xfId="27177"/>
    <cellStyle name="Input 5 2 4 2 2" xfId="27178"/>
    <cellStyle name="Input 5 2 4 2_Sheet1" xfId="27179"/>
    <cellStyle name="Input 5 2 4 3" xfId="27180"/>
    <cellStyle name="Input 5 2 4_Sheet1" xfId="27181"/>
    <cellStyle name="Input 5 2 5" xfId="27182"/>
    <cellStyle name="Input 5 2_Sheet1" xfId="27183"/>
    <cellStyle name="Input 5 3" xfId="27184"/>
    <cellStyle name="Input 5 3 2" xfId="27185"/>
    <cellStyle name="Input 5 3 2 2" xfId="27186"/>
    <cellStyle name="Input 5 3 2 2 2" xfId="27187"/>
    <cellStyle name="Input 5 3 2 2_Sheet1" xfId="27188"/>
    <cellStyle name="Input 5 3 2 3" xfId="27189"/>
    <cellStyle name="Input 5 3 2_Sheet1" xfId="27190"/>
    <cellStyle name="Input 5 3 3" xfId="27191"/>
    <cellStyle name="Input 5 3 3 2" xfId="27192"/>
    <cellStyle name="Input 5 3 3 2 2" xfId="27193"/>
    <cellStyle name="Input 5 3 3 2_Sheet1" xfId="27194"/>
    <cellStyle name="Input 5 3 3 3" xfId="27195"/>
    <cellStyle name="Input 5 3 3_Sheet1" xfId="27196"/>
    <cellStyle name="Input 5 3 4" xfId="27197"/>
    <cellStyle name="Input 5 3 4 2" xfId="27198"/>
    <cellStyle name="Input 5 3 4 2 2" xfId="27199"/>
    <cellStyle name="Input 5 3 4 2_Sheet1" xfId="27200"/>
    <cellStyle name="Input 5 3 4 3" xfId="27201"/>
    <cellStyle name="Input 5 3 4_Sheet1" xfId="27202"/>
    <cellStyle name="Input 5 3 5" xfId="27203"/>
    <cellStyle name="Input 5 3_Sheet1" xfId="27204"/>
    <cellStyle name="Input 5 4" xfId="27205"/>
    <cellStyle name="Input 5 4 2" xfId="27206"/>
    <cellStyle name="Input 5 4 2 2" xfId="27207"/>
    <cellStyle name="Input 5 4 2_Sheet1" xfId="27208"/>
    <cellStyle name="Input 5 4 3" xfId="27209"/>
    <cellStyle name="Input 5 4_Sheet1" xfId="27210"/>
    <cellStyle name="Input 5 5" xfId="27211"/>
    <cellStyle name="Input 5 5 2" xfId="27212"/>
    <cellStyle name="Input 5 5 2 2" xfId="27213"/>
    <cellStyle name="Input 5 5 2_Sheet1" xfId="27214"/>
    <cellStyle name="Input 5 5 3" xfId="27215"/>
    <cellStyle name="Input 5 5_Sheet1" xfId="27216"/>
    <cellStyle name="Input 5 6" xfId="27217"/>
    <cellStyle name="Input 5 6 2" xfId="27218"/>
    <cellStyle name="Input 5 6 2 2" xfId="27219"/>
    <cellStyle name="Input 5 6 2_Sheet1" xfId="27220"/>
    <cellStyle name="Input 5 6 3" xfId="27221"/>
    <cellStyle name="Input 5 6_Sheet1" xfId="27222"/>
    <cellStyle name="Input 5 7" xfId="27223"/>
    <cellStyle name="Input 5_Sheet1" xfId="27224"/>
    <cellStyle name="Input 6" xfId="27225"/>
    <cellStyle name="Input 6 2" xfId="27226"/>
    <cellStyle name="Input 6 2 2" xfId="27227"/>
    <cellStyle name="Input 6 2 2 2" xfId="27228"/>
    <cellStyle name="Input 6 2 2 2 2" xfId="27229"/>
    <cellStyle name="Input 6 2 2 2_Sheet1" xfId="27230"/>
    <cellStyle name="Input 6 2 2 3" xfId="27231"/>
    <cellStyle name="Input 6 2 2_Sheet1" xfId="27232"/>
    <cellStyle name="Input 6 2 3" xfId="27233"/>
    <cellStyle name="Input 6 2 3 2" xfId="27234"/>
    <cellStyle name="Input 6 2 3 2 2" xfId="27235"/>
    <cellStyle name="Input 6 2 3 2_Sheet1" xfId="27236"/>
    <cellStyle name="Input 6 2 3 3" xfId="27237"/>
    <cellStyle name="Input 6 2 3_Sheet1" xfId="27238"/>
    <cellStyle name="Input 6 2 4" xfId="27239"/>
    <cellStyle name="Input 6 2 4 2" xfId="27240"/>
    <cellStyle name="Input 6 2 4 2 2" xfId="27241"/>
    <cellStyle name="Input 6 2 4 2_Sheet1" xfId="27242"/>
    <cellStyle name="Input 6 2 4 3" xfId="27243"/>
    <cellStyle name="Input 6 2 4_Sheet1" xfId="27244"/>
    <cellStyle name="Input 6 2 5" xfId="27245"/>
    <cellStyle name="Input 6 2_Sheet1" xfId="27246"/>
    <cellStyle name="Input 6 3" xfId="27247"/>
    <cellStyle name="Input 6 3 2" xfId="27248"/>
    <cellStyle name="Input 6 3 2 2" xfId="27249"/>
    <cellStyle name="Input 6 3 2_Sheet1" xfId="27250"/>
    <cellStyle name="Input 6 3 3" xfId="27251"/>
    <cellStyle name="Input 6 3_Sheet1" xfId="27252"/>
    <cellStyle name="Input 6 4" xfId="27253"/>
    <cellStyle name="Input 6 4 2" xfId="27254"/>
    <cellStyle name="Input 6 4 2 2" xfId="27255"/>
    <cellStyle name="Input 6 4 2_Sheet1" xfId="27256"/>
    <cellStyle name="Input 6 4 3" xfId="27257"/>
    <cellStyle name="Input 6 4_Sheet1" xfId="27258"/>
    <cellStyle name="Input 6 5" xfId="27259"/>
    <cellStyle name="Input 6 5 2" xfId="27260"/>
    <cellStyle name="Input 6 5 2 2" xfId="27261"/>
    <cellStyle name="Input 6 5 2_Sheet1" xfId="27262"/>
    <cellStyle name="Input 6 5 3" xfId="27263"/>
    <cellStyle name="Input 6 5_Sheet1" xfId="27264"/>
    <cellStyle name="Input 6 6" xfId="27265"/>
    <cellStyle name="Input 6_Sheet1" xfId="27266"/>
    <cellStyle name="Input 7" xfId="27267"/>
    <cellStyle name="Input 7 2" xfId="27268"/>
    <cellStyle name="Input 7 2 2" xfId="27269"/>
    <cellStyle name="Input 7 2 2 2" xfId="27270"/>
    <cellStyle name="Input 7 2 2_Sheet1" xfId="27271"/>
    <cellStyle name="Input 7 2 3" xfId="27272"/>
    <cellStyle name="Input 7 2_Sheet1" xfId="27273"/>
    <cellStyle name="Input 7 3" xfId="27274"/>
    <cellStyle name="Input 7 3 2" xfId="27275"/>
    <cellStyle name="Input 7 3 2 2" xfId="27276"/>
    <cellStyle name="Input 7 3 2_Sheet1" xfId="27277"/>
    <cellStyle name="Input 7 3 3" xfId="27278"/>
    <cellStyle name="Input 7 3_Sheet1" xfId="27279"/>
    <cellStyle name="Input 7 4" xfId="27280"/>
    <cellStyle name="Input 7 4 2" xfId="27281"/>
    <cellStyle name="Input 7 4 2 2" xfId="27282"/>
    <cellStyle name="Input 7 4 2_Sheet1" xfId="27283"/>
    <cellStyle name="Input 7 4 3" xfId="27284"/>
    <cellStyle name="Input 7 4_Sheet1" xfId="27285"/>
    <cellStyle name="Input 7 5" xfId="27286"/>
    <cellStyle name="Input 7_Sheet1" xfId="27287"/>
    <cellStyle name="Input 8" xfId="27288"/>
    <cellStyle name="Input 8 2" xfId="27289"/>
    <cellStyle name="Input 8 2 2" xfId="27290"/>
    <cellStyle name="Input 8 2 2 2" xfId="27291"/>
    <cellStyle name="Input 8 2 2_Sheet1" xfId="27292"/>
    <cellStyle name="Input 8 2 3" xfId="27293"/>
    <cellStyle name="Input 8 2_Sheet1" xfId="27294"/>
    <cellStyle name="Input 8 3" xfId="27295"/>
    <cellStyle name="Input 8 3 2" xfId="27296"/>
    <cellStyle name="Input 8 3 2 2" xfId="27297"/>
    <cellStyle name="Input 8 3 2_Sheet1" xfId="27298"/>
    <cellStyle name="Input 8 3 3" xfId="27299"/>
    <cellStyle name="Input 8 3_Sheet1" xfId="27300"/>
    <cellStyle name="Input 8 4" xfId="27301"/>
    <cellStyle name="Input 8 4 2" xfId="27302"/>
    <cellStyle name="Input 8 4 2 2" xfId="27303"/>
    <cellStyle name="Input 8 4 2_Sheet1" xfId="27304"/>
    <cellStyle name="Input 8 4 3" xfId="27305"/>
    <cellStyle name="Input 8 4_Sheet1" xfId="27306"/>
    <cellStyle name="Input 8 5" xfId="27307"/>
    <cellStyle name="Input 8_Sheet1" xfId="27308"/>
    <cellStyle name="Input Currency" xfId="27309"/>
    <cellStyle name="Input Date" xfId="27310"/>
    <cellStyle name="Input Fixed [0]" xfId="27311"/>
    <cellStyle name="Input Normal" xfId="27312"/>
    <cellStyle name="Input Percent" xfId="27313"/>
    <cellStyle name="Input Percent [2]" xfId="27314"/>
    <cellStyle name="Input Percent_Book1" xfId="27315"/>
    <cellStyle name="Input Titles" xfId="27316"/>
    <cellStyle name="ip0 -InpPercent" xfId="27317"/>
    <cellStyle name="ip1 -InpPercent" xfId="27318"/>
    <cellStyle name="ip2 -InpPercent" xfId="27319"/>
    <cellStyle name="ip3 -InpPercent" xfId="27320"/>
    <cellStyle name="ir0 -InpCurr" xfId="27321"/>
    <cellStyle name="ir1 -InpCurr" xfId="27322"/>
    <cellStyle name="ir2 -InpCurr" xfId="27323"/>
    <cellStyle name="ir3 -InpCurr" xfId="27324"/>
    <cellStyle name="ir4 -InpCurr" xfId="27325"/>
    <cellStyle name="is0 -InpSideText" xfId="27326"/>
    <cellStyle name="is1 -InpSideText" xfId="27327"/>
    <cellStyle name="is2 -InpSideText" xfId="27328"/>
    <cellStyle name="is3 -InpSideText" xfId="27329"/>
    <cellStyle name="is4 -InpSideText" xfId="27330"/>
    <cellStyle name="itn -InpTopTextNoWrap" xfId="27331"/>
    <cellStyle name="itw -InpTopTextWrap" xfId="27332"/>
    <cellStyle name="Judul" xfId="27333"/>
    <cellStyle name="JWH Preferred - 2 Decimals" xfId="27334"/>
    <cellStyle name="k" xfId="27335"/>
    <cellStyle name="k_Sheet1" xfId="27336"/>
    <cellStyle name="Keluaran" xfId="27337"/>
    <cellStyle name="Keluaran 2" xfId="27338"/>
    <cellStyle name="Keluaran_Sheet1" xfId="27339"/>
    <cellStyle name="Kundenl._ausgew._Daten" xfId="27340"/>
    <cellStyle name="L" xfId="27341"/>
    <cellStyle name="L_Sheet1" xfId="27342"/>
    <cellStyle name="L`" xfId="27343"/>
    <cellStyle name="Labels - Style3" xfId="27344"/>
    <cellStyle name="Labels - Style3 2" xfId="27345"/>
    <cellStyle name="Labels - Style3_Sheet1" xfId="27346"/>
    <cellStyle name="left" xfId="27347"/>
    <cellStyle name="Length" xfId="27348"/>
    <cellStyle name="Link" xfId="27349"/>
    <cellStyle name="Link 2" xfId="27350"/>
    <cellStyle name="Link 2 2" xfId="27351"/>
    <cellStyle name="Link 2_Sheet1" xfId="27352"/>
    <cellStyle name="Link 3" xfId="27353"/>
    <cellStyle name="Link Currency (0)" xfId="27354"/>
    <cellStyle name="Link Currency (0) 2" xfId="27355"/>
    <cellStyle name="Link Currency (0) 3" xfId="27356"/>
    <cellStyle name="Link Currency (0) 3 2" xfId="27357"/>
    <cellStyle name="Link Currency (0) 3_Sheet1" xfId="27358"/>
    <cellStyle name="Link Currency (0) 4" xfId="27359"/>
    <cellStyle name="Link Currency (0)_01. Lati Mine Operation" xfId="27360"/>
    <cellStyle name="Link Currency (2)" xfId="27361"/>
    <cellStyle name="Link Currency (2) 2" xfId="27362"/>
    <cellStyle name="Link Currency (2) 3" xfId="27363"/>
    <cellStyle name="Link Currency (2)_01. Lati Mine Operation" xfId="27364"/>
    <cellStyle name="Link Units (0)" xfId="27365"/>
    <cellStyle name="Link Units (0) 2" xfId="27366"/>
    <cellStyle name="Link Units (0) 3" xfId="27367"/>
    <cellStyle name="Link Units (0) 3 2" xfId="27368"/>
    <cellStyle name="Link Units (0) 3_Sheet1" xfId="27369"/>
    <cellStyle name="Link Units (0) 4" xfId="27370"/>
    <cellStyle name="Link Units (0)_01. Lati Mine Operation" xfId="27371"/>
    <cellStyle name="Link Units (1)" xfId="27372"/>
    <cellStyle name="Link Units (1) 2" xfId="27373"/>
    <cellStyle name="Link Units (1) 3" xfId="27374"/>
    <cellStyle name="Link Units (1) 3 2" xfId="27375"/>
    <cellStyle name="Link Units (1) 3_Sheet1" xfId="27376"/>
    <cellStyle name="Link Units (1) 4" xfId="27377"/>
    <cellStyle name="Link Units (1)_01. Lati Mine Operation" xfId="27378"/>
    <cellStyle name="Link Units (2)" xfId="27379"/>
    <cellStyle name="Link Units (2) 2" xfId="27380"/>
    <cellStyle name="Link Units (2) 3" xfId="27381"/>
    <cellStyle name="Link Units (2)_01. Lati Mine Operation" xfId="27382"/>
    <cellStyle name="Link_Sheet1" xfId="27383"/>
    <cellStyle name="Linked Cell 2" xfId="27384"/>
    <cellStyle name="Linked Cell 2 10" xfId="27385"/>
    <cellStyle name="Linked Cell 2 11" xfId="27386"/>
    <cellStyle name="Linked Cell 2 12" xfId="27387"/>
    <cellStyle name="Linked Cell 2 13" xfId="27388"/>
    <cellStyle name="Linked Cell 2 2" xfId="27389"/>
    <cellStyle name="Linked Cell 2 2 2" xfId="27390"/>
    <cellStyle name="Linked Cell 2 2_Sheet1" xfId="27391"/>
    <cellStyle name="Linked Cell 2 3" xfId="27392"/>
    <cellStyle name="Linked Cell 2 4" xfId="27393"/>
    <cellStyle name="Linked Cell 2 5" xfId="27394"/>
    <cellStyle name="Linked Cell 2 6" xfId="27395"/>
    <cellStyle name="Linked Cell 2 7" xfId="27396"/>
    <cellStyle name="Linked Cell 2 8" xfId="27397"/>
    <cellStyle name="Linked Cell 2 9" xfId="27398"/>
    <cellStyle name="Linked Cell 2_Laporan Aspal Per Bulan 2009" xfId="27399"/>
    <cellStyle name="Linked Cell 3" xfId="27400"/>
    <cellStyle name="Linked Cell 3 2" xfId="27401"/>
    <cellStyle name="Linked Cell 3 3" xfId="27402"/>
    <cellStyle name="Linked Cell 3 4" xfId="27403"/>
    <cellStyle name="Linked Cell 3 5" xfId="27404"/>
    <cellStyle name="Linked Cell 3_Laporan Aspal Per Bulan 2009" xfId="27405"/>
    <cellStyle name="Linked Cell 4" xfId="27406"/>
    <cellStyle name="Linked Cell 4 2" xfId="27407"/>
    <cellStyle name="Linked Cell 4 3" xfId="27408"/>
    <cellStyle name="Linked Cell 4 4" xfId="27409"/>
    <cellStyle name="Linked Cell 4_Laporan Aspal Per Bulan 2009" xfId="27410"/>
    <cellStyle name="Linked Cell 5" xfId="27411"/>
    <cellStyle name="Linked Cell 5 2" xfId="27412"/>
    <cellStyle name="Linked Cell 5 3" xfId="27413"/>
    <cellStyle name="Linked Cell 5_Sheet1" xfId="27414"/>
    <cellStyle name="Linked Cell 6" xfId="27415"/>
    <cellStyle name="Linked Cell 6 2" xfId="27416"/>
    <cellStyle name="Linked Cell 6_Sheet1" xfId="27417"/>
    <cellStyle name="Linked Cell 7" xfId="27418"/>
    <cellStyle name="Linked Cell 8" xfId="27419"/>
    <cellStyle name="lo" xfId="27420"/>
    <cellStyle name="ltn -TableTextNoWrap" xfId="27421"/>
    <cellStyle name="ltw -TableTextWrap" xfId="27422"/>
    <cellStyle name="M" xfId="27423"/>
    <cellStyle name="m_EBPP Oktober" xfId="27424"/>
    <cellStyle name="m_EBPP Oktober 2" xfId="27425"/>
    <cellStyle name="m_EBPP Oktober 2_Sheet1" xfId="27426"/>
    <cellStyle name="m_EBPP Oktober 3" xfId="27427"/>
    <cellStyle name="m_EBPP Oktober 3_Sheet1" xfId="27428"/>
    <cellStyle name="m_EBPP Oktober 4" xfId="27429"/>
    <cellStyle name="m_EBPP Oktober 4_Sheet1" xfId="27430"/>
    <cellStyle name="m_EBPP Oktober 5" xfId="27431"/>
    <cellStyle name="m_EBPP Oktober 5_Sheet1" xfId="27432"/>
    <cellStyle name="m_EBPP Oktober 6" xfId="27433"/>
    <cellStyle name="m_EBPP Oktober 6_Sheet1" xfId="27434"/>
    <cellStyle name="m_EBPP Oktober 7" xfId="27435"/>
    <cellStyle name="m_EBPP Oktober 7_Sheet1" xfId="27436"/>
    <cellStyle name="m_EBPP Oktober_Sheet1" xfId="27437"/>
    <cellStyle name="m_Evaluasi Insentif Pengecoran" xfId="27438"/>
    <cellStyle name="m_Evaluasi Insentif Pengecoran 2" xfId="27439"/>
    <cellStyle name="m_Evaluasi Insentif Pengecoran 2_Sheet1" xfId="27440"/>
    <cellStyle name="m_Evaluasi Insentif Pengecoran 3" xfId="27441"/>
    <cellStyle name="m_Evaluasi Insentif Pengecoran 3_Sheet1" xfId="27442"/>
    <cellStyle name="m_Evaluasi Insentif Pengecoran 4" xfId="27443"/>
    <cellStyle name="m_Evaluasi Insentif Pengecoran 4_Sheet1" xfId="27444"/>
    <cellStyle name="m_Evaluasi Insentif Pengecoran 5" xfId="27445"/>
    <cellStyle name="m_Evaluasi Insentif Pengecoran 5_Sheet1" xfId="27446"/>
    <cellStyle name="m_Evaluasi Insentif Pengecoran 6" xfId="27447"/>
    <cellStyle name="m_Evaluasi Insentif Pengecoran 6_Sheet1" xfId="27448"/>
    <cellStyle name="m_Evaluasi Insentif Pengecoran 7" xfId="27449"/>
    <cellStyle name="m_Evaluasi Insentif Pengecoran 7_Sheet1" xfId="27450"/>
    <cellStyle name="m_Evaluasi Insentif Pengecoran_Laporan Aspal Per Bulan 2009" xfId="27451"/>
    <cellStyle name="m_Evaluasi Insentif Pengecoran_Laporan Aspal Per Bulan 2009 2" xfId="27452"/>
    <cellStyle name="m_Evaluasi Insentif Pengecoran_Laporan Aspal Per Bulan 2009 2_Sheet1" xfId="27453"/>
    <cellStyle name="m_Evaluasi Insentif Pengecoran_Laporan Aspal Per Bulan 2009 3" xfId="27454"/>
    <cellStyle name="m_Evaluasi Insentif Pengecoran_Laporan Aspal Per Bulan 2009 3_Sheet1" xfId="27455"/>
    <cellStyle name="m_Evaluasi Insentif Pengecoran_Laporan Aspal Per Bulan 2009 4" xfId="27456"/>
    <cellStyle name="m_Evaluasi Insentif Pengecoran_Laporan Aspal Per Bulan 2009 4_Sheet1" xfId="27457"/>
    <cellStyle name="m_Evaluasi Insentif Pengecoran_Laporan Aspal Per Bulan 2009 5" xfId="27458"/>
    <cellStyle name="m_Evaluasi Insentif Pengecoran_Laporan Aspal Per Bulan 2009 5_Sheet1" xfId="27459"/>
    <cellStyle name="m_Evaluasi Insentif Pengecoran_Laporan Aspal Per Bulan 2009 6" xfId="27460"/>
    <cellStyle name="m_Evaluasi Insentif Pengecoran_Laporan Aspal Per Bulan 2009 6_Sheet1" xfId="27461"/>
    <cellStyle name="m_Evaluasi Insentif Pengecoran_Laporan Aspal Per Bulan 2009 7" xfId="27462"/>
    <cellStyle name="m_Evaluasi Insentif Pengecoran_Laporan Aspal Per Bulan 2009 7_Sheet1" xfId="27463"/>
    <cellStyle name="m_Evaluasi Insentif Pengecoran_Laporan Aspal Per Bulan 2009_Sheet1" xfId="27464"/>
    <cellStyle name="m_Evaluasi Insentif Pengecoran_Laporan Aspal Per Bulan Per Tanggal 27 Maret" xfId="27465"/>
    <cellStyle name="m_Evaluasi Insentif Pengecoran_Laporan Aspal Per Bulan Per Tanggal 27 Maret 2" xfId="27466"/>
    <cellStyle name="m_Evaluasi Insentif Pengecoran_Laporan Aspal Per Bulan Per Tanggal 27 Maret 2_Sheet1" xfId="27467"/>
    <cellStyle name="m_Evaluasi Insentif Pengecoran_Laporan Aspal Per Bulan Per Tanggal 27 Maret 3" xfId="27468"/>
    <cellStyle name="m_Evaluasi Insentif Pengecoran_Laporan Aspal Per Bulan Per Tanggal 27 Maret 3_Sheet1" xfId="27469"/>
    <cellStyle name="m_Evaluasi Insentif Pengecoran_Laporan Aspal Per Bulan Per Tanggal 27 Maret 4" xfId="27470"/>
    <cellStyle name="m_Evaluasi Insentif Pengecoran_Laporan Aspal Per Bulan Per Tanggal 27 Maret 4_Sheet1" xfId="27471"/>
    <cellStyle name="m_Evaluasi Insentif Pengecoran_Laporan Aspal Per Bulan Per Tanggal 27 Maret 5" xfId="27472"/>
    <cellStyle name="m_Evaluasi Insentif Pengecoran_Laporan Aspal Per Bulan Per Tanggal 27 Maret 5_Sheet1" xfId="27473"/>
    <cellStyle name="m_Evaluasi Insentif Pengecoran_Laporan Aspal Per Bulan Per Tanggal 27 Maret 6" xfId="27474"/>
    <cellStyle name="m_Evaluasi Insentif Pengecoran_Laporan Aspal Per Bulan Per Tanggal 27 Maret 6_Sheet1" xfId="27475"/>
    <cellStyle name="m_Evaluasi Insentif Pengecoran_Laporan Aspal Per Bulan Per Tanggal 27 Maret 7" xfId="27476"/>
    <cellStyle name="m_Evaluasi Insentif Pengecoran_Laporan Aspal Per Bulan Per Tanggal 27 Maret 7_Sheet1" xfId="27477"/>
    <cellStyle name="m_Evaluasi Insentif Pengecoran_Laporan Aspal Per Bulan Per Tanggal 27 Maret_Sheet1" xfId="27478"/>
    <cellStyle name="m_Evaluasi Insentif Pengecoran_LSB PROYEK BX-01" xfId="27479"/>
    <cellStyle name="m_Evaluasi Insentif Pengecoran_LSB PROYEK BX-01 2" xfId="27480"/>
    <cellStyle name="m_Evaluasi Insentif Pengecoran_LSB PROYEK BX-01 2_Sheet1" xfId="27481"/>
    <cellStyle name="m_Evaluasi Insentif Pengecoran_LSB PROYEK BX-01 3" xfId="27482"/>
    <cellStyle name="m_Evaluasi Insentif Pengecoran_LSB PROYEK BX-01 3_Sheet1" xfId="27483"/>
    <cellStyle name="m_Evaluasi Insentif Pengecoran_LSB PROYEK BX-01 4" xfId="27484"/>
    <cellStyle name="m_Evaluasi Insentif Pengecoran_LSB PROYEK BX-01 4_Sheet1" xfId="27485"/>
    <cellStyle name="m_Evaluasi Insentif Pengecoran_LSB PROYEK BX-01 5" xfId="27486"/>
    <cellStyle name="m_Evaluasi Insentif Pengecoran_LSB PROYEK BX-01 5_Sheet1" xfId="27487"/>
    <cellStyle name="m_Evaluasi Insentif Pengecoran_LSB PROYEK BX-01 6" xfId="27488"/>
    <cellStyle name="m_Evaluasi Insentif Pengecoran_LSB PROYEK BX-01 6_Sheet1" xfId="27489"/>
    <cellStyle name="m_Evaluasi Insentif Pengecoran_LSB PROYEK BX-01 7" xfId="27490"/>
    <cellStyle name="m_Evaluasi Insentif Pengecoran_LSB PROYEK BX-01 7_Sheet1" xfId="27491"/>
    <cellStyle name="m_Evaluasi Insentif Pengecoran_LSB PROYEK BX-01_Sheet1" xfId="27492"/>
    <cellStyle name="m_Evaluasi Insentif Pengecoran_Rekap Biaya-Biaya BX-01 Yang Tertahan" xfId="27493"/>
    <cellStyle name="m_Evaluasi Insentif Pengecoran_Rekap Biaya-Biaya BX-01 Yang Tertahan 2" xfId="27494"/>
    <cellStyle name="m_Evaluasi Insentif Pengecoran_Rekap Biaya-Biaya BX-01 Yang Tertahan 2_Sheet1" xfId="27495"/>
    <cellStyle name="m_Evaluasi Insentif Pengecoran_Rekap Biaya-Biaya BX-01 Yang Tertahan 3" xfId="27496"/>
    <cellStyle name="m_Evaluasi Insentif Pengecoran_Rekap Biaya-Biaya BX-01 Yang Tertahan 3_Sheet1" xfId="27497"/>
    <cellStyle name="m_Evaluasi Insentif Pengecoran_Rekap Biaya-Biaya BX-01 Yang Tertahan 4" xfId="27498"/>
    <cellStyle name="m_Evaluasi Insentif Pengecoran_Rekap Biaya-Biaya BX-01 Yang Tertahan 4_Sheet1" xfId="27499"/>
    <cellStyle name="m_Evaluasi Insentif Pengecoran_Rekap Biaya-Biaya BX-01 Yang Tertahan 5" xfId="27500"/>
    <cellStyle name="m_Evaluasi Insentif Pengecoran_Rekap Biaya-Biaya BX-01 Yang Tertahan 5_Sheet1" xfId="27501"/>
    <cellStyle name="m_Evaluasi Insentif Pengecoran_Rekap Biaya-Biaya BX-01 Yang Tertahan 6" xfId="27502"/>
    <cellStyle name="m_Evaluasi Insentif Pengecoran_Rekap Biaya-Biaya BX-01 Yang Tertahan 6_Sheet1" xfId="27503"/>
    <cellStyle name="m_Evaluasi Insentif Pengecoran_Rekap Biaya-Biaya BX-01 Yang Tertahan 7" xfId="27504"/>
    <cellStyle name="m_Evaluasi Insentif Pengecoran_Rekap Biaya-Biaya BX-01 Yang Tertahan 7_Sheet1" xfId="27505"/>
    <cellStyle name="m_Evaluasi Insentif Pengecoran_Rekap Biaya-Biaya BX-01 Yang Tertahan_Sheet1" xfId="27506"/>
    <cellStyle name="m_Evaluasi Insentif Pengecoran_Sheet1" xfId="27507"/>
    <cellStyle name="m_Evaluasi Kenaikan BBM" xfId="27508"/>
    <cellStyle name="m_Evaluasi Kenaikan BBM 2" xfId="27509"/>
    <cellStyle name="m_Evaluasi Kenaikan BBM 2_Sheet1" xfId="27510"/>
    <cellStyle name="m_Evaluasi Kenaikan BBM 3" xfId="27511"/>
    <cellStyle name="m_Evaluasi Kenaikan BBM 3_Sheet1" xfId="27512"/>
    <cellStyle name="m_Evaluasi Kenaikan BBM 4" xfId="27513"/>
    <cellStyle name="m_Evaluasi Kenaikan BBM 4_Sheet1" xfId="27514"/>
    <cellStyle name="m_Evaluasi Kenaikan BBM 5" xfId="27515"/>
    <cellStyle name="m_Evaluasi Kenaikan BBM 5_Sheet1" xfId="27516"/>
    <cellStyle name="m_Evaluasi Kenaikan BBM 6" xfId="27517"/>
    <cellStyle name="m_Evaluasi Kenaikan BBM 6_Sheet1" xfId="27518"/>
    <cellStyle name="m_Evaluasi Kenaikan BBM 7" xfId="27519"/>
    <cellStyle name="m_Evaluasi Kenaikan BBM 7_Sheet1" xfId="27520"/>
    <cellStyle name="m_Evaluasi Kenaikan BBM_Laporan Aspal Per Bulan 2009" xfId="27521"/>
    <cellStyle name="m_Evaluasi Kenaikan BBM_Laporan Aspal Per Bulan 2009 2" xfId="27522"/>
    <cellStyle name="m_Evaluasi Kenaikan BBM_Laporan Aspal Per Bulan 2009 2_Sheet1" xfId="27523"/>
    <cellStyle name="m_Evaluasi Kenaikan BBM_Laporan Aspal Per Bulan 2009 3" xfId="27524"/>
    <cellStyle name="m_Evaluasi Kenaikan BBM_Laporan Aspal Per Bulan 2009 3_Sheet1" xfId="27525"/>
    <cellStyle name="m_Evaluasi Kenaikan BBM_Laporan Aspal Per Bulan 2009 4" xfId="27526"/>
    <cellStyle name="m_Evaluasi Kenaikan BBM_Laporan Aspal Per Bulan 2009 4_Sheet1" xfId="27527"/>
    <cellStyle name="m_Evaluasi Kenaikan BBM_Laporan Aspal Per Bulan 2009 5" xfId="27528"/>
    <cellStyle name="m_Evaluasi Kenaikan BBM_Laporan Aspal Per Bulan 2009 5_Sheet1" xfId="27529"/>
    <cellStyle name="m_Evaluasi Kenaikan BBM_Laporan Aspal Per Bulan 2009 6" xfId="27530"/>
    <cellStyle name="m_Evaluasi Kenaikan BBM_Laporan Aspal Per Bulan 2009 6_Sheet1" xfId="27531"/>
    <cellStyle name="m_Evaluasi Kenaikan BBM_Laporan Aspal Per Bulan 2009 7" xfId="27532"/>
    <cellStyle name="m_Evaluasi Kenaikan BBM_Laporan Aspal Per Bulan 2009 7_Sheet1" xfId="27533"/>
    <cellStyle name="m_Evaluasi Kenaikan BBM_Laporan Aspal Per Bulan 2009_Sheet1" xfId="27534"/>
    <cellStyle name="m_Evaluasi Kenaikan BBM_Laporan Aspal Per Bulan Per Tanggal 27 Maret" xfId="27535"/>
    <cellStyle name="m_Evaluasi Kenaikan BBM_Laporan Aspal Per Bulan Per Tanggal 27 Maret 2" xfId="27536"/>
    <cellStyle name="m_Evaluasi Kenaikan BBM_Laporan Aspal Per Bulan Per Tanggal 27 Maret 2_Sheet1" xfId="27537"/>
    <cellStyle name="m_Evaluasi Kenaikan BBM_Laporan Aspal Per Bulan Per Tanggal 27 Maret 3" xfId="27538"/>
    <cellStyle name="m_Evaluasi Kenaikan BBM_Laporan Aspal Per Bulan Per Tanggal 27 Maret 3_Sheet1" xfId="27539"/>
    <cellStyle name="m_Evaluasi Kenaikan BBM_Laporan Aspal Per Bulan Per Tanggal 27 Maret 4" xfId="27540"/>
    <cellStyle name="m_Evaluasi Kenaikan BBM_Laporan Aspal Per Bulan Per Tanggal 27 Maret 4_Sheet1" xfId="27541"/>
    <cellStyle name="m_Evaluasi Kenaikan BBM_Laporan Aspal Per Bulan Per Tanggal 27 Maret 5" xfId="27542"/>
    <cellStyle name="m_Evaluasi Kenaikan BBM_Laporan Aspal Per Bulan Per Tanggal 27 Maret 5_Sheet1" xfId="27543"/>
    <cellStyle name="m_Evaluasi Kenaikan BBM_Laporan Aspal Per Bulan Per Tanggal 27 Maret 6" xfId="27544"/>
    <cellStyle name="m_Evaluasi Kenaikan BBM_Laporan Aspal Per Bulan Per Tanggal 27 Maret 6_Sheet1" xfId="27545"/>
    <cellStyle name="m_Evaluasi Kenaikan BBM_Laporan Aspal Per Bulan Per Tanggal 27 Maret 7" xfId="27546"/>
    <cellStyle name="m_Evaluasi Kenaikan BBM_Laporan Aspal Per Bulan Per Tanggal 27 Maret 7_Sheet1" xfId="27547"/>
    <cellStyle name="m_Evaluasi Kenaikan BBM_Laporan Aspal Per Bulan Per Tanggal 27 Maret_Sheet1" xfId="27548"/>
    <cellStyle name="m_Evaluasi Kenaikan BBM_LSB PROYEK BX-01" xfId="27549"/>
    <cellStyle name="m_Evaluasi Kenaikan BBM_LSB PROYEK BX-01 2" xfId="27550"/>
    <cellStyle name="m_Evaluasi Kenaikan BBM_LSB PROYEK BX-01 2_Sheet1" xfId="27551"/>
    <cellStyle name="m_Evaluasi Kenaikan BBM_LSB PROYEK BX-01 3" xfId="27552"/>
    <cellStyle name="m_Evaluasi Kenaikan BBM_LSB PROYEK BX-01 3_Sheet1" xfId="27553"/>
    <cellStyle name="m_Evaluasi Kenaikan BBM_LSB PROYEK BX-01 4" xfId="27554"/>
    <cellStyle name="m_Evaluasi Kenaikan BBM_LSB PROYEK BX-01 4_Sheet1" xfId="27555"/>
    <cellStyle name="m_Evaluasi Kenaikan BBM_LSB PROYEK BX-01 5" xfId="27556"/>
    <cellStyle name="m_Evaluasi Kenaikan BBM_LSB PROYEK BX-01 5_Sheet1" xfId="27557"/>
    <cellStyle name="m_Evaluasi Kenaikan BBM_LSB PROYEK BX-01 6" xfId="27558"/>
    <cellStyle name="m_Evaluasi Kenaikan BBM_LSB PROYEK BX-01 6_Sheet1" xfId="27559"/>
    <cellStyle name="m_Evaluasi Kenaikan BBM_LSB PROYEK BX-01 7" xfId="27560"/>
    <cellStyle name="m_Evaluasi Kenaikan BBM_LSB PROYEK BX-01 7_Sheet1" xfId="27561"/>
    <cellStyle name="m_Evaluasi Kenaikan BBM_LSB PROYEK BX-01_Sheet1" xfId="27562"/>
    <cellStyle name="m_Evaluasi Kenaikan BBM_Rekap Biaya-Biaya BX-01 Yang Tertahan" xfId="27563"/>
    <cellStyle name="m_Evaluasi Kenaikan BBM_Rekap Biaya-Biaya BX-01 Yang Tertahan 2" xfId="27564"/>
    <cellStyle name="m_Evaluasi Kenaikan BBM_Rekap Biaya-Biaya BX-01 Yang Tertahan 2_Sheet1" xfId="27565"/>
    <cellStyle name="m_Evaluasi Kenaikan BBM_Rekap Biaya-Biaya BX-01 Yang Tertahan 3" xfId="27566"/>
    <cellStyle name="m_Evaluasi Kenaikan BBM_Rekap Biaya-Biaya BX-01 Yang Tertahan 3_Sheet1" xfId="27567"/>
    <cellStyle name="m_Evaluasi Kenaikan BBM_Rekap Biaya-Biaya BX-01 Yang Tertahan 4" xfId="27568"/>
    <cellStyle name="m_Evaluasi Kenaikan BBM_Rekap Biaya-Biaya BX-01 Yang Tertahan 4_Sheet1" xfId="27569"/>
    <cellStyle name="m_Evaluasi Kenaikan BBM_Rekap Biaya-Biaya BX-01 Yang Tertahan 5" xfId="27570"/>
    <cellStyle name="m_Evaluasi Kenaikan BBM_Rekap Biaya-Biaya BX-01 Yang Tertahan 5_Sheet1" xfId="27571"/>
    <cellStyle name="m_Evaluasi Kenaikan BBM_Rekap Biaya-Biaya BX-01 Yang Tertahan 6" xfId="27572"/>
    <cellStyle name="m_Evaluasi Kenaikan BBM_Rekap Biaya-Biaya BX-01 Yang Tertahan 6_Sheet1" xfId="27573"/>
    <cellStyle name="m_Evaluasi Kenaikan BBM_Rekap Biaya-Biaya BX-01 Yang Tertahan 7" xfId="27574"/>
    <cellStyle name="m_Evaluasi Kenaikan BBM_Rekap Biaya-Biaya BX-01 Yang Tertahan 7_Sheet1" xfId="27575"/>
    <cellStyle name="m_Evaluasi Kenaikan BBM_Rekap Biaya-Biaya BX-01 Yang Tertahan_Sheet1" xfId="27576"/>
    <cellStyle name="m_Evaluasi Kenaikan BBM_Sheet1" xfId="27577"/>
    <cellStyle name="m_Evaluasi Peerjaan pengaspalan" xfId="27578"/>
    <cellStyle name="m_Evaluasi Peerjaan pengaspalan 2" xfId="27579"/>
    <cellStyle name="m_Evaluasi Peerjaan pengaspalan 2_Sheet1" xfId="27580"/>
    <cellStyle name="m_Evaluasi Peerjaan pengaspalan 3" xfId="27581"/>
    <cellStyle name="m_Evaluasi Peerjaan pengaspalan 3_Sheet1" xfId="27582"/>
    <cellStyle name="m_Evaluasi Peerjaan pengaspalan 4" xfId="27583"/>
    <cellStyle name="m_Evaluasi Peerjaan pengaspalan 4_Sheet1" xfId="27584"/>
    <cellStyle name="m_Evaluasi Peerjaan pengaspalan 5" xfId="27585"/>
    <cellStyle name="m_Evaluasi Peerjaan pengaspalan 5_Sheet1" xfId="27586"/>
    <cellStyle name="m_Evaluasi Peerjaan pengaspalan 6" xfId="27587"/>
    <cellStyle name="m_Evaluasi Peerjaan pengaspalan 6_Sheet1" xfId="27588"/>
    <cellStyle name="m_Evaluasi Peerjaan pengaspalan 7" xfId="27589"/>
    <cellStyle name="m_Evaluasi Peerjaan pengaspalan 7_Sheet1" xfId="27590"/>
    <cellStyle name="m_Evaluasi Peerjaan pengaspalan_Laporan Aspal Per Bulan 2009" xfId="27591"/>
    <cellStyle name="m_Evaluasi Peerjaan pengaspalan_Laporan Aspal Per Bulan 2009 2" xfId="27592"/>
    <cellStyle name="m_Evaluasi Peerjaan pengaspalan_Laporan Aspal Per Bulan 2009 2_Sheet1" xfId="27593"/>
    <cellStyle name="m_Evaluasi Peerjaan pengaspalan_Laporan Aspal Per Bulan 2009 3" xfId="27594"/>
    <cellStyle name="m_Evaluasi Peerjaan pengaspalan_Laporan Aspal Per Bulan 2009 3_Sheet1" xfId="27595"/>
    <cellStyle name="m_Evaluasi Peerjaan pengaspalan_Laporan Aspal Per Bulan 2009 4" xfId="27596"/>
    <cellStyle name="m_Evaluasi Peerjaan pengaspalan_Laporan Aspal Per Bulan 2009 4_Sheet1" xfId="27597"/>
    <cellStyle name="m_Evaluasi Peerjaan pengaspalan_Laporan Aspal Per Bulan 2009 5" xfId="27598"/>
    <cellStyle name="m_Evaluasi Peerjaan pengaspalan_Laporan Aspal Per Bulan 2009 5_Sheet1" xfId="27599"/>
    <cellStyle name="m_Evaluasi Peerjaan pengaspalan_Laporan Aspal Per Bulan 2009 6" xfId="27600"/>
    <cellStyle name="m_Evaluasi Peerjaan pengaspalan_Laporan Aspal Per Bulan 2009 6_Sheet1" xfId="27601"/>
    <cellStyle name="m_Evaluasi Peerjaan pengaspalan_Laporan Aspal Per Bulan 2009 7" xfId="27602"/>
    <cellStyle name="m_Evaluasi Peerjaan pengaspalan_Laporan Aspal Per Bulan 2009 7_Sheet1" xfId="27603"/>
    <cellStyle name="m_Evaluasi Peerjaan pengaspalan_Laporan Aspal Per Bulan 2009_Sheet1" xfId="27604"/>
    <cellStyle name="m_Evaluasi Peerjaan pengaspalan_Laporan Aspal Per Bulan Per Tanggal 27 Maret" xfId="27605"/>
    <cellStyle name="m_Evaluasi Peerjaan pengaspalan_Laporan Aspal Per Bulan Per Tanggal 27 Maret 2" xfId="27606"/>
    <cellStyle name="m_Evaluasi Peerjaan pengaspalan_Laporan Aspal Per Bulan Per Tanggal 27 Maret 2_Sheet1" xfId="27607"/>
    <cellStyle name="m_Evaluasi Peerjaan pengaspalan_Laporan Aspal Per Bulan Per Tanggal 27 Maret 3" xfId="27608"/>
    <cellStyle name="m_Evaluasi Peerjaan pengaspalan_Laporan Aspal Per Bulan Per Tanggal 27 Maret 3_Sheet1" xfId="27609"/>
    <cellStyle name="m_Evaluasi Peerjaan pengaspalan_Laporan Aspal Per Bulan Per Tanggal 27 Maret 4" xfId="27610"/>
    <cellStyle name="m_Evaluasi Peerjaan pengaspalan_Laporan Aspal Per Bulan Per Tanggal 27 Maret 4_Sheet1" xfId="27611"/>
    <cellStyle name="m_Evaluasi Peerjaan pengaspalan_Laporan Aspal Per Bulan Per Tanggal 27 Maret 5" xfId="27612"/>
    <cellStyle name="m_Evaluasi Peerjaan pengaspalan_Laporan Aspal Per Bulan Per Tanggal 27 Maret 5_Sheet1" xfId="27613"/>
    <cellStyle name="m_Evaluasi Peerjaan pengaspalan_Laporan Aspal Per Bulan Per Tanggal 27 Maret 6" xfId="27614"/>
    <cellStyle name="m_Evaluasi Peerjaan pengaspalan_Laporan Aspal Per Bulan Per Tanggal 27 Maret 6_Sheet1" xfId="27615"/>
    <cellStyle name="m_Evaluasi Peerjaan pengaspalan_Laporan Aspal Per Bulan Per Tanggal 27 Maret 7" xfId="27616"/>
    <cellStyle name="m_Evaluasi Peerjaan pengaspalan_Laporan Aspal Per Bulan Per Tanggal 27 Maret 7_Sheet1" xfId="27617"/>
    <cellStyle name="m_Evaluasi Peerjaan pengaspalan_Laporan Aspal Per Bulan Per Tanggal 27 Maret_Sheet1" xfId="27618"/>
    <cellStyle name="m_Evaluasi Peerjaan pengaspalan_Monitoring Bahan" xfId="27619"/>
    <cellStyle name="m_Evaluasi Peerjaan pengaspalan_Monitoring Bahan 2" xfId="27620"/>
    <cellStyle name="m_Evaluasi Peerjaan pengaspalan_Monitoring Bahan 2_Sheet1" xfId="27621"/>
    <cellStyle name="m_Evaluasi Peerjaan pengaspalan_Monitoring Bahan 3" xfId="27622"/>
    <cellStyle name="m_Evaluasi Peerjaan pengaspalan_Monitoring Bahan 3_Sheet1" xfId="27623"/>
    <cellStyle name="m_Evaluasi Peerjaan pengaspalan_Monitoring Bahan 4" xfId="27624"/>
    <cellStyle name="m_Evaluasi Peerjaan pengaspalan_Monitoring Bahan 4_Sheet1" xfId="27625"/>
    <cellStyle name="m_Evaluasi Peerjaan pengaspalan_Monitoring Bahan 5" xfId="27626"/>
    <cellStyle name="m_Evaluasi Peerjaan pengaspalan_Monitoring Bahan 5_Sheet1" xfId="27627"/>
    <cellStyle name="m_Evaluasi Peerjaan pengaspalan_Monitoring Bahan 6" xfId="27628"/>
    <cellStyle name="m_Evaluasi Peerjaan pengaspalan_Monitoring Bahan 6_Sheet1" xfId="27629"/>
    <cellStyle name="m_Evaluasi Peerjaan pengaspalan_Monitoring Bahan 7" xfId="27630"/>
    <cellStyle name="m_Evaluasi Peerjaan pengaspalan_Monitoring Bahan 7_Sheet1" xfId="27631"/>
    <cellStyle name="m_Evaluasi Peerjaan pengaspalan_Monitoring Bahan_Sheet1" xfId="27632"/>
    <cellStyle name="m_Evaluasi Peerjaan pengaspalan_Sheet1" xfId="27633"/>
    <cellStyle name="m_HP 30% Berdasarkan NK Awal Br" xfId="27634"/>
    <cellStyle name="m_HP 30% Berdasarkan NK Awal Br 2" xfId="27635"/>
    <cellStyle name="m_HP 30% Berdasarkan NK Awal Br 2_Sheet1" xfId="27636"/>
    <cellStyle name="m_HP 30% Berdasarkan NK Awal Br 3" xfId="27637"/>
    <cellStyle name="m_HP 30% Berdasarkan NK Awal Br 3_Sheet1" xfId="27638"/>
    <cellStyle name="m_HP 30% Berdasarkan NK Awal Br 4" xfId="27639"/>
    <cellStyle name="m_HP 30% Berdasarkan NK Awal Br 4_Sheet1" xfId="27640"/>
    <cellStyle name="m_HP 30% Berdasarkan NK Awal Br 5" xfId="27641"/>
    <cellStyle name="m_HP 30% Berdasarkan NK Awal Br 5_Sheet1" xfId="27642"/>
    <cellStyle name="m_HP 30% Berdasarkan NK Awal Br 6" xfId="27643"/>
    <cellStyle name="m_HP 30% Berdasarkan NK Awal Br 6_Sheet1" xfId="27644"/>
    <cellStyle name="m_HP 30% Berdasarkan NK Awal Br 7" xfId="27645"/>
    <cellStyle name="m_HP 30% Berdasarkan NK Awal Br 7_Sheet1" xfId="27646"/>
    <cellStyle name="m_HP 30% Berdasarkan NK Awal Br_Laporan Aspal Per Bulan 2009" xfId="27647"/>
    <cellStyle name="m_HP 30% Berdasarkan NK Awal Br_Laporan Aspal Per Bulan 2009 2" xfId="27648"/>
    <cellStyle name="m_HP 30% Berdasarkan NK Awal Br_Laporan Aspal Per Bulan 2009 2_Sheet1" xfId="27649"/>
    <cellStyle name="m_HP 30% Berdasarkan NK Awal Br_Laporan Aspal Per Bulan 2009 3" xfId="27650"/>
    <cellStyle name="m_HP 30% Berdasarkan NK Awal Br_Laporan Aspal Per Bulan 2009 3_Sheet1" xfId="27651"/>
    <cellStyle name="m_HP 30% Berdasarkan NK Awal Br_Laporan Aspal Per Bulan 2009 4" xfId="27652"/>
    <cellStyle name="m_HP 30% Berdasarkan NK Awal Br_Laporan Aspal Per Bulan 2009 4_Sheet1" xfId="27653"/>
    <cellStyle name="m_HP 30% Berdasarkan NK Awal Br_Laporan Aspal Per Bulan 2009 5" xfId="27654"/>
    <cellStyle name="m_HP 30% Berdasarkan NK Awal Br_Laporan Aspal Per Bulan 2009 5_Sheet1" xfId="27655"/>
    <cellStyle name="m_HP 30% Berdasarkan NK Awal Br_Laporan Aspal Per Bulan 2009 6" xfId="27656"/>
    <cellStyle name="m_HP 30% Berdasarkan NK Awal Br_Laporan Aspal Per Bulan 2009 6_Sheet1" xfId="27657"/>
    <cellStyle name="m_HP 30% Berdasarkan NK Awal Br_Laporan Aspal Per Bulan 2009 7" xfId="27658"/>
    <cellStyle name="m_HP 30% Berdasarkan NK Awal Br_Laporan Aspal Per Bulan 2009 7_Sheet1" xfId="27659"/>
    <cellStyle name="m_HP 30% Berdasarkan NK Awal Br_Laporan Aspal Per Bulan 2009_Sheet1" xfId="27660"/>
    <cellStyle name="m_HP 30% Berdasarkan NK Awal Br_Laporan Aspal Per Bulan Per Tanggal 27 Maret" xfId="27661"/>
    <cellStyle name="m_HP 30% Berdasarkan NK Awal Br_Laporan Aspal Per Bulan Per Tanggal 27 Maret 2" xfId="27662"/>
    <cellStyle name="m_HP 30% Berdasarkan NK Awal Br_Laporan Aspal Per Bulan Per Tanggal 27 Maret 2_Sheet1" xfId="27663"/>
    <cellStyle name="m_HP 30% Berdasarkan NK Awal Br_Laporan Aspal Per Bulan Per Tanggal 27 Maret 3" xfId="27664"/>
    <cellStyle name="m_HP 30% Berdasarkan NK Awal Br_Laporan Aspal Per Bulan Per Tanggal 27 Maret 3_Sheet1" xfId="27665"/>
    <cellStyle name="m_HP 30% Berdasarkan NK Awal Br_Laporan Aspal Per Bulan Per Tanggal 27 Maret 4" xfId="27666"/>
    <cellStyle name="m_HP 30% Berdasarkan NK Awal Br_Laporan Aspal Per Bulan Per Tanggal 27 Maret 4_Sheet1" xfId="27667"/>
    <cellStyle name="m_HP 30% Berdasarkan NK Awal Br_Laporan Aspal Per Bulan Per Tanggal 27 Maret 5" xfId="27668"/>
    <cellStyle name="m_HP 30% Berdasarkan NK Awal Br_Laporan Aspal Per Bulan Per Tanggal 27 Maret 5_Sheet1" xfId="27669"/>
    <cellStyle name="m_HP 30% Berdasarkan NK Awal Br_Laporan Aspal Per Bulan Per Tanggal 27 Maret 6" xfId="27670"/>
    <cellStyle name="m_HP 30% Berdasarkan NK Awal Br_Laporan Aspal Per Bulan Per Tanggal 27 Maret 6_Sheet1" xfId="27671"/>
    <cellStyle name="m_HP 30% Berdasarkan NK Awal Br_Laporan Aspal Per Bulan Per Tanggal 27 Maret 7" xfId="27672"/>
    <cellStyle name="m_HP 30% Berdasarkan NK Awal Br_Laporan Aspal Per Bulan Per Tanggal 27 Maret 7_Sheet1" xfId="27673"/>
    <cellStyle name="m_HP 30% Berdasarkan NK Awal Br_Laporan Aspal Per Bulan Per Tanggal 27 Maret_Sheet1" xfId="27674"/>
    <cellStyle name="m_HP 30% Berdasarkan NK Awal Br_Monitoring Bahan" xfId="27675"/>
    <cellStyle name="m_HP 30% Berdasarkan NK Awal Br_Monitoring Bahan 2" xfId="27676"/>
    <cellStyle name="m_HP 30% Berdasarkan NK Awal Br_Monitoring Bahan 2_Sheet1" xfId="27677"/>
    <cellStyle name="m_HP 30% Berdasarkan NK Awal Br_Monitoring Bahan 3" xfId="27678"/>
    <cellStyle name="m_HP 30% Berdasarkan NK Awal Br_Monitoring Bahan 3_Sheet1" xfId="27679"/>
    <cellStyle name="m_HP 30% Berdasarkan NK Awal Br_Monitoring Bahan 4" xfId="27680"/>
    <cellStyle name="m_HP 30% Berdasarkan NK Awal Br_Monitoring Bahan 4_Sheet1" xfId="27681"/>
    <cellStyle name="m_HP 30% Berdasarkan NK Awal Br_Monitoring Bahan 5" xfId="27682"/>
    <cellStyle name="m_HP 30% Berdasarkan NK Awal Br_Monitoring Bahan 5_Sheet1" xfId="27683"/>
    <cellStyle name="m_HP 30% Berdasarkan NK Awal Br_Monitoring Bahan 6" xfId="27684"/>
    <cellStyle name="m_HP 30% Berdasarkan NK Awal Br_Monitoring Bahan 6_Sheet1" xfId="27685"/>
    <cellStyle name="m_HP 30% Berdasarkan NK Awal Br_Monitoring Bahan 7" xfId="27686"/>
    <cellStyle name="m_HP 30% Berdasarkan NK Awal Br_Monitoring Bahan 7_Sheet1" xfId="27687"/>
    <cellStyle name="m_HP 30% Berdasarkan NK Awal Br_Monitoring Bahan_Sheet1" xfId="27688"/>
    <cellStyle name="m_HP 30% Berdasarkan NK Awal Br_Sheet1" xfId="27689"/>
    <cellStyle name="m_Laporan Aspal Per Bulan 2009" xfId="27690"/>
    <cellStyle name="m_Laporan Aspal Per Bulan 2009 2" xfId="27691"/>
    <cellStyle name="m_Laporan Aspal Per Bulan 2009 2_Sheet1" xfId="27692"/>
    <cellStyle name="m_Laporan Aspal Per Bulan 2009 3" xfId="27693"/>
    <cellStyle name="m_Laporan Aspal Per Bulan 2009 3_Sheet1" xfId="27694"/>
    <cellStyle name="m_Laporan Aspal Per Bulan 2009 4" xfId="27695"/>
    <cellStyle name="m_Laporan Aspal Per Bulan 2009 4_Sheet1" xfId="27696"/>
    <cellStyle name="m_Laporan Aspal Per Bulan 2009 5" xfId="27697"/>
    <cellStyle name="m_Laporan Aspal Per Bulan 2009 5_Sheet1" xfId="27698"/>
    <cellStyle name="m_Laporan Aspal Per Bulan 2009 6" xfId="27699"/>
    <cellStyle name="m_Laporan Aspal Per Bulan 2009 6_Sheet1" xfId="27700"/>
    <cellStyle name="m_Laporan Aspal Per Bulan 2009 7" xfId="27701"/>
    <cellStyle name="m_Laporan Aspal Per Bulan 2009 7_Sheet1" xfId="27702"/>
    <cellStyle name="m_Laporan Aspal Per Bulan 2009_Sheet1" xfId="27703"/>
    <cellStyle name="m_Laporan Aspal Per Bulan Per Tanggal 27 Maret" xfId="27704"/>
    <cellStyle name="m_Laporan Aspal Per Bulan Per Tanggal 27 Maret 2" xfId="27705"/>
    <cellStyle name="m_Laporan Aspal Per Bulan Per Tanggal 27 Maret 2_Sheet1" xfId="27706"/>
    <cellStyle name="m_Laporan Aspal Per Bulan Per Tanggal 27 Maret 3" xfId="27707"/>
    <cellStyle name="m_Laporan Aspal Per Bulan Per Tanggal 27 Maret 3_Sheet1" xfId="27708"/>
    <cellStyle name="m_Laporan Aspal Per Bulan Per Tanggal 27 Maret 4" xfId="27709"/>
    <cellStyle name="m_Laporan Aspal Per Bulan Per Tanggal 27 Maret 4_Sheet1" xfId="27710"/>
    <cellStyle name="m_Laporan Aspal Per Bulan Per Tanggal 27 Maret 5" xfId="27711"/>
    <cellStyle name="m_Laporan Aspal Per Bulan Per Tanggal 27 Maret 5_Sheet1" xfId="27712"/>
    <cellStyle name="m_Laporan Aspal Per Bulan Per Tanggal 27 Maret 6" xfId="27713"/>
    <cellStyle name="m_Laporan Aspal Per Bulan Per Tanggal 27 Maret 6_Sheet1" xfId="27714"/>
    <cellStyle name="m_Laporan Aspal Per Bulan Per Tanggal 27 Maret 7" xfId="27715"/>
    <cellStyle name="m_Laporan Aspal Per Bulan Per Tanggal 27 Maret 7_Sheet1" xfId="27716"/>
    <cellStyle name="m_Laporan Aspal Per Bulan Per Tanggal 27 Maret_Sheet1" xfId="27717"/>
    <cellStyle name="m_LSB PROYEK BX-01" xfId="27718"/>
    <cellStyle name="m_LSB PROYEK BX-01 2" xfId="27719"/>
    <cellStyle name="m_LSB PROYEK BX-01 2_Sheet1" xfId="27720"/>
    <cellStyle name="m_LSB PROYEK BX-01 3" xfId="27721"/>
    <cellStyle name="m_LSB PROYEK BX-01 3_Sheet1" xfId="27722"/>
    <cellStyle name="m_LSB PROYEK BX-01 4" xfId="27723"/>
    <cellStyle name="m_LSB PROYEK BX-01 4_Sheet1" xfId="27724"/>
    <cellStyle name="m_LSB PROYEK BX-01 5" xfId="27725"/>
    <cellStyle name="m_LSB PROYEK BX-01 5_Sheet1" xfId="27726"/>
    <cellStyle name="m_LSB PROYEK BX-01 6" xfId="27727"/>
    <cellStyle name="m_LSB PROYEK BX-01 6_Sheet1" xfId="27728"/>
    <cellStyle name="m_LSB PROYEK BX-01 7" xfId="27729"/>
    <cellStyle name="m_LSB PROYEK BX-01 7_Sheet1" xfId="27730"/>
    <cellStyle name="m_LSB PROYEK BX-01_Sheet1" xfId="27731"/>
    <cellStyle name="m_RAB_ELEKTRIKAL_UNIVERSITAS TERBUKA_R2" xfId="27732"/>
    <cellStyle name="m_RAB_ELEKTRIKAL_UNIVERSITAS TERBUKA_R2 2" xfId="27733"/>
    <cellStyle name="m_RAB_ELEKTRIKAL_UNIVERSITAS TERBUKA_R2 2_Sheet1" xfId="27734"/>
    <cellStyle name="m_RAB_ELEKTRIKAL_UNIVERSITAS TERBUKA_R2_Sheet1" xfId="27735"/>
    <cellStyle name="m_RC Bosowa2" xfId="27736"/>
    <cellStyle name="m_RC Bosowa2 2" xfId="27737"/>
    <cellStyle name="m_RC Bosowa2 2 2" xfId="27738"/>
    <cellStyle name="m_RC Bosowa2 2 2_Sheet1" xfId="27739"/>
    <cellStyle name="m_RC Bosowa2 2 3" xfId="27740"/>
    <cellStyle name="m_RC Bosowa2 2 3_Sheet1" xfId="27741"/>
    <cellStyle name="m_RC Bosowa2 2 4" xfId="27742"/>
    <cellStyle name="m_RC Bosowa2 2 4_Sheet1" xfId="27743"/>
    <cellStyle name="m_RC Bosowa2 2 5" xfId="27744"/>
    <cellStyle name="m_RC Bosowa2 2 5_Sheet1" xfId="27745"/>
    <cellStyle name="m_RC Bosowa2 2 6" xfId="27746"/>
    <cellStyle name="m_RC Bosowa2 2 6_Sheet1" xfId="27747"/>
    <cellStyle name="m_RC Bosowa2 2_Sheet1" xfId="27748"/>
    <cellStyle name="m_RC Bosowa2_Sheet1" xfId="27749"/>
    <cellStyle name="m_Rekap Biaya-Biaya BX-01 Yang Tertahan" xfId="27750"/>
    <cellStyle name="m_Rekap Biaya-Biaya BX-01 Yang Tertahan 2" xfId="27751"/>
    <cellStyle name="m_Rekap Biaya-Biaya BX-01 Yang Tertahan 2 2" xfId="27752"/>
    <cellStyle name="m_Rekap Biaya-Biaya BX-01 Yang Tertahan 2 2_Sheet1" xfId="27753"/>
    <cellStyle name="m_Rekap Biaya-Biaya BX-01 Yang Tertahan 2 3" xfId="27754"/>
    <cellStyle name="m_Rekap Biaya-Biaya BX-01 Yang Tertahan 2 3_Sheet1" xfId="27755"/>
    <cellStyle name="m_Rekap Biaya-Biaya BX-01 Yang Tertahan 2 4" xfId="27756"/>
    <cellStyle name="m_Rekap Biaya-Biaya BX-01 Yang Tertahan 2 4_Sheet1" xfId="27757"/>
    <cellStyle name="m_Rekap Biaya-Biaya BX-01 Yang Tertahan 2 5" xfId="27758"/>
    <cellStyle name="m_Rekap Biaya-Biaya BX-01 Yang Tertahan 2 5_Sheet1" xfId="27759"/>
    <cellStyle name="m_Rekap Biaya-Biaya BX-01 Yang Tertahan 2 6" xfId="27760"/>
    <cellStyle name="m_Rekap Biaya-Biaya BX-01 Yang Tertahan 2 6_Sheet1" xfId="27761"/>
    <cellStyle name="m_Rekap Biaya-Biaya BX-01 Yang Tertahan 2_Sheet1" xfId="27762"/>
    <cellStyle name="m_Rekap Biaya-Biaya BX-01 Yang Tertahan_Sheet1" xfId="27763"/>
    <cellStyle name="M_Sheet1" xfId="27764"/>
    <cellStyle name="M-0" xfId="27765"/>
    <cellStyle name="MainDescription" xfId="27766"/>
    <cellStyle name="MainDescription 2" xfId="27767"/>
    <cellStyle name="MainDescription_Sheet1" xfId="27768"/>
    <cellStyle name="Measure" xfId="27769"/>
    <cellStyle name="Millares [0]_Cierre 99" xfId="27770"/>
    <cellStyle name="Millares_Cierre 99" xfId="27771"/>
    <cellStyle name="Milliers [0]_AR1194" xfId="27772"/>
    <cellStyle name="Milliers_AR1194" xfId="27773"/>
    <cellStyle name="Misc" xfId="27774"/>
    <cellStyle name="m-o" xfId="27775"/>
    <cellStyle name="Model" xfId="27776"/>
    <cellStyle name="Moeda [0]_PLDT" xfId="27777"/>
    <cellStyle name="Moeda_PLDT" xfId="27778"/>
    <cellStyle name="Moneda [0]_ACUMINS" xfId="27779"/>
    <cellStyle name="Moneda_ACUMINS" xfId="27780"/>
    <cellStyle name="Monétaire [0]_AR1194" xfId="27781"/>
    <cellStyle name="Monétaire_AR1194" xfId="27782"/>
    <cellStyle name="Monetario" xfId="27783"/>
    <cellStyle name="MT" xfId="27784"/>
    <cellStyle name="MT 2" xfId="27785"/>
    <cellStyle name="MT 2 2" xfId="27786"/>
    <cellStyle name="MT 2 2 2" xfId="27787"/>
    <cellStyle name="MT 2 2_Sheet1" xfId="27788"/>
    <cellStyle name="MT 2 3" xfId="27789"/>
    <cellStyle name="MT 2_Sheet1" xfId="27790"/>
    <cellStyle name="MT 3" xfId="27791"/>
    <cellStyle name="MT 3 2" xfId="27792"/>
    <cellStyle name="MT 3_Sheet1" xfId="27793"/>
    <cellStyle name="MT 4" xfId="27794"/>
    <cellStyle name="MT_Sheet1" xfId="27795"/>
    <cellStyle name="n" xfId="27796"/>
    <cellStyle name="n_Sheet1" xfId="27797"/>
    <cellStyle name="NA is zero" xfId="27798"/>
    <cellStyle name="Net Off" xfId="27799"/>
    <cellStyle name="Netral" xfId="27800"/>
    <cellStyle name="Neutral 2" xfId="27801"/>
    <cellStyle name="Neutral 2 10" xfId="27802"/>
    <cellStyle name="Neutral 2 11" xfId="27803"/>
    <cellStyle name="Neutral 2 12" xfId="27804"/>
    <cellStyle name="Neutral 2 13" xfId="27805"/>
    <cellStyle name="Neutral 2 2" xfId="27806"/>
    <cellStyle name="Neutral 2 3" xfId="27807"/>
    <cellStyle name="Neutral 2 4" xfId="27808"/>
    <cellStyle name="Neutral 2 5" xfId="27809"/>
    <cellStyle name="Neutral 2 6" xfId="27810"/>
    <cellStyle name="Neutral 2 7" xfId="27811"/>
    <cellStyle name="Neutral 2 8" xfId="27812"/>
    <cellStyle name="Neutral 2 9" xfId="27813"/>
    <cellStyle name="Neutral 2_Laporan Aspal Per Bulan 2009" xfId="27814"/>
    <cellStyle name="Neutral 3" xfId="27815"/>
    <cellStyle name="Neutral 3 2" xfId="27816"/>
    <cellStyle name="Neutral 3 3" xfId="27817"/>
    <cellStyle name="Neutral 3 4" xfId="27818"/>
    <cellStyle name="Neutral 3 5" xfId="27819"/>
    <cellStyle name="Neutral 3_Sheet1" xfId="27820"/>
    <cellStyle name="Neutral 4" xfId="27821"/>
    <cellStyle name="Neutral 4 2" xfId="27822"/>
    <cellStyle name="Neutral 4 3" xfId="27823"/>
    <cellStyle name="Neutral 4 4" xfId="27824"/>
    <cellStyle name="Neutral 4_Sheet1" xfId="27825"/>
    <cellStyle name="Neutral 5" xfId="27826"/>
    <cellStyle name="Neutral 5 2" xfId="27827"/>
    <cellStyle name="Neutral 5 3" xfId="27828"/>
    <cellStyle name="Neutral 5_Sheet1" xfId="27829"/>
    <cellStyle name="Neutral 6" xfId="27830"/>
    <cellStyle name="Neutral 6 2" xfId="27831"/>
    <cellStyle name="Neutral 6_Sheet1" xfId="27832"/>
    <cellStyle name="Neutral 7" xfId="27833"/>
    <cellStyle name="Neutral 8" xfId="27834"/>
    <cellStyle name="New Times Roman" xfId="27835"/>
    <cellStyle name="nilai" xfId="27836"/>
    <cellStyle name="nilai 2" xfId="27837"/>
    <cellStyle name="nilai 2 2" xfId="27838"/>
    <cellStyle name="nilai 2_Sheet1" xfId="27839"/>
    <cellStyle name="nilai_Sheet1" xfId="27840"/>
    <cellStyle name="no dec" xfId="27841"/>
    <cellStyle name="Normal" xfId="0" builtinId="0"/>
    <cellStyle name="Normal - Style1" xfId="27842"/>
    <cellStyle name="Normal - Style1 2" xfId="27843"/>
    <cellStyle name="Normal - Style1 3" xfId="27844"/>
    <cellStyle name="Normal - Style1 4" xfId="27845"/>
    <cellStyle name="Normal - Style1 5" xfId="27846"/>
    <cellStyle name="Normal - Style1_Schedule MP (2)" xfId="27847"/>
    <cellStyle name="Normal - Style2" xfId="27848"/>
    <cellStyle name="Normal - Style3" xfId="27849"/>
    <cellStyle name="Normal - Style4" xfId="27850"/>
    <cellStyle name="Normal - Style5" xfId="27851"/>
    <cellStyle name="Normal - Style5 2" xfId="27852"/>
    <cellStyle name="Normal - Style5_Sheet1" xfId="27853"/>
    <cellStyle name="Normal - Style6" xfId="27854"/>
    <cellStyle name="Normal - Style6 2" xfId="27855"/>
    <cellStyle name="Normal - Style6_Sheet1" xfId="27856"/>
    <cellStyle name="Normal - Style7" xfId="27857"/>
    <cellStyle name="Normal - Style8" xfId="27858"/>
    <cellStyle name="Normal (1)" xfId="27859"/>
    <cellStyle name="Normal (1) 2" xfId="27860"/>
    <cellStyle name="Normal (1)_Sheet1" xfId="27861"/>
    <cellStyle name="Normal [0]" xfId="27862"/>
    <cellStyle name="Normal [1]" xfId="27863"/>
    <cellStyle name="Normal [1] 2" xfId="27864"/>
    <cellStyle name="Normal [1]_Sheet1" xfId="27865"/>
    <cellStyle name="Normal [2]" xfId="27866"/>
    <cellStyle name="Normal [3]" xfId="27867"/>
    <cellStyle name="Normal 10" xfId="27868"/>
    <cellStyle name="Normal 10 2" xfId="27869"/>
    <cellStyle name="Normal 10 2 2" xfId="27870"/>
    <cellStyle name="Normal 10 2 2 2" xfId="27871"/>
    <cellStyle name="Normal 10 2 2 3" xfId="27872"/>
    <cellStyle name="Normal 10 2 2 4" xfId="27873"/>
    <cellStyle name="Normal 10 2 2 5" xfId="27874"/>
    <cellStyle name="Normal 10 2 2 6" xfId="27875"/>
    <cellStyle name="Normal 10 2 2 7" xfId="1"/>
    <cellStyle name="Normal 10 2 3" xfId="27876"/>
    <cellStyle name="Normal 10 2 3 2" xfId="27877"/>
    <cellStyle name="Normal 10 2 3 3" xfId="27878"/>
    <cellStyle name="Normal 10 2 3 4" xfId="27879"/>
    <cellStyle name="Normal 10 2 3 5" xfId="27880"/>
    <cellStyle name="Normal 10 2 3 6" xfId="27881"/>
    <cellStyle name="Normal 10 2 3_Sheet1" xfId="27882"/>
    <cellStyle name="Normal 10 2 4" xfId="27883"/>
    <cellStyle name="Normal 10 2 5" xfId="27884"/>
    <cellStyle name="Normal 10 2 6" xfId="27885"/>
    <cellStyle name="Normal 10 2 7" xfId="27886"/>
    <cellStyle name="Normal 10 2 7 2" xfId="27887"/>
    <cellStyle name="Normal 10 2 8" xfId="27888"/>
    <cellStyle name="Normal 10 2 9" xfId="27889"/>
    <cellStyle name="Normal 10 3" xfId="27890"/>
    <cellStyle name="Normal 10 3 2" xfId="27891"/>
    <cellStyle name="Normal 10 4" xfId="27892"/>
    <cellStyle name="Normal 10 5" xfId="27893"/>
    <cellStyle name="Normal 10 6" xfId="27894"/>
    <cellStyle name="Normal 100" xfId="27895"/>
    <cellStyle name="Normal 101" xfId="27896"/>
    <cellStyle name="Normal 102" xfId="27897"/>
    <cellStyle name="Normal 103" xfId="27898"/>
    <cellStyle name="Normal 104" xfId="27899"/>
    <cellStyle name="Normal 105" xfId="27900"/>
    <cellStyle name="Normal 106" xfId="27901"/>
    <cellStyle name="Normal 107" xfId="27902"/>
    <cellStyle name="Normal 108" xfId="27903"/>
    <cellStyle name="Normal 109" xfId="27904"/>
    <cellStyle name="Normal 11" xfId="27905"/>
    <cellStyle name="Normal 11 10" xfId="27906"/>
    <cellStyle name="Normal 11 11" xfId="27907"/>
    <cellStyle name="Normal 11 2" xfId="27908"/>
    <cellStyle name="Normal 11 2 2" xfId="27909"/>
    <cellStyle name="Normal 11 2 2 2" xfId="27910"/>
    <cellStyle name="Normal 11 2 3" xfId="27911"/>
    <cellStyle name="Normal 11 3" xfId="27912"/>
    <cellStyle name="Normal 11 3 2" xfId="27913"/>
    <cellStyle name="Normal 11 3 2 2" xfId="27914"/>
    <cellStyle name="Normal 11 3 3" xfId="27915"/>
    <cellStyle name="Normal 11 4" xfId="27916"/>
    <cellStyle name="Normal 11 4 2" xfId="27917"/>
    <cellStyle name="Normal 11 4 2 2" xfId="27918"/>
    <cellStyle name="Normal 11 4 2 2 2" xfId="27919"/>
    <cellStyle name="Normal 11 4 2 2 2 2" xfId="27920"/>
    <cellStyle name="Normal 11 4 2 2 2 2 2" xfId="27921"/>
    <cellStyle name="Normal 11 4 2 2 2 2 2 2" xfId="27922"/>
    <cellStyle name="Normal 11 4 2 2 2 2 3" xfId="27923"/>
    <cellStyle name="Normal 11 4 2 2 2 2 3 2" xfId="27924"/>
    <cellStyle name="Normal 11 4 2 2 2 2 4" xfId="27925"/>
    <cellStyle name="Normal 11 4 2 2 2 2 4 2" xfId="27926"/>
    <cellStyle name="Normal 11 4 2 2 2 2 5" xfId="27927"/>
    <cellStyle name="Normal 11 4 2 2 2 3" xfId="27928"/>
    <cellStyle name="Normal 11 4 2 2 2 3 2" xfId="27929"/>
    <cellStyle name="Normal 11 4 2 2 2 4" xfId="27930"/>
    <cellStyle name="Normal 11 4 2 2 3" xfId="27931"/>
    <cellStyle name="Normal 11 4 2 2 3 2" xfId="27932"/>
    <cellStyle name="Normal 11 4 2 2 4" xfId="27933"/>
    <cellStyle name="Normal 11 4 2 2 4 2" xfId="27934"/>
    <cellStyle name="Normal 11 4 2 2 5" xfId="27935"/>
    <cellStyle name="Normal 11 4 2 3" xfId="27936"/>
    <cellStyle name="Normal 11 4 2 3 2" xfId="27937"/>
    <cellStyle name="Normal 11 4 2 4" xfId="27938"/>
    <cellStyle name="Normal 11 4 2 5" xfId="27939"/>
    <cellStyle name="Normal 11 4 2 6" xfId="27940"/>
    <cellStyle name="Normal 11 4 3" xfId="27941"/>
    <cellStyle name="Normal 11 4 3 2" xfId="27942"/>
    <cellStyle name="Normal 11 4 4" xfId="27943"/>
    <cellStyle name="Normal 11 4 5" xfId="27944"/>
    <cellStyle name="Normal 11 4 6" xfId="27945"/>
    <cellStyle name="Normal 11 4 7" xfId="27946"/>
    <cellStyle name="Normal 11 5" xfId="27947"/>
    <cellStyle name="Normal 11 5 2" xfId="27948"/>
    <cellStyle name="Normal 11 5 3" xfId="27949"/>
    <cellStyle name="Normal 11 5 4" xfId="27950"/>
    <cellStyle name="Normal 11 5 5" xfId="27951"/>
    <cellStyle name="Normal 11 5 6" xfId="27952"/>
    <cellStyle name="Normal 11 5 7" xfId="27953"/>
    <cellStyle name="Normal 11 5 8" xfId="27954"/>
    <cellStyle name="Normal 11 5 9" xfId="27955"/>
    <cellStyle name="Normal 11 5 9 2" xfId="27956"/>
    <cellStyle name="Normal 11 5 9 2 2" xfId="27957"/>
    <cellStyle name="Normal 11 5 9 2 2 2" xfId="27958"/>
    <cellStyle name="Normal 11 5 9 2 2 2 2" xfId="27959"/>
    <cellStyle name="Normal 11 5 9 2 2 2_Sheet1" xfId="27960"/>
    <cellStyle name="Normal 11 5 9 2 2_Sheet1" xfId="27961"/>
    <cellStyle name="Normal 11 5 9 2_Sheet1" xfId="27962"/>
    <cellStyle name="Normal 11 5 9_Sheet1" xfId="27963"/>
    <cellStyle name="Normal 11 6" xfId="27964"/>
    <cellStyle name="Normal 11 7" xfId="27965"/>
    <cellStyle name="Normal 11 8" xfId="27966"/>
    <cellStyle name="Normal 11 9" xfId="27967"/>
    <cellStyle name="Normal 110" xfId="27968"/>
    <cellStyle name="Normal 110 2" xfId="27969"/>
    <cellStyle name="Normal 110 3" xfId="27970"/>
    <cellStyle name="Normal 110_Sheet1" xfId="27971"/>
    <cellStyle name="Normal 111" xfId="27972"/>
    <cellStyle name="Normal 112" xfId="27973"/>
    <cellStyle name="Normal 113" xfId="27974"/>
    <cellStyle name="Normal 114" xfId="27975"/>
    <cellStyle name="Normal 115" xfId="27976"/>
    <cellStyle name="Normal 116" xfId="27977"/>
    <cellStyle name="Normal 117" xfId="27978"/>
    <cellStyle name="Normal 118" xfId="27979"/>
    <cellStyle name="Normal 119" xfId="27980"/>
    <cellStyle name="Normal 12" xfId="27981"/>
    <cellStyle name="Normal 12 10" xfId="27982"/>
    <cellStyle name="Normal 12 11" xfId="27983"/>
    <cellStyle name="Normal 12 12" xfId="27984"/>
    <cellStyle name="Normal 12 13" xfId="27985"/>
    <cellStyle name="Normal 12 14" xfId="27986"/>
    <cellStyle name="Normal 12 15" xfId="27987"/>
    <cellStyle name="Normal 12 2" xfId="27988"/>
    <cellStyle name="Normal 12 2 2" xfId="27989"/>
    <cellStyle name="Normal 12 2 3" xfId="27990"/>
    <cellStyle name="Normal 12 2 4" xfId="27991"/>
    <cellStyle name="Normal 12 2 5" xfId="27992"/>
    <cellStyle name="Normal 12 2 6" xfId="27993"/>
    <cellStyle name="Normal 12 2 7" xfId="27994"/>
    <cellStyle name="Normal 12 2_Sheet1" xfId="27995"/>
    <cellStyle name="Normal 12 3" xfId="27996"/>
    <cellStyle name="Normal 12 3 2" xfId="27997"/>
    <cellStyle name="Normal 12 3 3" xfId="27998"/>
    <cellStyle name="Normal 12 3 4" xfId="27999"/>
    <cellStyle name="Normal 12 3 5" xfId="28000"/>
    <cellStyle name="Normal 12 3 6" xfId="28001"/>
    <cellStyle name="Normal 12 3 7" xfId="28002"/>
    <cellStyle name="Normal 12 3_Sheet1" xfId="28003"/>
    <cellStyle name="Normal 12 4" xfId="28004"/>
    <cellStyle name="Normal 12 5" xfId="28005"/>
    <cellStyle name="Normal 12 6" xfId="28006"/>
    <cellStyle name="Normal 12 7" xfId="28007"/>
    <cellStyle name="Normal 12 8" xfId="28008"/>
    <cellStyle name="Normal 12 9" xfId="28009"/>
    <cellStyle name="Normal 12_Sheet1" xfId="28010"/>
    <cellStyle name="Normal 120" xfId="28011"/>
    <cellStyle name="Normal 120 2" xfId="28012"/>
    <cellStyle name="Normal 120 2 2" xfId="28013"/>
    <cellStyle name="Normal 121" xfId="28014"/>
    <cellStyle name="Normal 122" xfId="28015"/>
    <cellStyle name="Normal 123" xfId="28016"/>
    <cellStyle name="Normal 126" xfId="49414"/>
    <cellStyle name="Normal 129" xfId="28017"/>
    <cellStyle name="Normal 13" xfId="28018"/>
    <cellStyle name="Normal 13 2" xfId="28019"/>
    <cellStyle name="Normal 13 2 2" xfId="28020"/>
    <cellStyle name="Normal 13 2 3" xfId="28021"/>
    <cellStyle name="Normal 13 2 4" xfId="28022"/>
    <cellStyle name="Normal 13 2 5" xfId="28023"/>
    <cellStyle name="Normal 13 2 6" xfId="28024"/>
    <cellStyle name="Normal 13 2 7" xfId="28025"/>
    <cellStyle name="Normal 13 3" xfId="28026"/>
    <cellStyle name="Normal 13_Sheet1" xfId="28027"/>
    <cellStyle name="Normal 14" xfId="28028"/>
    <cellStyle name="Normal 14 2" xfId="28029"/>
    <cellStyle name="Normal 14 2 2" xfId="28030"/>
    <cellStyle name="Normal 14 2 2 2" xfId="28031"/>
    <cellStyle name="Normal 14 2 2 2 2" xfId="28032"/>
    <cellStyle name="Normal 14 2 2 2 2 2" xfId="28033"/>
    <cellStyle name="Normal 14 2 2 2 2 2 2" xfId="28034"/>
    <cellStyle name="Normal 14 2 2 2 2 2 2 2" xfId="28035"/>
    <cellStyle name="Normal 14 2 2 2 2 2 3" xfId="28036"/>
    <cellStyle name="Normal 14 2 2 2 2 2 3 2" xfId="28037"/>
    <cellStyle name="Normal 14 2 2 2 2 2 4" xfId="28038"/>
    <cellStyle name="Normal 14 2 2 2 2 2 4 2" xfId="28039"/>
    <cellStyle name="Normal 14 2 2 2 2 2 4_Sheet1" xfId="28040"/>
    <cellStyle name="Normal 14 2 2 2 2 3" xfId="28041"/>
    <cellStyle name="Normal 14 2 2 2 2 3 2" xfId="28042"/>
    <cellStyle name="Normal 14 2 2 2 2 4" xfId="28043"/>
    <cellStyle name="Normal 14 2 2 2 3" xfId="28044"/>
    <cellStyle name="Normal 14 2 2 2 3 2" xfId="28045"/>
    <cellStyle name="Normal 14 2 2 2 4" xfId="28046"/>
    <cellStyle name="Normal 14 2 2 3" xfId="28047"/>
    <cellStyle name="Normal 14 2 2 3 2" xfId="28048"/>
    <cellStyle name="Normal 14 2 2 4" xfId="28049"/>
    <cellStyle name="Normal 14 2 3" xfId="28050"/>
    <cellStyle name="Normal 14 2 3 2" xfId="28051"/>
    <cellStyle name="Normal 14 2 4" xfId="28052"/>
    <cellStyle name="Normal 14 3" xfId="28053"/>
    <cellStyle name="Normal 14 3 2" xfId="28054"/>
    <cellStyle name="Normal 14 4" xfId="28055"/>
    <cellStyle name="Normal 15" xfId="28056"/>
    <cellStyle name="Normal 15 2" xfId="28057"/>
    <cellStyle name="Normal 15 2 2" xfId="28058"/>
    <cellStyle name="Normal 15 2 3" xfId="28059"/>
    <cellStyle name="Normal 15 2 4" xfId="28060"/>
    <cellStyle name="Normal 15 2 5" xfId="28061"/>
    <cellStyle name="Normal 15 2 6" xfId="28062"/>
    <cellStyle name="Normal 15 2_Sheet1" xfId="28063"/>
    <cellStyle name="Normal 15 3" xfId="28064"/>
    <cellStyle name="Normal 15 3 2" xfId="28065"/>
    <cellStyle name="Normal 15 3 3" xfId="28066"/>
    <cellStyle name="Normal 15 3 4" xfId="28067"/>
    <cellStyle name="Normal 15 3 5" xfId="28068"/>
    <cellStyle name="Normal 15 3 6" xfId="28069"/>
    <cellStyle name="Normal 15 3_Sheet1" xfId="28070"/>
    <cellStyle name="Normal 15 4" xfId="28071"/>
    <cellStyle name="Normal 15_Sheet1" xfId="28072"/>
    <cellStyle name="Normal 154 2" xfId="28073"/>
    <cellStyle name="Normal 154 2 2" xfId="28074"/>
    <cellStyle name="Normal 154 2 2 2" xfId="28075"/>
    <cellStyle name="Normal 154 2 2_Sheet1" xfId="28076"/>
    <cellStyle name="Normal 154 2_Sheet1" xfId="28077"/>
    <cellStyle name="Normal 16" xfId="28078"/>
    <cellStyle name="Normal 16 2" xfId="28079"/>
    <cellStyle name="Normal 16 2 2" xfId="28080"/>
    <cellStyle name="Normal 16 2 2 2" xfId="28081"/>
    <cellStyle name="Normal 16 2 2 3" xfId="28082"/>
    <cellStyle name="Normal 16 2 2 4" xfId="28083"/>
    <cellStyle name="Normal 16 2 2 5" xfId="28084"/>
    <cellStyle name="Normal 16 2 2 6" xfId="28085"/>
    <cellStyle name="Normal 16 2 2_Sheet1" xfId="28086"/>
    <cellStyle name="Normal 16 2 3" xfId="28087"/>
    <cellStyle name="Normal 16 2 4" xfId="28088"/>
    <cellStyle name="Normal 16 2 5" xfId="28089"/>
    <cellStyle name="Normal 16 2 6" xfId="28090"/>
    <cellStyle name="Normal 16 2 7" xfId="28091"/>
    <cellStyle name="Normal 16 3" xfId="28092"/>
    <cellStyle name="Normal 16 3 2" xfId="28093"/>
    <cellStyle name="Normal 16 3 3" xfId="28094"/>
    <cellStyle name="Normal 16 3 4" xfId="28095"/>
    <cellStyle name="Normal 16 3 5" xfId="28096"/>
    <cellStyle name="Normal 16 3 6" xfId="28097"/>
    <cellStyle name="Normal 16 3 7" xfId="28098"/>
    <cellStyle name="Normal 16 3_Sheet1" xfId="28099"/>
    <cellStyle name="Normal 16 4" xfId="28100"/>
    <cellStyle name="Normal 16 4 2" xfId="28101"/>
    <cellStyle name="Normal 16 4 3" xfId="28102"/>
    <cellStyle name="Normal 16 4 4" xfId="28103"/>
    <cellStyle name="Normal 16 4 5" xfId="28104"/>
    <cellStyle name="Normal 16 4 6" xfId="28105"/>
    <cellStyle name="Normal 16 4 7" xfId="28106"/>
    <cellStyle name="Normal 16 4_Sheet1" xfId="28107"/>
    <cellStyle name="Normal 16 5" xfId="28108"/>
    <cellStyle name="Normal 16 5 2" xfId="28109"/>
    <cellStyle name="Normal 16 5 3" xfId="28110"/>
    <cellStyle name="Normal 16 5 4" xfId="28111"/>
    <cellStyle name="Normal 16 5 5" xfId="28112"/>
    <cellStyle name="Normal 16 5 6" xfId="28113"/>
    <cellStyle name="Normal 16 5 7" xfId="28114"/>
    <cellStyle name="Normal 16 5_Sheet1" xfId="28115"/>
    <cellStyle name="Normal 16_OB Removal" xfId="28116"/>
    <cellStyle name="Normal 164" xfId="28117"/>
    <cellStyle name="Normal 17" xfId="28118"/>
    <cellStyle name="Normal 17 2" xfId="28119"/>
    <cellStyle name="Normal 17 2 2" xfId="28120"/>
    <cellStyle name="Normal 17 2 3" xfId="28121"/>
    <cellStyle name="Normal 17 2 4" xfId="28122"/>
    <cellStyle name="Normal 17 2 5" xfId="28123"/>
    <cellStyle name="Normal 17 2 6" xfId="28124"/>
    <cellStyle name="Normal 17 2 7" xfId="28125"/>
    <cellStyle name="Normal 17 2_Sheet1" xfId="28126"/>
    <cellStyle name="Normal 17 3" xfId="28127"/>
    <cellStyle name="Normal 17 3 2" xfId="28128"/>
    <cellStyle name="Normal 17 3 3" xfId="28129"/>
    <cellStyle name="Normal 17 3 4" xfId="28130"/>
    <cellStyle name="Normal 17 3 5" xfId="28131"/>
    <cellStyle name="Normal 17 3 6" xfId="28132"/>
    <cellStyle name="Normal 17 3 7" xfId="28133"/>
    <cellStyle name="Normal 17 3_Sheet1" xfId="28134"/>
    <cellStyle name="Normal 17 4" xfId="28135"/>
    <cellStyle name="Normal 17 4 2" xfId="28136"/>
    <cellStyle name="Normal 17 4 3" xfId="28137"/>
    <cellStyle name="Normal 17 4 4" xfId="28138"/>
    <cellStyle name="Normal 17 4 5" xfId="28139"/>
    <cellStyle name="Normal 17 4 6" xfId="28140"/>
    <cellStyle name="Normal 17 4 7" xfId="28141"/>
    <cellStyle name="Normal 17 4_Sheet1" xfId="28142"/>
    <cellStyle name="Normal 17 5" xfId="28143"/>
    <cellStyle name="Normal 17 5 2" xfId="28144"/>
    <cellStyle name="Normal 17 5 3" xfId="28145"/>
    <cellStyle name="Normal 17 5 4" xfId="28146"/>
    <cellStyle name="Normal 17 5 5" xfId="28147"/>
    <cellStyle name="Normal 17 5 6" xfId="28148"/>
    <cellStyle name="Normal 17 5 7" xfId="28149"/>
    <cellStyle name="Normal 17 5_Sheet1" xfId="28150"/>
    <cellStyle name="Normal 18" xfId="28151"/>
    <cellStyle name="Normal 18 2" xfId="28152"/>
    <cellStyle name="Normal 18 2 2" xfId="28153"/>
    <cellStyle name="Normal 18 2 3" xfId="28154"/>
    <cellStyle name="Normal 18 2 4" xfId="28155"/>
    <cellStyle name="Normal 18 2 5" xfId="28156"/>
    <cellStyle name="Normal 18 2 6" xfId="28157"/>
    <cellStyle name="Normal 18 2 7" xfId="28158"/>
    <cellStyle name="Normal 18 2_Sheet1" xfId="28159"/>
    <cellStyle name="Normal 18 3" xfId="28160"/>
    <cellStyle name="Normal 18 3 2" xfId="28161"/>
    <cellStyle name="Normal 18 3 3" xfId="28162"/>
    <cellStyle name="Normal 18 3 4" xfId="28163"/>
    <cellStyle name="Normal 18 3 5" xfId="28164"/>
    <cellStyle name="Normal 18 3 6" xfId="28165"/>
    <cellStyle name="Normal 18 3 7" xfId="28166"/>
    <cellStyle name="Normal 18 3_Sheet1" xfId="28167"/>
    <cellStyle name="Normal 18 4" xfId="28168"/>
    <cellStyle name="Normal 18 4 2" xfId="28169"/>
    <cellStyle name="Normal 18 4 3" xfId="28170"/>
    <cellStyle name="Normal 18 4 4" xfId="28171"/>
    <cellStyle name="Normal 18 4 5" xfId="28172"/>
    <cellStyle name="Normal 18 4 6" xfId="28173"/>
    <cellStyle name="Normal 18 4 7" xfId="28174"/>
    <cellStyle name="Normal 18 4_Sheet1" xfId="28175"/>
    <cellStyle name="Normal 18 5" xfId="28176"/>
    <cellStyle name="Normal 18 5 2" xfId="28177"/>
    <cellStyle name="Normal 18 5 3" xfId="28178"/>
    <cellStyle name="Normal 18 5 4" xfId="28179"/>
    <cellStyle name="Normal 18 5 5" xfId="28180"/>
    <cellStyle name="Normal 18 5 6" xfId="28181"/>
    <cellStyle name="Normal 18 5 7" xfId="28182"/>
    <cellStyle name="Normal 18 5_Sheet1" xfId="28183"/>
    <cellStyle name="Normal 18_Sheet1" xfId="28184"/>
    <cellStyle name="Normal 183" xfId="28185"/>
    <cellStyle name="Normal 186" xfId="28186"/>
    <cellStyle name="Normal 19" xfId="28187"/>
    <cellStyle name="Normal 19 10" xfId="28188"/>
    <cellStyle name="Normal 19 11" xfId="28189"/>
    <cellStyle name="Normal 19 2" xfId="28190"/>
    <cellStyle name="Normal 19 2 2" xfId="28191"/>
    <cellStyle name="Normal 19 2 3" xfId="28192"/>
    <cellStyle name="Normal 19 2 4" xfId="28193"/>
    <cellStyle name="Normal 19 2 5" xfId="28194"/>
    <cellStyle name="Normal 19 2 6" xfId="28195"/>
    <cellStyle name="Normal 19 2 7" xfId="28196"/>
    <cellStyle name="Normal 19 2_Sheet1" xfId="28197"/>
    <cellStyle name="Normal 19 3" xfId="28198"/>
    <cellStyle name="Normal 19 3 2" xfId="28199"/>
    <cellStyle name="Normal 19 3 3" xfId="28200"/>
    <cellStyle name="Normal 19 3 4" xfId="28201"/>
    <cellStyle name="Normal 19 3 5" xfId="28202"/>
    <cellStyle name="Normal 19 3 6" xfId="28203"/>
    <cellStyle name="Normal 19 3 7" xfId="28204"/>
    <cellStyle name="Normal 19 3_Sheet1" xfId="28205"/>
    <cellStyle name="Normal 19 4" xfId="28206"/>
    <cellStyle name="Normal 19 4 2" xfId="28207"/>
    <cellStyle name="Normal 19 4 3" xfId="28208"/>
    <cellStyle name="Normal 19 4 4" xfId="28209"/>
    <cellStyle name="Normal 19 4 5" xfId="28210"/>
    <cellStyle name="Normal 19 4 6" xfId="28211"/>
    <cellStyle name="Normal 19 4 7" xfId="28212"/>
    <cellStyle name="Normal 19 4_Sheet1" xfId="28213"/>
    <cellStyle name="Normal 19 5" xfId="28214"/>
    <cellStyle name="Normal 19 5 2" xfId="28215"/>
    <cellStyle name="Normal 19 5 3" xfId="28216"/>
    <cellStyle name="Normal 19 5 4" xfId="28217"/>
    <cellStyle name="Normal 19 5 5" xfId="28218"/>
    <cellStyle name="Normal 19 5 6" xfId="28219"/>
    <cellStyle name="Normal 19 5 7" xfId="28220"/>
    <cellStyle name="Normal 19 5_Sheet1" xfId="28221"/>
    <cellStyle name="Normal 19 6" xfId="28222"/>
    <cellStyle name="Normal 19 7" xfId="28223"/>
    <cellStyle name="Normal 19 8" xfId="28224"/>
    <cellStyle name="Normal 19 9" xfId="28225"/>
    <cellStyle name="Normal 19_Sheet1" xfId="28226"/>
    <cellStyle name="Normal 2" xfId="28227"/>
    <cellStyle name="Normal 2 10" xfId="28228"/>
    <cellStyle name="Normal 2 10 10" xfId="28229"/>
    <cellStyle name="Normal 2 10 11" xfId="28230"/>
    <cellStyle name="Normal 2 10 12" xfId="28231"/>
    <cellStyle name="Normal 2 10 13" xfId="28232"/>
    <cellStyle name="Normal 2 10 14" xfId="28233"/>
    <cellStyle name="Normal 2 10 15" xfId="28234"/>
    <cellStyle name="Normal 2 10 16" xfId="28235"/>
    <cellStyle name="Normal 2 10 17" xfId="28236"/>
    <cellStyle name="Normal 2 10 2" xfId="28237"/>
    <cellStyle name="Normal 2 10 2 10" xfId="28238"/>
    <cellStyle name="Normal 2 10 2 11" xfId="28239"/>
    <cellStyle name="Normal 2 10 2 12" xfId="28240"/>
    <cellStyle name="Normal 2 10 2 13" xfId="28241"/>
    <cellStyle name="Normal 2 10 2 14" xfId="28242"/>
    <cellStyle name="Normal 2 10 2 2" xfId="28243"/>
    <cellStyle name="Normal 2 10 2 3" xfId="28244"/>
    <cellStyle name="Normal 2 10 2 4" xfId="28245"/>
    <cellStyle name="Normal 2 10 2 5" xfId="28246"/>
    <cellStyle name="Normal 2 10 2 6" xfId="28247"/>
    <cellStyle name="Normal 2 10 2 7" xfId="28248"/>
    <cellStyle name="Normal 2 10 2 8" xfId="28249"/>
    <cellStyle name="Normal 2 10 2 9" xfId="28250"/>
    <cellStyle name="Normal 2 10 2_Sheet1" xfId="28251"/>
    <cellStyle name="Normal 2 10 3" xfId="28252"/>
    <cellStyle name="Normal 2 10 4" xfId="28253"/>
    <cellStyle name="Normal 2 10 5" xfId="28254"/>
    <cellStyle name="Normal 2 10 6" xfId="28255"/>
    <cellStyle name="Normal 2 10 7" xfId="28256"/>
    <cellStyle name="Normal 2 10 8" xfId="28257"/>
    <cellStyle name="Normal 2 10 9" xfId="28258"/>
    <cellStyle name="Normal 2 10_Sheet1" xfId="28259"/>
    <cellStyle name="Normal 2 100" xfId="5"/>
    <cellStyle name="Normal 2 101" xfId="28260"/>
    <cellStyle name="Normal 2 101 2" xfId="28261"/>
    <cellStyle name="Normal 2 101 2 2" xfId="28262"/>
    <cellStyle name="Normal 2 101 2 2 2" xfId="28263"/>
    <cellStyle name="Normal 2 11" xfId="28264"/>
    <cellStyle name="Normal 2 11 10" xfId="28265"/>
    <cellStyle name="Normal 2 11 11" xfId="28266"/>
    <cellStyle name="Normal 2 11 12" xfId="28267"/>
    <cellStyle name="Normal 2 11 13" xfId="28268"/>
    <cellStyle name="Normal 2 11 14" xfId="28269"/>
    <cellStyle name="Normal 2 11 15" xfId="28270"/>
    <cellStyle name="Normal 2 11 16" xfId="28271"/>
    <cellStyle name="Normal 2 11 17" xfId="28272"/>
    <cellStyle name="Normal 2 11 2" xfId="28273"/>
    <cellStyle name="Normal 2 11 2 10" xfId="28274"/>
    <cellStyle name="Normal 2 11 2 11" xfId="28275"/>
    <cellStyle name="Normal 2 11 2 12" xfId="28276"/>
    <cellStyle name="Normal 2 11 2 13" xfId="28277"/>
    <cellStyle name="Normal 2 11 2 14" xfId="28278"/>
    <cellStyle name="Normal 2 11 2 2" xfId="28279"/>
    <cellStyle name="Normal 2 11 2 3" xfId="28280"/>
    <cellStyle name="Normal 2 11 2 4" xfId="28281"/>
    <cellStyle name="Normal 2 11 2 5" xfId="28282"/>
    <cellStyle name="Normal 2 11 2 6" xfId="28283"/>
    <cellStyle name="Normal 2 11 2 7" xfId="28284"/>
    <cellStyle name="Normal 2 11 2 8" xfId="28285"/>
    <cellStyle name="Normal 2 11 2 9" xfId="28286"/>
    <cellStyle name="Normal 2 11 2_Sheet1" xfId="28287"/>
    <cellStyle name="Normal 2 11 3" xfId="28288"/>
    <cellStyle name="Normal 2 11 4" xfId="28289"/>
    <cellStyle name="Normal 2 11 5" xfId="28290"/>
    <cellStyle name="Normal 2 11 6" xfId="28291"/>
    <cellStyle name="Normal 2 11 7" xfId="28292"/>
    <cellStyle name="Normal 2 11 8" xfId="28293"/>
    <cellStyle name="Normal 2 11 9" xfId="28294"/>
    <cellStyle name="Normal 2 11_Sheet1" xfId="28295"/>
    <cellStyle name="Normal 2 12" xfId="28296"/>
    <cellStyle name="Normal 2 12 10" xfId="28297"/>
    <cellStyle name="Normal 2 12 11" xfId="28298"/>
    <cellStyle name="Normal 2 12 12" xfId="28299"/>
    <cellStyle name="Normal 2 12 13" xfId="28300"/>
    <cellStyle name="Normal 2 12 2" xfId="28301"/>
    <cellStyle name="Normal 2 12 3" xfId="28302"/>
    <cellStyle name="Normal 2 12 4" xfId="28303"/>
    <cellStyle name="Normal 2 12 5" xfId="28304"/>
    <cellStyle name="Normal 2 12 6" xfId="28305"/>
    <cellStyle name="Normal 2 12 7" xfId="28306"/>
    <cellStyle name="Normal 2 12 8" xfId="28307"/>
    <cellStyle name="Normal 2 12 9" xfId="28308"/>
    <cellStyle name="Normal 2 13" xfId="28309"/>
    <cellStyle name="Normal 2 13 10" xfId="28310"/>
    <cellStyle name="Normal 2 13 11" xfId="28311"/>
    <cellStyle name="Normal 2 13 12" xfId="28312"/>
    <cellStyle name="Normal 2 13 13" xfId="28313"/>
    <cellStyle name="Normal 2 13 2" xfId="28314"/>
    <cellStyle name="Normal 2 13 3" xfId="28315"/>
    <cellStyle name="Normal 2 13 4" xfId="28316"/>
    <cellStyle name="Normal 2 13 5" xfId="28317"/>
    <cellStyle name="Normal 2 13 6" xfId="28318"/>
    <cellStyle name="Normal 2 13 7" xfId="28319"/>
    <cellStyle name="Normal 2 13 8" xfId="28320"/>
    <cellStyle name="Normal 2 13 9" xfId="28321"/>
    <cellStyle name="Normal 2 14" xfId="28322"/>
    <cellStyle name="Normal 2 15" xfId="28323"/>
    <cellStyle name="Normal 2 16" xfId="28324"/>
    <cellStyle name="Normal 2 17" xfId="28325"/>
    <cellStyle name="Normal 2 18" xfId="28326"/>
    <cellStyle name="Normal 2 19" xfId="28327"/>
    <cellStyle name="Normal 2 2" xfId="28328"/>
    <cellStyle name="Normal 2 2 10" xfId="28329"/>
    <cellStyle name="Normal 2 2 10 2" xfId="28330"/>
    <cellStyle name="Normal 2 2 10 3" xfId="28331"/>
    <cellStyle name="Normal 2 2 10 4" xfId="28332"/>
    <cellStyle name="Normal 2 2 10 5" xfId="28333"/>
    <cellStyle name="Normal 2 2 10 6" xfId="28334"/>
    <cellStyle name="Normal 2 2 10 7" xfId="28335"/>
    <cellStyle name="Normal 2 2 10_Sheet1" xfId="28336"/>
    <cellStyle name="Normal 2 2 11" xfId="28337"/>
    <cellStyle name="Normal 2 2 11 10" xfId="28338"/>
    <cellStyle name="Normal 2 2 11 11" xfId="28339"/>
    <cellStyle name="Normal 2 2 11 12" xfId="28340"/>
    <cellStyle name="Normal 2 2 11 13" xfId="28341"/>
    <cellStyle name="Normal 2 2 11 14" xfId="28342"/>
    <cellStyle name="Normal 2 2 11 15" xfId="28343"/>
    <cellStyle name="Normal 2 2 11 16" xfId="28344"/>
    <cellStyle name="Normal 2 2 11 17" xfId="28345"/>
    <cellStyle name="Normal 2 2 11 18" xfId="28346"/>
    <cellStyle name="Normal 2 2 11 19" xfId="28347"/>
    <cellStyle name="Normal 2 2 11 2" xfId="28348"/>
    <cellStyle name="Normal 2 2 11 20" xfId="28349"/>
    <cellStyle name="Normal 2 2 11 21" xfId="28350"/>
    <cellStyle name="Normal 2 2 11 22" xfId="28351"/>
    <cellStyle name="Normal 2 2 11 23" xfId="28352"/>
    <cellStyle name="Normal 2 2 11 24" xfId="28353"/>
    <cellStyle name="Normal 2 2 11 3" xfId="28354"/>
    <cellStyle name="Normal 2 2 11 4" xfId="28355"/>
    <cellStyle name="Normal 2 2 11 5" xfId="28356"/>
    <cellStyle name="Normal 2 2 11 6" xfId="28357"/>
    <cellStyle name="Normal 2 2 11 7" xfId="28358"/>
    <cellStyle name="Normal 2 2 11 8" xfId="28359"/>
    <cellStyle name="Normal 2 2 11 9" xfId="28360"/>
    <cellStyle name="Normal 2 2 11_Sheet1" xfId="28361"/>
    <cellStyle name="Normal 2 2 12" xfId="28362"/>
    <cellStyle name="Normal 2 2 12 10" xfId="28363"/>
    <cellStyle name="Normal 2 2 12 11" xfId="28364"/>
    <cellStyle name="Normal 2 2 12 12" xfId="28365"/>
    <cellStyle name="Normal 2 2 12 13" xfId="28366"/>
    <cellStyle name="Normal 2 2 12 14" xfId="28367"/>
    <cellStyle name="Normal 2 2 12 15" xfId="28368"/>
    <cellStyle name="Normal 2 2 12 16" xfId="28369"/>
    <cellStyle name="Normal 2 2 12 17" xfId="28370"/>
    <cellStyle name="Normal 2 2 12 2" xfId="28371"/>
    <cellStyle name="Normal 2 2 12 3" xfId="28372"/>
    <cellStyle name="Normal 2 2 12 4" xfId="28373"/>
    <cellStyle name="Normal 2 2 12 5" xfId="28374"/>
    <cellStyle name="Normal 2 2 12 6" xfId="28375"/>
    <cellStyle name="Normal 2 2 12 7" xfId="28376"/>
    <cellStyle name="Normal 2 2 12 8" xfId="28377"/>
    <cellStyle name="Normal 2 2 12 9" xfId="28378"/>
    <cellStyle name="Normal 2 2 12_Sheet1" xfId="28379"/>
    <cellStyle name="Normal 2 2 13" xfId="28380"/>
    <cellStyle name="Normal 2 2 13 10" xfId="28381"/>
    <cellStyle name="Normal 2 2 13 11" xfId="28382"/>
    <cellStyle name="Normal 2 2 13 12" xfId="28383"/>
    <cellStyle name="Normal 2 2 13 13" xfId="28384"/>
    <cellStyle name="Normal 2 2 13 14" xfId="28385"/>
    <cellStyle name="Normal 2 2 13 15" xfId="28386"/>
    <cellStyle name="Normal 2 2 13 16" xfId="28387"/>
    <cellStyle name="Normal 2 2 13 17" xfId="28388"/>
    <cellStyle name="Normal 2 2 13 2" xfId="28389"/>
    <cellStyle name="Normal 2 2 13 3" xfId="28390"/>
    <cellStyle name="Normal 2 2 13 4" xfId="28391"/>
    <cellStyle name="Normal 2 2 13 5" xfId="28392"/>
    <cellStyle name="Normal 2 2 13 6" xfId="28393"/>
    <cellStyle name="Normal 2 2 13 7" xfId="28394"/>
    <cellStyle name="Normal 2 2 13 8" xfId="28395"/>
    <cellStyle name="Normal 2 2 13 9" xfId="28396"/>
    <cellStyle name="Normal 2 2 13_Sheet1" xfId="28397"/>
    <cellStyle name="Normal 2 2 14" xfId="28398"/>
    <cellStyle name="Normal 2 2 14 2" xfId="28399"/>
    <cellStyle name="Normal 2 2 14 3" xfId="28400"/>
    <cellStyle name="Normal 2 2 14 4" xfId="28401"/>
    <cellStyle name="Normal 2 2 14 5" xfId="28402"/>
    <cellStyle name="Normal 2 2 14 6" xfId="28403"/>
    <cellStyle name="Normal 2 2 14 7" xfId="28404"/>
    <cellStyle name="Normal 2 2 14_Sheet1" xfId="28405"/>
    <cellStyle name="Normal 2 2 15" xfId="28406"/>
    <cellStyle name="Normal 2 2 15 10" xfId="28407"/>
    <cellStyle name="Normal 2 2 15 11" xfId="28408"/>
    <cellStyle name="Normal 2 2 15 2" xfId="28409"/>
    <cellStyle name="Normal 2 2 15 3" xfId="28410"/>
    <cellStyle name="Normal 2 2 15 4" xfId="28411"/>
    <cellStyle name="Normal 2 2 15 5" xfId="28412"/>
    <cellStyle name="Normal 2 2 15 6" xfId="28413"/>
    <cellStyle name="Normal 2 2 15 7" xfId="28414"/>
    <cellStyle name="Normal 2 2 15 8" xfId="28415"/>
    <cellStyle name="Normal 2 2 15 9" xfId="28416"/>
    <cellStyle name="Normal 2 2 15_Sheet1" xfId="28417"/>
    <cellStyle name="Normal 2 2 16" xfId="28418"/>
    <cellStyle name="Normal 2 2 16 10" xfId="28419"/>
    <cellStyle name="Normal 2 2 16 11" xfId="28420"/>
    <cellStyle name="Normal 2 2 16 2" xfId="28421"/>
    <cellStyle name="Normal 2 2 16 3" xfId="28422"/>
    <cellStyle name="Normal 2 2 16 4" xfId="28423"/>
    <cellStyle name="Normal 2 2 16 5" xfId="28424"/>
    <cellStyle name="Normal 2 2 16 6" xfId="28425"/>
    <cellStyle name="Normal 2 2 16 7" xfId="28426"/>
    <cellStyle name="Normal 2 2 16 8" xfId="28427"/>
    <cellStyle name="Normal 2 2 16 9" xfId="28428"/>
    <cellStyle name="Normal 2 2 16_Sheet1" xfId="28429"/>
    <cellStyle name="Normal 2 2 17" xfId="28430"/>
    <cellStyle name="Normal 2 2 17 10" xfId="28431"/>
    <cellStyle name="Normal 2 2 17 11" xfId="28432"/>
    <cellStyle name="Normal 2 2 17 2" xfId="28433"/>
    <cellStyle name="Normal 2 2 17 3" xfId="28434"/>
    <cellStyle name="Normal 2 2 17 4" xfId="28435"/>
    <cellStyle name="Normal 2 2 17 5" xfId="28436"/>
    <cellStyle name="Normal 2 2 17 6" xfId="28437"/>
    <cellStyle name="Normal 2 2 17 7" xfId="28438"/>
    <cellStyle name="Normal 2 2 17 8" xfId="28439"/>
    <cellStyle name="Normal 2 2 17 9" xfId="28440"/>
    <cellStyle name="Normal 2 2 17_Sheet1" xfId="28441"/>
    <cellStyle name="Normal 2 2 18" xfId="28442"/>
    <cellStyle name="Normal 2 2 18 10" xfId="28443"/>
    <cellStyle name="Normal 2 2 18 11" xfId="28444"/>
    <cellStyle name="Normal 2 2 18 2" xfId="28445"/>
    <cellStyle name="Normal 2 2 18 3" xfId="28446"/>
    <cellStyle name="Normal 2 2 18 4" xfId="28447"/>
    <cellStyle name="Normal 2 2 18 5" xfId="28448"/>
    <cellStyle name="Normal 2 2 18 6" xfId="28449"/>
    <cellStyle name="Normal 2 2 18 7" xfId="28450"/>
    <cellStyle name="Normal 2 2 18 8" xfId="28451"/>
    <cellStyle name="Normal 2 2 18 9" xfId="28452"/>
    <cellStyle name="Normal 2 2 18_Sheet1" xfId="28453"/>
    <cellStyle name="Normal 2 2 19" xfId="28454"/>
    <cellStyle name="Normal 2 2 19 10" xfId="28455"/>
    <cellStyle name="Normal 2 2 19 11" xfId="28456"/>
    <cellStyle name="Normal 2 2 19 2" xfId="28457"/>
    <cellStyle name="Normal 2 2 19 3" xfId="28458"/>
    <cellStyle name="Normal 2 2 19 4" xfId="28459"/>
    <cellStyle name="Normal 2 2 19 5" xfId="28460"/>
    <cellStyle name="Normal 2 2 19 6" xfId="28461"/>
    <cellStyle name="Normal 2 2 19 7" xfId="28462"/>
    <cellStyle name="Normal 2 2 19 8" xfId="28463"/>
    <cellStyle name="Normal 2 2 19 9" xfId="28464"/>
    <cellStyle name="Normal 2 2 19_Sheet1" xfId="28465"/>
    <cellStyle name="Normal 2 2 2" xfId="28466"/>
    <cellStyle name="Normal 2 2 2 10" xfId="28467"/>
    <cellStyle name="Normal 2 2 2 11" xfId="28468"/>
    <cellStyle name="Normal 2 2 2 12" xfId="28469"/>
    <cellStyle name="Normal 2 2 2 13" xfId="28470"/>
    <cellStyle name="Normal 2 2 2 14" xfId="28471"/>
    <cellStyle name="Normal 2 2 2 15" xfId="28472"/>
    <cellStyle name="Normal 2 2 2 16" xfId="28473"/>
    <cellStyle name="Normal 2 2 2 17" xfId="28474"/>
    <cellStyle name="Normal 2 2 2 18" xfId="28475"/>
    <cellStyle name="Normal 2 2 2 19" xfId="28476"/>
    <cellStyle name="Normal 2 2 2 2" xfId="28477"/>
    <cellStyle name="Normal 2 2 2 2 10" xfId="28478"/>
    <cellStyle name="Normal 2 2 2 2 11" xfId="28479"/>
    <cellStyle name="Normal 2 2 2 2 12" xfId="28480"/>
    <cellStyle name="Normal 2 2 2 2 13" xfId="28481"/>
    <cellStyle name="Normal 2 2 2 2 14" xfId="28482"/>
    <cellStyle name="Normal 2 2 2 2 15" xfId="28483"/>
    <cellStyle name="Normal 2 2 2 2 16" xfId="28484"/>
    <cellStyle name="Normal 2 2 2 2 17" xfId="28485"/>
    <cellStyle name="Normal 2 2 2 2 18" xfId="28486"/>
    <cellStyle name="Normal 2 2 2 2 19" xfId="28487"/>
    <cellStyle name="Normal 2 2 2 2 2" xfId="28488"/>
    <cellStyle name="Normal 2 2 2 2 2 10" xfId="28489"/>
    <cellStyle name="Normal 2 2 2 2 2 11" xfId="28490"/>
    <cellStyle name="Normal 2 2 2 2 2 12" xfId="28491"/>
    <cellStyle name="Normal 2 2 2 2 2 13" xfId="28492"/>
    <cellStyle name="Normal 2 2 2 2 2 14" xfId="28493"/>
    <cellStyle name="Normal 2 2 2 2 2 15" xfId="28494"/>
    <cellStyle name="Normal 2 2 2 2 2 16" xfId="28495"/>
    <cellStyle name="Normal 2 2 2 2 2 17" xfId="28496"/>
    <cellStyle name="Normal 2 2 2 2 2 2" xfId="28497"/>
    <cellStyle name="Normal 2 2 2 2 2 2 10" xfId="28498"/>
    <cellStyle name="Normal 2 2 2 2 2 2 11" xfId="28499"/>
    <cellStyle name="Normal 2 2 2 2 2 2 12" xfId="28500"/>
    <cellStyle name="Normal 2 2 2 2 2 2 13" xfId="28501"/>
    <cellStyle name="Normal 2 2 2 2 2 2 14" xfId="28502"/>
    <cellStyle name="Normal 2 2 2 2 2 2 15" xfId="28503"/>
    <cellStyle name="Normal 2 2 2 2 2 2 16" xfId="28504"/>
    <cellStyle name="Normal 2 2 2 2 2 2 17" xfId="28505"/>
    <cellStyle name="Normal 2 2 2 2 2 2 18" xfId="28506"/>
    <cellStyle name="Normal 2 2 2 2 2 2 19" xfId="28507"/>
    <cellStyle name="Normal 2 2 2 2 2 2 2" xfId="28508"/>
    <cellStyle name="Normal 2 2 2 2 2 2 2 10" xfId="28509"/>
    <cellStyle name="Normal 2 2 2 2 2 2 2 11" xfId="28510"/>
    <cellStyle name="Normal 2 2 2 2 2 2 2 12" xfId="28511"/>
    <cellStyle name="Normal 2 2 2 2 2 2 2 13" xfId="28512"/>
    <cellStyle name="Normal 2 2 2 2 2 2 2 2" xfId="28513"/>
    <cellStyle name="Normal 2 2 2 2 2 2 2 2 10" xfId="28514"/>
    <cellStyle name="Normal 2 2 2 2 2 2 2 2 11" xfId="28515"/>
    <cellStyle name="Normal 2 2 2 2 2 2 2 2 12" xfId="28516"/>
    <cellStyle name="Normal 2 2 2 2 2 2 2 2 13" xfId="28517"/>
    <cellStyle name="Normal 2 2 2 2 2 2 2 2 14" xfId="28518"/>
    <cellStyle name="Normal 2 2 2 2 2 2 2 2 15" xfId="28519"/>
    <cellStyle name="Normal 2 2 2 2 2 2 2 2 16" xfId="28520"/>
    <cellStyle name="Normal 2 2 2 2 2 2 2 2 17" xfId="28521"/>
    <cellStyle name="Normal 2 2 2 2 2 2 2 2 18" xfId="28522"/>
    <cellStyle name="Normal 2 2 2 2 2 2 2 2 19" xfId="28523"/>
    <cellStyle name="Normal 2 2 2 2 2 2 2 2 2" xfId="28524"/>
    <cellStyle name="Normal 2 2 2 2 2 2 2 2 2 10" xfId="28525"/>
    <cellStyle name="Normal 2 2 2 2 2 2 2 2 2 2" xfId="28526"/>
    <cellStyle name="Normal 2 2 2 2 2 2 2 2 2 2 10" xfId="28527"/>
    <cellStyle name="Normal 2 2 2 2 2 2 2 2 2 2 11" xfId="28528"/>
    <cellStyle name="Normal 2 2 2 2 2 2 2 2 2 2 12" xfId="28529"/>
    <cellStyle name="Normal 2 2 2 2 2 2 2 2 2 2 13" xfId="28530"/>
    <cellStyle name="Normal 2 2 2 2 2 2 2 2 2 2 14" xfId="28531"/>
    <cellStyle name="Normal 2 2 2 2 2 2 2 2 2 2 15" xfId="28532"/>
    <cellStyle name="Normal 2 2 2 2 2 2 2 2 2 2 16" xfId="28533"/>
    <cellStyle name="Normal 2 2 2 2 2 2 2 2 2 2 17" xfId="28534"/>
    <cellStyle name="Normal 2 2 2 2 2 2 2 2 2 2 18" xfId="28535"/>
    <cellStyle name="Normal 2 2 2 2 2 2 2 2 2 2 19" xfId="28536"/>
    <cellStyle name="Normal 2 2 2 2 2 2 2 2 2 2 2" xfId="28537"/>
    <cellStyle name="Normal 2 2 2 2 2 2 2 2 2 2 2 2" xfId="28538"/>
    <cellStyle name="Normal 2 2 2 2 2 2 2 2 2 2 2 2 10" xfId="28539"/>
    <cellStyle name="Normal 2 2 2 2 2 2 2 2 2 2 2 2 11" xfId="28540"/>
    <cellStyle name="Normal 2 2 2 2 2 2 2 2 2 2 2 2 12" xfId="28541"/>
    <cellStyle name="Normal 2 2 2 2 2 2 2 2 2 2 2 2 13" xfId="28542"/>
    <cellStyle name="Normal 2 2 2 2 2 2 2 2 2 2 2 2 14" xfId="28543"/>
    <cellStyle name="Normal 2 2 2 2 2 2 2 2 2 2 2 2 15" xfId="28544"/>
    <cellStyle name="Normal 2 2 2 2 2 2 2 2 2 2 2 2 16" xfId="28545"/>
    <cellStyle name="Normal 2 2 2 2 2 2 2 2 2 2 2 2 17" xfId="28546"/>
    <cellStyle name="Normal 2 2 2 2 2 2 2 2 2 2 2 2 18" xfId="28547"/>
    <cellStyle name="Normal 2 2 2 2 2 2 2 2 2 2 2 2 19" xfId="28548"/>
    <cellStyle name="Normal 2 2 2 2 2 2 2 2 2 2 2 2 2" xfId="28549"/>
    <cellStyle name="Normal 2 2 2 2 2 2 2 2 2 2 2 2 2 2" xfId="28550"/>
    <cellStyle name="Normal 2 2 2 2 2 2 2 2 2 2 2 2 2 3" xfId="28551"/>
    <cellStyle name="Normal 2 2 2 2 2 2 2 2 2 2 2 2 2 4" xfId="28552"/>
    <cellStyle name="Normal 2 2 2 2 2 2 2 2 2 2 2 2 2 5" xfId="28553"/>
    <cellStyle name="Normal 2 2 2 2 2 2 2 2 2 2 2 2 2 6" xfId="28554"/>
    <cellStyle name="Normal 2 2 2 2 2 2 2 2 2 2 2 2 2 7" xfId="28555"/>
    <cellStyle name="Normal 2 2 2 2 2 2 2 2 2 2 2 2 2 8" xfId="28556"/>
    <cellStyle name="Normal 2 2 2 2 2 2 2 2 2 2 2 2 2 9" xfId="28557"/>
    <cellStyle name="Normal 2 2 2 2 2 2 2 2 2 2 2 2 20" xfId="28558"/>
    <cellStyle name="Normal 2 2 2 2 2 2 2 2 2 2 2 2 21" xfId="28559"/>
    <cellStyle name="Normal 2 2 2 2 2 2 2 2 2 2 2 2 22" xfId="28560"/>
    <cellStyle name="Normal 2 2 2 2 2 2 2 2 2 2 2 2 23" xfId="28561"/>
    <cellStyle name="Normal 2 2 2 2 2 2 2 2 2 2 2 2 24" xfId="28562"/>
    <cellStyle name="Normal 2 2 2 2 2 2 2 2 2 2 2 2 25" xfId="28563"/>
    <cellStyle name="Normal 2 2 2 2 2 2 2 2 2 2 2 2 3" xfId="28564"/>
    <cellStyle name="Normal 2 2 2 2 2 2 2 2 2 2 2 2 4" xfId="28565"/>
    <cellStyle name="Normal 2 2 2 2 2 2 2 2 2 2 2 2 5" xfId="28566"/>
    <cellStyle name="Normal 2 2 2 2 2 2 2 2 2 2 2 2 6" xfId="28567"/>
    <cellStyle name="Normal 2 2 2 2 2 2 2 2 2 2 2 2 7" xfId="28568"/>
    <cellStyle name="Normal 2 2 2 2 2 2 2 2 2 2 2 2 8" xfId="28569"/>
    <cellStyle name="Normal 2 2 2 2 2 2 2 2 2 2 2 2 9" xfId="28570"/>
    <cellStyle name="Normal 2 2 2 2 2 2 2 2 2 2 2 2_Sheet1" xfId="28571"/>
    <cellStyle name="Normal 2 2 2 2 2 2 2 2 2 2 2 3" xfId="28572"/>
    <cellStyle name="Normal 2 2 2 2 2 2 2 2 2 2 2 4" xfId="28573"/>
    <cellStyle name="Normal 2 2 2 2 2 2 2 2 2 2 2 5" xfId="28574"/>
    <cellStyle name="Normal 2 2 2 2 2 2 2 2 2 2 2 6" xfId="28575"/>
    <cellStyle name="Normal 2 2 2 2 2 2 2 2 2 2 2 7" xfId="28576"/>
    <cellStyle name="Normal 2 2 2 2 2 2 2 2 2 2 2 8" xfId="28577"/>
    <cellStyle name="Normal 2 2 2 2 2 2 2 2 2 2 2 9" xfId="28578"/>
    <cellStyle name="Normal 2 2 2 2 2 2 2 2 2 2 20" xfId="28579"/>
    <cellStyle name="Normal 2 2 2 2 2 2 2 2 2 2 21" xfId="28580"/>
    <cellStyle name="Normal 2 2 2 2 2 2 2 2 2 2 22" xfId="28581"/>
    <cellStyle name="Normal 2 2 2 2 2 2 2 2 2 2 23" xfId="28582"/>
    <cellStyle name="Normal 2 2 2 2 2 2 2 2 2 2 24" xfId="28583"/>
    <cellStyle name="Normal 2 2 2 2 2 2 2 2 2 2 25" xfId="28584"/>
    <cellStyle name="Normal 2 2 2 2 2 2 2 2 2 2 26" xfId="28585"/>
    <cellStyle name="Normal 2 2 2 2 2 2 2 2 2 2 3" xfId="28586"/>
    <cellStyle name="Normal 2 2 2 2 2 2 2 2 2 2 4" xfId="28587"/>
    <cellStyle name="Normal 2 2 2 2 2 2 2 2 2 2 5" xfId="28588"/>
    <cellStyle name="Normal 2 2 2 2 2 2 2 2 2 2 6" xfId="28589"/>
    <cellStyle name="Normal 2 2 2 2 2 2 2 2 2 2 7" xfId="28590"/>
    <cellStyle name="Normal 2 2 2 2 2 2 2 2 2 2 8" xfId="28591"/>
    <cellStyle name="Normal 2 2 2 2 2 2 2 2 2 2 9" xfId="28592"/>
    <cellStyle name="Normal 2 2 2 2 2 2 2 2 2 2_Sheet1" xfId="28593"/>
    <cellStyle name="Normal 2 2 2 2 2 2 2 2 2 3" xfId="28594"/>
    <cellStyle name="Normal 2 2 2 2 2 2 2 2 2 3 10" xfId="28595"/>
    <cellStyle name="Normal 2 2 2 2 2 2 2 2 2 3 11" xfId="28596"/>
    <cellStyle name="Normal 2 2 2 2 2 2 2 2 2 3 12" xfId="28597"/>
    <cellStyle name="Normal 2 2 2 2 2 2 2 2 2 3 13" xfId="28598"/>
    <cellStyle name="Normal 2 2 2 2 2 2 2 2 2 3 14" xfId="28599"/>
    <cellStyle name="Normal 2 2 2 2 2 2 2 2 2 3 15" xfId="28600"/>
    <cellStyle name="Normal 2 2 2 2 2 2 2 2 2 3 16" xfId="28601"/>
    <cellStyle name="Normal 2 2 2 2 2 2 2 2 2 3 17" xfId="28602"/>
    <cellStyle name="Normal 2 2 2 2 2 2 2 2 2 3 18" xfId="28603"/>
    <cellStyle name="Normal 2 2 2 2 2 2 2 2 2 3 19" xfId="28604"/>
    <cellStyle name="Normal 2 2 2 2 2 2 2 2 2 3 2" xfId="28605"/>
    <cellStyle name="Normal 2 2 2 2 2 2 2 2 2 3 3" xfId="28606"/>
    <cellStyle name="Normal 2 2 2 2 2 2 2 2 2 3 4" xfId="28607"/>
    <cellStyle name="Normal 2 2 2 2 2 2 2 2 2 3 5" xfId="28608"/>
    <cellStyle name="Normal 2 2 2 2 2 2 2 2 2 3 6" xfId="28609"/>
    <cellStyle name="Normal 2 2 2 2 2 2 2 2 2 3 7" xfId="28610"/>
    <cellStyle name="Normal 2 2 2 2 2 2 2 2 2 3 8" xfId="28611"/>
    <cellStyle name="Normal 2 2 2 2 2 2 2 2 2 3 9" xfId="28612"/>
    <cellStyle name="Normal 2 2 2 2 2 2 2 2 2 3_Sheet1" xfId="28613"/>
    <cellStyle name="Normal 2 2 2 2 2 2 2 2 2 4" xfId="28614"/>
    <cellStyle name="Normal 2 2 2 2 2 2 2 2 2 5" xfId="28615"/>
    <cellStyle name="Normal 2 2 2 2 2 2 2 2 2 6" xfId="28616"/>
    <cellStyle name="Normal 2 2 2 2 2 2 2 2 2 7" xfId="28617"/>
    <cellStyle name="Normal 2 2 2 2 2 2 2 2 2 8" xfId="28618"/>
    <cellStyle name="Normal 2 2 2 2 2 2 2 2 2 9" xfId="28619"/>
    <cellStyle name="Normal 2 2 2 2 2 2 2 2 20" xfId="28620"/>
    <cellStyle name="Normal 2 2 2 2 2 2 2 2 21" xfId="28621"/>
    <cellStyle name="Normal 2 2 2 2 2 2 2 2 22" xfId="28622"/>
    <cellStyle name="Normal 2 2 2 2 2 2 2 2 23" xfId="28623"/>
    <cellStyle name="Normal 2 2 2 2 2 2 2 2 24" xfId="28624"/>
    <cellStyle name="Normal 2 2 2 2 2 2 2 2 25" xfId="28625"/>
    <cellStyle name="Normal 2 2 2 2 2 2 2 2 26" xfId="28626"/>
    <cellStyle name="Normal 2 2 2 2 2 2 2 2 27" xfId="28627"/>
    <cellStyle name="Normal 2 2 2 2 2 2 2 2 28" xfId="28628"/>
    <cellStyle name="Normal 2 2 2 2 2 2 2 2 3" xfId="28629"/>
    <cellStyle name="Normal 2 2 2 2 2 2 2 2 4" xfId="28630"/>
    <cellStyle name="Normal 2 2 2 2 2 2 2 2 4 2" xfId="28631"/>
    <cellStyle name="Normal 2 2 2 2 2 2 2 2 4 2 10" xfId="28632"/>
    <cellStyle name="Normal 2 2 2 2 2 2 2 2 4 2 11" xfId="28633"/>
    <cellStyle name="Normal 2 2 2 2 2 2 2 2 4 2 12" xfId="28634"/>
    <cellStyle name="Normal 2 2 2 2 2 2 2 2 4 2 13" xfId="28635"/>
    <cellStyle name="Normal 2 2 2 2 2 2 2 2 4 2 14" xfId="28636"/>
    <cellStyle name="Normal 2 2 2 2 2 2 2 2 4 2 15" xfId="28637"/>
    <cellStyle name="Normal 2 2 2 2 2 2 2 2 4 2 16" xfId="28638"/>
    <cellStyle name="Normal 2 2 2 2 2 2 2 2 4 2 17" xfId="28639"/>
    <cellStyle name="Normal 2 2 2 2 2 2 2 2 4 2 18" xfId="28640"/>
    <cellStyle name="Normal 2 2 2 2 2 2 2 2 4 2 19" xfId="28641"/>
    <cellStyle name="Normal 2 2 2 2 2 2 2 2 4 2 2" xfId="28642"/>
    <cellStyle name="Normal 2 2 2 2 2 2 2 2 4 2 3" xfId="28643"/>
    <cellStyle name="Normal 2 2 2 2 2 2 2 2 4 2 4" xfId="28644"/>
    <cellStyle name="Normal 2 2 2 2 2 2 2 2 4 2 5" xfId="28645"/>
    <cellStyle name="Normal 2 2 2 2 2 2 2 2 4 2 6" xfId="28646"/>
    <cellStyle name="Normal 2 2 2 2 2 2 2 2 4 2 7" xfId="28647"/>
    <cellStyle name="Normal 2 2 2 2 2 2 2 2 4 2 8" xfId="28648"/>
    <cellStyle name="Normal 2 2 2 2 2 2 2 2 4 2 9" xfId="28649"/>
    <cellStyle name="Normal 2 2 2 2 2 2 2 2 4 2_Sheet1" xfId="28650"/>
    <cellStyle name="Normal 2 2 2 2 2 2 2 2 5" xfId="28651"/>
    <cellStyle name="Normal 2 2 2 2 2 2 2 2 6" xfId="28652"/>
    <cellStyle name="Normal 2 2 2 2 2 2 2 2 7" xfId="28653"/>
    <cellStyle name="Normal 2 2 2 2 2 2 2 2 8" xfId="28654"/>
    <cellStyle name="Normal 2 2 2 2 2 2 2 2 9" xfId="28655"/>
    <cellStyle name="Normal 2 2 2 2 2 2 2 2_Sheet1" xfId="28656"/>
    <cellStyle name="Normal 2 2 2 2 2 2 2 3" xfId="28657"/>
    <cellStyle name="Normal 2 2 2 2 2 2 2 3 10" xfId="28658"/>
    <cellStyle name="Normal 2 2 2 2 2 2 2 3 11" xfId="28659"/>
    <cellStyle name="Normal 2 2 2 2 2 2 2 3 12" xfId="28660"/>
    <cellStyle name="Normal 2 2 2 2 2 2 2 3 13" xfId="28661"/>
    <cellStyle name="Normal 2 2 2 2 2 2 2 3 14" xfId="28662"/>
    <cellStyle name="Normal 2 2 2 2 2 2 2 3 15" xfId="28663"/>
    <cellStyle name="Normal 2 2 2 2 2 2 2 3 16" xfId="28664"/>
    <cellStyle name="Normal 2 2 2 2 2 2 2 3 17" xfId="28665"/>
    <cellStyle name="Normal 2 2 2 2 2 2 2 3 18" xfId="28666"/>
    <cellStyle name="Normal 2 2 2 2 2 2 2 3 19" xfId="28667"/>
    <cellStyle name="Normal 2 2 2 2 2 2 2 3 2" xfId="28668"/>
    <cellStyle name="Normal 2 2 2 2 2 2 2 3 2 2" xfId="28669"/>
    <cellStyle name="Normal 2 2 2 2 2 2 2 3 2 2 10" xfId="28670"/>
    <cellStyle name="Normal 2 2 2 2 2 2 2 3 2 2 11" xfId="28671"/>
    <cellStyle name="Normal 2 2 2 2 2 2 2 3 2 2 12" xfId="28672"/>
    <cellStyle name="Normal 2 2 2 2 2 2 2 3 2 2 13" xfId="28673"/>
    <cellStyle name="Normal 2 2 2 2 2 2 2 3 2 2 14" xfId="28674"/>
    <cellStyle name="Normal 2 2 2 2 2 2 2 3 2 2 15" xfId="28675"/>
    <cellStyle name="Normal 2 2 2 2 2 2 2 3 2 2 16" xfId="28676"/>
    <cellStyle name="Normal 2 2 2 2 2 2 2 3 2 2 17" xfId="28677"/>
    <cellStyle name="Normal 2 2 2 2 2 2 2 3 2 2 18" xfId="28678"/>
    <cellStyle name="Normal 2 2 2 2 2 2 2 3 2 2 19" xfId="28679"/>
    <cellStyle name="Normal 2 2 2 2 2 2 2 3 2 2 2" xfId="28680"/>
    <cellStyle name="Normal 2 2 2 2 2 2 2 3 2 2 2 2" xfId="28681"/>
    <cellStyle name="Normal 2 2 2 2 2 2 2 3 2 2 2 2 10" xfId="28682"/>
    <cellStyle name="Normal 2 2 2 2 2 2 2 3 2 2 2 2 11" xfId="28683"/>
    <cellStyle name="Normal 2 2 2 2 2 2 2 3 2 2 2 2 12" xfId="28684"/>
    <cellStyle name="Normal 2 2 2 2 2 2 2 3 2 2 2 2 13" xfId="28685"/>
    <cellStyle name="Normal 2 2 2 2 2 2 2 3 2 2 2 2 14" xfId="28686"/>
    <cellStyle name="Normal 2 2 2 2 2 2 2 3 2 2 2 2 15" xfId="28687"/>
    <cellStyle name="Normal 2 2 2 2 2 2 2 3 2 2 2 2 16" xfId="28688"/>
    <cellStyle name="Normal 2 2 2 2 2 2 2 3 2 2 2 2 17" xfId="28689"/>
    <cellStyle name="Normal 2 2 2 2 2 2 2 3 2 2 2 2 18" xfId="28690"/>
    <cellStyle name="Normal 2 2 2 2 2 2 2 3 2 2 2 2 2" xfId="28691"/>
    <cellStyle name="Normal 2 2 2 2 2 2 2 3 2 2 2 2 3" xfId="28692"/>
    <cellStyle name="Normal 2 2 2 2 2 2 2 3 2 2 2 2 4" xfId="28693"/>
    <cellStyle name="Normal 2 2 2 2 2 2 2 3 2 2 2 2 5" xfId="28694"/>
    <cellStyle name="Normal 2 2 2 2 2 2 2 3 2 2 2 2 6" xfId="28695"/>
    <cellStyle name="Normal 2 2 2 2 2 2 2 3 2 2 2 2 7" xfId="28696"/>
    <cellStyle name="Normal 2 2 2 2 2 2 2 3 2 2 2 2 8" xfId="28697"/>
    <cellStyle name="Normal 2 2 2 2 2 2 2 3 2 2 2 2 9" xfId="28698"/>
    <cellStyle name="Normal 2 2 2 2 2 2 2 3 2 2 2 2_Sheet1" xfId="28699"/>
    <cellStyle name="Normal 2 2 2 2 2 2 2 3 2 2 3" xfId="28700"/>
    <cellStyle name="Normal 2 2 2 2 2 2 2 3 2 2 4" xfId="28701"/>
    <cellStyle name="Normal 2 2 2 2 2 2 2 3 2 2 5" xfId="28702"/>
    <cellStyle name="Normal 2 2 2 2 2 2 2 3 2 2 6" xfId="28703"/>
    <cellStyle name="Normal 2 2 2 2 2 2 2 3 2 2 7" xfId="28704"/>
    <cellStyle name="Normal 2 2 2 2 2 2 2 3 2 2 8" xfId="28705"/>
    <cellStyle name="Normal 2 2 2 2 2 2 2 3 2 2 9" xfId="28706"/>
    <cellStyle name="Normal 2 2 2 2 2 2 2 3 2 2_Sheet1" xfId="28707"/>
    <cellStyle name="Normal 2 2 2 2 2 2 2 3 2 3" xfId="28708"/>
    <cellStyle name="Normal 2 2 2 2 2 2 2 3 2 3 10" xfId="28709"/>
    <cellStyle name="Normal 2 2 2 2 2 2 2 3 2 3 11" xfId="28710"/>
    <cellStyle name="Normal 2 2 2 2 2 2 2 3 2 3 12" xfId="28711"/>
    <cellStyle name="Normal 2 2 2 2 2 2 2 3 2 3 13" xfId="28712"/>
    <cellStyle name="Normal 2 2 2 2 2 2 2 3 2 3 14" xfId="28713"/>
    <cellStyle name="Normal 2 2 2 2 2 2 2 3 2 3 15" xfId="28714"/>
    <cellStyle name="Normal 2 2 2 2 2 2 2 3 2 3 16" xfId="28715"/>
    <cellStyle name="Normal 2 2 2 2 2 2 2 3 2 3 17" xfId="28716"/>
    <cellStyle name="Normal 2 2 2 2 2 2 2 3 2 3 18" xfId="28717"/>
    <cellStyle name="Normal 2 2 2 2 2 2 2 3 2 3 2" xfId="28718"/>
    <cellStyle name="Normal 2 2 2 2 2 2 2 3 2 3 3" xfId="28719"/>
    <cellStyle name="Normal 2 2 2 2 2 2 2 3 2 3 4" xfId="28720"/>
    <cellStyle name="Normal 2 2 2 2 2 2 2 3 2 3 5" xfId="28721"/>
    <cellStyle name="Normal 2 2 2 2 2 2 2 3 2 3 6" xfId="28722"/>
    <cellStyle name="Normal 2 2 2 2 2 2 2 3 2 3 7" xfId="28723"/>
    <cellStyle name="Normal 2 2 2 2 2 2 2 3 2 3 8" xfId="28724"/>
    <cellStyle name="Normal 2 2 2 2 2 2 2 3 2 3 9" xfId="28725"/>
    <cellStyle name="Normal 2 2 2 2 2 2 2 3 2 3_Sheet1" xfId="28726"/>
    <cellStyle name="Normal 2 2 2 2 2 2 2 3 20" xfId="28727"/>
    <cellStyle name="Normal 2 2 2 2 2 2 2 3 3" xfId="28728"/>
    <cellStyle name="Normal 2 2 2 2 2 2 2 3 3 2" xfId="28729"/>
    <cellStyle name="Normal 2 2 2 2 2 2 2 3 3 2 10" xfId="28730"/>
    <cellStyle name="Normal 2 2 2 2 2 2 2 3 3 2 11" xfId="28731"/>
    <cellStyle name="Normal 2 2 2 2 2 2 2 3 3 2 12" xfId="28732"/>
    <cellStyle name="Normal 2 2 2 2 2 2 2 3 3 2 13" xfId="28733"/>
    <cellStyle name="Normal 2 2 2 2 2 2 2 3 3 2 14" xfId="28734"/>
    <cellStyle name="Normal 2 2 2 2 2 2 2 3 3 2 15" xfId="28735"/>
    <cellStyle name="Normal 2 2 2 2 2 2 2 3 3 2 16" xfId="28736"/>
    <cellStyle name="Normal 2 2 2 2 2 2 2 3 3 2 17" xfId="28737"/>
    <cellStyle name="Normal 2 2 2 2 2 2 2 3 3 2 18" xfId="28738"/>
    <cellStyle name="Normal 2 2 2 2 2 2 2 3 3 2 2" xfId="28739"/>
    <cellStyle name="Normal 2 2 2 2 2 2 2 3 3 2 3" xfId="28740"/>
    <cellStyle name="Normal 2 2 2 2 2 2 2 3 3 2 4" xfId="28741"/>
    <cellStyle name="Normal 2 2 2 2 2 2 2 3 3 2 5" xfId="28742"/>
    <cellStyle name="Normal 2 2 2 2 2 2 2 3 3 2 6" xfId="28743"/>
    <cellStyle name="Normal 2 2 2 2 2 2 2 3 3 2 7" xfId="28744"/>
    <cellStyle name="Normal 2 2 2 2 2 2 2 3 3 2 8" xfId="28745"/>
    <cellStyle name="Normal 2 2 2 2 2 2 2 3 3 2 9" xfId="28746"/>
    <cellStyle name="Normal 2 2 2 2 2 2 2 3 3 2_Sheet1" xfId="28747"/>
    <cellStyle name="Normal 2 2 2 2 2 2 2 3 4" xfId="28748"/>
    <cellStyle name="Normal 2 2 2 2 2 2 2 3 5" xfId="28749"/>
    <cellStyle name="Normal 2 2 2 2 2 2 2 3 6" xfId="28750"/>
    <cellStyle name="Normal 2 2 2 2 2 2 2 3 7" xfId="28751"/>
    <cellStyle name="Normal 2 2 2 2 2 2 2 3 8" xfId="28752"/>
    <cellStyle name="Normal 2 2 2 2 2 2 2 3 9" xfId="28753"/>
    <cellStyle name="Normal 2 2 2 2 2 2 2 3_Sheet1" xfId="28754"/>
    <cellStyle name="Normal 2 2 2 2 2 2 2 4" xfId="28755"/>
    <cellStyle name="Normal 2 2 2 2 2 2 2 4 10" xfId="28756"/>
    <cellStyle name="Normal 2 2 2 2 2 2 2 4 11" xfId="28757"/>
    <cellStyle name="Normal 2 2 2 2 2 2 2 4 12" xfId="28758"/>
    <cellStyle name="Normal 2 2 2 2 2 2 2 4 13" xfId="28759"/>
    <cellStyle name="Normal 2 2 2 2 2 2 2 4 14" xfId="28760"/>
    <cellStyle name="Normal 2 2 2 2 2 2 2 4 15" xfId="28761"/>
    <cellStyle name="Normal 2 2 2 2 2 2 2 4 16" xfId="28762"/>
    <cellStyle name="Normal 2 2 2 2 2 2 2 4 17" xfId="28763"/>
    <cellStyle name="Normal 2 2 2 2 2 2 2 4 18" xfId="28764"/>
    <cellStyle name="Normal 2 2 2 2 2 2 2 4 19" xfId="28765"/>
    <cellStyle name="Normal 2 2 2 2 2 2 2 4 2" xfId="28766"/>
    <cellStyle name="Normal 2 2 2 2 2 2 2 4 2 2" xfId="28767"/>
    <cellStyle name="Normal 2 2 2 2 2 2 2 4 2 2 10" xfId="28768"/>
    <cellStyle name="Normal 2 2 2 2 2 2 2 4 2 2 11" xfId="28769"/>
    <cellStyle name="Normal 2 2 2 2 2 2 2 4 2 2 12" xfId="28770"/>
    <cellStyle name="Normal 2 2 2 2 2 2 2 4 2 2 13" xfId="28771"/>
    <cellStyle name="Normal 2 2 2 2 2 2 2 4 2 2 14" xfId="28772"/>
    <cellStyle name="Normal 2 2 2 2 2 2 2 4 2 2 15" xfId="28773"/>
    <cellStyle name="Normal 2 2 2 2 2 2 2 4 2 2 16" xfId="28774"/>
    <cellStyle name="Normal 2 2 2 2 2 2 2 4 2 2 17" xfId="28775"/>
    <cellStyle name="Normal 2 2 2 2 2 2 2 4 2 2 18" xfId="28776"/>
    <cellStyle name="Normal 2 2 2 2 2 2 2 4 2 2 2" xfId="28777"/>
    <cellStyle name="Normal 2 2 2 2 2 2 2 4 2 2 3" xfId="28778"/>
    <cellStyle name="Normal 2 2 2 2 2 2 2 4 2 2 4" xfId="28779"/>
    <cellStyle name="Normal 2 2 2 2 2 2 2 4 2 2 5" xfId="28780"/>
    <cellStyle name="Normal 2 2 2 2 2 2 2 4 2 2 6" xfId="28781"/>
    <cellStyle name="Normal 2 2 2 2 2 2 2 4 2 2 7" xfId="28782"/>
    <cellStyle name="Normal 2 2 2 2 2 2 2 4 2 2 8" xfId="28783"/>
    <cellStyle name="Normal 2 2 2 2 2 2 2 4 2 2 9" xfId="28784"/>
    <cellStyle name="Normal 2 2 2 2 2 2 2 4 2 2_Sheet1" xfId="28785"/>
    <cellStyle name="Normal 2 2 2 2 2 2 2 4 3" xfId="28786"/>
    <cellStyle name="Normal 2 2 2 2 2 2 2 4 4" xfId="28787"/>
    <cellStyle name="Normal 2 2 2 2 2 2 2 4 5" xfId="28788"/>
    <cellStyle name="Normal 2 2 2 2 2 2 2 4 6" xfId="28789"/>
    <cellStyle name="Normal 2 2 2 2 2 2 2 4 7" xfId="28790"/>
    <cellStyle name="Normal 2 2 2 2 2 2 2 4 8" xfId="28791"/>
    <cellStyle name="Normal 2 2 2 2 2 2 2 4 9" xfId="28792"/>
    <cellStyle name="Normal 2 2 2 2 2 2 2 4_Sheet1" xfId="28793"/>
    <cellStyle name="Normal 2 2 2 2 2 2 2 5" xfId="28794"/>
    <cellStyle name="Normal 2 2 2 2 2 2 2 5 10" xfId="28795"/>
    <cellStyle name="Normal 2 2 2 2 2 2 2 5 11" xfId="28796"/>
    <cellStyle name="Normal 2 2 2 2 2 2 2 5 12" xfId="28797"/>
    <cellStyle name="Normal 2 2 2 2 2 2 2 5 13" xfId="28798"/>
    <cellStyle name="Normal 2 2 2 2 2 2 2 5 14" xfId="28799"/>
    <cellStyle name="Normal 2 2 2 2 2 2 2 5 15" xfId="28800"/>
    <cellStyle name="Normal 2 2 2 2 2 2 2 5 16" xfId="28801"/>
    <cellStyle name="Normal 2 2 2 2 2 2 2 5 17" xfId="28802"/>
    <cellStyle name="Normal 2 2 2 2 2 2 2 5 18" xfId="28803"/>
    <cellStyle name="Normal 2 2 2 2 2 2 2 5 2" xfId="28804"/>
    <cellStyle name="Normal 2 2 2 2 2 2 2 5 3" xfId="28805"/>
    <cellStyle name="Normal 2 2 2 2 2 2 2 5 4" xfId="28806"/>
    <cellStyle name="Normal 2 2 2 2 2 2 2 5 5" xfId="28807"/>
    <cellStyle name="Normal 2 2 2 2 2 2 2 5 6" xfId="28808"/>
    <cellStyle name="Normal 2 2 2 2 2 2 2 5 7" xfId="28809"/>
    <cellStyle name="Normal 2 2 2 2 2 2 2 5 8" xfId="28810"/>
    <cellStyle name="Normal 2 2 2 2 2 2 2 5 9" xfId="28811"/>
    <cellStyle name="Normal 2 2 2 2 2 2 2 5_Sheet1" xfId="28812"/>
    <cellStyle name="Normal 2 2 2 2 2 2 2 6" xfId="28813"/>
    <cellStyle name="Normal 2 2 2 2 2 2 2 7" xfId="28814"/>
    <cellStyle name="Normal 2 2 2 2 2 2 2 8" xfId="28815"/>
    <cellStyle name="Normal 2 2 2 2 2 2 2 9" xfId="28816"/>
    <cellStyle name="Normal 2 2 2 2 2 2 2_Sheet1" xfId="28817"/>
    <cellStyle name="Normal 2 2 2 2 2 2 20" xfId="28818"/>
    <cellStyle name="Normal 2 2 2 2 2 2 21" xfId="28819"/>
    <cellStyle name="Normal 2 2 2 2 2 2 22" xfId="28820"/>
    <cellStyle name="Normal 2 2 2 2 2 2 23" xfId="28821"/>
    <cellStyle name="Normal 2 2 2 2 2 2 24" xfId="28822"/>
    <cellStyle name="Normal 2 2 2 2 2 2 25" xfId="28823"/>
    <cellStyle name="Normal 2 2 2 2 2 2 26" xfId="28824"/>
    <cellStyle name="Normal 2 2 2 2 2 2 27" xfId="28825"/>
    <cellStyle name="Normal 2 2 2 2 2 2 28" xfId="28826"/>
    <cellStyle name="Normal 2 2 2 2 2 2 29" xfId="28827"/>
    <cellStyle name="Normal 2 2 2 2 2 2 3" xfId="28828"/>
    <cellStyle name="Normal 2 2 2 2 2 2 3 2" xfId="28829"/>
    <cellStyle name="Normal 2 2 2 2 2 2 3 2 10" xfId="28830"/>
    <cellStyle name="Normal 2 2 2 2 2 2 3 2 11" xfId="28831"/>
    <cellStyle name="Normal 2 2 2 2 2 2 3 2 12" xfId="28832"/>
    <cellStyle name="Normal 2 2 2 2 2 2 3 2 13" xfId="28833"/>
    <cellStyle name="Normal 2 2 2 2 2 2 3 2 14" xfId="28834"/>
    <cellStyle name="Normal 2 2 2 2 2 2 3 2 15" xfId="28835"/>
    <cellStyle name="Normal 2 2 2 2 2 2 3 2 16" xfId="28836"/>
    <cellStyle name="Normal 2 2 2 2 2 2 3 2 17" xfId="28837"/>
    <cellStyle name="Normal 2 2 2 2 2 2 3 2 18" xfId="28838"/>
    <cellStyle name="Normal 2 2 2 2 2 2 3 2 19" xfId="28839"/>
    <cellStyle name="Normal 2 2 2 2 2 2 3 2 2" xfId="28840"/>
    <cellStyle name="Normal 2 2 2 2 2 2 3 2 2 2" xfId="28841"/>
    <cellStyle name="Normal 2 2 2 2 2 2 3 2 2 2 10" xfId="28842"/>
    <cellStyle name="Normal 2 2 2 2 2 2 3 2 2 2 11" xfId="28843"/>
    <cellStyle name="Normal 2 2 2 2 2 2 3 2 2 2 12" xfId="28844"/>
    <cellStyle name="Normal 2 2 2 2 2 2 3 2 2 2 13" xfId="28845"/>
    <cellStyle name="Normal 2 2 2 2 2 2 3 2 2 2 14" xfId="28846"/>
    <cellStyle name="Normal 2 2 2 2 2 2 3 2 2 2 15" xfId="28847"/>
    <cellStyle name="Normal 2 2 2 2 2 2 3 2 2 2 16" xfId="28848"/>
    <cellStyle name="Normal 2 2 2 2 2 2 3 2 2 2 17" xfId="28849"/>
    <cellStyle name="Normal 2 2 2 2 2 2 3 2 2 2 18" xfId="28850"/>
    <cellStyle name="Normal 2 2 2 2 2 2 3 2 2 2 19" xfId="28851"/>
    <cellStyle name="Normal 2 2 2 2 2 2 3 2 2 2 2" xfId="28852"/>
    <cellStyle name="Normal 2 2 2 2 2 2 3 2 2 2 3" xfId="28853"/>
    <cellStyle name="Normal 2 2 2 2 2 2 3 2 2 2 4" xfId="28854"/>
    <cellStyle name="Normal 2 2 2 2 2 2 3 2 2 2 5" xfId="28855"/>
    <cellStyle name="Normal 2 2 2 2 2 2 3 2 2 2 6" xfId="28856"/>
    <cellStyle name="Normal 2 2 2 2 2 2 3 2 2 2 7" xfId="28857"/>
    <cellStyle name="Normal 2 2 2 2 2 2 3 2 2 2 8" xfId="28858"/>
    <cellStyle name="Normal 2 2 2 2 2 2 3 2 2 2 9" xfId="28859"/>
    <cellStyle name="Normal 2 2 2 2 2 2 3 2 2 2_Sheet1" xfId="28860"/>
    <cellStyle name="Normal 2 2 2 2 2 2 3 2 20" xfId="28861"/>
    <cellStyle name="Normal 2 2 2 2 2 2 3 2 3" xfId="28862"/>
    <cellStyle name="Normal 2 2 2 2 2 2 3 2 4" xfId="28863"/>
    <cellStyle name="Normal 2 2 2 2 2 2 3 2 5" xfId="28864"/>
    <cellStyle name="Normal 2 2 2 2 2 2 3 2 6" xfId="28865"/>
    <cellStyle name="Normal 2 2 2 2 2 2 3 2 7" xfId="28866"/>
    <cellStyle name="Normal 2 2 2 2 2 2 3 2 8" xfId="28867"/>
    <cellStyle name="Normal 2 2 2 2 2 2 3 2 9" xfId="28868"/>
    <cellStyle name="Normal 2 2 2 2 2 2 3 2_Sheet1" xfId="28869"/>
    <cellStyle name="Normal 2 2 2 2 2 2 3 3" xfId="28870"/>
    <cellStyle name="Normal 2 2 2 2 2 2 3 3 10" xfId="28871"/>
    <cellStyle name="Normal 2 2 2 2 2 2 3 3 11" xfId="28872"/>
    <cellStyle name="Normal 2 2 2 2 2 2 3 3 12" xfId="28873"/>
    <cellStyle name="Normal 2 2 2 2 2 2 3 3 13" xfId="28874"/>
    <cellStyle name="Normal 2 2 2 2 2 2 3 3 14" xfId="28875"/>
    <cellStyle name="Normal 2 2 2 2 2 2 3 3 15" xfId="28876"/>
    <cellStyle name="Normal 2 2 2 2 2 2 3 3 16" xfId="28877"/>
    <cellStyle name="Normal 2 2 2 2 2 2 3 3 17" xfId="28878"/>
    <cellStyle name="Normal 2 2 2 2 2 2 3 3 18" xfId="28879"/>
    <cellStyle name="Normal 2 2 2 2 2 2 3 3 19" xfId="28880"/>
    <cellStyle name="Normal 2 2 2 2 2 2 3 3 2" xfId="28881"/>
    <cellStyle name="Normal 2 2 2 2 2 2 3 3 3" xfId="28882"/>
    <cellStyle name="Normal 2 2 2 2 2 2 3 3 4" xfId="28883"/>
    <cellStyle name="Normal 2 2 2 2 2 2 3 3 5" xfId="28884"/>
    <cellStyle name="Normal 2 2 2 2 2 2 3 3 6" xfId="28885"/>
    <cellStyle name="Normal 2 2 2 2 2 2 3 3 7" xfId="28886"/>
    <cellStyle name="Normal 2 2 2 2 2 2 3 3 8" xfId="28887"/>
    <cellStyle name="Normal 2 2 2 2 2 2 3 3 9" xfId="28888"/>
    <cellStyle name="Normal 2 2 2 2 2 2 3 3_Sheet1" xfId="28889"/>
    <cellStyle name="Normal 2 2 2 2 2 2 4" xfId="28890"/>
    <cellStyle name="Normal 2 2 2 2 2 2 5" xfId="28891"/>
    <cellStyle name="Normal 2 2 2 2 2 2 5 2" xfId="28892"/>
    <cellStyle name="Normal 2 2 2 2 2 2 5 2 10" xfId="28893"/>
    <cellStyle name="Normal 2 2 2 2 2 2 5 2 11" xfId="28894"/>
    <cellStyle name="Normal 2 2 2 2 2 2 5 2 12" xfId="28895"/>
    <cellStyle name="Normal 2 2 2 2 2 2 5 2 13" xfId="28896"/>
    <cellStyle name="Normal 2 2 2 2 2 2 5 2 14" xfId="28897"/>
    <cellStyle name="Normal 2 2 2 2 2 2 5 2 15" xfId="28898"/>
    <cellStyle name="Normal 2 2 2 2 2 2 5 2 16" xfId="28899"/>
    <cellStyle name="Normal 2 2 2 2 2 2 5 2 17" xfId="28900"/>
    <cellStyle name="Normal 2 2 2 2 2 2 5 2 18" xfId="28901"/>
    <cellStyle name="Normal 2 2 2 2 2 2 5 2 19" xfId="28902"/>
    <cellStyle name="Normal 2 2 2 2 2 2 5 2 2" xfId="28903"/>
    <cellStyle name="Normal 2 2 2 2 2 2 5 2 3" xfId="28904"/>
    <cellStyle name="Normal 2 2 2 2 2 2 5 2 4" xfId="28905"/>
    <cellStyle name="Normal 2 2 2 2 2 2 5 2 5" xfId="28906"/>
    <cellStyle name="Normal 2 2 2 2 2 2 5 2 6" xfId="28907"/>
    <cellStyle name="Normal 2 2 2 2 2 2 5 2 7" xfId="28908"/>
    <cellStyle name="Normal 2 2 2 2 2 2 5 2 8" xfId="28909"/>
    <cellStyle name="Normal 2 2 2 2 2 2 5 2 9" xfId="28910"/>
    <cellStyle name="Normal 2 2 2 2 2 2 5 2_Sheet1" xfId="28911"/>
    <cellStyle name="Normal 2 2 2 2 2 2 6" xfId="28912"/>
    <cellStyle name="Normal 2 2 2 2 2 2 7" xfId="28913"/>
    <cellStyle name="Normal 2 2 2 2 2 2 8" xfId="28914"/>
    <cellStyle name="Normal 2 2 2 2 2 2 9" xfId="28915"/>
    <cellStyle name="Normal 2 2 2 2 2 2_Sheet1" xfId="28916"/>
    <cellStyle name="Normal 2 2 2 2 2 3" xfId="28917"/>
    <cellStyle name="Normal 2 2 2 2 2 3 10" xfId="28918"/>
    <cellStyle name="Normal 2 2 2 2 2 3 11" xfId="28919"/>
    <cellStyle name="Normal 2 2 2 2 2 3 12" xfId="28920"/>
    <cellStyle name="Normal 2 2 2 2 2 3 13" xfId="28921"/>
    <cellStyle name="Normal 2 2 2 2 2 3 14" xfId="28922"/>
    <cellStyle name="Normal 2 2 2 2 2 3 15" xfId="28923"/>
    <cellStyle name="Normal 2 2 2 2 2 3 16" xfId="28924"/>
    <cellStyle name="Normal 2 2 2 2 2 3 17" xfId="28925"/>
    <cellStyle name="Normal 2 2 2 2 2 3 18" xfId="28926"/>
    <cellStyle name="Normal 2 2 2 2 2 3 19" xfId="28927"/>
    <cellStyle name="Normal 2 2 2 2 2 3 2" xfId="28928"/>
    <cellStyle name="Normal 2 2 2 2 2 3 2 10" xfId="28929"/>
    <cellStyle name="Normal 2 2 2 2 2 3 2 11" xfId="28930"/>
    <cellStyle name="Normal 2 2 2 2 2 3 2 12" xfId="28931"/>
    <cellStyle name="Normal 2 2 2 2 2 3 2 13" xfId="28932"/>
    <cellStyle name="Normal 2 2 2 2 2 3 2 2" xfId="28933"/>
    <cellStyle name="Normal 2 2 2 2 2 3 2 2 10" xfId="28934"/>
    <cellStyle name="Normal 2 2 2 2 2 3 2 2 11" xfId="28935"/>
    <cellStyle name="Normal 2 2 2 2 2 3 2 2 12" xfId="28936"/>
    <cellStyle name="Normal 2 2 2 2 2 3 2 2 13" xfId="28937"/>
    <cellStyle name="Normal 2 2 2 2 2 3 2 2 14" xfId="28938"/>
    <cellStyle name="Normal 2 2 2 2 2 3 2 2 15" xfId="28939"/>
    <cellStyle name="Normal 2 2 2 2 2 3 2 2 16" xfId="28940"/>
    <cellStyle name="Normal 2 2 2 2 2 3 2 2 17" xfId="28941"/>
    <cellStyle name="Normal 2 2 2 2 2 3 2 2 18" xfId="28942"/>
    <cellStyle name="Normal 2 2 2 2 2 3 2 2 19" xfId="28943"/>
    <cellStyle name="Normal 2 2 2 2 2 3 2 2 2" xfId="28944"/>
    <cellStyle name="Normal 2 2 2 2 2 3 2 2 2 2" xfId="28945"/>
    <cellStyle name="Normal 2 2 2 2 2 3 2 2 2 2 10" xfId="28946"/>
    <cellStyle name="Normal 2 2 2 2 2 3 2 2 2 2 11" xfId="28947"/>
    <cellStyle name="Normal 2 2 2 2 2 3 2 2 2 2 12" xfId="28948"/>
    <cellStyle name="Normal 2 2 2 2 2 3 2 2 2 2 13" xfId="28949"/>
    <cellStyle name="Normal 2 2 2 2 2 3 2 2 2 2 14" xfId="28950"/>
    <cellStyle name="Normal 2 2 2 2 2 3 2 2 2 2 15" xfId="28951"/>
    <cellStyle name="Normal 2 2 2 2 2 3 2 2 2 2 16" xfId="28952"/>
    <cellStyle name="Normal 2 2 2 2 2 3 2 2 2 2 17" xfId="28953"/>
    <cellStyle name="Normal 2 2 2 2 2 3 2 2 2 2 18" xfId="28954"/>
    <cellStyle name="Normal 2 2 2 2 2 3 2 2 2 2 19" xfId="28955"/>
    <cellStyle name="Normal 2 2 2 2 2 3 2 2 2 2 2" xfId="28956"/>
    <cellStyle name="Normal 2 2 2 2 2 3 2 2 2 2 3" xfId="28957"/>
    <cellStyle name="Normal 2 2 2 2 2 3 2 2 2 2 4" xfId="28958"/>
    <cellStyle name="Normal 2 2 2 2 2 3 2 2 2 2 5" xfId="28959"/>
    <cellStyle name="Normal 2 2 2 2 2 3 2 2 2 2 6" xfId="28960"/>
    <cellStyle name="Normal 2 2 2 2 2 3 2 2 2 2 7" xfId="28961"/>
    <cellStyle name="Normal 2 2 2 2 2 3 2 2 2 2 8" xfId="28962"/>
    <cellStyle name="Normal 2 2 2 2 2 3 2 2 2 2 9" xfId="28963"/>
    <cellStyle name="Normal 2 2 2 2 2 3 2 2 2 2_Sheet1" xfId="28964"/>
    <cellStyle name="Normal 2 2 2 2 2 3 2 2 20" xfId="28965"/>
    <cellStyle name="Normal 2 2 2 2 2 3 2 2 3" xfId="28966"/>
    <cellStyle name="Normal 2 2 2 2 2 3 2 2 4" xfId="28967"/>
    <cellStyle name="Normal 2 2 2 2 2 3 2 2 5" xfId="28968"/>
    <cellStyle name="Normal 2 2 2 2 2 3 2 2 6" xfId="28969"/>
    <cellStyle name="Normal 2 2 2 2 2 3 2 2 7" xfId="28970"/>
    <cellStyle name="Normal 2 2 2 2 2 3 2 2 8" xfId="28971"/>
    <cellStyle name="Normal 2 2 2 2 2 3 2 2 9" xfId="28972"/>
    <cellStyle name="Normal 2 2 2 2 2 3 2 2_Sheet1" xfId="28973"/>
    <cellStyle name="Normal 2 2 2 2 2 3 2 3" xfId="28974"/>
    <cellStyle name="Normal 2 2 2 2 2 3 2 3 10" xfId="28975"/>
    <cellStyle name="Normal 2 2 2 2 2 3 2 3 11" xfId="28976"/>
    <cellStyle name="Normal 2 2 2 2 2 3 2 3 12" xfId="28977"/>
    <cellStyle name="Normal 2 2 2 2 2 3 2 3 13" xfId="28978"/>
    <cellStyle name="Normal 2 2 2 2 2 3 2 3 14" xfId="28979"/>
    <cellStyle name="Normal 2 2 2 2 2 3 2 3 15" xfId="28980"/>
    <cellStyle name="Normal 2 2 2 2 2 3 2 3 16" xfId="28981"/>
    <cellStyle name="Normal 2 2 2 2 2 3 2 3 17" xfId="28982"/>
    <cellStyle name="Normal 2 2 2 2 2 3 2 3 18" xfId="28983"/>
    <cellStyle name="Normal 2 2 2 2 2 3 2 3 19" xfId="28984"/>
    <cellStyle name="Normal 2 2 2 2 2 3 2 3 2" xfId="28985"/>
    <cellStyle name="Normal 2 2 2 2 2 3 2 3 3" xfId="28986"/>
    <cellStyle name="Normal 2 2 2 2 2 3 2 3 4" xfId="28987"/>
    <cellStyle name="Normal 2 2 2 2 2 3 2 3 5" xfId="28988"/>
    <cellStyle name="Normal 2 2 2 2 2 3 2 3 6" xfId="28989"/>
    <cellStyle name="Normal 2 2 2 2 2 3 2 3 7" xfId="28990"/>
    <cellStyle name="Normal 2 2 2 2 2 3 2 3 8" xfId="28991"/>
    <cellStyle name="Normal 2 2 2 2 2 3 2 3 9" xfId="28992"/>
    <cellStyle name="Normal 2 2 2 2 2 3 2 3_Sheet1" xfId="28993"/>
    <cellStyle name="Normal 2 2 2 2 2 3 2 4" xfId="28994"/>
    <cellStyle name="Normal 2 2 2 2 2 3 2 5" xfId="28995"/>
    <cellStyle name="Normal 2 2 2 2 2 3 2 6" xfId="28996"/>
    <cellStyle name="Normal 2 2 2 2 2 3 2 7" xfId="28997"/>
    <cellStyle name="Normal 2 2 2 2 2 3 2 8" xfId="28998"/>
    <cellStyle name="Normal 2 2 2 2 2 3 2 9" xfId="28999"/>
    <cellStyle name="Normal 2 2 2 2 2 3 20" xfId="29000"/>
    <cellStyle name="Normal 2 2 2 2 2 3 21" xfId="29001"/>
    <cellStyle name="Normal 2 2 2 2 2 3 22" xfId="29002"/>
    <cellStyle name="Normal 2 2 2 2 2 3 3" xfId="29003"/>
    <cellStyle name="Normal 2 2 2 2 2 3 4" xfId="29004"/>
    <cellStyle name="Normal 2 2 2 2 2 3 4 2" xfId="29005"/>
    <cellStyle name="Normal 2 2 2 2 2 3 4 2 10" xfId="29006"/>
    <cellStyle name="Normal 2 2 2 2 2 3 4 2 11" xfId="29007"/>
    <cellStyle name="Normal 2 2 2 2 2 3 4 2 12" xfId="29008"/>
    <cellStyle name="Normal 2 2 2 2 2 3 4 2 13" xfId="29009"/>
    <cellStyle name="Normal 2 2 2 2 2 3 4 2 14" xfId="29010"/>
    <cellStyle name="Normal 2 2 2 2 2 3 4 2 15" xfId="29011"/>
    <cellStyle name="Normal 2 2 2 2 2 3 4 2 16" xfId="29012"/>
    <cellStyle name="Normal 2 2 2 2 2 3 4 2 17" xfId="29013"/>
    <cellStyle name="Normal 2 2 2 2 2 3 4 2 18" xfId="29014"/>
    <cellStyle name="Normal 2 2 2 2 2 3 4 2 19" xfId="29015"/>
    <cellStyle name="Normal 2 2 2 2 2 3 4 2 2" xfId="29016"/>
    <cellStyle name="Normal 2 2 2 2 2 3 4 2 3" xfId="29017"/>
    <cellStyle name="Normal 2 2 2 2 2 3 4 2 4" xfId="29018"/>
    <cellStyle name="Normal 2 2 2 2 2 3 4 2 5" xfId="29019"/>
    <cellStyle name="Normal 2 2 2 2 2 3 4 2 6" xfId="29020"/>
    <cellStyle name="Normal 2 2 2 2 2 3 4 2 7" xfId="29021"/>
    <cellStyle name="Normal 2 2 2 2 2 3 4 2 8" xfId="29022"/>
    <cellStyle name="Normal 2 2 2 2 2 3 4 2 9" xfId="29023"/>
    <cellStyle name="Normal 2 2 2 2 2 3 4 2_Sheet1" xfId="29024"/>
    <cellStyle name="Normal 2 2 2 2 2 3 5" xfId="29025"/>
    <cellStyle name="Normal 2 2 2 2 2 3 6" xfId="29026"/>
    <cellStyle name="Normal 2 2 2 2 2 3 7" xfId="29027"/>
    <cellStyle name="Normal 2 2 2 2 2 3 8" xfId="29028"/>
    <cellStyle name="Normal 2 2 2 2 2 3 9" xfId="29029"/>
    <cellStyle name="Normal 2 2 2 2 2 3_Sheet1" xfId="29030"/>
    <cellStyle name="Normal 2 2 2 2 2 4" xfId="29031"/>
    <cellStyle name="Normal 2 2 2 2 2 4 10" xfId="29032"/>
    <cellStyle name="Normal 2 2 2 2 2 4 11" xfId="29033"/>
    <cellStyle name="Normal 2 2 2 2 2 4 12" xfId="29034"/>
    <cellStyle name="Normal 2 2 2 2 2 4 13" xfId="29035"/>
    <cellStyle name="Normal 2 2 2 2 2 4 14" xfId="29036"/>
    <cellStyle name="Normal 2 2 2 2 2 4 15" xfId="29037"/>
    <cellStyle name="Normal 2 2 2 2 2 4 16" xfId="29038"/>
    <cellStyle name="Normal 2 2 2 2 2 4 17" xfId="29039"/>
    <cellStyle name="Normal 2 2 2 2 2 4 18" xfId="29040"/>
    <cellStyle name="Normal 2 2 2 2 2 4 19" xfId="29041"/>
    <cellStyle name="Normal 2 2 2 2 2 4 2" xfId="29042"/>
    <cellStyle name="Normal 2 2 2 2 2 4 2 10" xfId="29043"/>
    <cellStyle name="Normal 2 2 2 2 2 4 2 11" xfId="29044"/>
    <cellStyle name="Normal 2 2 2 2 2 4 2 12" xfId="29045"/>
    <cellStyle name="Normal 2 2 2 2 2 4 2 13" xfId="29046"/>
    <cellStyle name="Normal 2 2 2 2 2 4 2 14" xfId="29047"/>
    <cellStyle name="Normal 2 2 2 2 2 4 2 2" xfId="29048"/>
    <cellStyle name="Normal 2 2 2 2 2 4 2 2 10" xfId="29049"/>
    <cellStyle name="Normal 2 2 2 2 2 4 2 2 11" xfId="29050"/>
    <cellStyle name="Normal 2 2 2 2 2 4 2 2 12" xfId="29051"/>
    <cellStyle name="Normal 2 2 2 2 2 4 2 2 13" xfId="29052"/>
    <cellStyle name="Normal 2 2 2 2 2 4 2 2 14" xfId="29053"/>
    <cellStyle name="Normal 2 2 2 2 2 4 2 2 15" xfId="29054"/>
    <cellStyle name="Normal 2 2 2 2 2 4 2 2 16" xfId="29055"/>
    <cellStyle name="Normal 2 2 2 2 2 4 2 2 17" xfId="29056"/>
    <cellStyle name="Normal 2 2 2 2 2 4 2 2 18" xfId="29057"/>
    <cellStyle name="Normal 2 2 2 2 2 4 2 2 19" xfId="29058"/>
    <cellStyle name="Normal 2 2 2 2 2 4 2 2 2" xfId="29059"/>
    <cellStyle name="Normal 2 2 2 2 2 4 2 2 2 2" xfId="29060"/>
    <cellStyle name="Normal 2 2 2 2 2 4 2 2 2 2 10" xfId="29061"/>
    <cellStyle name="Normal 2 2 2 2 2 4 2 2 2 2 11" xfId="29062"/>
    <cellStyle name="Normal 2 2 2 2 2 4 2 2 2 2 12" xfId="29063"/>
    <cellStyle name="Normal 2 2 2 2 2 4 2 2 2 2 13" xfId="29064"/>
    <cellStyle name="Normal 2 2 2 2 2 4 2 2 2 2 14" xfId="29065"/>
    <cellStyle name="Normal 2 2 2 2 2 4 2 2 2 2 15" xfId="29066"/>
    <cellStyle name="Normal 2 2 2 2 2 4 2 2 2 2 16" xfId="29067"/>
    <cellStyle name="Normal 2 2 2 2 2 4 2 2 2 2 17" xfId="29068"/>
    <cellStyle name="Normal 2 2 2 2 2 4 2 2 2 2 18" xfId="29069"/>
    <cellStyle name="Normal 2 2 2 2 2 4 2 2 2 2 2" xfId="29070"/>
    <cellStyle name="Normal 2 2 2 2 2 4 2 2 2 2 3" xfId="29071"/>
    <cellStyle name="Normal 2 2 2 2 2 4 2 2 2 2 4" xfId="29072"/>
    <cellStyle name="Normal 2 2 2 2 2 4 2 2 2 2 5" xfId="29073"/>
    <cellStyle name="Normal 2 2 2 2 2 4 2 2 2 2 6" xfId="29074"/>
    <cellStyle name="Normal 2 2 2 2 2 4 2 2 2 2 7" xfId="29075"/>
    <cellStyle name="Normal 2 2 2 2 2 4 2 2 2 2 8" xfId="29076"/>
    <cellStyle name="Normal 2 2 2 2 2 4 2 2 2 2 9" xfId="29077"/>
    <cellStyle name="Normal 2 2 2 2 2 4 2 2 2 2_Sheet1" xfId="29078"/>
    <cellStyle name="Normal 2 2 2 2 2 4 2 2 3" xfId="29079"/>
    <cellStyle name="Normal 2 2 2 2 2 4 2 2 4" xfId="29080"/>
    <cellStyle name="Normal 2 2 2 2 2 4 2 2 5" xfId="29081"/>
    <cellStyle name="Normal 2 2 2 2 2 4 2 2 6" xfId="29082"/>
    <cellStyle name="Normal 2 2 2 2 2 4 2 2 7" xfId="29083"/>
    <cellStyle name="Normal 2 2 2 2 2 4 2 2 8" xfId="29084"/>
    <cellStyle name="Normal 2 2 2 2 2 4 2 2 9" xfId="29085"/>
    <cellStyle name="Normal 2 2 2 2 2 4 2 2_Sheet1" xfId="29086"/>
    <cellStyle name="Normal 2 2 2 2 2 4 2 3" xfId="29087"/>
    <cellStyle name="Normal 2 2 2 2 2 4 2 3 10" xfId="29088"/>
    <cellStyle name="Normal 2 2 2 2 2 4 2 3 11" xfId="29089"/>
    <cellStyle name="Normal 2 2 2 2 2 4 2 3 12" xfId="29090"/>
    <cellStyle name="Normal 2 2 2 2 2 4 2 3 13" xfId="29091"/>
    <cellStyle name="Normal 2 2 2 2 2 4 2 3 14" xfId="29092"/>
    <cellStyle name="Normal 2 2 2 2 2 4 2 3 15" xfId="29093"/>
    <cellStyle name="Normal 2 2 2 2 2 4 2 3 16" xfId="29094"/>
    <cellStyle name="Normal 2 2 2 2 2 4 2 3 17" xfId="29095"/>
    <cellStyle name="Normal 2 2 2 2 2 4 2 3 18" xfId="29096"/>
    <cellStyle name="Normal 2 2 2 2 2 4 2 3 2" xfId="29097"/>
    <cellStyle name="Normal 2 2 2 2 2 4 2 3 3" xfId="29098"/>
    <cellStyle name="Normal 2 2 2 2 2 4 2 3 4" xfId="29099"/>
    <cellStyle name="Normal 2 2 2 2 2 4 2 3 5" xfId="29100"/>
    <cellStyle name="Normal 2 2 2 2 2 4 2 3 6" xfId="29101"/>
    <cellStyle name="Normal 2 2 2 2 2 4 2 3 7" xfId="29102"/>
    <cellStyle name="Normal 2 2 2 2 2 4 2 3 8" xfId="29103"/>
    <cellStyle name="Normal 2 2 2 2 2 4 2 3 9" xfId="29104"/>
    <cellStyle name="Normal 2 2 2 2 2 4 2 3_Sheet1" xfId="29105"/>
    <cellStyle name="Normal 2 2 2 2 2 4 2 4" xfId="29106"/>
    <cellStyle name="Normal 2 2 2 2 2 4 2 5" xfId="29107"/>
    <cellStyle name="Normal 2 2 2 2 2 4 2 6" xfId="29108"/>
    <cellStyle name="Normal 2 2 2 2 2 4 2 7" xfId="29109"/>
    <cellStyle name="Normal 2 2 2 2 2 4 2 8" xfId="29110"/>
    <cellStyle name="Normal 2 2 2 2 2 4 2 9" xfId="29111"/>
    <cellStyle name="Normal 2 2 2 2 2 4 20" xfId="29112"/>
    <cellStyle name="Normal 2 2 2 2 2 4 3" xfId="29113"/>
    <cellStyle name="Normal 2 2 2 2 2 4 3 10" xfId="29114"/>
    <cellStyle name="Normal 2 2 2 2 2 4 3 11" xfId="29115"/>
    <cellStyle name="Normal 2 2 2 2 2 4 3 12" xfId="29116"/>
    <cellStyle name="Normal 2 2 2 2 2 4 3 13" xfId="29117"/>
    <cellStyle name="Normal 2 2 2 2 2 4 3 2" xfId="29118"/>
    <cellStyle name="Normal 2 2 2 2 2 4 3 2 10" xfId="29119"/>
    <cellStyle name="Normal 2 2 2 2 2 4 3 2 11" xfId="29120"/>
    <cellStyle name="Normal 2 2 2 2 2 4 3 2 12" xfId="29121"/>
    <cellStyle name="Normal 2 2 2 2 2 4 3 2 13" xfId="29122"/>
    <cellStyle name="Normal 2 2 2 2 2 4 3 2 14" xfId="29123"/>
    <cellStyle name="Normal 2 2 2 2 2 4 3 2 15" xfId="29124"/>
    <cellStyle name="Normal 2 2 2 2 2 4 3 2 16" xfId="29125"/>
    <cellStyle name="Normal 2 2 2 2 2 4 3 2 17" xfId="29126"/>
    <cellStyle name="Normal 2 2 2 2 2 4 3 2 18" xfId="29127"/>
    <cellStyle name="Normal 2 2 2 2 2 4 3 2 2" xfId="29128"/>
    <cellStyle name="Normal 2 2 2 2 2 4 3 2 3" xfId="29129"/>
    <cellStyle name="Normal 2 2 2 2 2 4 3 2 4" xfId="29130"/>
    <cellStyle name="Normal 2 2 2 2 2 4 3 2 5" xfId="29131"/>
    <cellStyle name="Normal 2 2 2 2 2 4 3 2 6" xfId="29132"/>
    <cellStyle name="Normal 2 2 2 2 2 4 3 2 7" xfId="29133"/>
    <cellStyle name="Normal 2 2 2 2 2 4 3 2 8" xfId="29134"/>
    <cellStyle name="Normal 2 2 2 2 2 4 3 2 9" xfId="29135"/>
    <cellStyle name="Normal 2 2 2 2 2 4 3 2_Sheet1" xfId="29136"/>
    <cellStyle name="Normal 2 2 2 2 2 4 3 3" xfId="29137"/>
    <cellStyle name="Normal 2 2 2 2 2 4 3 4" xfId="29138"/>
    <cellStyle name="Normal 2 2 2 2 2 4 3 5" xfId="29139"/>
    <cellStyle name="Normal 2 2 2 2 2 4 3 6" xfId="29140"/>
    <cellStyle name="Normal 2 2 2 2 2 4 3 7" xfId="29141"/>
    <cellStyle name="Normal 2 2 2 2 2 4 3 8" xfId="29142"/>
    <cellStyle name="Normal 2 2 2 2 2 4 3 9" xfId="29143"/>
    <cellStyle name="Normal 2 2 2 2 2 4 4" xfId="29144"/>
    <cellStyle name="Normal 2 2 2 2 2 4 5" xfId="29145"/>
    <cellStyle name="Normal 2 2 2 2 2 4 6" xfId="29146"/>
    <cellStyle name="Normal 2 2 2 2 2 4 7" xfId="29147"/>
    <cellStyle name="Normal 2 2 2 2 2 4 8" xfId="29148"/>
    <cellStyle name="Normal 2 2 2 2 2 4 9" xfId="29149"/>
    <cellStyle name="Normal 2 2 2 2 2 4_Sheet1" xfId="29150"/>
    <cellStyle name="Normal 2 2 2 2 2 5" xfId="29151"/>
    <cellStyle name="Normal 2 2 2 2 2 5 10" xfId="29152"/>
    <cellStyle name="Normal 2 2 2 2 2 5 11" xfId="29153"/>
    <cellStyle name="Normal 2 2 2 2 2 5 12" xfId="29154"/>
    <cellStyle name="Normal 2 2 2 2 2 5 13" xfId="29155"/>
    <cellStyle name="Normal 2 2 2 2 2 5 14" xfId="29156"/>
    <cellStyle name="Normal 2 2 2 2 2 5 15" xfId="29157"/>
    <cellStyle name="Normal 2 2 2 2 2 5 16" xfId="29158"/>
    <cellStyle name="Normal 2 2 2 2 2 5 17" xfId="29159"/>
    <cellStyle name="Normal 2 2 2 2 2 5 18" xfId="29160"/>
    <cellStyle name="Normal 2 2 2 2 2 5 19" xfId="29161"/>
    <cellStyle name="Normal 2 2 2 2 2 5 2" xfId="29162"/>
    <cellStyle name="Normal 2 2 2 2 2 5 2 2" xfId="29163"/>
    <cellStyle name="Normal 2 2 2 2 2 5 2 2 10" xfId="29164"/>
    <cellStyle name="Normal 2 2 2 2 2 5 2 2 11" xfId="29165"/>
    <cellStyle name="Normal 2 2 2 2 2 5 2 2 12" xfId="29166"/>
    <cellStyle name="Normal 2 2 2 2 2 5 2 2 13" xfId="29167"/>
    <cellStyle name="Normal 2 2 2 2 2 5 2 2 14" xfId="29168"/>
    <cellStyle name="Normal 2 2 2 2 2 5 2 2 15" xfId="29169"/>
    <cellStyle name="Normal 2 2 2 2 2 5 2 2 16" xfId="29170"/>
    <cellStyle name="Normal 2 2 2 2 2 5 2 2 17" xfId="29171"/>
    <cellStyle name="Normal 2 2 2 2 2 5 2 2 18" xfId="29172"/>
    <cellStyle name="Normal 2 2 2 2 2 5 2 2 2" xfId="29173"/>
    <cellStyle name="Normal 2 2 2 2 2 5 2 2 3" xfId="29174"/>
    <cellStyle name="Normal 2 2 2 2 2 5 2 2 4" xfId="29175"/>
    <cellStyle name="Normal 2 2 2 2 2 5 2 2 5" xfId="29176"/>
    <cellStyle name="Normal 2 2 2 2 2 5 2 2 6" xfId="29177"/>
    <cellStyle name="Normal 2 2 2 2 2 5 2 2 7" xfId="29178"/>
    <cellStyle name="Normal 2 2 2 2 2 5 2 2 8" xfId="29179"/>
    <cellStyle name="Normal 2 2 2 2 2 5 2 2 9" xfId="29180"/>
    <cellStyle name="Normal 2 2 2 2 2 5 2 2_Sheet1" xfId="29181"/>
    <cellStyle name="Normal 2 2 2 2 2 5 3" xfId="29182"/>
    <cellStyle name="Normal 2 2 2 2 2 5 4" xfId="29183"/>
    <cellStyle name="Normal 2 2 2 2 2 5 5" xfId="29184"/>
    <cellStyle name="Normal 2 2 2 2 2 5 6" xfId="29185"/>
    <cellStyle name="Normal 2 2 2 2 2 5 7" xfId="29186"/>
    <cellStyle name="Normal 2 2 2 2 2 5 8" xfId="29187"/>
    <cellStyle name="Normal 2 2 2 2 2 5 9" xfId="29188"/>
    <cellStyle name="Normal 2 2 2 2 2 5_Sheet1" xfId="29189"/>
    <cellStyle name="Normal 2 2 2 2 2 6" xfId="29190"/>
    <cellStyle name="Normal 2 2 2 2 2 6 10" xfId="29191"/>
    <cellStyle name="Normal 2 2 2 2 2 6 11" xfId="29192"/>
    <cellStyle name="Normal 2 2 2 2 2 6 12" xfId="29193"/>
    <cellStyle name="Normal 2 2 2 2 2 6 13" xfId="29194"/>
    <cellStyle name="Normal 2 2 2 2 2 6 14" xfId="29195"/>
    <cellStyle name="Normal 2 2 2 2 2 6 15" xfId="29196"/>
    <cellStyle name="Normal 2 2 2 2 2 6 16" xfId="29197"/>
    <cellStyle name="Normal 2 2 2 2 2 6 17" xfId="29198"/>
    <cellStyle name="Normal 2 2 2 2 2 6 18" xfId="29199"/>
    <cellStyle name="Normal 2 2 2 2 2 6 2" xfId="29200"/>
    <cellStyle name="Normal 2 2 2 2 2 6 3" xfId="29201"/>
    <cellStyle name="Normal 2 2 2 2 2 6 4" xfId="29202"/>
    <cellStyle name="Normal 2 2 2 2 2 6 5" xfId="29203"/>
    <cellStyle name="Normal 2 2 2 2 2 6 6" xfId="29204"/>
    <cellStyle name="Normal 2 2 2 2 2 6 7" xfId="29205"/>
    <cellStyle name="Normal 2 2 2 2 2 6 8" xfId="29206"/>
    <cellStyle name="Normal 2 2 2 2 2 6 9" xfId="29207"/>
    <cellStyle name="Normal 2 2 2 2 2 6_Sheet1" xfId="29208"/>
    <cellStyle name="Normal 2 2 2 2 2 7" xfId="29209"/>
    <cellStyle name="Normal 2 2 2 2 2 8" xfId="29210"/>
    <cellStyle name="Normal 2 2 2 2 2 9" xfId="29211"/>
    <cellStyle name="Normal 2 2 2 2 2_Sheet1" xfId="29212"/>
    <cellStyle name="Normal 2 2 2 2 20" xfId="29213"/>
    <cellStyle name="Normal 2 2 2 2 21" xfId="29214"/>
    <cellStyle name="Normal 2 2 2 2 22" xfId="29215"/>
    <cellStyle name="Normal 2 2 2 2 23" xfId="29216"/>
    <cellStyle name="Normal 2 2 2 2 24" xfId="29217"/>
    <cellStyle name="Normal 2 2 2 2 25" xfId="29218"/>
    <cellStyle name="Normal 2 2 2 2 26" xfId="29219"/>
    <cellStyle name="Normal 2 2 2 2 27" xfId="29220"/>
    <cellStyle name="Normal 2 2 2 2 28" xfId="29221"/>
    <cellStyle name="Normal 2 2 2 2 29" xfId="29222"/>
    <cellStyle name="Normal 2 2 2 2 3" xfId="29223"/>
    <cellStyle name="Normal 2 2 2 2 3 10" xfId="29224"/>
    <cellStyle name="Normal 2 2 2 2 3 11" xfId="29225"/>
    <cellStyle name="Normal 2 2 2 2 3 12" xfId="29226"/>
    <cellStyle name="Normal 2 2 2 2 3 13" xfId="29227"/>
    <cellStyle name="Normal 2 2 2 2 3 14" xfId="29228"/>
    <cellStyle name="Normal 2 2 2 2 3 15" xfId="29229"/>
    <cellStyle name="Normal 2 2 2 2 3 2" xfId="29230"/>
    <cellStyle name="Normal 2 2 2 2 3 2 10" xfId="29231"/>
    <cellStyle name="Normal 2 2 2 2 3 2 11" xfId="29232"/>
    <cellStyle name="Normal 2 2 2 2 3 2 12" xfId="29233"/>
    <cellStyle name="Normal 2 2 2 2 3 2 13" xfId="29234"/>
    <cellStyle name="Normal 2 2 2 2 3 2 14" xfId="29235"/>
    <cellStyle name="Normal 2 2 2 2 3 2 15" xfId="29236"/>
    <cellStyle name="Normal 2 2 2 2 3 2 16" xfId="29237"/>
    <cellStyle name="Normal 2 2 2 2 3 2 17" xfId="29238"/>
    <cellStyle name="Normal 2 2 2 2 3 2 18" xfId="29239"/>
    <cellStyle name="Normal 2 2 2 2 3 2 19" xfId="29240"/>
    <cellStyle name="Normal 2 2 2 2 3 2 2" xfId="29241"/>
    <cellStyle name="Normal 2 2 2 2 3 2 2 10" xfId="29242"/>
    <cellStyle name="Normal 2 2 2 2 3 2 2 11" xfId="29243"/>
    <cellStyle name="Normal 2 2 2 2 3 2 2 12" xfId="29244"/>
    <cellStyle name="Normal 2 2 2 2 3 2 2 13" xfId="29245"/>
    <cellStyle name="Normal 2 2 2 2 3 2 2 14" xfId="29246"/>
    <cellStyle name="Normal 2 2 2 2 3 2 2 2" xfId="29247"/>
    <cellStyle name="Normal 2 2 2 2 3 2 2 2 10" xfId="29248"/>
    <cellStyle name="Normal 2 2 2 2 3 2 2 2 11" xfId="29249"/>
    <cellStyle name="Normal 2 2 2 2 3 2 2 2 12" xfId="29250"/>
    <cellStyle name="Normal 2 2 2 2 3 2 2 2 13" xfId="29251"/>
    <cellStyle name="Normal 2 2 2 2 3 2 2 2 14" xfId="29252"/>
    <cellStyle name="Normal 2 2 2 2 3 2 2 2 15" xfId="29253"/>
    <cellStyle name="Normal 2 2 2 2 3 2 2 2 16" xfId="29254"/>
    <cellStyle name="Normal 2 2 2 2 3 2 2 2 17" xfId="29255"/>
    <cellStyle name="Normal 2 2 2 2 3 2 2 2 18" xfId="29256"/>
    <cellStyle name="Normal 2 2 2 2 3 2 2 2 19" xfId="29257"/>
    <cellStyle name="Normal 2 2 2 2 3 2 2 2 2" xfId="29258"/>
    <cellStyle name="Normal 2 2 2 2 3 2 2 2 2 2" xfId="29259"/>
    <cellStyle name="Normal 2 2 2 2 3 2 2 2 2 2 10" xfId="29260"/>
    <cellStyle name="Normal 2 2 2 2 3 2 2 2 2 2 11" xfId="29261"/>
    <cellStyle name="Normal 2 2 2 2 3 2 2 2 2 2 12" xfId="29262"/>
    <cellStyle name="Normal 2 2 2 2 3 2 2 2 2 2 13" xfId="29263"/>
    <cellStyle name="Normal 2 2 2 2 3 2 2 2 2 2 14" xfId="29264"/>
    <cellStyle name="Normal 2 2 2 2 3 2 2 2 2 2 15" xfId="29265"/>
    <cellStyle name="Normal 2 2 2 2 3 2 2 2 2 2 16" xfId="29266"/>
    <cellStyle name="Normal 2 2 2 2 3 2 2 2 2 2 17" xfId="29267"/>
    <cellStyle name="Normal 2 2 2 2 3 2 2 2 2 2 18" xfId="29268"/>
    <cellStyle name="Normal 2 2 2 2 3 2 2 2 2 2 19" xfId="29269"/>
    <cellStyle name="Normal 2 2 2 2 3 2 2 2 2 2 2" xfId="29270"/>
    <cellStyle name="Normal 2 2 2 2 3 2 2 2 2 2 2 2" xfId="29271"/>
    <cellStyle name="Normal 2 2 2 2 3 2 2 2 2 2 2 3" xfId="29272"/>
    <cellStyle name="Normal 2 2 2 2 3 2 2 2 2 2 2 4" xfId="29273"/>
    <cellStyle name="Normal 2 2 2 2 3 2 2 2 2 2 2 5" xfId="29274"/>
    <cellStyle name="Normal 2 2 2 2 3 2 2 2 2 2 2 6" xfId="29275"/>
    <cellStyle name="Normal 2 2 2 2 3 2 2 2 2 2 2 7" xfId="29276"/>
    <cellStyle name="Normal 2 2 2 2 3 2 2 2 2 2 2 8" xfId="29277"/>
    <cellStyle name="Normal 2 2 2 2 3 2 2 2 2 2 2 9" xfId="29278"/>
    <cellStyle name="Normal 2 2 2 2 3 2 2 2 2 2 20" xfId="29279"/>
    <cellStyle name="Normal 2 2 2 2 3 2 2 2 2 2 21" xfId="29280"/>
    <cellStyle name="Normal 2 2 2 2 3 2 2 2 2 2 22" xfId="29281"/>
    <cellStyle name="Normal 2 2 2 2 3 2 2 2 2 2 23" xfId="29282"/>
    <cellStyle name="Normal 2 2 2 2 3 2 2 2 2 2 24" xfId="29283"/>
    <cellStyle name="Normal 2 2 2 2 3 2 2 2 2 2 25" xfId="29284"/>
    <cellStyle name="Normal 2 2 2 2 3 2 2 2 2 2 3" xfId="29285"/>
    <cellStyle name="Normal 2 2 2 2 3 2 2 2 2 2 4" xfId="29286"/>
    <cellStyle name="Normal 2 2 2 2 3 2 2 2 2 2 5" xfId="29287"/>
    <cellStyle name="Normal 2 2 2 2 3 2 2 2 2 2 6" xfId="29288"/>
    <cellStyle name="Normal 2 2 2 2 3 2 2 2 2 2 7" xfId="29289"/>
    <cellStyle name="Normal 2 2 2 2 3 2 2 2 2 2 8" xfId="29290"/>
    <cellStyle name="Normal 2 2 2 2 3 2 2 2 2 2 9" xfId="29291"/>
    <cellStyle name="Normal 2 2 2 2 3 2 2 2 2 2_Sheet1" xfId="29292"/>
    <cellStyle name="Normal 2 2 2 2 3 2 2 2 2 3" xfId="29293"/>
    <cellStyle name="Normal 2 2 2 2 3 2 2 2 2 4" xfId="29294"/>
    <cellStyle name="Normal 2 2 2 2 3 2 2 2 2 5" xfId="29295"/>
    <cellStyle name="Normal 2 2 2 2 3 2 2 2 2 6" xfId="29296"/>
    <cellStyle name="Normal 2 2 2 2 3 2 2 2 2 7" xfId="29297"/>
    <cellStyle name="Normal 2 2 2 2 3 2 2 2 2 8" xfId="29298"/>
    <cellStyle name="Normal 2 2 2 2 3 2 2 2 2 9" xfId="29299"/>
    <cellStyle name="Normal 2 2 2 2 3 2 2 2 20" xfId="29300"/>
    <cellStyle name="Normal 2 2 2 2 3 2 2 2 21" xfId="29301"/>
    <cellStyle name="Normal 2 2 2 2 3 2 2 2 22" xfId="29302"/>
    <cellStyle name="Normal 2 2 2 2 3 2 2 2 23" xfId="29303"/>
    <cellStyle name="Normal 2 2 2 2 3 2 2 2 24" xfId="29304"/>
    <cellStyle name="Normal 2 2 2 2 3 2 2 2 25" xfId="29305"/>
    <cellStyle name="Normal 2 2 2 2 3 2 2 2 26" xfId="29306"/>
    <cellStyle name="Normal 2 2 2 2 3 2 2 2 3" xfId="29307"/>
    <cellStyle name="Normal 2 2 2 2 3 2 2 2 4" xfId="29308"/>
    <cellStyle name="Normal 2 2 2 2 3 2 2 2 5" xfId="29309"/>
    <cellStyle name="Normal 2 2 2 2 3 2 2 2 6" xfId="29310"/>
    <cellStyle name="Normal 2 2 2 2 3 2 2 2 7" xfId="29311"/>
    <cellStyle name="Normal 2 2 2 2 3 2 2 2 8" xfId="29312"/>
    <cellStyle name="Normal 2 2 2 2 3 2 2 2 9" xfId="29313"/>
    <cellStyle name="Normal 2 2 2 2 3 2 2 2_Sheet1" xfId="29314"/>
    <cellStyle name="Normal 2 2 2 2 3 2 2 3" xfId="29315"/>
    <cellStyle name="Normal 2 2 2 2 3 2 2 3 10" xfId="29316"/>
    <cellStyle name="Normal 2 2 2 2 3 2 2 3 11" xfId="29317"/>
    <cellStyle name="Normal 2 2 2 2 3 2 2 3 12" xfId="29318"/>
    <cellStyle name="Normal 2 2 2 2 3 2 2 3 13" xfId="29319"/>
    <cellStyle name="Normal 2 2 2 2 3 2 2 3 14" xfId="29320"/>
    <cellStyle name="Normal 2 2 2 2 3 2 2 3 15" xfId="29321"/>
    <cellStyle name="Normal 2 2 2 2 3 2 2 3 16" xfId="29322"/>
    <cellStyle name="Normal 2 2 2 2 3 2 2 3 17" xfId="29323"/>
    <cellStyle name="Normal 2 2 2 2 3 2 2 3 18" xfId="29324"/>
    <cellStyle name="Normal 2 2 2 2 3 2 2 3 19" xfId="29325"/>
    <cellStyle name="Normal 2 2 2 2 3 2 2 3 2" xfId="29326"/>
    <cellStyle name="Normal 2 2 2 2 3 2 2 3 3" xfId="29327"/>
    <cellStyle name="Normal 2 2 2 2 3 2 2 3 4" xfId="29328"/>
    <cellStyle name="Normal 2 2 2 2 3 2 2 3 5" xfId="29329"/>
    <cellStyle name="Normal 2 2 2 2 3 2 2 3 6" xfId="29330"/>
    <cellStyle name="Normal 2 2 2 2 3 2 2 3 7" xfId="29331"/>
    <cellStyle name="Normal 2 2 2 2 3 2 2 3 8" xfId="29332"/>
    <cellStyle name="Normal 2 2 2 2 3 2 2 3 9" xfId="29333"/>
    <cellStyle name="Normal 2 2 2 2 3 2 2 3_Sheet1" xfId="29334"/>
    <cellStyle name="Normal 2 2 2 2 3 2 2 4" xfId="29335"/>
    <cellStyle name="Normal 2 2 2 2 3 2 2 5" xfId="29336"/>
    <cellStyle name="Normal 2 2 2 2 3 2 2 6" xfId="29337"/>
    <cellStyle name="Normal 2 2 2 2 3 2 2 7" xfId="29338"/>
    <cellStyle name="Normal 2 2 2 2 3 2 2 8" xfId="29339"/>
    <cellStyle name="Normal 2 2 2 2 3 2 2 9" xfId="29340"/>
    <cellStyle name="Normal 2 2 2 2 3 2 20" xfId="29341"/>
    <cellStyle name="Normal 2 2 2 2 3 2 21" xfId="29342"/>
    <cellStyle name="Normal 2 2 2 2 3 2 22" xfId="29343"/>
    <cellStyle name="Normal 2 2 2 2 3 2 23" xfId="29344"/>
    <cellStyle name="Normal 2 2 2 2 3 2 24" xfId="29345"/>
    <cellStyle name="Normal 2 2 2 2 3 2 25" xfId="29346"/>
    <cellStyle name="Normal 2 2 2 2 3 2 26" xfId="29347"/>
    <cellStyle name="Normal 2 2 2 2 3 2 27" xfId="29348"/>
    <cellStyle name="Normal 2 2 2 2 3 2 28" xfId="29349"/>
    <cellStyle name="Normal 2 2 2 2 3 2 3" xfId="29350"/>
    <cellStyle name="Normal 2 2 2 2 3 2 3 10" xfId="29351"/>
    <cellStyle name="Normal 2 2 2 2 3 2 3 11" xfId="29352"/>
    <cellStyle name="Normal 2 2 2 2 3 2 3 12" xfId="29353"/>
    <cellStyle name="Normal 2 2 2 2 3 2 3 13" xfId="29354"/>
    <cellStyle name="Normal 2 2 2 2 3 2 3 2" xfId="29355"/>
    <cellStyle name="Normal 2 2 2 2 3 2 3 3" xfId="29356"/>
    <cellStyle name="Normal 2 2 2 2 3 2 3 4" xfId="29357"/>
    <cellStyle name="Normal 2 2 2 2 3 2 3 5" xfId="29358"/>
    <cellStyle name="Normal 2 2 2 2 3 2 3 6" xfId="29359"/>
    <cellStyle name="Normal 2 2 2 2 3 2 3 7" xfId="29360"/>
    <cellStyle name="Normal 2 2 2 2 3 2 3 8" xfId="29361"/>
    <cellStyle name="Normal 2 2 2 2 3 2 3 9" xfId="29362"/>
    <cellStyle name="Normal 2 2 2 2 3 2 4" xfId="29363"/>
    <cellStyle name="Normal 2 2 2 2 3 2 4 2" xfId="29364"/>
    <cellStyle name="Normal 2 2 2 2 3 2 4 2 10" xfId="29365"/>
    <cellStyle name="Normal 2 2 2 2 3 2 4 2 11" xfId="29366"/>
    <cellStyle name="Normal 2 2 2 2 3 2 4 2 12" xfId="29367"/>
    <cellStyle name="Normal 2 2 2 2 3 2 4 2 13" xfId="29368"/>
    <cellStyle name="Normal 2 2 2 2 3 2 4 2 14" xfId="29369"/>
    <cellStyle name="Normal 2 2 2 2 3 2 4 2 15" xfId="29370"/>
    <cellStyle name="Normal 2 2 2 2 3 2 4 2 16" xfId="29371"/>
    <cellStyle name="Normal 2 2 2 2 3 2 4 2 17" xfId="29372"/>
    <cellStyle name="Normal 2 2 2 2 3 2 4 2 18" xfId="29373"/>
    <cellStyle name="Normal 2 2 2 2 3 2 4 2 19" xfId="29374"/>
    <cellStyle name="Normal 2 2 2 2 3 2 4 2 2" xfId="29375"/>
    <cellStyle name="Normal 2 2 2 2 3 2 4 2 3" xfId="29376"/>
    <cellStyle name="Normal 2 2 2 2 3 2 4 2 4" xfId="29377"/>
    <cellStyle name="Normal 2 2 2 2 3 2 4 2 5" xfId="29378"/>
    <cellStyle name="Normal 2 2 2 2 3 2 4 2 6" xfId="29379"/>
    <cellStyle name="Normal 2 2 2 2 3 2 4 2 7" xfId="29380"/>
    <cellStyle name="Normal 2 2 2 2 3 2 4 2 8" xfId="29381"/>
    <cellStyle name="Normal 2 2 2 2 3 2 4 2 9" xfId="29382"/>
    <cellStyle name="Normal 2 2 2 2 3 2 4 2_Sheet1" xfId="29383"/>
    <cellStyle name="Normal 2 2 2 2 3 2 5" xfId="29384"/>
    <cellStyle name="Normal 2 2 2 2 3 2 6" xfId="29385"/>
    <cellStyle name="Normal 2 2 2 2 3 2 7" xfId="29386"/>
    <cellStyle name="Normal 2 2 2 2 3 2 8" xfId="29387"/>
    <cellStyle name="Normal 2 2 2 2 3 2 9" xfId="29388"/>
    <cellStyle name="Normal 2 2 2 2 3 2_Sheet1" xfId="29389"/>
    <cellStyle name="Normal 2 2 2 2 3 3" xfId="29390"/>
    <cellStyle name="Normal 2 2 2 2 3 3 10" xfId="29391"/>
    <cellStyle name="Normal 2 2 2 2 3 3 11" xfId="29392"/>
    <cellStyle name="Normal 2 2 2 2 3 3 12" xfId="29393"/>
    <cellStyle name="Normal 2 2 2 2 3 3 13" xfId="29394"/>
    <cellStyle name="Normal 2 2 2 2 3 3 14" xfId="29395"/>
    <cellStyle name="Normal 2 2 2 2 3 3 15" xfId="29396"/>
    <cellStyle name="Normal 2 2 2 2 3 3 16" xfId="29397"/>
    <cellStyle name="Normal 2 2 2 2 3 3 17" xfId="29398"/>
    <cellStyle name="Normal 2 2 2 2 3 3 18" xfId="29399"/>
    <cellStyle name="Normal 2 2 2 2 3 3 19" xfId="29400"/>
    <cellStyle name="Normal 2 2 2 2 3 3 2" xfId="29401"/>
    <cellStyle name="Normal 2 2 2 2 3 3 2 2" xfId="29402"/>
    <cellStyle name="Normal 2 2 2 2 3 3 2 2 10" xfId="29403"/>
    <cellStyle name="Normal 2 2 2 2 3 3 2 2 11" xfId="29404"/>
    <cellStyle name="Normal 2 2 2 2 3 3 2 2 12" xfId="29405"/>
    <cellStyle name="Normal 2 2 2 2 3 3 2 2 13" xfId="29406"/>
    <cellStyle name="Normal 2 2 2 2 3 3 2 2 14" xfId="29407"/>
    <cellStyle name="Normal 2 2 2 2 3 3 2 2 15" xfId="29408"/>
    <cellStyle name="Normal 2 2 2 2 3 3 2 2 16" xfId="29409"/>
    <cellStyle name="Normal 2 2 2 2 3 3 2 2 17" xfId="29410"/>
    <cellStyle name="Normal 2 2 2 2 3 3 2 2 18" xfId="29411"/>
    <cellStyle name="Normal 2 2 2 2 3 3 2 2 19" xfId="29412"/>
    <cellStyle name="Normal 2 2 2 2 3 3 2 2 2" xfId="29413"/>
    <cellStyle name="Normal 2 2 2 2 3 3 2 2 2 2" xfId="29414"/>
    <cellStyle name="Normal 2 2 2 2 3 3 2 2 2 2 10" xfId="29415"/>
    <cellStyle name="Normal 2 2 2 2 3 3 2 2 2 2 11" xfId="29416"/>
    <cellStyle name="Normal 2 2 2 2 3 3 2 2 2 2 12" xfId="29417"/>
    <cellStyle name="Normal 2 2 2 2 3 3 2 2 2 2 13" xfId="29418"/>
    <cellStyle name="Normal 2 2 2 2 3 3 2 2 2 2 14" xfId="29419"/>
    <cellStyle name="Normal 2 2 2 2 3 3 2 2 2 2 15" xfId="29420"/>
    <cellStyle name="Normal 2 2 2 2 3 3 2 2 2 2 16" xfId="29421"/>
    <cellStyle name="Normal 2 2 2 2 3 3 2 2 2 2 17" xfId="29422"/>
    <cellStyle name="Normal 2 2 2 2 3 3 2 2 2 2 18" xfId="29423"/>
    <cellStyle name="Normal 2 2 2 2 3 3 2 2 2 2 2" xfId="29424"/>
    <cellStyle name="Normal 2 2 2 2 3 3 2 2 2 2 3" xfId="29425"/>
    <cellStyle name="Normal 2 2 2 2 3 3 2 2 2 2 4" xfId="29426"/>
    <cellStyle name="Normal 2 2 2 2 3 3 2 2 2 2 5" xfId="29427"/>
    <cellStyle name="Normal 2 2 2 2 3 3 2 2 2 2 6" xfId="29428"/>
    <cellStyle name="Normal 2 2 2 2 3 3 2 2 2 2 7" xfId="29429"/>
    <cellStyle name="Normal 2 2 2 2 3 3 2 2 2 2 8" xfId="29430"/>
    <cellStyle name="Normal 2 2 2 2 3 3 2 2 2 2 9" xfId="29431"/>
    <cellStyle name="Normal 2 2 2 2 3 3 2 2 2 2_Sheet1" xfId="29432"/>
    <cellStyle name="Normal 2 2 2 2 3 3 2 2 3" xfId="29433"/>
    <cellStyle name="Normal 2 2 2 2 3 3 2 2 4" xfId="29434"/>
    <cellStyle name="Normal 2 2 2 2 3 3 2 2 5" xfId="29435"/>
    <cellStyle name="Normal 2 2 2 2 3 3 2 2 6" xfId="29436"/>
    <cellStyle name="Normal 2 2 2 2 3 3 2 2 7" xfId="29437"/>
    <cellStyle name="Normal 2 2 2 2 3 3 2 2 8" xfId="29438"/>
    <cellStyle name="Normal 2 2 2 2 3 3 2 2 9" xfId="29439"/>
    <cellStyle name="Normal 2 2 2 2 3 3 2 2_Sheet1" xfId="29440"/>
    <cellStyle name="Normal 2 2 2 2 3 3 2 3" xfId="29441"/>
    <cellStyle name="Normal 2 2 2 2 3 3 2 3 10" xfId="29442"/>
    <cellStyle name="Normal 2 2 2 2 3 3 2 3 11" xfId="29443"/>
    <cellStyle name="Normal 2 2 2 2 3 3 2 3 12" xfId="29444"/>
    <cellStyle name="Normal 2 2 2 2 3 3 2 3 13" xfId="29445"/>
    <cellStyle name="Normal 2 2 2 2 3 3 2 3 14" xfId="29446"/>
    <cellStyle name="Normal 2 2 2 2 3 3 2 3 15" xfId="29447"/>
    <cellStyle name="Normal 2 2 2 2 3 3 2 3 16" xfId="29448"/>
    <cellStyle name="Normal 2 2 2 2 3 3 2 3 17" xfId="29449"/>
    <cellStyle name="Normal 2 2 2 2 3 3 2 3 18" xfId="29450"/>
    <cellStyle name="Normal 2 2 2 2 3 3 2 3 2" xfId="29451"/>
    <cellStyle name="Normal 2 2 2 2 3 3 2 3 3" xfId="29452"/>
    <cellStyle name="Normal 2 2 2 2 3 3 2 3 4" xfId="29453"/>
    <cellStyle name="Normal 2 2 2 2 3 3 2 3 5" xfId="29454"/>
    <cellStyle name="Normal 2 2 2 2 3 3 2 3 6" xfId="29455"/>
    <cellStyle name="Normal 2 2 2 2 3 3 2 3 7" xfId="29456"/>
    <cellStyle name="Normal 2 2 2 2 3 3 2 3 8" xfId="29457"/>
    <cellStyle name="Normal 2 2 2 2 3 3 2 3 9" xfId="29458"/>
    <cellStyle name="Normal 2 2 2 2 3 3 2 3_Sheet1" xfId="29459"/>
    <cellStyle name="Normal 2 2 2 2 3 3 20" xfId="29460"/>
    <cellStyle name="Normal 2 2 2 2 3 3 3" xfId="29461"/>
    <cellStyle name="Normal 2 2 2 2 3 3 3 2" xfId="29462"/>
    <cellStyle name="Normal 2 2 2 2 3 3 3 2 10" xfId="29463"/>
    <cellStyle name="Normal 2 2 2 2 3 3 3 2 11" xfId="29464"/>
    <cellStyle name="Normal 2 2 2 2 3 3 3 2 12" xfId="29465"/>
    <cellStyle name="Normal 2 2 2 2 3 3 3 2 13" xfId="29466"/>
    <cellStyle name="Normal 2 2 2 2 3 3 3 2 14" xfId="29467"/>
    <cellStyle name="Normal 2 2 2 2 3 3 3 2 15" xfId="29468"/>
    <cellStyle name="Normal 2 2 2 2 3 3 3 2 16" xfId="29469"/>
    <cellStyle name="Normal 2 2 2 2 3 3 3 2 17" xfId="29470"/>
    <cellStyle name="Normal 2 2 2 2 3 3 3 2 18" xfId="29471"/>
    <cellStyle name="Normal 2 2 2 2 3 3 3 2 2" xfId="29472"/>
    <cellStyle name="Normal 2 2 2 2 3 3 3 2 3" xfId="29473"/>
    <cellStyle name="Normal 2 2 2 2 3 3 3 2 4" xfId="29474"/>
    <cellStyle name="Normal 2 2 2 2 3 3 3 2 5" xfId="29475"/>
    <cellStyle name="Normal 2 2 2 2 3 3 3 2 6" xfId="29476"/>
    <cellStyle name="Normal 2 2 2 2 3 3 3 2 7" xfId="29477"/>
    <cellStyle name="Normal 2 2 2 2 3 3 3 2 8" xfId="29478"/>
    <cellStyle name="Normal 2 2 2 2 3 3 3 2 9" xfId="29479"/>
    <cellStyle name="Normal 2 2 2 2 3 3 3 2_Sheet1" xfId="29480"/>
    <cellStyle name="Normal 2 2 2 2 3 3 4" xfId="29481"/>
    <cellStyle name="Normal 2 2 2 2 3 3 5" xfId="29482"/>
    <cellStyle name="Normal 2 2 2 2 3 3 6" xfId="29483"/>
    <cellStyle name="Normal 2 2 2 2 3 3 7" xfId="29484"/>
    <cellStyle name="Normal 2 2 2 2 3 3 8" xfId="29485"/>
    <cellStyle name="Normal 2 2 2 2 3 3 9" xfId="29486"/>
    <cellStyle name="Normal 2 2 2 2 3 3_Sheet1" xfId="29487"/>
    <cellStyle name="Normal 2 2 2 2 3 4" xfId="29488"/>
    <cellStyle name="Normal 2 2 2 2 3 4 10" xfId="29489"/>
    <cellStyle name="Normal 2 2 2 2 3 4 11" xfId="29490"/>
    <cellStyle name="Normal 2 2 2 2 3 4 12" xfId="29491"/>
    <cellStyle name="Normal 2 2 2 2 3 4 13" xfId="29492"/>
    <cellStyle name="Normal 2 2 2 2 3 4 14" xfId="29493"/>
    <cellStyle name="Normal 2 2 2 2 3 4 15" xfId="29494"/>
    <cellStyle name="Normal 2 2 2 2 3 4 16" xfId="29495"/>
    <cellStyle name="Normal 2 2 2 2 3 4 17" xfId="29496"/>
    <cellStyle name="Normal 2 2 2 2 3 4 18" xfId="29497"/>
    <cellStyle name="Normal 2 2 2 2 3 4 19" xfId="29498"/>
    <cellStyle name="Normal 2 2 2 2 3 4 2" xfId="29499"/>
    <cellStyle name="Normal 2 2 2 2 3 4 2 2" xfId="29500"/>
    <cellStyle name="Normal 2 2 2 2 3 4 2 2 10" xfId="29501"/>
    <cellStyle name="Normal 2 2 2 2 3 4 2 2 11" xfId="29502"/>
    <cellStyle name="Normal 2 2 2 2 3 4 2 2 12" xfId="29503"/>
    <cellStyle name="Normal 2 2 2 2 3 4 2 2 13" xfId="29504"/>
    <cellStyle name="Normal 2 2 2 2 3 4 2 2 14" xfId="29505"/>
    <cellStyle name="Normal 2 2 2 2 3 4 2 2 15" xfId="29506"/>
    <cellStyle name="Normal 2 2 2 2 3 4 2 2 16" xfId="29507"/>
    <cellStyle name="Normal 2 2 2 2 3 4 2 2 17" xfId="29508"/>
    <cellStyle name="Normal 2 2 2 2 3 4 2 2 18" xfId="29509"/>
    <cellStyle name="Normal 2 2 2 2 3 4 2 2 2" xfId="29510"/>
    <cellStyle name="Normal 2 2 2 2 3 4 2 2 3" xfId="29511"/>
    <cellStyle name="Normal 2 2 2 2 3 4 2 2 4" xfId="29512"/>
    <cellStyle name="Normal 2 2 2 2 3 4 2 2 5" xfId="29513"/>
    <cellStyle name="Normal 2 2 2 2 3 4 2 2 6" xfId="29514"/>
    <cellStyle name="Normal 2 2 2 2 3 4 2 2 7" xfId="29515"/>
    <cellStyle name="Normal 2 2 2 2 3 4 2 2 8" xfId="29516"/>
    <cellStyle name="Normal 2 2 2 2 3 4 2 2 9" xfId="29517"/>
    <cellStyle name="Normal 2 2 2 2 3 4 2 2_Sheet1" xfId="29518"/>
    <cellStyle name="Normal 2 2 2 2 3 4 3" xfId="29519"/>
    <cellStyle name="Normal 2 2 2 2 3 4 4" xfId="29520"/>
    <cellStyle name="Normal 2 2 2 2 3 4 5" xfId="29521"/>
    <cellStyle name="Normal 2 2 2 2 3 4 6" xfId="29522"/>
    <cellStyle name="Normal 2 2 2 2 3 4 7" xfId="29523"/>
    <cellStyle name="Normal 2 2 2 2 3 4 8" xfId="29524"/>
    <cellStyle name="Normal 2 2 2 2 3 4 9" xfId="29525"/>
    <cellStyle name="Normal 2 2 2 2 3 4_Sheet1" xfId="29526"/>
    <cellStyle name="Normal 2 2 2 2 3 5" xfId="29527"/>
    <cellStyle name="Normal 2 2 2 2 3 5 10" xfId="29528"/>
    <cellStyle name="Normal 2 2 2 2 3 5 11" xfId="29529"/>
    <cellStyle name="Normal 2 2 2 2 3 5 12" xfId="29530"/>
    <cellStyle name="Normal 2 2 2 2 3 5 13" xfId="29531"/>
    <cellStyle name="Normal 2 2 2 2 3 5 14" xfId="29532"/>
    <cellStyle name="Normal 2 2 2 2 3 5 15" xfId="29533"/>
    <cellStyle name="Normal 2 2 2 2 3 5 16" xfId="29534"/>
    <cellStyle name="Normal 2 2 2 2 3 5 17" xfId="29535"/>
    <cellStyle name="Normal 2 2 2 2 3 5 18" xfId="29536"/>
    <cellStyle name="Normal 2 2 2 2 3 5 2" xfId="29537"/>
    <cellStyle name="Normal 2 2 2 2 3 5 3" xfId="29538"/>
    <cellStyle name="Normal 2 2 2 2 3 5 4" xfId="29539"/>
    <cellStyle name="Normal 2 2 2 2 3 5 5" xfId="29540"/>
    <cellStyle name="Normal 2 2 2 2 3 5 6" xfId="29541"/>
    <cellStyle name="Normal 2 2 2 2 3 5 7" xfId="29542"/>
    <cellStyle name="Normal 2 2 2 2 3 5 8" xfId="29543"/>
    <cellStyle name="Normal 2 2 2 2 3 5 9" xfId="29544"/>
    <cellStyle name="Normal 2 2 2 2 3 5_Sheet1" xfId="29545"/>
    <cellStyle name="Normal 2 2 2 2 3 6" xfId="29546"/>
    <cellStyle name="Normal 2 2 2 2 3 7" xfId="29547"/>
    <cellStyle name="Normal 2 2 2 2 3 8" xfId="29548"/>
    <cellStyle name="Normal 2 2 2 2 3 9" xfId="29549"/>
    <cellStyle name="Normal 2 2 2 2 30" xfId="29550"/>
    <cellStyle name="Normal 2 2 2 2 4" xfId="29551"/>
    <cellStyle name="Normal 2 2 2 2 4 10" xfId="29552"/>
    <cellStyle name="Normal 2 2 2 2 4 11" xfId="29553"/>
    <cellStyle name="Normal 2 2 2 2 4 12" xfId="29554"/>
    <cellStyle name="Normal 2 2 2 2 4 13" xfId="29555"/>
    <cellStyle name="Normal 2 2 2 2 4 14" xfId="29556"/>
    <cellStyle name="Normal 2 2 2 2 4 15" xfId="29557"/>
    <cellStyle name="Normal 2 2 2 2 4 2" xfId="29558"/>
    <cellStyle name="Normal 2 2 2 2 4 2 10" xfId="29559"/>
    <cellStyle name="Normal 2 2 2 2 4 2 11" xfId="29560"/>
    <cellStyle name="Normal 2 2 2 2 4 2 12" xfId="29561"/>
    <cellStyle name="Normal 2 2 2 2 4 2 13" xfId="29562"/>
    <cellStyle name="Normal 2 2 2 2 4 2 14" xfId="29563"/>
    <cellStyle name="Normal 2 2 2 2 4 2 15" xfId="29564"/>
    <cellStyle name="Normal 2 2 2 2 4 2 16" xfId="29565"/>
    <cellStyle name="Normal 2 2 2 2 4 2 17" xfId="29566"/>
    <cellStyle name="Normal 2 2 2 2 4 2 18" xfId="29567"/>
    <cellStyle name="Normal 2 2 2 2 4 2 19" xfId="29568"/>
    <cellStyle name="Normal 2 2 2 2 4 2 2" xfId="29569"/>
    <cellStyle name="Normal 2 2 2 2 4 2 2 10" xfId="29570"/>
    <cellStyle name="Normal 2 2 2 2 4 2 2 11" xfId="29571"/>
    <cellStyle name="Normal 2 2 2 2 4 2 2 12" xfId="29572"/>
    <cellStyle name="Normal 2 2 2 2 4 2 2 13" xfId="29573"/>
    <cellStyle name="Normal 2 2 2 2 4 2 2 14" xfId="29574"/>
    <cellStyle name="Normal 2 2 2 2 4 2 2 2" xfId="29575"/>
    <cellStyle name="Normal 2 2 2 2 4 2 2 2 10" xfId="29576"/>
    <cellStyle name="Normal 2 2 2 2 4 2 2 2 11" xfId="29577"/>
    <cellStyle name="Normal 2 2 2 2 4 2 2 2 12" xfId="29578"/>
    <cellStyle name="Normal 2 2 2 2 4 2 2 2 13" xfId="29579"/>
    <cellStyle name="Normal 2 2 2 2 4 2 2 2 14" xfId="29580"/>
    <cellStyle name="Normal 2 2 2 2 4 2 2 2 15" xfId="29581"/>
    <cellStyle name="Normal 2 2 2 2 4 2 2 2 16" xfId="29582"/>
    <cellStyle name="Normal 2 2 2 2 4 2 2 2 17" xfId="29583"/>
    <cellStyle name="Normal 2 2 2 2 4 2 2 2 18" xfId="29584"/>
    <cellStyle name="Normal 2 2 2 2 4 2 2 2 19" xfId="29585"/>
    <cellStyle name="Normal 2 2 2 2 4 2 2 2 2" xfId="29586"/>
    <cellStyle name="Normal 2 2 2 2 4 2 2 2 2 2" xfId="29587"/>
    <cellStyle name="Normal 2 2 2 2 4 2 2 2 2 3" xfId="29588"/>
    <cellStyle name="Normal 2 2 2 2 4 2 2 2 2 4" xfId="29589"/>
    <cellStyle name="Normal 2 2 2 2 4 2 2 2 2 5" xfId="29590"/>
    <cellStyle name="Normal 2 2 2 2 4 2 2 2 2 6" xfId="29591"/>
    <cellStyle name="Normal 2 2 2 2 4 2 2 2 2 7" xfId="29592"/>
    <cellStyle name="Normal 2 2 2 2 4 2 2 2 2 8" xfId="29593"/>
    <cellStyle name="Normal 2 2 2 2 4 2 2 2 2 9" xfId="29594"/>
    <cellStyle name="Normal 2 2 2 2 4 2 2 2 20" xfId="29595"/>
    <cellStyle name="Normal 2 2 2 2 4 2 2 2 21" xfId="29596"/>
    <cellStyle name="Normal 2 2 2 2 4 2 2 2 22" xfId="29597"/>
    <cellStyle name="Normal 2 2 2 2 4 2 2 2 23" xfId="29598"/>
    <cellStyle name="Normal 2 2 2 2 4 2 2 2 24" xfId="29599"/>
    <cellStyle name="Normal 2 2 2 2 4 2 2 2 25" xfId="29600"/>
    <cellStyle name="Normal 2 2 2 2 4 2 2 2 3" xfId="29601"/>
    <cellStyle name="Normal 2 2 2 2 4 2 2 2 4" xfId="29602"/>
    <cellStyle name="Normal 2 2 2 2 4 2 2 2 5" xfId="29603"/>
    <cellStyle name="Normal 2 2 2 2 4 2 2 2 6" xfId="29604"/>
    <cellStyle name="Normal 2 2 2 2 4 2 2 2 7" xfId="29605"/>
    <cellStyle name="Normal 2 2 2 2 4 2 2 2 8" xfId="29606"/>
    <cellStyle name="Normal 2 2 2 2 4 2 2 2 9" xfId="29607"/>
    <cellStyle name="Normal 2 2 2 2 4 2 2 2_Sheet1" xfId="29608"/>
    <cellStyle name="Normal 2 2 2 2 4 2 2 3" xfId="29609"/>
    <cellStyle name="Normal 2 2 2 2 4 2 2 4" xfId="29610"/>
    <cellStyle name="Normal 2 2 2 2 4 2 2 5" xfId="29611"/>
    <cellStyle name="Normal 2 2 2 2 4 2 2 6" xfId="29612"/>
    <cellStyle name="Normal 2 2 2 2 4 2 2 7" xfId="29613"/>
    <cellStyle name="Normal 2 2 2 2 4 2 2 8" xfId="29614"/>
    <cellStyle name="Normal 2 2 2 2 4 2 2 9" xfId="29615"/>
    <cellStyle name="Normal 2 2 2 2 4 2 20" xfId="29616"/>
    <cellStyle name="Normal 2 2 2 2 4 2 21" xfId="29617"/>
    <cellStyle name="Normal 2 2 2 2 4 2 22" xfId="29618"/>
    <cellStyle name="Normal 2 2 2 2 4 2 23" xfId="29619"/>
    <cellStyle name="Normal 2 2 2 2 4 2 24" xfId="29620"/>
    <cellStyle name="Normal 2 2 2 2 4 2 25" xfId="29621"/>
    <cellStyle name="Normal 2 2 2 2 4 2 26" xfId="29622"/>
    <cellStyle name="Normal 2 2 2 2 4 2 3" xfId="29623"/>
    <cellStyle name="Normal 2 2 2 2 4 2 3 10" xfId="29624"/>
    <cellStyle name="Normal 2 2 2 2 4 2 3 11" xfId="29625"/>
    <cellStyle name="Normal 2 2 2 2 4 2 3 12" xfId="29626"/>
    <cellStyle name="Normal 2 2 2 2 4 2 3 13" xfId="29627"/>
    <cellStyle name="Normal 2 2 2 2 4 2 3 2" xfId="29628"/>
    <cellStyle name="Normal 2 2 2 2 4 2 3 3" xfId="29629"/>
    <cellStyle name="Normal 2 2 2 2 4 2 3 4" xfId="29630"/>
    <cellStyle name="Normal 2 2 2 2 4 2 3 5" xfId="29631"/>
    <cellStyle name="Normal 2 2 2 2 4 2 3 6" xfId="29632"/>
    <cellStyle name="Normal 2 2 2 2 4 2 3 7" xfId="29633"/>
    <cellStyle name="Normal 2 2 2 2 4 2 3 8" xfId="29634"/>
    <cellStyle name="Normal 2 2 2 2 4 2 3 9" xfId="29635"/>
    <cellStyle name="Normal 2 2 2 2 4 2 4" xfId="29636"/>
    <cellStyle name="Normal 2 2 2 2 4 2 5" xfId="29637"/>
    <cellStyle name="Normal 2 2 2 2 4 2 6" xfId="29638"/>
    <cellStyle name="Normal 2 2 2 2 4 2 7" xfId="29639"/>
    <cellStyle name="Normal 2 2 2 2 4 2 8" xfId="29640"/>
    <cellStyle name="Normal 2 2 2 2 4 2 9" xfId="29641"/>
    <cellStyle name="Normal 2 2 2 2 4 2_Sheet1" xfId="29642"/>
    <cellStyle name="Normal 2 2 2 2 4 3" xfId="29643"/>
    <cellStyle name="Normal 2 2 2 2 4 3 10" xfId="29644"/>
    <cellStyle name="Normal 2 2 2 2 4 3 11" xfId="29645"/>
    <cellStyle name="Normal 2 2 2 2 4 3 12" xfId="29646"/>
    <cellStyle name="Normal 2 2 2 2 4 3 13" xfId="29647"/>
    <cellStyle name="Normal 2 2 2 2 4 3 14" xfId="29648"/>
    <cellStyle name="Normal 2 2 2 2 4 3 15" xfId="29649"/>
    <cellStyle name="Normal 2 2 2 2 4 3 16" xfId="29650"/>
    <cellStyle name="Normal 2 2 2 2 4 3 17" xfId="29651"/>
    <cellStyle name="Normal 2 2 2 2 4 3 18" xfId="29652"/>
    <cellStyle name="Normal 2 2 2 2 4 3 19" xfId="29653"/>
    <cellStyle name="Normal 2 2 2 2 4 3 2" xfId="29654"/>
    <cellStyle name="Normal 2 2 2 2 4 3 3" xfId="29655"/>
    <cellStyle name="Normal 2 2 2 2 4 3 4" xfId="29656"/>
    <cellStyle name="Normal 2 2 2 2 4 3 5" xfId="29657"/>
    <cellStyle name="Normal 2 2 2 2 4 3 6" xfId="29658"/>
    <cellStyle name="Normal 2 2 2 2 4 3 7" xfId="29659"/>
    <cellStyle name="Normal 2 2 2 2 4 3 8" xfId="29660"/>
    <cellStyle name="Normal 2 2 2 2 4 3 9" xfId="29661"/>
    <cellStyle name="Normal 2 2 2 2 4 3_Sheet1" xfId="29662"/>
    <cellStyle name="Normal 2 2 2 2 4 4" xfId="29663"/>
    <cellStyle name="Normal 2 2 2 2 4 5" xfId="29664"/>
    <cellStyle name="Normal 2 2 2 2 4 6" xfId="29665"/>
    <cellStyle name="Normal 2 2 2 2 4 7" xfId="29666"/>
    <cellStyle name="Normal 2 2 2 2 4 8" xfId="29667"/>
    <cellStyle name="Normal 2 2 2 2 4 9" xfId="29668"/>
    <cellStyle name="Normal 2 2 2 2 5" xfId="29669"/>
    <cellStyle name="Normal 2 2 2 2 5 10" xfId="29670"/>
    <cellStyle name="Normal 2 2 2 2 5 11" xfId="29671"/>
    <cellStyle name="Normal 2 2 2 2 5 12" xfId="29672"/>
    <cellStyle name="Normal 2 2 2 2 5 13" xfId="29673"/>
    <cellStyle name="Normal 2 2 2 2 5 14" xfId="29674"/>
    <cellStyle name="Normal 2 2 2 2 5 2" xfId="29675"/>
    <cellStyle name="Normal 2 2 2 2 5 2 10" xfId="29676"/>
    <cellStyle name="Normal 2 2 2 2 5 2 11" xfId="29677"/>
    <cellStyle name="Normal 2 2 2 2 5 2 12" xfId="29678"/>
    <cellStyle name="Normal 2 2 2 2 5 2 13" xfId="29679"/>
    <cellStyle name="Normal 2 2 2 2 5 2 2" xfId="29680"/>
    <cellStyle name="Normal 2 2 2 2 5 2 3" xfId="29681"/>
    <cellStyle name="Normal 2 2 2 2 5 2 4" xfId="29682"/>
    <cellStyle name="Normal 2 2 2 2 5 2 5" xfId="29683"/>
    <cellStyle name="Normal 2 2 2 2 5 2 6" xfId="29684"/>
    <cellStyle name="Normal 2 2 2 2 5 2 7" xfId="29685"/>
    <cellStyle name="Normal 2 2 2 2 5 2 8" xfId="29686"/>
    <cellStyle name="Normal 2 2 2 2 5 2 9" xfId="29687"/>
    <cellStyle name="Normal 2 2 2 2 5 3" xfId="29688"/>
    <cellStyle name="Normal 2 2 2 2 5 4" xfId="29689"/>
    <cellStyle name="Normal 2 2 2 2 5 5" xfId="29690"/>
    <cellStyle name="Normal 2 2 2 2 5 6" xfId="29691"/>
    <cellStyle name="Normal 2 2 2 2 5 7" xfId="29692"/>
    <cellStyle name="Normal 2 2 2 2 5 8" xfId="29693"/>
    <cellStyle name="Normal 2 2 2 2 5 9" xfId="29694"/>
    <cellStyle name="Normal 2 2 2 2 6" xfId="29695"/>
    <cellStyle name="Normal 2 2 2 2 6 10" xfId="29696"/>
    <cellStyle name="Normal 2 2 2 2 6 11" xfId="29697"/>
    <cellStyle name="Normal 2 2 2 2 6 12" xfId="29698"/>
    <cellStyle name="Normal 2 2 2 2 6 13" xfId="29699"/>
    <cellStyle name="Normal 2 2 2 2 6 2" xfId="29700"/>
    <cellStyle name="Normal 2 2 2 2 6 2 10" xfId="29701"/>
    <cellStyle name="Normal 2 2 2 2 6 2 11" xfId="29702"/>
    <cellStyle name="Normal 2 2 2 2 6 2 12" xfId="29703"/>
    <cellStyle name="Normal 2 2 2 2 6 2 13" xfId="29704"/>
    <cellStyle name="Normal 2 2 2 2 6 2 14" xfId="29705"/>
    <cellStyle name="Normal 2 2 2 2 6 2 15" xfId="29706"/>
    <cellStyle name="Normal 2 2 2 2 6 2 16" xfId="29707"/>
    <cellStyle name="Normal 2 2 2 2 6 2 17" xfId="29708"/>
    <cellStyle name="Normal 2 2 2 2 6 2 18" xfId="29709"/>
    <cellStyle name="Normal 2 2 2 2 6 2 19" xfId="29710"/>
    <cellStyle name="Normal 2 2 2 2 6 2 2" xfId="29711"/>
    <cellStyle name="Normal 2 2 2 2 6 2 2 2" xfId="29712"/>
    <cellStyle name="Normal 2 2 2 2 6 2 2 3" xfId="29713"/>
    <cellStyle name="Normal 2 2 2 2 6 2 2 4" xfId="29714"/>
    <cellStyle name="Normal 2 2 2 2 6 2 2 5" xfId="29715"/>
    <cellStyle name="Normal 2 2 2 2 6 2 2 6" xfId="29716"/>
    <cellStyle name="Normal 2 2 2 2 6 2 2 7" xfId="29717"/>
    <cellStyle name="Normal 2 2 2 2 6 2 2 8" xfId="29718"/>
    <cellStyle name="Normal 2 2 2 2 6 2 2 9" xfId="29719"/>
    <cellStyle name="Normal 2 2 2 2 6 2 20" xfId="29720"/>
    <cellStyle name="Normal 2 2 2 2 6 2 21" xfId="29721"/>
    <cellStyle name="Normal 2 2 2 2 6 2 22" xfId="29722"/>
    <cellStyle name="Normal 2 2 2 2 6 2 23" xfId="29723"/>
    <cellStyle name="Normal 2 2 2 2 6 2 24" xfId="29724"/>
    <cellStyle name="Normal 2 2 2 2 6 2 25" xfId="29725"/>
    <cellStyle name="Normal 2 2 2 2 6 2 3" xfId="29726"/>
    <cellStyle name="Normal 2 2 2 2 6 2 4" xfId="29727"/>
    <cellStyle name="Normal 2 2 2 2 6 2 5" xfId="29728"/>
    <cellStyle name="Normal 2 2 2 2 6 2 6" xfId="29729"/>
    <cellStyle name="Normal 2 2 2 2 6 2 7" xfId="29730"/>
    <cellStyle name="Normal 2 2 2 2 6 2 8" xfId="29731"/>
    <cellStyle name="Normal 2 2 2 2 6 2 9" xfId="29732"/>
    <cellStyle name="Normal 2 2 2 2 6 2_Sheet1" xfId="29733"/>
    <cellStyle name="Normal 2 2 2 2 6 3" xfId="29734"/>
    <cellStyle name="Normal 2 2 2 2 6 4" xfId="29735"/>
    <cellStyle name="Normal 2 2 2 2 6 5" xfId="29736"/>
    <cellStyle name="Normal 2 2 2 2 6 6" xfId="29737"/>
    <cellStyle name="Normal 2 2 2 2 6 7" xfId="29738"/>
    <cellStyle name="Normal 2 2 2 2 6 8" xfId="29739"/>
    <cellStyle name="Normal 2 2 2 2 6 9" xfId="29740"/>
    <cellStyle name="Normal 2 2 2 2 7" xfId="29741"/>
    <cellStyle name="Normal 2 2 2 2 7 2" xfId="29742"/>
    <cellStyle name="Normal 2 2 2 2 7 3" xfId="29743"/>
    <cellStyle name="Normal 2 2 2 2 7 4" xfId="29744"/>
    <cellStyle name="Normal 2 2 2 2 7 5" xfId="29745"/>
    <cellStyle name="Normal 2 2 2 2 7 6" xfId="29746"/>
    <cellStyle name="Normal 2 2 2 2 7 7" xfId="29747"/>
    <cellStyle name="Normal 2 2 2 2 7 8" xfId="29748"/>
    <cellStyle name="Normal 2 2 2 2 7 9" xfId="29749"/>
    <cellStyle name="Normal 2 2 2 2 8" xfId="29750"/>
    <cellStyle name="Normal 2 2 2 2 9" xfId="29751"/>
    <cellStyle name="Normal 2 2 2 2_Sheet1" xfId="29752"/>
    <cellStyle name="Normal 2 2 2 20" xfId="29753"/>
    <cellStyle name="Normal 2 2 2 21" xfId="29754"/>
    <cellStyle name="Normal 2 2 2 22" xfId="29755"/>
    <cellStyle name="Normal 2 2 2 23" xfId="29756"/>
    <cellStyle name="Normal 2 2 2 24" xfId="29757"/>
    <cellStyle name="Normal 2 2 2 25" xfId="29758"/>
    <cellStyle name="Normal 2 2 2 26" xfId="29759"/>
    <cellStyle name="Normal 2 2 2 27" xfId="29760"/>
    <cellStyle name="Normal 2 2 2 28" xfId="29761"/>
    <cellStyle name="Normal 2 2 2 29" xfId="29762"/>
    <cellStyle name="Normal 2 2 2 3" xfId="29763"/>
    <cellStyle name="Normal 2 2 2 3 10" xfId="29764"/>
    <cellStyle name="Normal 2 2 2 3 11" xfId="29765"/>
    <cellStyle name="Normal 2 2 2 3 12" xfId="29766"/>
    <cellStyle name="Normal 2 2 2 3 13" xfId="29767"/>
    <cellStyle name="Normal 2 2 2 3 14" xfId="29768"/>
    <cellStyle name="Normal 2 2 2 3 15" xfId="29769"/>
    <cellStyle name="Normal 2 2 2 3 16" xfId="29770"/>
    <cellStyle name="Normal 2 2 2 3 17" xfId="29771"/>
    <cellStyle name="Normal 2 2 2 3 18" xfId="29772"/>
    <cellStyle name="Normal 2 2 2 3 19" xfId="29773"/>
    <cellStyle name="Normal 2 2 2 3 2" xfId="29774"/>
    <cellStyle name="Normal 2 2 2 3 2 10" xfId="29775"/>
    <cellStyle name="Normal 2 2 2 3 2 11" xfId="29776"/>
    <cellStyle name="Normal 2 2 2 3 2 12" xfId="29777"/>
    <cellStyle name="Normal 2 2 2 3 2 13" xfId="29778"/>
    <cellStyle name="Normal 2 2 2 3 2 2" xfId="29779"/>
    <cellStyle name="Normal 2 2 2 3 2 2 10" xfId="29780"/>
    <cellStyle name="Normal 2 2 2 3 2 2 11" xfId="29781"/>
    <cellStyle name="Normal 2 2 2 3 2 2 12" xfId="29782"/>
    <cellStyle name="Normal 2 2 2 3 2 2 13" xfId="29783"/>
    <cellStyle name="Normal 2 2 2 3 2 2 14" xfId="29784"/>
    <cellStyle name="Normal 2 2 2 3 2 2 15" xfId="29785"/>
    <cellStyle name="Normal 2 2 2 3 2 2 16" xfId="29786"/>
    <cellStyle name="Normal 2 2 2 3 2 2 17" xfId="29787"/>
    <cellStyle name="Normal 2 2 2 3 2 2 18" xfId="29788"/>
    <cellStyle name="Normal 2 2 2 3 2 2 19" xfId="29789"/>
    <cellStyle name="Normal 2 2 2 3 2 2 2" xfId="29790"/>
    <cellStyle name="Normal 2 2 2 3 2 2 2 2" xfId="29791"/>
    <cellStyle name="Normal 2 2 2 3 2 2 2 2 10" xfId="29792"/>
    <cellStyle name="Normal 2 2 2 3 2 2 2 2 11" xfId="29793"/>
    <cellStyle name="Normal 2 2 2 3 2 2 2 2 12" xfId="29794"/>
    <cellStyle name="Normal 2 2 2 3 2 2 2 2 13" xfId="29795"/>
    <cellStyle name="Normal 2 2 2 3 2 2 2 2 14" xfId="29796"/>
    <cellStyle name="Normal 2 2 2 3 2 2 2 2 15" xfId="29797"/>
    <cellStyle name="Normal 2 2 2 3 2 2 2 2 16" xfId="29798"/>
    <cellStyle name="Normal 2 2 2 3 2 2 2 2 17" xfId="29799"/>
    <cellStyle name="Normal 2 2 2 3 2 2 2 2 18" xfId="29800"/>
    <cellStyle name="Normal 2 2 2 3 2 2 2 2 19" xfId="29801"/>
    <cellStyle name="Normal 2 2 2 3 2 2 2 2 2" xfId="29802"/>
    <cellStyle name="Normal 2 2 2 3 2 2 2 2 2 2" xfId="29803"/>
    <cellStyle name="Normal 2 2 2 3 2 2 2 2 2 2 10" xfId="29804"/>
    <cellStyle name="Normal 2 2 2 3 2 2 2 2 2 2 11" xfId="29805"/>
    <cellStyle name="Normal 2 2 2 3 2 2 2 2 2 2 12" xfId="29806"/>
    <cellStyle name="Normal 2 2 2 3 2 2 2 2 2 2 13" xfId="29807"/>
    <cellStyle name="Normal 2 2 2 3 2 2 2 2 2 2 14" xfId="29808"/>
    <cellStyle name="Normal 2 2 2 3 2 2 2 2 2 2 15" xfId="29809"/>
    <cellStyle name="Normal 2 2 2 3 2 2 2 2 2 2 16" xfId="29810"/>
    <cellStyle name="Normal 2 2 2 3 2 2 2 2 2 2 17" xfId="29811"/>
    <cellStyle name="Normal 2 2 2 3 2 2 2 2 2 2 18" xfId="29812"/>
    <cellStyle name="Normal 2 2 2 3 2 2 2 2 2 2 19" xfId="29813"/>
    <cellStyle name="Normal 2 2 2 3 2 2 2 2 2 2 2" xfId="29814"/>
    <cellStyle name="Normal 2 2 2 3 2 2 2 2 2 2 3" xfId="29815"/>
    <cellStyle name="Normal 2 2 2 3 2 2 2 2 2 2 4" xfId="29816"/>
    <cellStyle name="Normal 2 2 2 3 2 2 2 2 2 2 5" xfId="29817"/>
    <cellStyle name="Normal 2 2 2 3 2 2 2 2 2 2 6" xfId="29818"/>
    <cellStyle name="Normal 2 2 2 3 2 2 2 2 2 2 7" xfId="29819"/>
    <cellStyle name="Normal 2 2 2 3 2 2 2 2 2 2 8" xfId="29820"/>
    <cellStyle name="Normal 2 2 2 3 2 2 2 2 2 2 9" xfId="29821"/>
    <cellStyle name="Normal 2 2 2 3 2 2 2 2 2 2_Sheet1" xfId="29822"/>
    <cellStyle name="Normal 2 2 2 3 2 2 2 2 20" xfId="29823"/>
    <cellStyle name="Normal 2 2 2 3 2 2 2 2 3" xfId="29824"/>
    <cellStyle name="Normal 2 2 2 3 2 2 2 2 4" xfId="29825"/>
    <cellStyle name="Normal 2 2 2 3 2 2 2 2 5" xfId="29826"/>
    <cellStyle name="Normal 2 2 2 3 2 2 2 2 6" xfId="29827"/>
    <cellStyle name="Normal 2 2 2 3 2 2 2 2 7" xfId="29828"/>
    <cellStyle name="Normal 2 2 2 3 2 2 2 2 8" xfId="29829"/>
    <cellStyle name="Normal 2 2 2 3 2 2 2 2 9" xfId="29830"/>
    <cellStyle name="Normal 2 2 2 3 2 2 2 2_Sheet1" xfId="29831"/>
    <cellStyle name="Normal 2 2 2 3 2 2 2 3" xfId="29832"/>
    <cellStyle name="Normal 2 2 2 3 2 2 2 3 10" xfId="29833"/>
    <cellStyle name="Normal 2 2 2 3 2 2 2 3 11" xfId="29834"/>
    <cellStyle name="Normal 2 2 2 3 2 2 2 3 12" xfId="29835"/>
    <cellStyle name="Normal 2 2 2 3 2 2 2 3 13" xfId="29836"/>
    <cellStyle name="Normal 2 2 2 3 2 2 2 3 14" xfId="29837"/>
    <cellStyle name="Normal 2 2 2 3 2 2 2 3 15" xfId="29838"/>
    <cellStyle name="Normal 2 2 2 3 2 2 2 3 16" xfId="29839"/>
    <cellStyle name="Normal 2 2 2 3 2 2 2 3 17" xfId="29840"/>
    <cellStyle name="Normal 2 2 2 3 2 2 2 3 18" xfId="29841"/>
    <cellStyle name="Normal 2 2 2 3 2 2 2 3 19" xfId="29842"/>
    <cellStyle name="Normal 2 2 2 3 2 2 2 3 2" xfId="29843"/>
    <cellStyle name="Normal 2 2 2 3 2 2 2 3 3" xfId="29844"/>
    <cellStyle name="Normal 2 2 2 3 2 2 2 3 4" xfId="29845"/>
    <cellStyle name="Normal 2 2 2 3 2 2 2 3 5" xfId="29846"/>
    <cellStyle name="Normal 2 2 2 3 2 2 2 3 6" xfId="29847"/>
    <cellStyle name="Normal 2 2 2 3 2 2 2 3 7" xfId="29848"/>
    <cellStyle name="Normal 2 2 2 3 2 2 2 3 8" xfId="29849"/>
    <cellStyle name="Normal 2 2 2 3 2 2 2 3 9" xfId="29850"/>
    <cellStyle name="Normal 2 2 2 3 2 2 2 3_Sheet1" xfId="29851"/>
    <cellStyle name="Normal 2 2 2 3 2 2 20" xfId="29852"/>
    <cellStyle name="Normal 2 2 2 3 2 2 21" xfId="29853"/>
    <cellStyle name="Normal 2 2 2 3 2 2 22" xfId="29854"/>
    <cellStyle name="Normal 2 2 2 3 2 2 3" xfId="29855"/>
    <cellStyle name="Normal 2 2 2 3 2 2 4" xfId="29856"/>
    <cellStyle name="Normal 2 2 2 3 2 2 4 2" xfId="29857"/>
    <cellStyle name="Normal 2 2 2 3 2 2 4 2 10" xfId="29858"/>
    <cellStyle name="Normal 2 2 2 3 2 2 4 2 11" xfId="29859"/>
    <cellStyle name="Normal 2 2 2 3 2 2 4 2 12" xfId="29860"/>
    <cellStyle name="Normal 2 2 2 3 2 2 4 2 13" xfId="29861"/>
    <cellStyle name="Normal 2 2 2 3 2 2 4 2 14" xfId="29862"/>
    <cellStyle name="Normal 2 2 2 3 2 2 4 2 15" xfId="29863"/>
    <cellStyle name="Normal 2 2 2 3 2 2 4 2 16" xfId="29864"/>
    <cellStyle name="Normal 2 2 2 3 2 2 4 2 17" xfId="29865"/>
    <cellStyle name="Normal 2 2 2 3 2 2 4 2 18" xfId="29866"/>
    <cellStyle name="Normal 2 2 2 3 2 2 4 2 19" xfId="29867"/>
    <cellStyle name="Normal 2 2 2 3 2 2 4 2 2" xfId="29868"/>
    <cellStyle name="Normal 2 2 2 3 2 2 4 2 3" xfId="29869"/>
    <cellStyle name="Normal 2 2 2 3 2 2 4 2 4" xfId="29870"/>
    <cellStyle name="Normal 2 2 2 3 2 2 4 2 5" xfId="29871"/>
    <cellStyle name="Normal 2 2 2 3 2 2 4 2 6" xfId="29872"/>
    <cellStyle name="Normal 2 2 2 3 2 2 4 2 7" xfId="29873"/>
    <cellStyle name="Normal 2 2 2 3 2 2 4 2 8" xfId="29874"/>
    <cellStyle name="Normal 2 2 2 3 2 2 4 2 9" xfId="29875"/>
    <cellStyle name="Normal 2 2 2 3 2 2 4 2_Sheet1" xfId="29876"/>
    <cellStyle name="Normal 2 2 2 3 2 2 5" xfId="29877"/>
    <cellStyle name="Normal 2 2 2 3 2 2 6" xfId="29878"/>
    <cellStyle name="Normal 2 2 2 3 2 2 7" xfId="29879"/>
    <cellStyle name="Normal 2 2 2 3 2 2 8" xfId="29880"/>
    <cellStyle name="Normal 2 2 2 3 2 2 9" xfId="29881"/>
    <cellStyle name="Normal 2 2 2 3 2 2_Sheet1" xfId="29882"/>
    <cellStyle name="Normal 2 2 2 3 2 3" xfId="29883"/>
    <cellStyle name="Normal 2 2 2 3 2 3 10" xfId="29884"/>
    <cellStyle name="Normal 2 2 2 3 2 3 11" xfId="29885"/>
    <cellStyle name="Normal 2 2 2 3 2 3 12" xfId="29886"/>
    <cellStyle name="Normal 2 2 2 3 2 3 13" xfId="29887"/>
    <cellStyle name="Normal 2 2 2 3 2 3 14" xfId="29888"/>
    <cellStyle name="Normal 2 2 2 3 2 3 15" xfId="29889"/>
    <cellStyle name="Normal 2 2 2 3 2 3 16" xfId="29890"/>
    <cellStyle name="Normal 2 2 2 3 2 3 17" xfId="29891"/>
    <cellStyle name="Normal 2 2 2 3 2 3 18" xfId="29892"/>
    <cellStyle name="Normal 2 2 2 3 2 3 19" xfId="29893"/>
    <cellStyle name="Normal 2 2 2 3 2 3 2" xfId="29894"/>
    <cellStyle name="Normal 2 2 2 3 2 3 2 2" xfId="29895"/>
    <cellStyle name="Normal 2 2 2 3 2 3 2 2 10" xfId="29896"/>
    <cellStyle name="Normal 2 2 2 3 2 3 2 2 11" xfId="29897"/>
    <cellStyle name="Normal 2 2 2 3 2 3 2 2 12" xfId="29898"/>
    <cellStyle name="Normal 2 2 2 3 2 3 2 2 13" xfId="29899"/>
    <cellStyle name="Normal 2 2 2 3 2 3 2 2 14" xfId="29900"/>
    <cellStyle name="Normal 2 2 2 3 2 3 2 2 15" xfId="29901"/>
    <cellStyle name="Normal 2 2 2 3 2 3 2 2 16" xfId="29902"/>
    <cellStyle name="Normal 2 2 2 3 2 3 2 2 17" xfId="29903"/>
    <cellStyle name="Normal 2 2 2 3 2 3 2 2 18" xfId="29904"/>
    <cellStyle name="Normal 2 2 2 3 2 3 2 2 19" xfId="29905"/>
    <cellStyle name="Normal 2 2 2 3 2 3 2 2 2" xfId="29906"/>
    <cellStyle name="Normal 2 2 2 3 2 3 2 2 2 2" xfId="29907"/>
    <cellStyle name="Normal 2 2 2 3 2 3 2 2 2 2 10" xfId="29908"/>
    <cellStyle name="Normal 2 2 2 3 2 3 2 2 2 2 11" xfId="29909"/>
    <cellStyle name="Normal 2 2 2 3 2 3 2 2 2 2 12" xfId="29910"/>
    <cellStyle name="Normal 2 2 2 3 2 3 2 2 2 2 13" xfId="29911"/>
    <cellStyle name="Normal 2 2 2 3 2 3 2 2 2 2 14" xfId="29912"/>
    <cellStyle name="Normal 2 2 2 3 2 3 2 2 2 2 15" xfId="29913"/>
    <cellStyle name="Normal 2 2 2 3 2 3 2 2 2 2 16" xfId="29914"/>
    <cellStyle name="Normal 2 2 2 3 2 3 2 2 2 2 17" xfId="29915"/>
    <cellStyle name="Normal 2 2 2 3 2 3 2 2 2 2 18" xfId="29916"/>
    <cellStyle name="Normal 2 2 2 3 2 3 2 2 2 2 2" xfId="29917"/>
    <cellStyle name="Normal 2 2 2 3 2 3 2 2 2 2 3" xfId="29918"/>
    <cellStyle name="Normal 2 2 2 3 2 3 2 2 2 2 4" xfId="29919"/>
    <cellStyle name="Normal 2 2 2 3 2 3 2 2 2 2 5" xfId="29920"/>
    <cellStyle name="Normal 2 2 2 3 2 3 2 2 2 2 6" xfId="29921"/>
    <cellStyle name="Normal 2 2 2 3 2 3 2 2 2 2 7" xfId="29922"/>
    <cellStyle name="Normal 2 2 2 3 2 3 2 2 2 2 8" xfId="29923"/>
    <cellStyle name="Normal 2 2 2 3 2 3 2 2 2 2 9" xfId="29924"/>
    <cellStyle name="Normal 2 2 2 3 2 3 2 2 2 2_Sheet1" xfId="29925"/>
    <cellStyle name="Normal 2 2 2 3 2 3 2 2 3" xfId="29926"/>
    <cellStyle name="Normal 2 2 2 3 2 3 2 2 4" xfId="29927"/>
    <cellStyle name="Normal 2 2 2 3 2 3 2 2 5" xfId="29928"/>
    <cellStyle name="Normal 2 2 2 3 2 3 2 2 6" xfId="29929"/>
    <cellStyle name="Normal 2 2 2 3 2 3 2 2 7" xfId="29930"/>
    <cellStyle name="Normal 2 2 2 3 2 3 2 2 8" xfId="29931"/>
    <cellStyle name="Normal 2 2 2 3 2 3 2 2 9" xfId="29932"/>
    <cellStyle name="Normal 2 2 2 3 2 3 2 2_Sheet1" xfId="29933"/>
    <cellStyle name="Normal 2 2 2 3 2 3 2 3" xfId="29934"/>
    <cellStyle name="Normal 2 2 2 3 2 3 2 3 10" xfId="29935"/>
    <cellStyle name="Normal 2 2 2 3 2 3 2 3 11" xfId="29936"/>
    <cellStyle name="Normal 2 2 2 3 2 3 2 3 12" xfId="29937"/>
    <cellStyle name="Normal 2 2 2 3 2 3 2 3 13" xfId="29938"/>
    <cellStyle name="Normal 2 2 2 3 2 3 2 3 14" xfId="29939"/>
    <cellStyle name="Normal 2 2 2 3 2 3 2 3 15" xfId="29940"/>
    <cellStyle name="Normal 2 2 2 3 2 3 2 3 16" xfId="29941"/>
    <cellStyle name="Normal 2 2 2 3 2 3 2 3 17" xfId="29942"/>
    <cellStyle name="Normal 2 2 2 3 2 3 2 3 18" xfId="29943"/>
    <cellStyle name="Normal 2 2 2 3 2 3 2 3 2" xfId="29944"/>
    <cellStyle name="Normal 2 2 2 3 2 3 2 3 3" xfId="29945"/>
    <cellStyle name="Normal 2 2 2 3 2 3 2 3 4" xfId="29946"/>
    <cellStyle name="Normal 2 2 2 3 2 3 2 3 5" xfId="29947"/>
    <cellStyle name="Normal 2 2 2 3 2 3 2 3 6" xfId="29948"/>
    <cellStyle name="Normal 2 2 2 3 2 3 2 3 7" xfId="29949"/>
    <cellStyle name="Normal 2 2 2 3 2 3 2 3 8" xfId="29950"/>
    <cellStyle name="Normal 2 2 2 3 2 3 2 3 9" xfId="29951"/>
    <cellStyle name="Normal 2 2 2 3 2 3 2 3_Sheet1" xfId="29952"/>
    <cellStyle name="Normal 2 2 2 3 2 3 20" xfId="29953"/>
    <cellStyle name="Normal 2 2 2 3 2 3 3" xfId="29954"/>
    <cellStyle name="Normal 2 2 2 3 2 3 3 2" xfId="29955"/>
    <cellStyle name="Normal 2 2 2 3 2 3 3 2 10" xfId="29956"/>
    <cellStyle name="Normal 2 2 2 3 2 3 3 2 11" xfId="29957"/>
    <cellStyle name="Normal 2 2 2 3 2 3 3 2 12" xfId="29958"/>
    <cellStyle name="Normal 2 2 2 3 2 3 3 2 13" xfId="29959"/>
    <cellStyle name="Normal 2 2 2 3 2 3 3 2 14" xfId="29960"/>
    <cellStyle name="Normal 2 2 2 3 2 3 3 2 15" xfId="29961"/>
    <cellStyle name="Normal 2 2 2 3 2 3 3 2 16" xfId="29962"/>
    <cellStyle name="Normal 2 2 2 3 2 3 3 2 17" xfId="29963"/>
    <cellStyle name="Normal 2 2 2 3 2 3 3 2 18" xfId="29964"/>
    <cellStyle name="Normal 2 2 2 3 2 3 3 2 2" xfId="29965"/>
    <cellStyle name="Normal 2 2 2 3 2 3 3 2 3" xfId="29966"/>
    <cellStyle name="Normal 2 2 2 3 2 3 3 2 4" xfId="29967"/>
    <cellStyle name="Normal 2 2 2 3 2 3 3 2 5" xfId="29968"/>
    <cellStyle name="Normal 2 2 2 3 2 3 3 2 6" xfId="29969"/>
    <cellStyle name="Normal 2 2 2 3 2 3 3 2 7" xfId="29970"/>
    <cellStyle name="Normal 2 2 2 3 2 3 3 2 8" xfId="29971"/>
    <cellStyle name="Normal 2 2 2 3 2 3 3 2 9" xfId="29972"/>
    <cellStyle name="Normal 2 2 2 3 2 3 3 2_Sheet1" xfId="29973"/>
    <cellStyle name="Normal 2 2 2 3 2 3 4" xfId="29974"/>
    <cellStyle name="Normal 2 2 2 3 2 3 5" xfId="29975"/>
    <cellStyle name="Normal 2 2 2 3 2 3 6" xfId="29976"/>
    <cellStyle name="Normal 2 2 2 3 2 3 7" xfId="29977"/>
    <cellStyle name="Normal 2 2 2 3 2 3 8" xfId="29978"/>
    <cellStyle name="Normal 2 2 2 3 2 3 9" xfId="29979"/>
    <cellStyle name="Normal 2 2 2 3 2 3_Sheet1" xfId="29980"/>
    <cellStyle name="Normal 2 2 2 3 2 4" xfId="29981"/>
    <cellStyle name="Normal 2 2 2 3 2 4 10" xfId="29982"/>
    <cellStyle name="Normal 2 2 2 3 2 4 11" xfId="29983"/>
    <cellStyle name="Normal 2 2 2 3 2 4 12" xfId="29984"/>
    <cellStyle name="Normal 2 2 2 3 2 4 13" xfId="29985"/>
    <cellStyle name="Normal 2 2 2 3 2 4 14" xfId="29986"/>
    <cellStyle name="Normal 2 2 2 3 2 4 15" xfId="29987"/>
    <cellStyle name="Normal 2 2 2 3 2 4 16" xfId="29988"/>
    <cellStyle name="Normal 2 2 2 3 2 4 17" xfId="29989"/>
    <cellStyle name="Normal 2 2 2 3 2 4 18" xfId="29990"/>
    <cellStyle name="Normal 2 2 2 3 2 4 19" xfId="29991"/>
    <cellStyle name="Normal 2 2 2 3 2 4 2" xfId="29992"/>
    <cellStyle name="Normal 2 2 2 3 2 4 2 2" xfId="29993"/>
    <cellStyle name="Normal 2 2 2 3 2 4 2 2 10" xfId="29994"/>
    <cellStyle name="Normal 2 2 2 3 2 4 2 2 11" xfId="29995"/>
    <cellStyle name="Normal 2 2 2 3 2 4 2 2 12" xfId="29996"/>
    <cellStyle name="Normal 2 2 2 3 2 4 2 2 13" xfId="29997"/>
    <cellStyle name="Normal 2 2 2 3 2 4 2 2 14" xfId="29998"/>
    <cellStyle name="Normal 2 2 2 3 2 4 2 2 15" xfId="29999"/>
    <cellStyle name="Normal 2 2 2 3 2 4 2 2 16" xfId="30000"/>
    <cellStyle name="Normal 2 2 2 3 2 4 2 2 17" xfId="30001"/>
    <cellStyle name="Normal 2 2 2 3 2 4 2 2 18" xfId="30002"/>
    <cellStyle name="Normal 2 2 2 3 2 4 2 2 2" xfId="30003"/>
    <cellStyle name="Normal 2 2 2 3 2 4 2 2 3" xfId="30004"/>
    <cellStyle name="Normal 2 2 2 3 2 4 2 2 4" xfId="30005"/>
    <cellStyle name="Normal 2 2 2 3 2 4 2 2 5" xfId="30006"/>
    <cellStyle name="Normal 2 2 2 3 2 4 2 2 6" xfId="30007"/>
    <cellStyle name="Normal 2 2 2 3 2 4 2 2 7" xfId="30008"/>
    <cellStyle name="Normal 2 2 2 3 2 4 2 2 8" xfId="30009"/>
    <cellStyle name="Normal 2 2 2 3 2 4 2 2 9" xfId="30010"/>
    <cellStyle name="Normal 2 2 2 3 2 4 2 2_Sheet1" xfId="30011"/>
    <cellStyle name="Normal 2 2 2 3 2 4 3" xfId="30012"/>
    <cellStyle name="Normal 2 2 2 3 2 4 4" xfId="30013"/>
    <cellStyle name="Normal 2 2 2 3 2 4 5" xfId="30014"/>
    <cellStyle name="Normal 2 2 2 3 2 4 6" xfId="30015"/>
    <cellStyle name="Normal 2 2 2 3 2 4 7" xfId="30016"/>
    <cellStyle name="Normal 2 2 2 3 2 4 8" xfId="30017"/>
    <cellStyle name="Normal 2 2 2 3 2 4 9" xfId="30018"/>
    <cellStyle name="Normal 2 2 2 3 2 4_Sheet1" xfId="30019"/>
    <cellStyle name="Normal 2 2 2 3 2 5" xfId="30020"/>
    <cellStyle name="Normal 2 2 2 3 2 5 10" xfId="30021"/>
    <cellStyle name="Normal 2 2 2 3 2 5 11" xfId="30022"/>
    <cellStyle name="Normal 2 2 2 3 2 5 12" xfId="30023"/>
    <cellStyle name="Normal 2 2 2 3 2 5 13" xfId="30024"/>
    <cellStyle name="Normal 2 2 2 3 2 5 14" xfId="30025"/>
    <cellStyle name="Normal 2 2 2 3 2 5 15" xfId="30026"/>
    <cellStyle name="Normal 2 2 2 3 2 5 16" xfId="30027"/>
    <cellStyle name="Normal 2 2 2 3 2 5 17" xfId="30028"/>
    <cellStyle name="Normal 2 2 2 3 2 5 18" xfId="30029"/>
    <cellStyle name="Normal 2 2 2 3 2 5 2" xfId="30030"/>
    <cellStyle name="Normal 2 2 2 3 2 5 3" xfId="30031"/>
    <cellStyle name="Normal 2 2 2 3 2 5 4" xfId="30032"/>
    <cellStyle name="Normal 2 2 2 3 2 5 5" xfId="30033"/>
    <cellStyle name="Normal 2 2 2 3 2 5 6" xfId="30034"/>
    <cellStyle name="Normal 2 2 2 3 2 5 7" xfId="30035"/>
    <cellStyle name="Normal 2 2 2 3 2 5 8" xfId="30036"/>
    <cellStyle name="Normal 2 2 2 3 2 5 9" xfId="30037"/>
    <cellStyle name="Normal 2 2 2 3 2 5_Sheet1" xfId="30038"/>
    <cellStyle name="Normal 2 2 2 3 2 6" xfId="30039"/>
    <cellStyle name="Normal 2 2 2 3 2 7" xfId="30040"/>
    <cellStyle name="Normal 2 2 2 3 2 8" xfId="30041"/>
    <cellStyle name="Normal 2 2 2 3 2 9" xfId="30042"/>
    <cellStyle name="Normal 2 2 2 3 2_Sheet1" xfId="30043"/>
    <cellStyle name="Normal 2 2 2 3 20" xfId="30044"/>
    <cellStyle name="Normal 2 2 2 3 21" xfId="30045"/>
    <cellStyle name="Normal 2 2 2 3 22" xfId="30046"/>
    <cellStyle name="Normal 2 2 2 3 23" xfId="30047"/>
    <cellStyle name="Normal 2 2 2 3 3" xfId="30048"/>
    <cellStyle name="Normal 2 2 2 3 3 2" xfId="30049"/>
    <cellStyle name="Normal 2 2 2 3 3 2 10" xfId="30050"/>
    <cellStyle name="Normal 2 2 2 3 3 2 11" xfId="30051"/>
    <cellStyle name="Normal 2 2 2 3 3 2 12" xfId="30052"/>
    <cellStyle name="Normal 2 2 2 3 3 2 13" xfId="30053"/>
    <cellStyle name="Normal 2 2 2 3 3 2 14" xfId="30054"/>
    <cellStyle name="Normal 2 2 2 3 3 2 15" xfId="30055"/>
    <cellStyle name="Normal 2 2 2 3 3 2 16" xfId="30056"/>
    <cellStyle name="Normal 2 2 2 3 3 2 17" xfId="30057"/>
    <cellStyle name="Normal 2 2 2 3 3 2 18" xfId="30058"/>
    <cellStyle name="Normal 2 2 2 3 3 2 19" xfId="30059"/>
    <cellStyle name="Normal 2 2 2 3 3 2 2" xfId="30060"/>
    <cellStyle name="Normal 2 2 2 3 3 2 2 2" xfId="30061"/>
    <cellStyle name="Normal 2 2 2 3 3 2 2 2 10" xfId="30062"/>
    <cellStyle name="Normal 2 2 2 3 3 2 2 2 11" xfId="30063"/>
    <cellStyle name="Normal 2 2 2 3 3 2 2 2 12" xfId="30064"/>
    <cellStyle name="Normal 2 2 2 3 3 2 2 2 13" xfId="30065"/>
    <cellStyle name="Normal 2 2 2 3 3 2 2 2 14" xfId="30066"/>
    <cellStyle name="Normal 2 2 2 3 3 2 2 2 15" xfId="30067"/>
    <cellStyle name="Normal 2 2 2 3 3 2 2 2 16" xfId="30068"/>
    <cellStyle name="Normal 2 2 2 3 3 2 2 2 17" xfId="30069"/>
    <cellStyle name="Normal 2 2 2 3 3 2 2 2 18" xfId="30070"/>
    <cellStyle name="Normal 2 2 2 3 3 2 2 2 19" xfId="30071"/>
    <cellStyle name="Normal 2 2 2 3 3 2 2 2 2" xfId="30072"/>
    <cellStyle name="Normal 2 2 2 3 3 2 2 2 3" xfId="30073"/>
    <cellStyle name="Normal 2 2 2 3 3 2 2 2 4" xfId="30074"/>
    <cellStyle name="Normal 2 2 2 3 3 2 2 2 5" xfId="30075"/>
    <cellStyle name="Normal 2 2 2 3 3 2 2 2 6" xfId="30076"/>
    <cellStyle name="Normal 2 2 2 3 3 2 2 2 7" xfId="30077"/>
    <cellStyle name="Normal 2 2 2 3 3 2 2 2 8" xfId="30078"/>
    <cellStyle name="Normal 2 2 2 3 3 2 2 2 9" xfId="30079"/>
    <cellStyle name="Normal 2 2 2 3 3 2 2 2_Sheet1" xfId="30080"/>
    <cellStyle name="Normal 2 2 2 3 3 2 20" xfId="30081"/>
    <cellStyle name="Normal 2 2 2 3 3 2 3" xfId="30082"/>
    <cellStyle name="Normal 2 2 2 3 3 2 4" xfId="30083"/>
    <cellStyle name="Normal 2 2 2 3 3 2 5" xfId="30084"/>
    <cellStyle name="Normal 2 2 2 3 3 2 6" xfId="30085"/>
    <cellStyle name="Normal 2 2 2 3 3 2 7" xfId="30086"/>
    <cellStyle name="Normal 2 2 2 3 3 2 8" xfId="30087"/>
    <cellStyle name="Normal 2 2 2 3 3 2 9" xfId="30088"/>
    <cellStyle name="Normal 2 2 2 3 3 2_Sheet1" xfId="30089"/>
    <cellStyle name="Normal 2 2 2 3 3 3" xfId="30090"/>
    <cellStyle name="Normal 2 2 2 3 3 3 10" xfId="30091"/>
    <cellStyle name="Normal 2 2 2 3 3 3 11" xfId="30092"/>
    <cellStyle name="Normal 2 2 2 3 3 3 12" xfId="30093"/>
    <cellStyle name="Normal 2 2 2 3 3 3 13" xfId="30094"/>
    <cellStyle name="Normal 2 2 2 3 3 3 14" xfId="30095"/>
    <cellStyle name="Normal 2 2 2 3 3 3 15" xfId="30096"/>
    <cellStyle name="Normal 2 2 2 3 3 3 16" xfId="30097"/>
    <cellStyle name="Normal 2 2 2 3 3 3 17" xfId="30098"/>
    <cellStyle name="Normal 2 2 2 3 3 3 18" xfId="30099"/>
    <cellStyle name="Normal 2 2 2 3 3 3 19" xfId="30100"/>
    <cellStyle name="Normal 2 2 2 3 3 3 2" xfId="30101"/>
    <cellStyle name="Normal 2 2 2 3 3 3 3" xfId="30102"/>
    <cellStyle name="Normal 2 2 2 3 3 3 4" xfId="30103"/>
    <cellStyle name="Normal 2 2 2 3 3 3 5" xfId="30104"/>
    <cellStyle name="Normal 2 2 2 3 3 3 6" xfId="30105"/>
    <cellStyle name="Normal 2 2 2 3 3 3 7" xfId="30106"/>
    <cellStyle name="Normal 2 2 2 3 3 3 8" xfId="30107"/>
    <cellStyle name="Normal 2 2 2 3 3 3 9" xfId="30108"/>
    <cellStyle name="Normal 2 2 2 3 3 3_Sheet1" xfId="30109"/>
    <cellStyle name="Normal 2 2 2 3 4" xfId="30110"/>
    <cellStyle name="Normal 2 2 2 3 5" xfId="30111"/>
    <cellStyle name="Normal 2 2 2 3 5 2" xfId="30112"/>
    <cellStyle name="Normal 2 2 2 3 5 2 10" xfId="30113"/>
    <cellStyle name="Normal 2 2 2 3 5 2 11" xfId="30114"/>
    <cellStyle name="Normal 2 2 2 3 5 2 12" xfId="30115"/>
    <cellStyle name="Normal 2 2 2 3 5 2 13" xfId="30116"/>
    <cellStyle name="Normal 2 2 2 3 5 2 14" xfId="30117"/>
    <cellStyle name="Normal 2 2 2 3 5 2 15" xfId="30118"/>
    <cellStyle name="Normal 2 2 2 3 5 2 16" xfId="30119"/>
    <cellStyle name="Normal 2 2 2 3 5 2 17" xfId="30120"/>
    <cellStyle name="Normal 2 2 2 3 5 2 18" xfId="30121"/>
    <cellStyle name="Normal 2 2 2 3 5 2 19" xfId="30122"/>
    <cellStyle name="Normal 2 2 2 3 5 2 2" xfId="30123"/>
    <cellStyle name="Normal 2 2 2 3 5 2 3" xfId="30124"/>
    <cellStyle name="Normal 2 2 2 3 5 2 4" xfId="30125"/>
    <cellStyle name="Normal 2 2 2 3 5 2 5" xfId="30126"/>
    <cellStyle name="Normal 2 2 2 3 5 2 6" xfId="30127"/>
    <cellStyle name="Normal 2 2 2 3 5 2 7" xfId="30128"/>
    <cellStyle name="Normal 2 2 2 3 5 2 8" xfId="30129"/>
    <cellStyle name="Normal 2 2 2 3 5 2 9" xfId="30130"/>
    <cellStyle name="Normal 2 2 2 3 5 2_Sheet1" xfId="30131"/>
    <cellStyle name="Normal 2 2 2 3 6" xfId="30132"/>
    <cellStyle name="Normal 2 2 2 3 7" xfId="30133"/>
    <cellStyle name="Normal 2 2 2 3 8" xfId="30134"/>
    <cellStyle name="Normal 2 2 2 3 9" xfId="30135"/>
    <cellStyle name="Normal 2 2 2 3_Sheet1" xfId="30136"/>
    <cellStyle name="Normal 2 2 2 30" xfId="30137"/>
    <cellStyle name="Normal 2 2 2 30 2" xfId="30138"/>
    <cellStyle name="Normal 2 2 2 30 3" xfId="30139"/>
    <cellStyle name="Normal 2 2 2 31" xfId="30140"/>
    <cellStyle name="Normal 2 2 2 32" xfId="30141"/>
    <cellStyle name="Normal 2 2 2 32 2" xfId="30142"/>
    <cellStyle name="Normal 2 2 2 32 2 2" xfId="30143"/>
    <cellStyle name="Normal 2 2 2 32 2 2 2" xfId="30144"/>
    <cellStyle name="Normal 2 2 2 32 2 2 2 2" xfId="30145"/>
    <cellStyle name="Normal 2 2 2 32 3" xfId="30146"/>
    <cellStyle name="Normal 2 2 2 32 4" xfId="30147"/>
    <cellStyle name="Normal 2 2 2 32 4 2" xfId="30148"/>
    <cellStyle name="Normal 2 2 2 4" xfId="30149"/>
    <cellStyle name="Normal 2 2 2 4 10" xfId="30150"/>
    <cellStyle name="Normal 2 2 2 4 11" xfId="30151"/>
    <cellStyle name="Normal 2 2 2 4 12" xfId="30152"/>
    <cellStyle name="Normal 2 2 2 4 13" xfId="30153"/>
    <cellStyle name="Normal 2 2 2 4 14" xfId="30154"/>
    <cellStyle name="Normal 2 2 2 4 15" xfId="30155"/>
    <cellStyle name="Normal 2 2 2 4 16" xfId="30156"/>
    <cellStyle name="Normal 2 2 2 4 17" xfId="30157"/>
    <cellStyle name="Normal 2 2 2 4 18" xfId="30158"/>
    <cellStyle name="Normal 2 2 2 4 19" xfId="30159"/>
    <cellStyle name="Normal 2 2 2 4 2" xfId="30160"/>
    <cellStyle name="Normal 2 2 2 4 2 10" xfId="30161"/>
    <cellStyle name="Normal 2 2 2 4 2 11" xfId="30162"/>
    <cellStyle name="Normal 2 2 2 4 2 12" xfId="30163"/>
    <cellStyle name="Normal 2 2 2 4 2 13" xfId="30164"/>
    <cellStyle name="Normal 2 2 2 4 2 2" xfId="30165"/>
    <cellStyle name="Normal 2 2 2 4 2 2 10" xfId="30166"/>
    <cellStyle name="Normal 2 2 2 4 2 2 11" xfId="30167"/>
    <cellStyle name="Normal 2 2 2 4 2 2 12" xfId="30168"/>
    <cellStyle name="Normal 2 2 2 4 2 2 13" xfId="30169"/>
    <cellStyle name="Normal 2 2 2 4 2 2 14" xfId="30170"/>
    <cellStyle name="Normal 2 2 2 4 2 2 15" xfId="30171"/>
    <cellStyle name="Normal 2 2 2 4 2 2 16" xfId="30172"/>
    <cellStyle name="Normal 2 2 2 4 2 2 17" xfId="30173"/>
    <cellStyle name="Normal 2 2 2 4 2 2 18" xfId="30174"/>
    <cellStyle name="Normal 2 2 2 4 2 2 19" xfId="30175"/>
    <cellStyle name="Normal 2 2 2 4 2 2 2" xfId="30176"/>
    <cellStyle name="Normal 2 2 2 4 2 2 2 2" xfId="30177"/>
    <cellStyle name="Normal 2 2 2 4 2 2 2 2 10" xfId="30178"/>
    <cellStyle name="Normal 2 2 2 4 2 2 2 2 11" xfId="30179"/>
    <cellStyle name="Normal 2 2 2 4 2 2 2 2 12" xfId="30180"/>
    <cellStyle name="Normal 2 2 2 4 2 2 2 2 13" xfId="30181"/>
    <cellStyle name="Normal 2 2 2 4 2 2 2 2 14" xfId="30182"/>
    <cellStyle name="Normal 2 2 2 4 2 2 2 2 15" xfId="30183"/>
    <cellStyle name="Normal 2 2 2 4 2 2 2 2 16" xfId="30184"/>
    <cellStyle name="Normal 2 2 2 4 2 2 2 2 17" xfId="30185"/>
    <cellStyle name="Normal 2 2 2 4 2 2 2 2 18" xfId="30186"/>
    <cellStyle name="Normal 2 2 2 4 2 2 2 2 19" xfId="30187"/>
    <cellStyle name="Normal 2 2 2 4 2 2 2 2 2" xfId="30188"/>
    <cellStyle name="Normal 2 2 2 4 2 2 2 2 3" xfId="30189"/>
    <cellStyle name="Normal 2 2 2 4 2 2 2 2 4" xfId="30190"/>
    <cellStyle name="Normal 2 2 2 4 2 2 2 2 5" xfId="30191"/>
    <cellStyle name="Normal 2 2 2 4 2 2 2 2 6" xfId="30192"/>
    <cellStyle name="Normal 2 2 2 4 2 2 2 2 7" xfId="30193"/>
    <cellStyle name="Normal 2 2 2 4 2 2 2 2 8" xfId="30194"/>
    <cellStyle name="Normal 2 2 2 4 2 2 2 2 9" xfId="30195"/>
    <cellStyle name="Normal 2 2 2 4 2 2 2 2_Sheet1" xfId="30196"/>
    <cellStyle name="Normal 2 2 2 4 2 2 20" xfId="30197"/>
    <cellStyle name="Normal 2 2 2 4 2 2 3" xfId="30198"/>
    <cellStyle name="Normal 2 2 2 4 2 2 4" xfId="30199"/>
    <cellStyle name="Normal 2 2 2 4 2 2 5" xfId="30200"/>
    <cellStyle name="Normal 2 2 2 4 2 2 6" xfId="30201"/>
    <cellStyle name="Normal 2 2 2 4 2 2 7" xfId="30202"/>
    <cellStyle name="Normal 2 2 2 4 2 2 8" xfId="30203"/>
    <cellStyle name="Normal 2 2 2 4 2 2 9" xfId="30204"/>
    <cellStyle name="Normal 2 2 2 4 2 2_Sheet1" xfId="30205"/>
    <cellStyle name="Normal 2 2 2 4 2 3" xfId="30206"/>
    <cellStyle name="Normal 2 2 2 4 2 3 10" xfId="30207"/>
    <cellStyle name="Normal 2 2 2 4 2 3 11" xfId="30208"/>
    <cellStyle name="Normal 2 2 2 4 2 3 12" xfId="30209"/>
    <cellStyle name="Normal 2 2 2 4 2 3 13" xfId="30210"/>
    <cellStyle name="Normal 2 2 2 4 2 3 14" xfId="30211"/>
    <cellStyle name="Normal 2 2 2 4 2 3 15" xfId="30212"/>
    <cellStyle name="Normal 2 2 2 4 2 3 16" xfId="30213"/>
    <cellStyle name="Normal 2 2 2 4 2 3 17" xfId="30214"/>
    <cellStyle name="Normal 2 2 2 4 2 3 18" xfId="30215"/>
    <cellStyle name="Normal 2 2 2 4 2 3 19" xfId="30216"/>
    <cellStyle name="Normal 2 2 2 4 2 3 2" xfId="30217"/>
    <cellStyle name="Normal 2 2 2 4 2 3 3" xfId="30218"/>
    <cellStyle name="Normal 2 2 2 4 2 3 4" xfId="30219"/>
    <cellStyle name="Normal 2 2 2 4 2 3 5" xfId="30220"/>
    <cellStyle name="Normal 2 2 2 4 2 3 6" xfId="30221"/>
    <cellStyle name="Normal 2 2 2 4 2 3 7" xfId="30222"/>
    <cellStyle name="Normal 2 2 2 4 2 3 8" xfId="30223"/>
    <cellStyle name="Normal 2 2 2 4 2 3 9" xfId="30224"/>
    <cellStyle name="Normal 2 2 2 4 2 3_Sheet1" xfId="30225"/>
    <cellStyle name="Normal 2 2 2 4 2 4" xfId="30226"/>
    <cellStyle name="Normal 2 2 2 4 2 5" xfId="30227"/>
    <cellStyle name="Normal 2 2 2 4 2 6" xfId="30228"/>
    <cellStyle name="Normal 2 2 2 4 2 7" xfId="30229"/>
    <cellStyle name="Normal 2 2 2 4 2 8" xfId="30230"/>
    <cellStyle name="Normal 2 2 2 4 2 9" xfId="30231"/>
    <cellStyle name="Normal 2 2 2 4 20" xfId="30232"/>
    <cellStyle name="Normal 2 2 2 4 21" xfId="30233"/>
    <cellStyle name="Normal 2 2 2 4 22" xfId="30234"/>
    <cellStyle name="Normal 2 2 2 4 3" xfId="30235"/>
    <cellStyle name="Normal 2 2 2 4 4" xfId="30236"/>
    <cellStyle name="Normal 2 2 2 4 4 2" xfId="30237"/>
    <cellStyle name="Normal 2 2 2 4 4 2 10" xfId="30238"/>
    <cellStyle name="Normal 2 2 2 4 4 2 11" xfId="30239"/>
    <cellStyle name="Normal 2 2 2 4 4 2 12" xfId="30240"/>
    <cellStyle name="Normal 2 2 2 4 4 2 13" xfId="30241"/>
    <cellStyle name="Normal 2 2 2 4 4 2 14" xfId="30242"/>
    <cellStyle name="Normal 2 2 2 4 4 2 15" xfId="30243"/>
    <cellStyle name="Normal 2 2 2 4 4 2 16" xfId="30244"/>
    <cellStyle name="Normal 2 2 2 4 4 2 17" xfId="30245"/>
    <cellStyle name="Normal 2 2 2 4 4 2 18" xfId="30246"/>
    <cellStyle name="Normal 2 2 2 4 4 2 19" xfId="30247"/>
    <cellStyle name="Normal 2 2 2 4 4 2 2" xfId="30248"/>
    <cellStyle name="Normal 2 2 2 4 4 2 3" xfId="30249"/>
    <cellStyle name="Normal 2 2 2 4 4 2 4" xfId="30250"/>
    <cellStyle name="Normal 2 2 2 4 4 2 5" xfId="30251"/>
    <cellStyle name="Normal 2 2 2 4 4 2 6" xfId="30252"/>
    <cellStyle name="Normal 2 2 2 4 4 2 7" xfId="30253"/>
    <cellStyle name="Normal 2 2 2 4 4 2 8" xfId="30254"/>
    <cellStyle name="Normal 2 2 2 4 4 2 9" xfId="30255"/>
    <cellStyle name="Normal 2 2 2 4 4 2_Sheet1" xfId="30256"/>
    <cellStyle name="Normal 2 2 2 4 5" xfId="30257"/>
    <cellStyle name="Normal 2 2 2 4 6" xfId="30258"/>
    <cellStyle name="Normal 2 2 2 4 7" xfId="30259"/>
    <cellStyle name="Normal 2 2 2 4 8" xfId="30260"/>
    <cellStyle name="Normal 2 2 2 4 9" xfId="30261"/>
    <cellStyle name="Normal 2 2 2 4_Sheet1" xfId="30262"/>
    <cellStyle name="Normal 2 2 2 5" xfId="30263"/>
    <cellStyle name="Normal 2 2 2 5 10" xfId="30264"/>
    <cellStyle name="Normal 2 2 2 5 11" xfId="30265"/>
    <cellStyle name="Normal 2 2 2 5 12" xfId="30266"/>
    <cellStyle name="Normal 2 2 2 5 13" xfId="30267"/>
    <cellStyle name="Normal 2 2 2 5 14" xfId="30268"/>
    <cellStyle name="Normal 2 2 2 5 15" xfId="30269"/>
    <cellStyle name="Normal 2 2 2 5 16" xfId="30270"/>
    <cellStyle name="Normal 2 2 2 5 17" xfId="30271"/>
    <cellStyle name="Normal 2 2 2 5 18" xfId="30272"/>
    <cellStyle name="Normal 2 2 2 5 19" xfId="30273"/>
    <cellStyle name="Normal 2 2 2 5 2" xfId="30274"/>
    <cellStyle name="Normal 2 2 2 5 2 10" xfId="30275"/>
    <cellStyle name="Normal 2 2 2 5 2 11" xfId="30276"/>
    <cellStyle name="Normal 2 2 2 5 2 12" xfId="30277"/>
    <cellStyle name="Normal 2 2 2 5 2 13" xfId="30278"/>
    <cellStyle name="Normal 2 2 2 5 2 14" xfId="30279"/>
    <cellStyle name="Normal 2 2 2 5 2 2" xfId="30280"/>
    <cellStyle name="Normal 2 2 2 5 2 2 10" xfId="30281"/>
    <cellStyle name="Normal 2 2 2 5 2 2 11" xfId="30282"/>
    <cellStyle name="Normal 2 2 2 5 2 2 12" xfId="30283"/>
    <cellStyle name="Normal 2 2 2 5 2 2 13" xfId="30284"/>
    <cellStyle name="Normal 2 2 2 5 2 2 14" xfId="30285"/>
    <cellStyle name="Normal 2 2 2 5 2 2 15" xfId="30286"/>
    <cellStyle name="Normal 2 2 2 5 2 2 16" xfId="30287"/>
    <cellStyle name="Normal 2 2 2 5 2 2 17" xfId="30288"/>
    <cellStyle name="Normal 2 2 2 5 2 2 18" xfId="30289"/>
    <cellStyle name="Normal 2 2 2 5 2 2 19" xfId="30290"/>
    <cellStyle name="Normal 2 2 2 5 2 2 2" xfId="30291"/>
    <cellStyle name="Normal 2 2 2 5 2 2 2 2" xfId="30292"/>
    <cellStyle name="Normal 2 2 2 5 2 2 2 2 10" xfId="30293"/>
    <cellStyle name="Normal 2 2 2 5 2 2 2 2 11" xfId="30294"/>
    <cellStyle name="Normal 2 2 2 5 2 2 2 2 12" xfId="30295"/>
    <cellStyle name="Normal 2 2 2 5 2 2 2 2 13" xfId="30296"/>
    <cellStyle name="Normal 2 2 2 5 2 2 2 2 14" xfId="30297"/>
    <cellStyle name="Normal 2 2 2 5 2 2 2 2 15" xfId="30298"/>
    <cellStyle name="Normal 2 2 2 5 2 2 2 2 16" xfId="30299"/>
    <cellStyle name="Normal 2 2 2 5 2 2 2 2 17" xfId="30300"/>
    <cellStyle name="Normal 2 2 2 5 2 2 2 2 18" xfId="30301"/>
    <cellStyle name="Normal 2 2 2 5 2 2 2 2 2" xfId="30302"/>
    <cellStyle name="Normal 2 2 2 5 2 2 2 2 3" xfId="30303"/>
    <cellStyle name="Normal 2 2 2 5 2 2 2 2 4" xfId="30304"/>
    <cellStyle name="Normal 2 2 2 5 2 2 2 2 5" xfId="30305"/>
    <cellStyle name="Normal 2 2 2 5 2 2 2 2 6" xfId="30306"/>
    <cellStyle name="Normal 2 2 2 5 2 2 2 2 7" xfId="30307"/>
    <cellStyle name="Normal 2 2 2 5 2 2 2 2 8" xfId="30308"/>
    <cellStyle name="Normal 2 2 2 5 2 2 2 2 9" xfId="30309"/>
    <cellStyle name="Normal 2 2 2 5 2 2 2 2_Sheet1" xfId="30310"/>
    <cellStyle name="Normal 2 2 2 5 2 2 3" xfId="30311"/>
    <cellStyle name="Normal 2 2 2 5 2 2 4" xfId="30312"/>
    <cellStyle name="Normal 2 2 2 5 2 2 5" xfId="30313"/>
    <cellStyle name="Normal 2 2 2 5 2 2 6" xfId="30314"/>
    <cellStyle name="Normal 2 2 2 5 2 2 7" xfId="30315"/>
    <cellStyle name="Normal 2 2 2 5 2 2 8" xfId="30316"/>
    <cellStyle name="Normal 2 2 2 5 2 2 9" xfId="30317"/>
    <cellStyle name="Normal 2 2 2 5 2 2_Sheet1" xfId="30318"/>
    <cellStyle name="Normal 2 2 2 5 2 3" xfId="30319"/>
    <cellStyle name="Normal 2 2 2 5 2 3 10" xfId="30320"/>
    <cellStyle name="Normal 2 2 2 5 2 3 11" xfId="30321"/>
    <cellStyle name="Normal 2 2 2 5 2 3 12" xfId="30322"/>
    <cellStyle name="Normal 2 2 2 5 2 3 13" xfId="30323"/>
    <cellStyle name="Normal 2 2 2 5 2 3 14" xfId="30324"/>
    <cellStyle name="Normal 2 2 2 5 2 3 15" xfId="30325"/>
    <cellStyle name="Normal 2 2 2 5 2 3 16" xfId="30326"/>
    <cellStyle name="Normal 2 2 2 5 2 3 17" xfId="30327"/>
    <cellStyle name="Normal 2 2 2 5 2 3 18" xfId="30328"/>
    <cellStyle name="Normal 2 2 2 5 2 3 2" xfId="30329"/>
    <cellStyle name="Normal 2 2 2 5 2 3 3" xfId="30330"/>
    <cellStyle name="Normal 2 2 2 5 2 3 4" xfId="30331"/>
    <cellStyle name="Normal 2 2 2 5 2 3 5" xfId="30332"/>
    <cellStyle name="Normal 2 2 2 5 2 3 6" xfId="30333"/>
    <cellStyle name="Normal 2 2 2 5 2 3 7" xfId="30334"/>
    <cellStyle name="Normal 2 2 2 5 2 3 8" xfId="30335"/>
    <cellStyle name="Normal 2 2 2 5 2 3 9" xfId="30336"/>
    <cellStyle name="Normal 2 2 2 5 2 3_Sheet1" xfId="30337"/>
    <cellStyle name="Normal 2 2 2 5 2 4" xfId="30338"/>
    <cellStyle name="Normal 2 2 2 5 2 5" xfId="30339"/>
    <cellStyle name="Normal 2 2 2 5 2 6" xfId="30340"/>
    <cellStyle name="Normal 2 2 2 5 2 7" xfId="30341"/>
    <cellStyle name="Normal 2 2 2 5 2 8" xfId="30342"/>
    <cellStyle name="Normal 2 2 2 5 2 9" xfId="30343"/>
    <cellStyle name="Normal 2 2 2 5 20" xfId="30344"/>
    <cellStyle name="Normal 2 2 2 5 3" xfId="30345"/>
    <cellStyle name="Normal 2 2 2 5 3 10" xfId="30346"/>
    <cellStyle name="Normal 2 2 2 5 3 11" xfId="30347"/>
    <cellStyle name="Normal 2 2 2 5 3 12" xfId="30348"/>
    <cellStyle name="Normal 2 2 2 5 3 13" xfId="30349"/>
    <cellStyle name="Normal 2 2 2 5 3 2" xfId="30350"/>
    <cellStyle name="Normal 2 2 2 5 3 2 10" xfId="30351"/>
    <cellStyle name="Normal 2 2 2 5 3 2 11" xfId="30352"/>
    <cellStyle name="Normal 2 2 2 5 3 2 12" xfId="30353"/>
    <cellStyle name="Normal 2 2 2 5 3 2 13" xfId="30354"/>
    <cellStyle name="Normal 2 2 2 5 3 2 14" xfId="30355"/>
    <cellStyle name="Normal 2 2 2 5 3 2 15" xfId="30356"/>
    <cellStyle name="Normal 2 2 2 5 3 2 16" xfId="30357"/>
    <cellStyle name="Normal 2 2 2 5 3 2 17" xfId="30358"/>
    <cellStyle name="Normal 2 2 2 5 3 2 18" xfId="30359"/>
    <cellStyle name="Normal 2 2 2 5 3 2 2" xfId="30360"/>
    <cellStyle name="Normal 2 2 2 5 3 2 3" xfId="30361"/>
    <cellStyle name="Normal 2 2 2 5 3 2 4" xfId="30362"/>
    <cellStyle name="Normal 2 2 2 5 3 2 5" xfId="30363"/>
    <cellStyle name="Normal 2 2 2 5 3 2 6" xfId="30364"/>
    <cellStyle name="Normal 2 2 2 5 3 2 7" xfId="30365"/>
    <cellStyle name="Normal 2 2 2 5 3 2 8" xfId="30366"/>
    <cellStyle name="Normal 2 2 2 5 3 2 9" xfId="30367"/>
    <cellStyle name="Normal 2 2 2 5 3 2_Sheet1" xfId="30368"/>
    <cellStyle name="Normal 2 2 2 5 3 3" xfId="30369"/>
    <cellStyle name="Normal 2 2 2 5 3 4" xfId="30370"/>
    <cellStyle name="Normal 2 2 2 5 3 5" xfId="30371"/>
    <cellStyle name="Normal 2 2 2 5 3 6" xfId="30372"/>
    <cellStyle name="Normal 2 2 2 5 3 7" xfId="30373"/>
    <cellStyle name="Normal 2 2 2 5 3 8" xfId="30374"/>
    <cellStyle name="Normal 2 2 2 5 3 9" xfId="30375"/>
    <cellStyle name="Normal 2 2 2 5 4" xfId="30376"/>
    <cellStyle name="Normal 2 2 2 5 5" xfId="30377"/>
    <cellStyle name="Normal 2 2 2 5 6" xfId="30378"/>
    <cellStyle name="Normal 2 2 2 5 7" xfId="30379"/>
    <cellStyle name="Normal 2 2 2 5 8" xfId="30380"/>
    <cellStyle name="Normal 2 2 2 5 9" xfId="30381"/>
    <cellStyle name="Normal 2 2 2 5_Sheet1" xfId="30382"/>
    <cellStyle name="Normal 2 2 2 6" xfId="30383"/>
    <cellStyle name="Normal 2 2 2 6 10" xfId="30384"/>
    <cellStyle name="Normal 2 2 2 6 11" xfId="30385"/>
    <cellStyle name="Normal 2 2 2 6 12" xfId="30386"/>
    <cellStyle name="Normal 2 2 2 6 13" xfId="30387"/>
    <cellStyle name="Normal 2 2 2 6 14" xfId="30388"/>
    <cellStyle name="Normal 2 2 2 6 15" xfId="30389"/>
    <cellStyle name="Normal 2 2 2 6 16" xfId="30390"/>
    <cellStyle name="Normal 2 2 2 6 17" xfId="30391"/>
    <cellStyle name="Normal 2 2 2 6 18" xfId="30392"/>
    <cellStyle name="Normal 2 2 2 6 19" xfId="30393"/>
    <cellStyle name="Normal 2 2 2 6 2" xfId="30394"/>
    <cellStyle name="Normal 2 2 2 6 2 2" xfId="30395"/>
    <cellStyle name="Normal 2 2 2 6 2 2 10" xfId="30396"/>
    <cellStyle name="Normal 2 2 2 6 2 2 11" xfId="30397"/>
    <cellStyle name="Normal 2 2 2 6 2 2 12" xfId="30398"/>
    <cellStyle name="Normal 2 2 2 6 2 2 13" xfId="30399"/>
    <cellStyle name="Normal 2 2 2 6 2 2 14" xfId="30400"/>
    <cellStyle name="Normal 2 2 2 6 2 2 15" xfId="30401"/>
    <cellStyle name="Normal 2 2 2 6 2 2 16" xfId="30402"/>
    <cellStyle name="Normal 2 2 2 6 2 2 17" xfId="30403"/>
    <cellStyle name="Normal 2 2 2 6 2 2 18" xfId="30404"/>
    <cellStyle name="Normal 2 2 2 6 2 2 2" xfId="30405"/>
    <cellStyle name="Normal 2 2 2 6 2 2 3" xfId="30406"/>
    <cellStyle name="Normal 2 2 2 6 2 2 4" xfId="30407"/>
    <cellStyle name="Normal 2 2 2 6 2 2 5" xfId="30408"/>
    <cellStyle name="Normal 2 2 2 6 2 2 6" xfId="30409"/>
    <cellStyle name="Normal 2 2 2 6 2 2 7" xfId="30410"/>
    <cellStyle name="Normal 2 2 2 6 2 2 8" xfId="30411"/>
    <cellStyle name="Normal 2 2 2 6 2 2 9" xfId="30412"/>
    <cellStyle name="Normal 2 2 2 6 2 2_Sheet1" xfId="30413"/>
    <cellStyle name="Normal 2 2 2 6 3" xfId="30414"/>
    <cellStyle name="Normal 2 2 2 6 4" xfId="30415"/>
    <cellStyle name="Normal 2 2 2 6 5" xfId="30416"/>
    <cellStyle name="Normal 2 2 2 6 6" xfId="30417"/>
    <cellStyle name="Normal 2 2 2 6 7" xfId="30418"/>
    <cellStyle name="Normal 2 2 2 6 8" xfId="30419"/>
    <cellStyle name="Normal 2 2 2 6 9" xfId="30420"/>
    <cellStyle name="Normal 2 2 2 6_Sheet1" xfId="30421"/>
    <cellStyle name="Normal 2 2 2 7" xfId="30422"/>
    <cellStyle name="Normal 2 2 2 7 10" xfId="30423"/>
    <cellStyle name="Normal 2 2 2 7 11" xfId="30424"/>
    <cellStyle name="Normal 2 2 2 7 12" xfId="30425"/>
    <cellStyle name="Normal 2 2 2 7 13" xfId="30426"/>
    <cellStyle name="Normal 2 2 2 7 14" xfId="30427"/>
    <cellStyle name="Normal 2 2 2 7 15" xfId="30428"/>
    <cellStyle name="Normal 2 2 2 7 16" xfId="30429"/>
    <cellStyle name="Normal 2 2 2 7 17" xfId="30430"/>
    <cellStyle name="Normal 2 2 2 7 18" xfId="30431"/>
    <cellStyle name="Normal 2 2 2 7 2" xfId="30432"/>
    <cellStyle name="Normal 2 2 2 7 3" xfId="30433"/>
    <cellStyle name="Normal 2 2 2 7 4" xfId="30434"/>
    <cellStyle name="Normal 2 2 2 7 5" xfId="30435"/>
    <cellStyle name="Normal 2 2 2 7 6" xfId="30436"/>
    <cellStyle name="Normal 2 2 2 7 7" xfId="30437"/>
    <cellStyle name="Normal 2 2 2 7 8" xfId="30438"/>
    <cellStyle name="Normal 2 2 2 7 9" xfId="30439"/>
    <cellStyle name="Normal 2 2 2 7_Sheet1" xfId="30440"/>
    <cellStyle name="Normal 2 2 2 8" xfId="30441"/>
    <cellStyle name="Normal 2 2 2 9" xfId="30442"/>
    <cellStyle name="Normal 2 2 2_Sheet1" xfId="30443"/>
    <cellStyle name="Normal 2 2 20" xfId="30444"/>
    <cellStyle name="Normal 2 2 20 10" xfId="30445"/>
    <cellStyle name="Normal 2 2 20 11" xfId="30446"/>
    <cellStyle name="Normal 2 2 20 2" xfId="30447"/>
    <cellStyle name="Normal 2 2 20 3" xfId="30448"/>
    <cellStyle name="Normal 2 2 20 4" xfId="30449"/>
    <cellStyle name="Normal 2 2 20 5" xfId="30450"/>
    <cellStyle name="Normal 2 2 20 6" xfId="30451"/>
    <cellStyle name="Normal 2 2 20 7" xfId="30452"/>
    <cellStyle name="Normal 2 2 20 8" xfId="30453"/>
    <cellStyle name="Normal 2 2 20 9" xfId="30454"/>
    <cellStyle name="Normal 2 2 20_Sheet1" xfId="30455"/>
    <cellStyle name="Normal 2 2 21" xfId="30456"/>
    <cellStyle name="Normal 2 2 21 10" xfId="30457"/>
    <cellStyle name="Normal 2 2 21 11" xfId="30458"/>
    <cellStyle name="Normal 2 2 21 2" xfId="30459"/>
    <cellStyle name="Normal 2 2 21 3" xfId="30460"/>
    <cellStyle name="Normal 2 2 21 4" xfId="30461"/>
    <cellStyle name="Normal 2 2 21 5" xfId="30462"/>
    <cellStyle name="Normal 2 2 21 6" xfId="30463"/>
    <cellStyle name="Normal 2 2 21 7" xfId="30464"/>
    <cellStyle name="Normal 2 2 21 8" xfId="30465"/>
    <cellStyle name="Normal 2 2 21 9" xfId="30466"/>
    <cellStyle name="Normal 2 2 21_Sheet1" xfId="30467"/>
    <cellStyle name="Normal 2 2 22" xfId="30468"/>
    <cellStyle name="Normal 2 2 22 10" xfId="30469"/>
    <cellStyle name="Normal 2 2 22 11" xfId="30470"/>
    <cellStyle name="Normal 2 2 22 2" xfId="30471"/>
    <cellStyle name="Normal 2 2 22 3" xfId="30472"/>
    <cellStyle name="Normal 2 2 22 4" xfId="30473"/>
    <cellStyle name="Normal 2 2 22 5" xfId="30474"/>
    <cellStyle name="Normal 2 2 22 6" xfId="30475"/>
    <cellStyle name="Normal 2 2 22 7" xfId="30476"/>
    <cellStyle name="Normal 2 2 22 8" xfId="30477"/>
    <cellStyle name="Normal 2 2 22 9" xfId="30478"/>
    <cellStyle name="Normal 2 2 22_Sheet1" xfId="30479"/>
    <cellStyle name="Normal 2 2 23" xfId="30480"/>
    <cellStyle name="Normal 2 2 23 10" xfId="30481"/>
    <cellStyle name="Normal 2 2 23 11" xfId="30482"/>
    <cellStyle name="Normal 2 2 23 2" xfId="30483"/>
    <cellStyle name="Normal 2 2 23 3" xfId="30484"/>
    <cellStyle name="Normal 2 2 23 4" xfId="30485"/>
    <cellStyle name="Normal 2 2 23 5" xfId="30486"/>
    <cellStyle name="Normal 2 2 23 6" xfId="30487"/>
    <cellStyle name="Normal 2 2 23 7" xfId="30488"/>
    <cellStyle name="Normal 2 2 23 8" xfId="30489"/>
    <cellStyle name="Normal 2 2 23 9" xfId="30490"/>
    <cellStyle name="Normal 2 2 23_Sheet1" xfId="30491"/>
    <cellStyle name="Normal 2 2 24" xfId="30492"/>
    <cellStyle name="Normal 2 2 25" xfId="30493"/>
    <cellStyle name="Normal 2 2 26" xfId="30494"/>
    <cellStyle name="Normal 2 2 27" xfId="30495"/>
    <cellStyle name="Normal 2 2 28" xfId="30496"/>
    <cellStyle name="Normal 2 2 29" xfId="30497"/>
    <cellStyle name="Normal 2 2 3" xfId="30498"/>
    <cellStyle name="Normal 2 2 3 10" xfId="30499"/>
    <cellStyle name="Normal 2 2 3 11" xfId="30500"/>
    <cellStyle name="Normal 2 2 3 12" xfId="30501"/>
    <cellStyle name="Normal 2 2 3 13" xfId="30502"/>
    <cellStyle name="Normal 2 2 3 14" xfId="30503"/>
    <cellStyle name="Normal 2 2 3 15" xfId="30504"/>
    <cellStyle name="Normal 2 2 3 16" xfId="30505"/>
    <cellStyle name="Normal 2 2 3 17" xfId="30506"/>
    <cellStyle name="Normal 2 2 3 18" xfId="30507"/>
    <cellStyle name="Normal 2 2 3 19" xfId="30508"/>
    <cellStyle name="Normal 2 2 3 2" xfId="30509"/>
    <cellStyle name="Normal 2 2 3 2 10" xfId="30510"/>
    <cellStyle name="Normal 2 2 3 2 11" xfId="30511"/>
    <cellStyle name="Normal 2 2 3 2 12" xfId="30512"/>
    <cellStyle name="Normal 2 2 3 2 13" xfId="30513"/>
    <cellStyle name="Normal 2 2 3 2 14" xfId="30514"/>
    <cellStyle name="Normal 2 2 3 2 15" xfId="30515"/>
    <cellStyle name="Normal 2 2 3 2 16" xfId="30516"/>
    <cellStyle name="Normal 2 2 3 2 17" xfId="30517"/>
    <cellStyle name="Normal 2 2 3 2 18" xfId="30518"/>
    <cellStyle name="Normal 2 2 3 2 19" xfId="30519"/>
    <cellStyle name="Normal 2 2 3 2 2" xfId="30520"/>
    <cellStyle name="Normal 2 2 3 2 2 10" xfId="30521"/>
    <cellStyle name="Normal 2 2 3 2 2 11" xfId="30522"/>
    <cellStyle name="Normal 2 2 3 2 2 12" xfId="30523"/>
    <cellStyle name="Normal 2 2 3 2 2 2" xfId="30524"/>
    <cellStyle name="Normal 2 2 3 2 2 2 10" xfId="30525"/>
    <cellStyle name="Normal 2 2 3 2 2 2 11" xfId="30526"/>
    <cellStyle name="Normal 2 2 3 2 2 2 12" xfId="30527"/>
    <cellStyle name="Normal 2 2 3 2 2 2 13" xfId="30528"/>
    <cellStyle name="Normal 2 2 3 2 2 2 14" xfId="30529"/>
    <cellStyle name="Normal 2 2 3 2 2 2 15" xfId="30530"/>
    <cellStyle name="Normal 2 2 3 2 2 2 16" xfId="30531"/>
    <cellStyle name="Normal 2 2 3 2 2 2 17" xfId="30532"/>
    <cellStyle name="Normal 2 2 3 2 2 2 18" xfId="30533"/>
    <cellStyle name="Normal 2 2 3 2 2 2 19" xfId="30534"/>
    <cellStyle name="Normal 2 2 3 2 2 2 2" xfId="30535"/>
    <cellStyle name="Normal 2 2 3 2 2 2 2 10" xfId="30536"/>
    <cellStyle name="Normal 2 2 3 2 2 2 2 2" xfId="30537"/>
    <cellStyle name="Normal 2 2 3 2 2 2 2 2 10" xfId="30538"/>
    <cellStyle name="Normal 2 2 3 2 2 2 2 2 11" xfId="30539"/>
    <cellStyle name="Normal 2 2 3 2 2 2 2 2 12" xfId="30540"/>
    <cellStyle name="Normal 2 2 3 2 2 2 2 2 13" xfId="30541"/>
    <cellStyle name="Normal 2 2 3 2 2 2 2 2 14" xfId="30542"/>
    <cellStyle name="Normal 2 2 3 2 2 2 2 2 15" xfId="30543"/>
    <cellStyle name="Normal 2 2 3 2 2 2 2 2 16" xfId="30544"/>
    <cellStyle name="Normal 2 2 3 2 2 2 2 2 17" xfId="30545"/>
    <cellStyle name="Normal 2 2 3 2 2 2 2 2 18" xfId="30546"/>
    <cellStyle name="Normal 2 2 3 2 2 2 2 2 19" xfId="30547"/>
    <cellStyle name="Normal 2 2 3 2 2 2 2 2 2" xfId="30548"/>
    <cellStyle name="Normal 2 2 3 2 2 2 2 2 2 2" xfId="30549"/>
    <cellStyle name="Normal 2 2 3 2 2 2 2 2 2 2 10" xfId="30550"/>
    <cellStyle name="Normal 2 2 3 2 2 2 2 2 2 2 11" xfId="30551"/>
    <cellStyle name="Normal 2 2 3 2 2 2 2 2 2 2 12" xfId="30552"/>
    <cellStyle name="Normal 2 2 3 2 2 2 2 2 2 2 13" xfId="30553"/>
    <cellStyle name="Normal 2 2 3 2 2 2 2 2 2 2 14" xfId="30554"/>
    <cellStyle name="Normal 2 2 3 2 2 2 2 2 2 2 15" xfId="30555"/>
    <cellStyle name="Normal 2 2 3 2 2 2 2 2 2 2 16" xfId="30556"/>
    <cellStyle name="Normal 2 2 3 2 2 2 2 2 2 2 17" xfId="30557"/>
    <cellStyle name="Normal 2 2 3 2 2 2 2 2 2 2 18" xfId="30558"/>
    <cellStyle name="Normal 2 2 3 2 2 2 2 2 2 2 19" xfId="30559"/>
    <cellStyle name="Normal 2 2 3 2 2 2 2 2 2 2 2" xfId="30560"/>
    <cellStyle name="Normal 2 2 3 2 2 2 2 2 2 2 2 2" xfId="30561"/>
    <cellStyle name="Normal 2 2 3 2 2 2 2 2 2 2 2 3" xfId="30562"/>
    <cellStyle name="Normal 2 2 3 2 2 2 2 2 2 2 2 4" xfId="30563"/>
    <cellStyle name="Normal 2 2 3 2 2 2 2 2 2 2 2 5" xfId="30564"/>
    <cellStyle name="Normal 2 2 3 2 2 2 2 2 2 2 2 6" xfId="30565"/>
    <cellStyle name="Normal 2 2 3 2 2 2 2 2 2 2 2 7" xfId="30566"/>
    <cellStyle name="Normal 2 2 3 2 2 2 2 2 2 2 2 8" xfId="30567"/>
    <cellStyle name="Normal 2 2 3 2 2 2 2 2 2 2 2 9" xfId="30568"/>
    <cellStyle name="Normal 2 2 3 2 2 2 2 2 2 2 20" xfId="30569"/>
    <cellStyle name="Normal 2 2 3 2 2 2 2 2 2 2 21" xfId="30570"/>
    <cellStyle name="Normal 2 2 3 2 2 2 2 2 2 2 22" xfId="30571"/>
    <cellStyle name="Normal 2 2 3 2 2 2 2 2 2 2 23" xfId="30572"/>
    <cellStyle name="Normal 2 2 3 2 2 2 2 2 2 2 24" xfId="30573"/>
    <cellStyle name="Normal 2 2 3 2 2 2 2 2 2 2 25" xfId="30574"/>
    <cellStyle name="Normal 2 2 3 2 2 2 2 2 2 2 3" xfId="30575"/>
    <cellStyle name="Normal 2 2 3 2 2 2 2 2 2 2 4" xfId="30576"/>
    <cellStyle name="Normal 2 2 3 2 2 2 2 2 2 2 5" xfId="30577"/>
    <cellStyle name="Normal 2 2 3 2 2 2 2 2 2 2 6" xfId="30578"/>
    <cellStyle name="Normal 2 2 3 2 2 2 2 2 2 2 7" xfId="30579"/>
    <cellStyle name="Normal 2 2 3 2 2 2 2 2 2 2 8" xfId="30580"/>
    <cellStyle name="Normal 2 2 3 2 2 2 2 2 2 2 9" xfId="30581"/>
    <cellStyle name="Normal 2 2 3 2 2 2 2 2 2 2_Sheet1" xfId="30582"/>
    <cellStyle name="Normal 2 2 3 2 2 2 2 2 2 3" xfId="30583"/>
    <cellStyle name="Normal 2 2 3 2 2 2 2 2 2 4" xfId="30584"/>
    <cellStyle name="Normal 2 2 3 2 2 2 2 2 2 5" xfId="30585"/>
    <cellStyle name="Normal 2 2 3 2 2 2 2 2 2 6" xfId="30586"/>
    <cellStyle name="Normal 2 2 3 2 2 2 2 2 2 7" xfId="30587"/>
    <cellStyle name="Normal 2 2 3 2 2 2 2 2 2 8" xfId="30588"/>
    <cellStyle name="Normal 2 2 3 2 2 2 2 2 2 9" xfId="30589"/>
    <cellStyle name="Normal 2 2 3 2 2 2 2 2 20" xfId="30590"/>
    <cellStyle name="Normal 2 2 3 2 2 2 2 2 21" xfId="30591"/>
    <cellStyle name="Normal 2 2 3 2 2 2 2 2 22" xfId="30592"/>
    <cellStyle name="Normal 2 2 3 2 2 2 2 2 23" xfId="30593"/>
    <cellStyle name="Normal 2 2 3 2 2 2 2 2 24" xfId="30594"/>
    <cellStyle name="Normal 2 2 3 2 2 2 2 2 25" xfId="30595"/>
    <cellStyle name="Normal 2 2 3 2 2 2 2 2 26" xfId="30596"/>
    <cellStyle name="Normal 2 2 3 2 2 2 2 2 3" xfId="30597"/>
    <cellStyle name="Normal 2 2 3 2 2 2 2 2 4" xfId="30598"/>
    <cellStyle name="Normal 2 2 3 2 2 2 2 2 5" xfId="30599"/>
    <cellStyle name="Normal 2 2 3 2 2 2 2 2 6" xfId="30600"/>
    <cellStyle name="Normal 2 2 3 2 2 2 2 2 7" xfId="30601"/>
    <cellStyle name="Normal 2 2 3 2 2 2 2 2 8" xfId="30602"/>
    <cellStyle name="Normal 2 2 3 2 2 2 2 2 9" xfId="30603"/>
    <cellStyle name="Normal 2 2 3 2 2 2 2 2_Sheet1" xfId="30604"/>
    <cellStyle name="Normal 2 2 3 2 2 2 2 3" xfId="30605"/>
    <cellStyle name="Normal 2 2 3 2 2 2 2 3 10" xfId="30606"/>
    <cellStyle name="Normal 2 2 3 2 2 2 2 3 11" xfId="30607"/>
    <cellStyle name="Normal 2 2 3 2 2 2 2 3 12" xfId="30608"/>
    <cellStyle name="Normal 2 2 3 2 2 2 2 3 13" xfId="30609"/>
    <cellStyle name="Normal 2 2 3 2 2 2 2 3 14" xfId="30610"/>
    <cellStyle name="Normal 2 2 3 2 2 2 2 3 15" xfId="30611"/>
    <cellStyle name="Normal 2 2 3 2 2 2 2 3 16" xfId="30612"/>
    <cellStyle name="Normal 2 2 3 2 2 2 2 3 17" xfId="30613"/>
    <cellStyle name="Normal 2 2 3 2 2 2 2 3 18" xfId="30614"/>
    <cellStyle name="Normal 2 2 3 2 2 2 2 3 19" xfId="30615"/>
    <cellStyle name="Normal 2 2 3 2 2 2 2 3 2" xfId="30616"/>
    <cellStyle name="Normal 2 2 3 2 2 2 2 3 3" xfId="30617"/>
    <cellStyle name="Normal 2 2 3 2 2 2 2 3 4" xfId="30618"/>
    <cellStyle name="Normal 2 2 3 2 2 2 2 3 5" xfId="30619"/>
    <cellStyle name="Normal 2 2 3 2 2 2 2 3 6" xfId="30620"/>
    <cellStyle name="Normal 2 2 3 2 2 2 2 3 7" xfId="30621"/>
    <cellStyle name="Normal 2 2 3 2 2 2 2 3 8" xfId="30622"/>
    <cellStyle name="Normal 2 2 3 2 2 2 2 3 9" xfId="30623"/>
    <cellStyle name="Normal 2 2 3 2 2 2 2 3_Sheet1" xfId="30624"/>
    <cellStyle name="Normal 2 2 3 2 2 2 2 4" xfId="30625"/>
    <cellStyle name="Normal 2 2 3 2 2 2 2 5" xfId="30626"/>
    <cellStyle name="Normal 2 2 3 2 2 2 2 6" xfId="30627"/>
    <cellStyle name="Normal 2 2 3 2 2 2 2 7" xfId="30628"/>
    <cellStyle name="Normal 2 2 3 2 2 2 2 8" xfId="30629"/>
    <cellStyle name="Normal 2 2 3 2 2 2 2 9" xfId="30630"/>
    <cellStyle name="Normal 2 2 3 2 2 2 20" xfId="30631"/>
    <cellStyle name="Normal 2 2 3 2 2 2 21" xfId="30632"/>
    <cellStyle name="Normal 2 2 3 2 2 2 22" xfId="30633"/>
    <cellStyle name="Normal 2 2 3 2 2 2 23" xfId="30634"/>
    <cellStyle name="Normal 2 2 3 2 2 2 24" xfId="30635"/>
    <cellStyle name="Normal 2 2 3 2 2 2 25" xfId="30636"/>
    <cellStyle name="Normal 2 2 3 2 2 2 26" xfId="30637"/>
    <cellStyle name="Normal 2 2 3 2 2 2 27" xfId="30638"/>
    <cellStyle name="Normal 2 2 3 2 2 2 28" xfId="30639"/>
    <cellStyle name="Normal 2 2 3 2 2 2 3" xfId="30640"/>
    <cellStyle name="Normal 2 2 3 2 2 2 4" xfId="30641"/>
    <cellStyle name="Normal 2 2 3 2 2 2 4 2" xfId="30642"/>
    <cellStyle name="Normal 2 2 3 2 2 2 4 2 10" xfId="30643"/>
    <cellStyle name="Normal 2 2 3 2 2 2 4 2 11" xfId="30644"/>
    <cellStyle name="Normal 2 2 3 2 2 2 4 2 12" xfId="30645"/>
    <cellStyle name="Normal 2 2 3 2 2 2 4 2 13" xfId="30646"/>
    <cellStyle name="Normal 2 2 3 2 2 2 4 2 14" xfId="30647"/>
    <cellStyle name="Normal 2 2 3 2 2 2 4 2 15" xfId="30648"/>
    <cellStyle name="Normal 2 2 3 2 2 2 4 2 16" xfId="30649"/>
    <cellStyle name="Normal 2 2 3 2 2 2 4 2 17" xfId="30650"/>
    <cellStyle name="Normal 2 2 3 2 2 2 4 2 18" xfId="30651"/>
    <cellStyle name="Normal 2 2 3 2 2 2 4 2 19" xfId="30652"/>
    <cellStyle name="Normal 2 2 3 2 2 2 4 2 2" xfId="30653"/>
    <cellStyle name="Normal 2 2 3 2 2 2 4 2 3" xfId="30654"/>
    <cellStyle name="Normal 2 2 3 2 2 2 4 2 4" xfId="30655"/>
    <cellStyle name="Normal 2 2 3 2 2 2 4 2 5" xfId="30656"/>
    <cellStyle name="Normal 2 2 3 2 2 2 4 2 6" xfId="30657"/>
    <cellStyle name="Normal 2 2 3 2 2 2 4 2 7" xfId="30658"/>
    <cellStyle name="Normal 2 2 3 2 2 2 4 2 8" xfId="30659"/>
    <cellStyle name="Normal 2 2 3 2 2 2 4 2 9" xfId="30660"/>
    <cellStyle name="Normal 2 2 3 2 2 2 4 2_Sheet1" xfId="30661"/>
    <cellStyle name="Normal 2 2 3 2 2 2 5" xfId="30662"/>
    <cellStyle name="Normal 2 2 3 2 2 2 6" xfId="30663"/>
    <cellStyle name="Normal 2 2 3 2 2 2 7" xfId="30664"/>
    <cellStyle name="Normal 2 2 3 2 2 2 8" xfId="30665"/>
    <cellStyle name="Normal 2 2 3 2 2 2 9" xfId="30666"/>
    <cellStyle name="Normal 2 2 3 2 2 2_Sheet1" xfId="30667"/>
    <cellStyle name="Normal 2 2 3 2 2 3" xfId="30668"/>
    <cellStyle name="Normal 2 2 3 2 2 3 10" xfId="30669"/>
    <cellStyle name="Normal 2 2 3 2 2 3 11" xfId="30670"/>
    <cellStyle name="Normal 2 2 3 2 2 3 12" xfId="30671"/>
    <cellStyle name="Normal 2 2 3 2 2 3 13" xfId="30672"/>
    <cellStyle name="Normal 2 2 3 2 2 3 14" xfId="30673"/>
    <cellStyle name="Normal 2 2 3 2 2 3 15" xfId="30674"/>
    <cellStyle name="Normal 2 2 3 2 2 3 16" xfId="30675"/>
    <cellStyle name="Normal 2 2 3 2 2 3 17" xfId="30676"/>
    <cellStyle name="Normal 2 2 3 2 2 3 18" xfId="30677"/>
    <cellStyle name="Normal 2 2 3 2 2 3 19" xfId="30678"/>
    <cellStyle name="Normal 2 2 3 2 2 3 2" xfId="30679"/>
    <cellStyle name="Normal 2 2 3 2 2 3 2 2" xfId="30680"/>
    <cellStyle name="Normal 2 2 3 2 2 3 2 2 10" xfId="30681"/>
    <cellStyle name="Normal 2 2 3 2 2 3 2 2 11" xfId="30682"/>
    <cellStyle name="Normal 2 2 3 2 2 3 2 2 12" xfId="30683"/>
    <cellStyle name="Normal 2 2 3 2 2 3 2 2 13" xfId="30684"/>
    <cellStyle name="Normal 2 2 3 2 2 3 2 2 14" xfId="30685"/>
    <cellStyle name="Normal 2 2 3 2 2 3 2 2 15" xfId="30686"/>
    <cellStyle name="Normal 2 2 3 2 2 3 2 2 16" xfId="30687"/>
    <cellStyle name="Normal 2 2 3 2 2 3 2 2 17" xfId="30688"/>
    <cellStyle name="Normal 2 2 3 2 2 3 2 2 18" xfId="30689"/>
    <cellStyle name="Normal 2 2 3 2 2 3 2 2 19" xfId="30690"/>
    <cellStyle name="Normal 2 2 3 2 2 3 2 2 2" xfId="30691"/>
    <cellStyle name="Normal 2 2 3 2 2 3 2 2 2 2" xfId="30692"/>
    <cellStyle name="Normal 2 2 3 2 2 3 2 2 2 2 10" xfId="30693"/>
    <cellStyle name="Normal 2 2 3 2 2 3 2 2 2 2 11" xfId="30694"/>
    <cellStyle name="Normal 2 2 3 2 2 3 2 2 2 2 12" xfId="30695"/>
    <cellStyle name="Normal 2 2 3 2 2 3 2 2 2 2 13" xfId="30696"/>
    <cellStyle name="Normal 2 2 3 2 2 3 2 2 2 2 14" xfId="30697"/>
    <cellStyle name="Normal 2 2 3 2 2 3 2 2 2 2 15" xfId="30698"/>
    <cellStyle name="Normal 2 2 3 2 2 3 2 2 2 2 16" xfId="30699"/>
    <cellStyle name="Normal 2 2 3 2 2 3 2 2 2 2 17" xfId="30700"/>
    <cellStyle name="Normal 2 2 3 2 2 3 2 2 2 2 18" xfId="30701"/>
    <cellStyle name="Normal 2 2 3 2 2 3 2 2 2 2 2" xfId="30702"/>
    <cellStyle name="Normal 2 2 3 2 2 3 2 2 2 2 3" xfId="30703"/>
    <cellStyle name="Normal 2 2 3 2 2 3 2 2 2 2 4" xfId="30704"/>
    <cellStyle name="Normal 2 2 3 2 2 3 2 2 2 2 5" xfId="30705"/>
    <cellStyle name="Normal 2 2 3 2 2 3 2 2 2 2 6" xfId="30706"/>
    <cellStyle name="Normal 2 2 3 2 2 3 2 2 2 2 7" xfId="30707"/>
    <cellStyle name="Normal 2 2 3 2 2 3 2 2 2 2 8" xfId="30708"/>
    <cellStyle name="Normal 2 2 3 2 2 3 2 2 2 2 9" xfId="30709"/>
    <cellStyle name="Normal 2 2 3 2 2 3 2 2 2 2_Sheet1" xfId="30710"/>
    <cellStyle name="Normal 2 2 3 2 2 3 2 2 3" xfId="30711"/>
    <cellStyle name="Normal 2 2 3 2 2 3 2 2 4" xfId="30712"/>
    <cellStyle name="Normal 2 2 3 2 2 3 2 2 5" xfId="30713"/>
    <cellStyle name="Normal 2 2 3 2 2 3 2 2 6" xfId="30714"/>
    <cellStyle name="Normal 2 2 3 2 2 3 2 2 7" xfId="30715"/>
    <cellStyle name="Normal 2 2 3 2 2 3 2 2 8" xfId="30716"/>
    <cellStyle name="Normal 2 2 3 2 2 3 2 2 9" xfId="30717"/>
    <cellStyle name="Normal 2 2 3 2 2 3 2 2_Sheet1" xfId="30718"/>
    <cellStyle name="Normal 2 2 3 2 2 3 2 3" xfId="30719"/>
    <cellStyle name="Normal 2 2 3 2 2 3 2 3 10" xfId="30720"/>
    <cellStyle name="Normal 2 2 3 2 2 3 2 3 11" xfId="30721"/>
    <cellStyle name="Normal 2 2 3 2 2 3 2 3 12" xfId="30722"/>
    <cellStyle name="Normal 2 2 3 2 2 3 2 3 13" xfId="30723"/>
    <cellStyle name="Normal 2 2 3 2 2 3 2 3 14" xfId="30724"/>
    <cellStyle name="Normal 2 2 3 2 2 3 2 3 15" xfId="30725"/>
    <cellStyle name="Normal 2 2 3 2 2 3 2 3 16" xfId="30726"/>
    <cellStyle name="Normal 2 2 3 2 2 3 2 3 17" xfId="30727"/>
    <cellStyle name="Normal 2 2 3 2 2 3 2 3 18" xfId="30728"/>
    <cellStyle name="Normal 2 2 3 2 2 3 2 3 2" xfId="30729"/>
    <cellStyle name="Normal 2 2 3 2 2 3 2 3 3" xfId="30730"/>
    <cellStyle name="Normal 2 2 3 2 2 3 2 3 4" xfId="30731"/>
    <cellStyle name="Normal 2 2 3 2 2 3 2 3 5" xfId="30732"/>
    <cellStyle name="Normal 2 2 3 2 2 3 2 3 6" xfId="30733"/>
    <cellStyle name="Normal 2 2 3 2 2 3 2 3 7" xfId="30734"/>
    <cellStyle name="Normal 2 2 3 2 2 3 2 3 8" xfId="30735"/>
    <cellStyle name="Normal 2 2 3 2 2 3 2 3 9" xfId="30736"/>
    <cellStyle name="Normal 2 2 3 2 2 3 2 3_Sheet1" xfId="30737"/>
    <cellStyle name="Normal 2 2 3 2 2 3 20" xfId="30738"/>
    <cellStyle name="Normal 2 2 3 2 2 3 3" xfId="30739"/>
    <cellStyle name="Normal 2 2 3 2 2 3 3 2" xfId="30740"/>
    <cellStyle name="Normal 2 2 3 2 2 3 3 2 10" xfId="30741"/>
    <cellStyle name="Normal 2 2 3 2 2 3 3 2 11" xfId="30742"/>
    <cellStyle name="Normal 2 2 3 2 2 3 3 2 12" xfId="30743"/>
    <cellStyle name="Normal 2 2 3 2 2 3 3 2 13" xfId="30744"/>
    <cellStyle name="Normal 2 2 3 2 2 3 3 2 14" xfId="30745"/>
    <cellStyle name="Normal 2 2 3 2 2 3 3 2 15" xfId="30746"/>
    <cellStyle name="Normal 2 2 3 2 2 3 3 2 16" xfId="30747"/>
    <cellStyle name="Normal 2 2 3 2 2 3 3 2 17" xfId="30748"/>
    <cellStyle name="Normal 2 2 3 2 2 3 3 2 18" xfId="30749"/>
    <cellStyle name="Normal 2 2 3 2 2 3 3 2 2" xfId="30750"/>
    <cellStyle name="Normal 2 2 3 2 2 3 3 2 3" xfId="30751"/>
    <cellStyle name="Normal 2 2 3 2 2 3 3 2 4" xfId="30752"/>
    <cellStyle name="Normal 2 2 3 2 2 3 3 2 5" xfId="30753"/>
    <cellStyle name="Normal 2 2 3 2 2 3 3 2 6" xfId="30754"/>
    <cellStyle name="Normal 2 2 3 2 2 3 3 2 7" xfId="30755"/>
    <cellStyle name="Normal 2 2 3 2 2 3 3 2 8" xfId="30756"/>
    <cellStyle name="Normal 2 2 3 2 2 3 3 2 9" xfId="30757"/>
    <cellStyle name="Normal 2 2 3 2 2 3 3 2_Sheet1" xfId="30758"/>
    <cellStyle name="Normal 2 2 3 2 2 3 4" xfId="30759"/>
    <cellStyle name="Normal 2 2 3 2 2 3 5" xfId="30760"/>
    <cellStyle name="Normal 2 2 3 2 2 3 6" xfId="30761"/>
    <cellStyle name="Normal 2 2 3 2 2 3 7" xfId="30762"/>
    <cellStyle name="Normal 2 2 3 2 2 3 8" xfId="30763"/>
    <cellStyle name="Normal 2 2 3 2 2 3 9" xfId="30764"/>
    <cellStyle name="Normal 2 2 3 2 2 3_Sheet1" xfId="30765"/>
    <cellStyle name="Normal 2 2 3 2 2 4" xfId="30766"/>
    <cellStyle name="Normal 2 2 3 2 2 4 10" xfId="30767"/>
    <cellStyle name="Normal 2 2 3 2 2 4 11" xfId="30768"/>
    <cellStyle name="Normal 2 2 3 2 2 4 12" xfId="30769"/>
    <cellStyle name="Normal 2 2 3 2 2 4 13" xfId="30770"/>
    <cellStyle name="Normal 2 2 3 2 2 4 14" xfId="30771"/>
    <cellStyle name="Normal 2 2 3 2 2 4 15" xfId="30772"/>
    <cellStyle name="Normal 2 2 3 2 2 4 16" xfId="30773"/>
    <cellStyle name="Normal 2 2 3 2 2 4 17" xfId="30774"/>
    <cellStyle name="Normal 2 2 3 2 2 4 18" xfId="30775"/>
    <cellStyle name="Normal 2 2 3 2 2 4 19" xfId="30776"/>
    <cellStyle name="Normal 2 2 3 2 2 4 2" xfId="30777"/>
    <cellStyle name="Normal 2 2 3 2 2 4 2 2" xfId="30778"/>
    <cellStyle name="Normal 2 2 3 2 2 4 2 2 10" xfId="30779"/>
    <cellStyle name="Normal 2 2 3 2 2 4 2 2 11" xfId="30780"/>
    <cellStyle name="Normal 2 2 3 2 2 4 2 2 12" xfId="30781"/>
    <cellStyle name="Normal 2 2 3 2 2 4 2 2 13" xfId="30782"/>
    <cellStyle name="Normal 2 2 3 2 2 4 2 2 14" xfId="30783"/>
    <cellStyle name="Normal 2 2 3 2 2 4 2 2 15" xfId="30784"/>
    <cellStyle name="Normal 2 2 3 2 2 4 2 2 16" xfId="30785"/>
    <cellStyle name="Normal 2 2 3 2 2 4 2 2 17" xfId="30786"/>
    <cellStyle name="Normal 2 2 3 2 2 4 2 2 18" xfId="30787"/>
    <cellStyle name="Normal 2 2 3 2 2 4 2 2 2" xfId="30788"/>
    <cellStyle name="Normal 2 2 3 2 2 4 2 2 3" xfId="30789"/>
    <cellStyle name="Normal 2 2 3 2 2 4 2 2 4" xfId="30790"/>
    <cellStyle name="Normal 2 2 3 2 2 4 2 2 5" xfId="30791"/>
    <cellStyle name="Normal 2 2 3 2 2 4 2 2 6" xfId="30792"/>
    <cellStyle name="Normal 2 2 3 2 2 4 2 2 7" xfId="30793"/>
    <cellStyle name="Normal 2 2 3 2 2 4 2 2 8" xfId="30794"/>
    <cellStyle name="Normal 2 2 3 2 2 4 2 2 9" xfId="30795"/>
    <cellStyle name="Normal 2 2 3 2 2 4 2 2_Sheet1" xfId="30796"/>
    <cellStyle name="Normal 2 2 3 2 2 4 3" xfId="30797"/>
    <cellStyle name="Normal 2 2 3 2 2 4 4" xfId="30798"/>
    <cellStyle name="Normal 2 2 3 2 2 4 5" xfId="30799"/>
    <cellStyle name="Normal 2 2 3 2 2 4 6" xfId="30800"/>
    <cellStyle name="Normal 2 2 3 2 2 4 7" xfId="30801"/>
    <cellStyle name="Normal 2 2 3 2 2 4 8" xfId="30802"/>
    <cellStyle name="Normal 2 2 3 2 2 4 9" xfId="30803"/>
    <cellStyle name="Normal 2 2 3 2 2 4_Sheet1" xfId="30804"/>
    <cellStyle name="Normal 2 2 3 2 2 5" xfId="30805"/>
    <cellStyle name="Normal 2 2 3 2 2 5 10" xfId="30806"/>
    <cellStyle name="Normal 2 2 3 2 2 5 11" xfId="30807"/>
    <cellStyle name="Normal 2 2 3 2 2 5 12" xfId="30808"/>
    <cellStyle name="Normal 2 2 3 2 2 5 13" xfId="30809"/>
    <cellStyle name="Normal 2 2 3 2 2 5 14" xfId="30810"/>
    <cellStyle name="Normal 2 2 3 2 2 5 15" xfId="30811"/>
    <cellStyle name="Normal 2 2 3 2 2 5 16" xfId="30812"/>
    <cellStyle name="Normal 2 2 3 2 2 5 17" xfId="30813"/>
    <cellStyle name="Normal 2 2 3 2 2 5 18" xfId="30814"/>
    <cellStyle name="Normal 2 2 3 2 2 5 2" xfId="30815"/>
    <cellStyle name="Normal 2 2 3 2 2 5 3" xfId="30816"/>
    <cellStyle name="Normal 2 2 3 2 2 5 4" xfId="30817"/>
    <cellStyle name="Normal 2 2 3 2 2 5 5" xfId="30818"/>
    <cellStyle name="Normal 2 2 3 2 2 5 6" xfId="30819"/>
    <cellStyle name="Normal 2 2 3 2 2 5 7" xfId="30820"/>
    <cellStyle name="Normal 2 2 3 2 2 5 8" xfId="30821"/>
    <cellStyle name="Normal 2 2 3 2 2 5 9" xfId="30822"/>
    <cellStyle name="Normal 2 2 3 2 2 5_Sheet1" xfId="30823"/>
    <cellStyle name="Normal 2 2 3 2 2 6" xfId="30824"/>
    <cellStyle name="Normal 2 2 3 2 2 7" xfId="30825"/>
    <cellStyle name="Normal 2 2 3 2 2 8" xfId="30826"/>
    <cellStyle name="Normal 2 2 3 2 2 9" xfId="30827"/>
    <cellStyle name="Normal 2 2 3 2 2_Sheet1" xfId="30828"/>
    <cellStyle name="Normal 2 2 3 2 20" xfId="30829"/>
    <cellStyle name="Normal 2 2 3 2 21" xfId="30830"/>
    <cellStyle name="Normal 2 2 3 2 22" xfId="30831"/>
    <cellStyle name="Normal 2 2 3 2 23" xfId="30832"/>
    <cellStyle name="Normal 2 2 3 2 24" xfId="30833"/>
    <cellStyle name="Normal 2 2 3 2 25" xfId="30834"/>
    <cellStyle name="Normal 2 2 3 2 26" xfId="30835"/>
    <cellStyle name="Normal 2 2 3 2 27" xfId="30836"/>
    <cellStyle name="Normal 2 2 3 2 28" xfId="30837"/>
    <cellStyle name="Normal 2 2 3 2 29" xfId="30838"/>
    <cellStyle name="Normal 2 2 3 2 3" xfId="30839"/>
    <cellStyle name="Normal 2 2 3 2 3 2" xfId="30840"/>
    <cellStyle name="Normal 2 2 3 2 3 2 10" xfId="30841"/>
    <cellStyle name="Normal 2 2 3 2 3 2 11" xfId="30842"/>
    <cellStyle name="Normal 2 2 3 2 3 2 12" xfId="30843"/>
    <cellStyle name="Normal 2 2 3 2 3 2 13" xfId="30844"/>
    <cellStyle name="Normal 2 2 3 2 3 2 14" xfId="30845"/>
    <cellStyle name="Normal 2 2 3 2 3 2 15" xfId="30846"/>
    <cellStyle name="Normal 2 2 3 2 3 2 16" xfId="30847"/>
    <cellStyle name="Normal 2 2 3 2 3 2 17" xfId="30848"/>
    <cellStyle name="Normal 2 2 3 2 3 2 18" xfId="30849"/>
    <cellStyle name="Normal 2 2 3 2 3 2 19" xfId="30850"/>
    <cellStyle name="Normal 2 2 3 2 3 2 2" xfId="30851"/>
    <cellStyle name="Normal 2 2 3 2 3 2 2 2" xfId="30852"/>
    <cellStyle name="Normal 2 2 3 2 3 2 2 2 10" xfId="30853"/>
    <cellStyle name="Normal 2 2 3 2 3 2 2 2 11" xfId="30854"/>
    <cellStyle name="Normal 2 2 3 2 3 2 2 2 12" xfId="30855"/>
    <cellStyle name="Normal 2 2 3 2 3 2 2 2 13" xfId="30856"/>
    <cellStyle name="Normal 2 2 3 2 3 2 2 2 14" xfId="30857"/>
    <cellStyle name="Normal 2 2 3 2 3 2 2 2 15" xfId="30858"/>
    <cellStyle name="Normal 2 2 3 2 3 2 2 2 16" xfId="30859"/>
    <cellStyle name="Normal 2 2 3 2 3 2 2 2 17" xfId="30860"/>
    <cellStyle name="Normal 2 2 3 2 3 2 2 2 18" xfId="30861"/>
    <cellStyle name="Normal 2 2 3 2 3 2 2 2 19" xfId="30862"/>
    <cellStyle name="Normal 2 2 3 2 3 2 2 2 2" xfId="30863"/>
    <cellStyle name="Normal 2 2 3 2 3 2 2 2 3" xfId="30864"/>
    <cellStyle name="Normal 2 2 3 2 3 2 2 2 4" xfId="30865"/>
    <cellStyle name="Normal 2 2 3 2 3 2 2 2 5" xfId="30866"/>
    <cellStyle name="Normal 2 2 3 2 3 2 2 2 6" xfId="30867"/>
    <cellStyle name="Normal 2 2 3 2 3 2 2 2 7" xfId="30868"/>
    <cellStyle name="Normal 2 2 3 2 3 2 2 2 8" xfId="30869"/>
    <cellStyle name="Normal 2 2 3 2 3 2 2 2 9" xfId="30870"/>
    <cellStyle name="Normal 2 2 3 2 3 2 2 2_Sheet1" xfId="30871"/>
    <cellStyle name="Normal 2 2 3 2 3 2 20" xfId="30872"/>
    <cellStyle name="Normal 2 2 3 2 3 2 3" xfId="30873"/>
    <cellStyle name="Normal 2 2 3 2 3 2 4" xfId="30874"/>
    <cellStyle name="Normal 2 2 3 2 3 2 5" xfId="30875"/>
    <cellStyle name="Normal 2 2 3 2 3 2 6" xfId="30876"/>
    <cellStyle name="Normal 2 2 3 2 3 2 7" xfId="30877"/>
    <cellStyle name="Normal 2 2 3 2 3 2 8" xfId="30878"/>
    <cellStyle name="Normal 2 2 3 2 3 2 9" xfId="30879"/>
    <cellStyle name="Normal 2 2 3 2 3 2_Sheet1" xfId="30880"/>
    <cellStyle name="Normal 2 2 3 2 3 3" xfId="30881"/>
    <cellStyle name="Normal 2 2 3 2 3 3 10" xfId="30882"/>
    <cellStyle name="Normal 2 2 3 2 3 3 11" xfId="30883"/>
    <cellStyle name="Normal 2 2 3 2 3 3 12" xfId="30884"/>
    <cellStyle name="Normal 2 2 3 2 3 3 13" xfId="30885"/>
    <cellStyle name="Normal 2 2 3 2 3 3 14" xfId="30886"/>
    <cellStyle name="Normal 2 2 3 2 3 3 15" xfId="30887"/>
    <cellStyle name="Normal 2 2 3 2 3 3 16" xfId="30888"/>
    <cellStyle name="Normal 2 2 3 2 3 3 17" xfId="30889"/>
    <cellStyle name="Normal 2 2 3 2 3 3 18" xfId="30890"/>
    <cellStyle name="Normal 2 2 3 2 3 3 19" xfId="30891"/>
    <cellStyle name="Normal 2 2 3 2 3 3 2" xfId="30892"/>
    <cellStyle name="Normal 2 2 3 2 3 3 3" xfId="30893"/>
    <cellStyle name="Normal 2 2 3 2 3 3 4" xfId="30894"/>
    <cellStyle name="Normal 2 2 3 2 3 3 5" xfId="30895"/>
    <cellStyle name="Normal 2 2 3 2 3 3 6" xfId="30896"/>
    <cellStyle name="Normal 2 2 3 2 3 3 7" xfId="30897"/>
    <cellStyle name="Normal 2 2 3 2 3 3 8" xfId="30898"/>
    <cellStyle name="Normal 2 2 3 2 3 3 9" xfId="30899"/>
    <cellStyle name="Normal 2 2 3 2 3 3_Sheet1" xfId="30900"/>
    <cellStyle name="Normal 2 2 3 2 4" xfId="30901"/>
    <cellStyle name="Normal 2 2 3 2 5" xfId="30902"/>
    <cellStyle name="Normal 2 2 3 2 5 2" xfId="30903"/>
    <cellStyle name="Normal 2 2 3 2 5 2 10" xfId="30904"/>
    <cellStyle name="Normal 2 2 3 2 5 2 11" xfId="30905"/>
    <cellStyle name="Normal 2 2 3 2 5 2 12" xfId="30906"/>
    <cellStyle name="Normal 2 2 3 2 5 2 13" xfId="30907"/>
    <cellStyle name="Normal 2 2 3 2 5 2 14" xfId="30908"/>
    <cellStyle name="Normal 2 2 3 2 5 2 15" xfId="30909"/>
    <cellStyle name="Normal 2 2 3 2 5 2 16" xfId="30910"/>
    <cellStyle name="Normal 2 2 3 2 5 2 17" xfId="30911"/>
    <cellStyle name="Normal 2 2 3 2 5 2 18" xfId="30912"/>
    <cellStyle name="Normal 2 2 3 2 5 2 19" xfId="30913"/>
    <cellStyle name="Normal 2 2 3 2 5 2 2" xfId="30914"/>
    <cellStyle name="Normal 2 2 3 2 5 2 3" xfId="30915"/>
    <cellStyle name="Normal 2 2 3 2 5 2 4" xfId="30916"/>
    <cellStyle name="Normal 2 2 3 2 5 2 5" xfId="30917"/>
    <cellStyle name="Normal 2 2 3 2 5 2 6" xfId="30918"/>
    <cellStyle name="Normal 2 2 3 2 5 2 7" xfId="30919"/>
    <cellStyle name="Normal 2 2 3 2 5 2 8" xfId="30920"/>
    <cellStyle name="Normal 2 2 3 2 5 2 9" xfId="30921"/>
    <cellStyle name="Normal 2 2 3 2 5 2_Sheet1" xfId="30922"/>
    <cellStyle name="Normal 2 2 3 2 6" xfId="30923"/>
    <cellStyle name="Normal 2 2 3 2 7" xfId="30924"/>
    <cellStyle name="Normal 2 2 3 2 8" xfId="30925"/>
    <cellStyle name="Normal 2 2 3 2 9" xfId="30926"/>
    <cellStyle name="Normal 2 2 3 2_Sheet1" xfId="30927"/>
    <cellStyle name="Normal 2 2 3 20" xfId="30928"/>
    <cellStyle name="Normal 2 2 3 21" xfId="30929"/>
    <cellStyle name="Normal 2 2 3 22" xfId="30930"/>
    <cellStyle name="Normal 2 2 3 23" xfId="30931"/>
    <cellStyle name="Normal 2 2 3 24" xfId="30932"/>
    <cellStyle name="Normal 2 2 3 3" xfId="30933"/>
    <cellStyle name="Normal 2 2 3 3 10" xfId="30934"/>
    <cellStyle name="Normal 2 2 3 3 11" xfId="30935"/>
    <cellStyle name="Normal 2 2 3 3 12" xfId="30936"/>
    <cellStyle name="Normal 2 2 3 3 13" xfId="30937"/>
    <cellStyle name="Normal 2 2 3 3 14" xfId="30938"/>
    <cellStyle name="Normal 2 2 3 3 15" xfId="30939"/>
    <cellStyle name="Normal 2 2 3 3 16" xfId="30940"/>
    <cellStyle name="Normal 2 2 3 3 17" xfId="30941"/>
    <cellStyle name="Normal 2 2 3 3 18" xfId="30942"/>
    <cellStyle name="Normal 2 2 3 3 19" xfId="30943"/>
    <cellStyle name="Normal 2 2 3 3 2" xfId="30944"/>
    <cellStyle name="Normal 2 2 3 3 2 10" xfId="30945"/>
    <cellStyle name="Normal 2 2 3 3 2 2" xfId="30946"/>
    <cellStyle name="Normal 2 2 3 3 2 2 10" xfId="30947"/>
    <cellStyle name="Normal 2 2 3 3 2 2 11" xfId="30948"/>
    <cellStyle name="Normal 2 2 3 3 2 2 12" xfId="30949"/>
    <cellStyle name="Normal 2 2 3 3 2 2 13" xfId="30950"/>
    <cellStyle name="Normal 2 2 3 3 2 2 14" xfId="30951"/>
    <cellStyle name="Normal 2 2 3 3 2 2 15" xfId="30952"/>
    <cellStyle name="Normal 2 2 3 3 2 2 16" xfId="30953"/>
    <cellStyle name="Normal 2 2 3 3 2 2 17" xfId="30954"/>
    <cellStyle name="Normal 2 2 3 3 2 2 18" xfId="30955"/>
    <cellStyle name="Normal 2 2 3 3 2 2 19" xfId="30956"/>
    <cellStyle name="Normal 2 2 3 3 2 2 2" xfId="30957"/>
    <cellStyle name="Normal 2 2 3 3 2 2 2 2" xfId="30958"/>
    <cellStyle name="Normal 2 2 3 3 2 2 2 2 10" xfId="30959"/>
    <cellStyle name="Normal 2 2 3 3 2 2 2 2 11" xfId="30960"/>
    <cellStyle name="Normal 2 2 3 3 2 2 2 2 12" xfId="30961"/>
    <cellStyle name="Normal 2 2 3 3 2 2 2 2 13" xfId="30962"/>
    <cellStyle name="Normal 2 2 3 3 2 2 2 2 14" xfId="30963"/>
    <cellStyle name="Normal 2 2 3 3 2 2 2 2 15" xfId="30964"/>
    <cellStyle name="Normal 2 2 3 3 2 2 2 2 16" xfId="30965"/>
    <cellStyle name="Normal 2 2 3 3 2 2 2 2 17" xfId="30966"/>
    <cellStyle name="Normal 2 2 3 3 2 2 2 2 18" xfId="30967"/>
    <cellStyle name="Normal 2 2 3 3 2 2 2 2 19" xfId="30968"/>
    <cellStyle name="Normal 2 2 3 3 2 2 2 2 2" xfId="30969"/>
    <cellStyle name="Normal 2 2 3 3 2 2 2 2 2 2" xfId="30970"/>
    <cellStyle name="Normal 2 2 3 3 2 2 2 2 2 3" xfId="30971"/>
    <cellStyle name="Normal 2 2 3 3 2 2 2 2 2 4" xfId="30972"/>
    <cellStyle name="Normal 2 2 3 3 2 2 2 2 2 5" xfId="30973"/>
    <cellStyle name="Normal 2 2 3 3 2 2 2 2 2 6" xfId="30974"/>
    <cellStyle name="Normal 2 2 3 3 2 2 2 2 2 7" xfId="30975"/>
    <cellStyle name="Normal 2 2 3 3 2 2 2 2 2 8" xfId="30976"/>
    <cellStyle name="Normal 2 2 3 3 2 2 2 2 2 9" xfId="30977"/>
    <cellStyle name="Normal 2 2 3 3 2 2 2 2 20" xfId="30978"/>
    <cellStyle name="Normal 2 2 3 3 2 2 2 2 21" xfId="30979"/>
    <cellStyle name="Normal 2 2 3 3 2 2 2 2 22" xfId="30980"/>
    <cellStyle name="Normal 2 2 3 3 2 2 2 2 23" xfId="30981"/>
    <cellStyle name="Normal 2 2 3 3 2 2 2 2 24" xfId="30982"/>
    <cellStyle name="Normal 2 2 3 3 2 2 2 2 25" xfId="30983"/>
    <cellStyle name="Normal 2 2 3 3 2 2 2 2 3" xfId="30984"/>
    <cellStyle name="Normal 2 2 3 3 2 2 2 2 4" xfId="30985"/>
    <cellStyle name="Normal 2 2 3 3 2 2 2 2 5" xfId="30986"/>
    <cellStyle name="Normal 2 2 3 3 2 2 2 2 6" xfId="30987"/>
    <cellStyle name="Normal 2 2 3 3 2 2 2 2 7" xfId="30988"/>
    <cellStyle name="Normal 2 2 3 3 2 2 2 2 8" xfId="30989"/>
    <cellStyle name="Normal 2 2 3 3 2 2 2 2 9" xfId="30990"/>
    <cellStyle name="Normal 2 2 3 3 2 2 2 2_Sheet1" xfId="30991"/>
    <cellStyle name="Normal 2 2 3 3 2 2 2 3" xfId="30992"/>
    <cellStyle name="Normal 2 2 3 3 2 2 2 4" xfId="30993"/>
    <cellStyle name="Normal 2 2 3 3 2 2 2 5" xfId="30994"/>
    <cellStyle name="Normal 2 2 3 3 2 2 2 6" xfId="30995"/>
    <cellStyle name="Normal 2 2 3 3 2 2 2 7" xfId="30996"/>
    <cellStyle name="Normal 2 2 3 3 2 2 2 8" xfId="30997"/>
    <cellStyle name="Normal 2 2 3 3 2 2 2 9" xfId="30998"/>
    <cellStyle name="Normal 2 2 3 3 2 2 20" xfId="30999"/>
    <cellStyle name="Normal 2 2 3 3 2 2 21" xfId="31000"/>
    <cellStyle name="Normal 2 2 3 3 2 2 22" xfId="31001"/>
    <cellStyle name="Normal 2 2 3 3 2 2 23" xfId="31002"/>
    <cellStyle name="Normal 2 2 3 3 2 2 24" xfId="31003"/>
    <cellStyle name="Normal 2 2 3 3 2 2 25" xfId="31004"/>
    <cellStyle name="Normal 2 2 3 3 2 2 26" xfId="31005"/>
    <cellStyle name="Normal 2 2 3 3 2 2 3" xfId="31006"/>
    <cellStyle name="Normal 2 2 3 3 2 2 4" xfId="31007"/>
    <cellStyle name="Normal 2 2 3 3 2 2 5" xfId="31008"/>
    <cellStyle name="Normal 2 2 3 3 2 2 6" xfId="31009"/>
    <cellStyle name="Normal 2 2 3 3 2 2 7" xfId="31010"/>
    <cellStyle name="Normal 2 2 3 3 2 2 8" xfId="31011"/>
    <cellStyle name="Normal 2 2 3 3 2 2 9" xfId="31012"/>
    <cellStyle name="Normal 2 2 3 3 2 2_Sheet1" xfId="31013"/>
    <cellStyle name="Normal 2 2 3 3 2 3" xfId="31014"/>
    <cellStyle name="Normal 2 2 3 3 2 3 10" xfId="31015"/>
    <cellStyle name="Normal 2 2 3 3 2 3 11" xfId="31016"/>
    <cellStyle name="Normal 2 2 3 3 2 3 12" xfId="31017"/>
    <cellStyle name="Normal 2 2 3 3 2 3 13" xfId="31018"/>
    <cellStyle name="Normal 2 2 3 3 2 3 14" xfId="31019"/>
    <cellStyle name="Normal 2 2 3 3 2 3 15" xfId="31020"/>
    <cellStyle name="Normal 2 2 3 3 2 3 16" xfId="31021"/>
    <cellStyle name="Normal 2 2 3 3 2 3 17" xfId="31022"/>
    <cellStyle name="Normal 2 2 3 3 2 3 18" xfId="31023"/>
    <cellStyle name="Normal 2 2 3 3 2 3 19" xfId="31024"/>
    <cellStyle name="Normal 2 2 3 3 2 3 2" xfId="31025"/>
    <cellStyle name="Normal 2 2 3 3 2 3 3" xfId="31026"/>
    <cellStyle name="Normal 2 2 3 3 2 3 4" xfId="31027"/>
    <cellStyle name="Normal 2 2 3 3 2 3 5" xfId="31028"/>
    <cellStyle name="Normal 2 2 3 3 2 3 6" xfId="31029"/>
    <cellStyle name="Normal 2 2 3 3 2 3 7" xfId="31030"/>
    <cellStyle name="Normal 2 2 3 3 2 3 8" xfId="31031"/>
    <cellStyle name="Normal 2 2 3 3 2 3 9" xfId="31032"/>
    <cellStyle name="Normal 2 2 3 3 2 3_Sheet1" xfId="31033"/>
    <cellStyle name="Normal 2 2 3 3 2 4" xfId="31034"/>
    <cellStyle name="Normal 2 2 3 3 2 5" xfId="31035"/>
    <cellStyle name="Normal 2 2 3 3 2 6" xfId="31036"/>
    <cellStyle name="Normal 2 2 3 3 2 7" xfId="31037"/>
    <cellStyle name="Normal 2 2 3 3 2 8" xfId="31038"/>
    <cellStyle name="Normal 2 2 3 3 2 9" xfId="31039"/>
    <cellStyle name="Normal 2 2 3 3 20" xfId="31040"/>
    <cellStyle name="Normal 2 2 3 3 21" xfId="31041"/>
    <cellStyle name="Normal 2 2 3 3 22" xfId="31042"/>
    <cellStyle name="Normal 2 2 3 3 23" xfId="31043"/>
    <cellStyle name="Normal 2 2 3 3 24" xfId="31044"/>
    <cellStyle name="Normal 2 2 3 3 25" xfId="31045"/>
    <cellStyle name="Normal 2 2 3 3 26" xfId="31046"/>
    <cellStyle name="Normal 2 2 3 3 27" xfId="31047"/>
    <cellStyle name="Normal 2 2 3 3 28" xfId="31048"/>
    <cellStyle name="Normal 2 2 3 3 3" xfId="31049"/>
    <cellStyle name="Normal 2 2 3 3 4" xfId="31050"/>
    <cellStyle name="Normal 2 2 3 3 4 2" xfId="31051"/>
    <cellStyle name="Normal 2 2 3 3 4 2 10" xfId="31052"/>
    <cellStyle name="Normal 2 2 3 3 4 2 11" xfId="31053"/>
    <cellStyle name="Normal 2 2 3 3 4 2 12" xfId="31054"/>
    <cellStyle name="Normal 2 2 3 3 4 2 13" xfId="31055"/>
    <cellStyle name="Normal 2 2 3 3 4 2 14" xfId="31056"/>
    <cellStyle name="Normal 2 2 3 3 4 2 15" xfId="31057"/>
    <cellStyle name="Normal 2 2 3 3 4 2 16" xfId="31058"/>
    <cellStyle name="Normal 2 2 3 3 4 2 17" xfId="31059"/>
    <cellStyle name="Normal 2 2 3 3 4 2 18" xfId="31060"/>
    <cellStyle name="Normal 2 2 3 3 4 2 19" xfId="31061"/>
    <cellStyle name="Normal 2 2 3 3 4 2 2" xfId="31062"/>
    <cellStyle name="Normal 2 2 3 3 4 2 3" xfId="31063"/>
    <cellStyle name="Normal 2 2 3 3 4 2 4" xfId="31064"/>
    <cellStyle name="Normal 2 2 3 3 4 2 5" xfId="31065"/>
    <cellStyle name="Normal 2 2 3 3 4 2 6" xfId="31066"/>
    <cellStyle name="Normal 2 2 3 3 4 2 7" xfId="31067"/>
    <cellStyle name="Normal 2 2 3 3 4 2 8" xfId="31068"/>
    <cellStyle name="Normal 2 2 3 3 4 2 9" xfId="31069"/>
    <cellStyle name="Normal 2 2 3 3 4 2_Sheet1" xfId="31070"/>
    <cellStyle name="Normal 2 2 3 3 5" xfId="31071"/>
    <cellStyle name="Normal 2 2 3 3 6" xfId="31072"/>
    <cellStyle name="Normal 2 2 3 3 7" xfId="31073"/>
    <cellStyle name="Normal 2 2 3 3 8" xfId="31074"/>
    <cellStyle name="Normal 2 2 3 3 9" xfId="31075"/>
    <cellStyle name="Normal 2 2 3 3_Sheet1" xfId="31076"/>
    <cellStyle name="Normal 2 2 3 4" xfId="31077"/>
    <cellStyle name="Normal 2 2 3 4 10" xfId="31078"/>
    <cellStyle name="Normal 2 2 3 4 11" xfId="31079"/>
    <cellStyle name="Normal 2 2 3 4 12" xfId="31080"/>
    <cellStyle name="Normal 2 2 3 4 13" xfId="31081"/>
    <cellStyle name="Normal 2 2 3 4 14" xfId="31082"/>
    <cellStyle name="Normal 2 2 3 4 15" xfId="31083"/>
    <cellStyle name="Normal 2 2 3 4 16" xfId="31084"/>
    <cellStyle name="Normal 2 2 3 4 17" xfId="31085"/>
    <cellStyle name="Normal 2 2 3 4 18" xfId="31086"/>
    <cellStyle name="Normal 2 2 3 4 19" xfId="31087"/>
    <cellStyle name="Normal 2 2 3 4 2" xfId="31088"/>
    <cellStyle name="Normal 2 2 3 4 2 10" xfId="31089"/>
    <cellStyle name="Normal 2 2 3 4 2 2" xfId="31090"/>
    <cellStyle name="Normal 2 2 3 4 2 2 10" xfId="31091"/>
    <cellStyle name="Normal 2 2 3 4 2 2 11" xfId="31092"/>
    <cellStyle name="Normal 2 2 3 4 2 2 12" xfId="31093"/>
    <cellStyle name="Normal 2 2 3 4 2 2 13" xfId="31094"/>
    <cellStyle name="Normal 2 2 3 4 2 2 14" xfId="31095"/>
    <cellStyle name="Normal 2 2 3 4 2 2 15" xfId="31096"/>
    <cellStyle name="Normal 2 2 3 4 2 2 16" xfId="31097"/>
    <cellStyle name="Normal 2 2 3 4 2 2 17" xfId="31098"/>
    <cellStyle name="Normal 2 2 3 4 2 2 18" xfId="31099"/>
    <cellStyle name="Normal 2 2 3 4 2 2 19" xfId="31100"/>
    <cellStyle name="Normal 2 2 3 4 2 2 2" xfId="31101"/>
    <cellStyle name="Normal 2 2 3 4 2 2 2 2" xfId="31102"/>
    <cellStyle name="Normal 2 2 3 4 2 2 2 2 10" xfId="31103"/>
    <cellStyle name="Normal 2 2 3 4 2 2 2 2 11" xfId="31104"/>
    <cellStyle name="Normal 2 2 3 4 2 2 2 2 12" xfId="31105"/>
    <cellStyle name="Normal 2 2 3 4 2 2 2 2 13" xfId="31106"/>
    <cellStyle name="Normal 2 2 3 4 2 2 2 2 14" xfId="31107"/>
    <cellStyle name="Normal 2 2 3 4 2 2 2 2 15" xfId="31108"/>
    <cellStyle name="Normal 2 2 3 4 2 2 2 2 16" xfId="31109"/>
    <cellStyle name="Normal 2 2 3 4 2 2 2 2 17" xfId="31110"/>
    <cellStyle name="Normal 2 2 3 4 2 2 2 2 18" xfId="31111"/>
    <cellStyle name="Normal 2 2 3 4 2 2 2 2 19" xfId="31112"/>
    <cellStyle name="Normal 2 2 3 4 2 2 2 2 2" xfId="31113"/>
    <cellStyle name="Normal 2 2 3 4 2 2 2 2 20" xfId="31114"/>
    <cellStyle name="Normal 2 2 3 4 2 2 2 2 21" xfId="31115"/>
    <cellStyle name="Normal 2 2 3 4 2 2 2 2 22" xfId="31116"/>
    <cellStyle name="Normal 2 2 3 4 2 2 2 2 23" xfId="31117"/>
    <cellStyle name="Normal 2 2 3 4 2 2 2 2 24" xfId="31118"/>
    <cellStyle name="Normal 2 2 3 4 2 2 2 2 3" xfId="31119"/>
    <cellStyle name="Normal 2 2 3 4 2 2 2 2 4" xfId="31120"/>
    <cellStyle name="Normal 2 2 3 4 2 2 2 2 5" xfId="31121"/>
    <cellStyle name="Normal 2 2 3 4 2 2 2 2 6" xfId="31122"/>
    <cellStyle name="Normal 2 2 3 4 2 2 2 2 7" xfId="31123"/>
    <cellStyle name="Normal 2 2 3 4 2 2 2 2 8" xfId="31124"/>
    <cellStyle name="Normal 2 2 3 4 2 2 2 2 9" xfId="31125"/>
    <cellStyle name="Normal 2 2 3 4 2 2 2 2_Sheet1" xfId="31126"/>
    <cellStyle name="Normal 2 2 3 4 2 2 2 3" xfId="31127"/>
    <cellStyle name="Normal 2 2 3 4 2 2 2 4" xfId="31128"/>
    <cellStyle name="Normal 2 2 3 4 2 2 2 5" xfId="31129"/>
    <cellStyle name="Normal 2 2 3 4 2 2 2 6" xfId="31130"/>
    <cellStyle name="Normal 2 2 3 4 2 2 2 7" xfId="31131"/>
    <cellStyle name="Normal 2 2 3 4 2 2 2 8" xfId="31132"/>
    <cellStyle name="Normal 2 2 3 4 2 2 2 9" xfId="31133"/>
    <cellStyle name="Normal 2 2 3 4 2 2 20" xfId="31134"/>
    <cellStyle name="Normal 2 2 3 4 2 2 21" xfId="31135"/>
    <cellStyle name="Normal 2 2 3 4 2 2 22" xfId="31136"/>
    <cellStyle name="Normal 2 2 3 4 2 2 23" xfId="31137"/>
    <cellStyle name="Normal 2 2 3 4 2 2 24" xfId="31138"/>
    <cellStyle name="Normal 2 2 3 4 2 2 25" xfId="31139"/>
    <cellStyle name="Normal 2 2 3 4 2 2 3" xfId="31140"/>
    <cellStyle name="Normal 2 2 3 4 2 2 4" xfId="31141"/>
    <cellStyle name="Normal 2 2 3 4 2 2 5" xfId="31142"/>
    <cellStyle name="Normal 2 2 3 4 2 2 6" xfId="31143"/>
    <cellStyle name="Normal 2 2 3 4 2 2 7" xfId="31144"/>
    <cellStyle name="Normal 2 2 3 4 2 2 8" xfId="31145"/>
    <cellStyle name="Normal 2 2 3 4 2 2 9" xfId="31146"/>
    <cellStyle name="Normal 2 2 3 4 2 2_Sheet1" xfId="31147"/>
    <cellStyle name="Normal 2 2 3 4 2 3" xfId="31148"/>
    <cellStyle name="Normal 2 2 3 4 2 3 10" xfId="31149"/>
    <cellStyle name="Normal 2 2 3 4 2 3 11" xfId="31150"/>
    <cellStyle name="Normal 2 2 3 4 2 3 12" xfId="31151"/>
    <cellStyle name="Normal 2 2 3 4 2 3 13" xfId="31152"/>
    <cellStyle name="Normal 2 2 3 4 2 3 14" xfId="31153"/>
    <cellStyle name="Normal 2 2 3 4 2 3 15" xfId="31154"/>
    <cellStyle name="Normal 2 2 3 4 2 3 16" xfId="31155"/>
    <cellStyle name="Normal 2 2 3 4 2 3 17" xfId="31156"/>
    <cellStyle name="Normal 2 2 3 4 2 3 18" xfId="31157"/>
    <cellStyle name="Normal 2 2 3 4 2 3 2" xfId="31158"/>
    <cellStyle name="Normal 2 2 3 4 2 3 3" xfId="31159"/>
    <cellStyle name="Normal 2 2 3 4 2 3 4" xfId="31160"/>
    <cellStyle name="Normal 2 2 3 4 2 3 5" xfId="31161"/>
    <cellStyle name="Normal 2 2 3 4 2 3 6" xfId="31162"/>
    <cellStyle name="Normal 2 2 3 4 2 3 7" xfId="31163"/>
    <cellStyle name="Normal 2 2 3 4 2 3 8" xfId="31164"/>
    <cellStyle name="Normal 2 2 3 4 2 3 9" xfId="31165"/>
    <cellStyle name="Normal 2 2 3 4 2 3_Sheet1" xfId="31166"/>
    <cellStyle name="Normal 2 2 3 4 2 4" xfId="31167"/>
    <cellStyle name="Normal 2 2 3 4 2 5" xfId="31168"/>
    <cellStyle name="Normal 2 2 3 4 2 6" xfId="31169"/>
    <cellStyle name="Normal 2 2 3 4 2 7" xfId="31170"/>
    <cellStyle name="Normal 2 2 3 4 2 8" xfId="31171"/>
    <cellStyle name="Normal 2 2 3 4 2 9" xfId="31172"/>
    <cellStyle name="Normal 2 2 3 4 20" xfId="31173"/>
    <cellStyle name="Normal 2 2 3 4 21" xfId="31174"/>
    <cellStyle name="Normal 2 2 3 4 22" xfId="31175"/>
    <cellStyle name="Normal 2 2 3 4 23" xfId="31176"/>
    <cellStyle name="Normal 2 2 3 4 24" xfId="31177"/>
    <cellStyle name="Normal 2 2 3 4 25" xfId="31178"/>
    <cellStyle name="Normal 2 2 3 4 26" xfId="31179"/>
    <cellStyle name="Normal 2 2 3 4 3" xfId="31180"/>
    <cellStyle name="Normal 2 2 3 4 3 2" xfId="31181"/>
    <cellStyle name="Normal 2 2 3 4 3 2 10" xfId="31182"/>
    <cellStyle name="Normal 2 2 3 4 3 2 11" xfId="31183"/>
    <cellStyle name="Normal 2 2 3 4 3 2 12" xfId="31184"/>
    <cellStyle name="Normal 2 2 3 4 3 2 13" xfId="31185"/>
    <cellStyle name="Normal 2 2 3 4 3 2 14" xfId="31186"/>
    <cellStyle name="Normal 2 2 3 4 3 2 15" xfId="31187"/>
    <cellStyle name="Normal 2 2 3 4 3 2 16" xfId="31188"/>
    <cellStyle name="Normal 2 2 3 4 3 2 17" xfId="31189"/>
    <cellStyle name="Normal 2 2 3 4 3 2 18" xfId="31190"/>
    <cellStyle name="Normal 2 2 3 4 3 2 2" xfId="31191"/>
    <cellStyle name="Normal 2 2 3 4 3 2 3" xfId="31192"/>
    <cellStyle name="Normal 2 2 3 4 3 2 4" xfId="31193"/>
    <cellStyle name="Normal 2 2 3 4 3 2 5" xfId="31194"/>
    <cellStyle name="Normal 2 2 3 4 3 2 6" xfId="31195"/>
    <cellStyle name="Normal 2 2 3 4 3 2 7" xfId="31196"/>
    <cellStyle name="Normal 2 2 3 4 3 2 8" xfId="31197"/>
    <cellStyle name="Normal 2 2 3 4 3 2 9" xfId="31198"/>
    <cellStyle name="Normal 2 2 3 4 3 2_Sheet1" xfId="31199"/>
    <cellStyle name="Normal 2 2 3 4 4" xfId="31200"/>
    <cellStyle name="Normal 2 2 3 4 5" xfId="31201"/>
    <cellStyle name="Normal 2 2 3 4 6" xfId="31202"/>
    <cellStyle name="Normal 2 2 3 4 7" xfId="31203"/>
    <cellStyle name="Normal 2 2 3 4 8" xfId="31204"/>
    <cellStyle name="Normal 2 2 3 4 9" xfId="31205"/>
    <cellStyle name="Normal 2 2 3 4_Sheet1" xfId="31206"/>
    <cellStyle name="Normal 2 2 3 5" xfId="31207"/>
    <cellStyle name="Normal 2 2 3 5 10" xfId="31208"/>
    <cellStyle name="Normal 2 2 3 5 11" xfId="31209"/>
    <cellStyle name="Normal 2 2 3 5 12" xfId="31210"/>
    <cellStyle name="Normal 2 2 3 5 13" xfId="31211"/>
    <cellStyle name="Normal 2 2 3 5 14" xfId="31212"/>
    <cellStyle name="Normal 2 2 3 5 15" xfId="31213"/>
    <cellStyle name="Normal 2 2 3 5 16" xfId="31214"/>
    <cellStyle name="Normal 2 2 3 5 17" xfId="31215"/>
    <cellStyle name="Normal 2 2 3 5 18" xfId="31216"/>
    <cellStyle name="Normal 2 2 3 5 19" xfId="31217"/>
    <cellStyle name="Normal 2 2 3 5 2" xfId="31218"/>
    <cellStyle name="Normal 2 2 3 5 2 2" xfId="31219"/>
    <cellStyle name="Normal 2 2 3 5 2 2 10" xfId="31220"/>
    <cellStyle name="Normal 2 2 3 5 2 2 11" xfId="31221"/>
    <cellStyle name="Normal 2 2 3 5 2 2 12" xfId="31222"/>
    <cellStyle name="Normal 2 2 3 5 2 2 13" xfId="31223"/>
    <cellStyle name="Normal 2 2 3 5 2 2 14" xfId="31224"/>
    <cellStyle name="Normal 2 2 3 5 2 2 15" xfId="31225"/>
    <cellStyle name="Normal 2 2 3 5 2 2 16" xfId="31226"/>
    <cellStyle name="Normal 2 2 3 5 2 2 17" xfId="31227"/>
    <cellStyle name="Normal 2 2 3 5 2 2 18" xfId="31228"/>
    <cellStyle name="Normal 2 2 3 5 2 2 19" xfId="31229"/>
    <cellStyle name="Normal 2 2 3 5 2 2 2" xfId="31230"/>
    <cellStyle name="Normal 2 2 3 5 2 2 20" xfId="31231"/>
    <cellStyle name="Normal 2 2 3 5 2 2 21" xfId="31232"/>
    <cellStyle name="Normal 2 2 3 5 2 2 22" xfId="31233"/>
    <cellStyle name="Normal 2 2 3 5 2 2 23" xfId="31234"/>
    <cellStyle name="Normal 2 2 3 5 2 2 24" xfId="31235"/>
    <cellStyle name="Normal 2 2 3 5 2 2 3" xfId="31236"/>
    <cellStyle name="Normal 2 2 3 5 2 2 4" xfId="31237"/>
    <cellStyle name="Normal 2 2 3 5 2 2 5" xfId="31238"/>
    <cellStyle name="Normal 2 2 3 5 2 2 6" xfId="31239"/>
    <cellStyle name="Normal 2 2 3 5 2 2 7" xfId="31240"/>
    <cellStyle name="Normal 2 2 3 5 2 2 8" xfId="31241"/>
    <cellStyle name="Normal 2 2 3 5 2 2 9" xfId="31242"/>
    <cellStyle name="Normal 2 2 3 5 2 2_Sheet1" xfId="31243"/>
    <cellStyle name="Normal 2 2 3 5 2 3" xfId="31244"/>
    <cellStyle name="Normal 2 2 3 5 2 4" xfId="31245"/>
    <cellStyle name="Normal 2 2 3 5 2 5" xfId="31246"/>
    <cellStyle name="Normal 2 2 3 5 2 6" xfId="31247"/>
    <cellStyle name="Normal 2 2 3 5 2 7" xfId="31248"/>
    <cellStyle name="Normal 2 2 3 5 2 8" xfId="31249"/>
    <cellStyle name="Normal 2 2 3 5 2 9" xfId="31250"/>
    <cellStyle name="Normal 2 2 3 5 20" xfId="31251"/>
    <cellStyle name="Normal 2 2 3 5 21" xfId="31252"/>
    <cellStyle name="Normal 2 2 3 5 22" xfId="31253"/>
    <cellStyle name="Normal 2 2 3 5 23" xfId="31254"/>
    <cellStyle name="Normal 2 2 3 5 24" xfId="31255"/>
    <cellStyle name="Normal 2 2 3 5 25" xfId="31256"/>
    <cellStyle name="Normal 2 2 3 5 3" xfId="31257"/>
    <cellStyle name="Normal 2 2 3 5 4" xfId="31258"/>
    <cellStyle name="Normal 2 2 3 5 5" xfId="31259"/>
    <cellStyle name="Normal 2 2 3 5 6" xfId="31260"/>
    <cellStyle name="Normal 2 2 3 5 7" xfId="31261"/>
    <cellStyle name="Normal 2 2 3 5 8" xfId="31262"/>
    <cellStyle name="Normal 2 2 3 5 9" xfId="31263"/>
    <cellStyle name="Normal 2 2 3 5_Sheet1" xfId="31264"/>
    <cellStyle name="Normal 2 2 3 6" xfId="31265"/>
    <cellStyle name="Normal 2 2 3 6 10" xfId="31266"/>
    <cellStyle name="Normal 2 2 3 6 11" xfId="31267"/>
    <cellStyle name="Normal 2 2 3 6 12" xfId="31268"/>
    <cellStyle name="Normal 2 2 3 6 13" xfId="31269"/>
    <cellStyle name="Normal 2 2 3 6 14" xfId="31270"/>
    <cellStyle name="Normal 2 2 3 6 15" xfId="31271"/>
    <cellStyle name="Normal 2 2 3 6 16" xfId="31272"/>
    <cellStyle name="Normal 2 2 3 6 17" xfId="31273"/>
    <cellStyle name="Normal 2 2 3 6 18" xfId="31274"/>
    <cellStyle name="Normal 2 2 3 6 19" xfId="31275"/>
    <cellStyle name="Normal 2 2 3 6 2" xfId="31276"/>
    <cellStyle name="Normal 2 2 3 6 20" xfId="31277"/>
    <cellStyle name="Normal 2 2 3 6 21" xfId="31278"/>
    <cellStyle name="Normal 2 2 3 6 22" xfId="31279"/>
    <cellStyle name="Normal 2 2 3 6 23" xfId="31280"/>
    <cellStyle name="Normal 2 2 3 6 24" xfId="31281"/>
    <cellStyle name="Normal 2 2 3 6 3" xfId="31282"/>
    <cellStyle name="Normal 2 2 3 6 4" xfId="31283"/>
    <cellStyle name="Normal 2 2 3 6 5" xfId="31284"/>
    <cellStyle name="Normal 2 2 3 6 6" xfId="31285"/>
    <cellStyle name="Normal 2 2 3 6 7" xfId="31286"/>
    <cellStyle name="Normal 2 2 3 6 8" xfId="31287"/>
    <cellStyle name="Normal 2 2 3 6 9" xfId="31288"/>
    <cellStyle name="Normal 2 2 3 6_Sheet1" xfId="31289"/>
    <cellStyle name="Normal 2 2 3 7" xfId="31290"/>
    <cellStyle name="Normal 2 2 3 8" xfId="31291"/>
    <cellStyle name="Normal 2 2 3 9" xfId="31292"/>
    <cellStyle name="Normal 2 2 3_Sheet1" xfId="31293"/>
    <cellStyle name="Normal 2 2 30" xfId="31294"/>
    <cellStyle name="Normal 2 2 31" xfId="31295"/>
    <cellStyle name="Normal 2 2 32" xfId="31296"/>
    <cellStyle name="Normal 2 2 33" xfId="31297"/>
    <cellStyle name="Normal 2 2 34" xfId="31298"/>
    <cellStyle name="Normal 2 2 35" xfId="31299"/>
    <cellStyle name="Normal 2 2 36" xfId="31300"/>
    <cellStyle name="Normal 2 2 37" xfId="31301"/>
    <cellStyle name="Normal 2 2 38" xfId="31302"/>
    <cellStyle name="Normal 2 2 39" xfId="31303"/>
    <cellStyle name="Normal 2 2 4" xfId="31304"/>
    <cellStyle name="Normal 2 2 4 10" xfId="31305"/>
    <cellStyle name="Normal 2 2 4 11" xfId="31306"/>
    <cellStyle name="Normal 2 2 4 12" xfId="31307"/>
    <cellStyle name="Normal 2 2 4 13" xfId="31308"/>
    <cellStyle name="Normal 2 2 4 14" xfId="31309"/>
    <cellStyle name="Normal 2 2 4 15" xfId="31310"/>
    <cellStyle name="Normal 2 2 4 16" xfId="31311"/>
    <cellStyle name="Normal 2 2 4 17" xfId="31312"/>
    <cellStyle name="Normal 2 2 4 18" xfId="31313"/>
    <cellStyle name="Normal 2 2 4 19" xfId="31314"/>
    <cellStyle name="Normal 2 2 4 2" xfId="31315"/>
    <cellStyle name="Normal 2 2 4 2 10" xfId="31316"/>
    <cellStyle name="Normal 2 2 4 2 11" xfId="31317"/>
    <cellStyle name="Normal 2 2 4 2 12" xfId="31318"/>
    <cellStyle name="Normal 2 2 4 2 13" xfId="31319"/>
    <cellStyle name="Normal 2 2 4 2 14" xfId="31320"/>
    <cellStyle name="Normal 2 2 4 2 15" xfId="31321"/>
    <cellStyle name="Normal 2 2 4 2 16" xfId="31322"/>
    <cellStyle name="Normal 2 2 4 2 17" xfId="31323"/>
    <cellStyle name="Normal 2 2 4 2 18" xfId="31324"/>
    <cellStyle name="Normal 2 2 4 2 19" xfId="31325"/>
    <cellStyle name="Normal 2 2 4 2 2" xfId="31326"/>
    <cellStyle name="Normal 2 2 4 2 2 10" xfId="31327"/>
    <cellStyle name="Normal 2 2 4 2 2 11" xfId="31328"/>
    <cellStyle name="Normal 2 2 4 2 2 12" xfId="31329"/>
    <cellStyle name="Normal 2 2 4 2 2 13" xfId="31330"/>
    <cellStyle name="Normal 2 2 4 2 2 2" xfId="31331"/>
    <cellStyle name="Normal 2 2 4 2 2 2 10" xfId="31332"/>
    <cellStyle name="Normal 2 2 4 2 2 2 11" xfId="31333"/>
    <cellStyle name="Normal 2 2 4 2 2 2 12" xfId="31334"/>
    <cellStyle name="Normal 2 2 4 2 2 2 13" xfId="31335"/>
    <cellStyle name="Normal 2 2 4 2 2 2 14" xfId="31336"/>
    <cellStyle name="Normal 2 2 4 2 2 2 15" xfId="31337"/>
    <cellStyle name="Normal 2 2 4 2 2 2 16" xfId="31338"/>
    <cellStyle name="Normal 2 2 4 2 2 2 17" xfId="31339"/>
    <cellStyle name="Normal 2 2 4 2 2 2 18" xfId="31340"/>
    <cellStyle name="Normal 2 2 4 2 2 2 19" xfId="31341"/>
    <cellStyle name="Normal 2 2 4 2 2 2 2" xfId="31342"/>
    <cellStyle name="Normal 2 2 4 2 2 2 2 2" xfId="31343"/>
    <cellStyle name="Normal 2 2 4 2 2 2 2 2 10" xfId="31344"/>
    <cellStyle name="Normal 2 2 4 2 2 2 2 2 11" xfId="31345"/>
    <cellStyle name="Normal 2 2 4 2 2 2 2 2 12" xfId="31346"/>
    <cellStyle name="Normal 2 2 4 2 2 2 2 2 13" xfId="31347"/>
    <cellStyle name="Normal 2 2 4 2 2 2 2 2 14" xfId="31348"/>
    <cellStyle name="Normal 2 2 4 2 2 2 2 2 15" xfId="31349"/>
    <cellStyle name="Normal 2 2 4 2 2 2 2 2 16" xfId="31350"/>
    <cellStyle name="Normal 2 2 4 2 2 2 2 2 17" xfId="31351"/>
    <cellStyle name="Normal 2 2 4 2 2 2 2 2 18" xfId="31352"/>
    <cellStyle name="Normal 2 2 4 2 2 2 2 2 19" xfId="31353"/>
    <cellStyle name="Normal 2 2 4 2 2 2 2 2 2" xfId="31354"/>
    <cellStyle name="Normal 2 2 4 2 2 2 2 2 2 2" xfId="31355"/>
    <cellStyle name="Normal 2 2 4 2 2 2 2 2 2 3" xfId="31356"/>
    <cellStyle name="Normal 2 2 4 2 2 2 2 2 2 4" xfId="31357"/>
    <cellStyle name="Normal 2 2 4 2 2 2 2 2 2 5" xfId="31358"/>
    <cellStyle name="Normal 2 2 4 2 2 2 2 2 2 6" xfId="31359"/>
    <cellStyle name="Normal 2 2 4 2 2 2 2 2 2 7" xfId="31360"/>
    <cellStyle name="Normal 2 2 4 2 2 2 2 2 2 8" xfId="31361"/>
    <cellStyle name="Normal 2 2 4 2 2 2 2 2 2 9" xfId="31362"/>
    <cellStyle name="Normal 2 2 4 2 2 2 2 2 20" xfId="31363"/>
    <cellStyle name="Normal 2 2 4 2 2 2 2 2 21" xfId="31364"/>
    <cellStyle name="Normal 2 2 4 2 2 2 2 2 22" xfId="31365"/>
    <cellStyle name="Normal 2 2 4 2 2 2 2 2 23" xfId="31366"/>
    <cellStyle name="Normal 2 2 4 2 2 2 2 2 24" xfId="31367"/>
    <cellStyle name="Normal 2 2 4 2 2 2 2 2 25" xfId="31368"/>
    <cellStyle name="Normal 2 2 4 2 2 2 2 2 3" xfId="31369"/>
    <cellStyle name="Normal 2 2 4 2 2 2 2 2 4" xfId="31370"/>
    <cellStyle name="Normal 2 2 4 2 2 2 2 2 5" xfId="31371"/>
    <cellStyle name="Normal 2 2 4 2 2 2 2 2 6" xfId="31372"/>
    <cellStyle name="Normal 2 2 4 2 2 2 2 2 7" xfId="31373"/>
    <cellStyle name="Normal 2 2 4 2 2 2 2 2 8" xfId="31374"/>
    <cellStyle name="Normal 2 2 4 2 2 2 2 2 9" xfId="31375"/>
    <cellStyle name="Normal 2 2 4 2 2 2 2 2_Sheet1" xfId="31376"/>
    <cellStyle name="Normal 2 2 4 2 2 2 2 3" xfId="31377"/>
    <cellStyle name="Normal 2 2 4 2 2 2 2 4" xfId="31378"/>
    <cellStyle name="Normal 2 2 4 2 2 2 2 5" xfId="31379"/>
    <cellStyle name="Normal 2 2 4 2 2 2 2 6" xfId="31380"/>
    <cellStyle name="Normal 2 2 4 2 2 2 2 7" xfId="31381"/>
    <cellStyle name="Normal 2 2 4 2 2 2 2 8" xfId="31382"/>
    <cellStyle name="Normal 2 2 4 2 2 2 2 9" xfId="31383"/>
    <cellStyle name="Normal 2 2 4 2 2 2 20" xfId="31384"/>
    <cellStyle name="Normal 2 2 4 2 2 2 21" xfId="31385"/>
    <cellStyle name="Normal 2 2 4 2 2 2 22" xfId="31386"/>
    <cellStyle name="Normal 2 2 4 2 2 2 23" xfId="31387"/>
    <cellStyle name="Normal 2 2 4 2 2 2 24" xfId="31388"/>
    <cellStyle name="Normal 2 2 4 2 2 2 25" xfId="31389"/>
    <cellStyle name="Normal 2 2 4 2 2 2 26" xfId="31390"/>
    <cellStyle name="Normal 2 2 4 2 2 2 3" xfId="31391"/>
    <cellStyle name="Normal 2 2 4 2 2 2 4" xfId="31392"/>
    <cellStyle name="Normal 2 2 4 2 2 2 5" xfId="31393"/>
    <cellStyle name="Normal 2 2 4 2 2 2 6" xfId="31394"/>
    <cellStyle name="Normal 2 2 4 2 2 2 7" xfId="31395"/>
    <cellStyle name="Normal 2 2 4 2 2 2 8" xfId="31396"/>
    <cellStyle name="Normal 2 2 4 2 2 2 9" xfId="31397"/>
    <cellStyle name="Normal 2 2 4 2 2 2_Sheet1" xfId="31398"/>
    <cellStyle name="Normal 2 2 4 2 2 3" xfId="31399"/>
    <cellStyle name="Normal 2 2 4 2 2 3 10" xfId="31400"/>
    <cellStyle name="Normal 2 2 4 2 2 3 11" xfId="31401"/>
    <cellStyle name="Normal 2 2 4 2 2 3 12" xfId="31402"/>
    <cellStyle name="Normal 2 2 4 2 2 3 13" xfId="31403"/>
    <cellStyle name="Normal 2 2 4 2 2 3 14" xfId="31404"/>
    <cellStyle name="Normal 2 2 4 2 2 3 15" xfId="31405"/>
    <cellStyle name="Normal 2 2 4 2 2 3 16" xfId="31406"/>
    <cellStyle name="Normal 2 2 4 2 2 3 17" xfId="31407"/>
    <cellStyle name="Normal 2 2 4 2 2 3 18" xfId="31408"/>
    <cellStyle name="Normal 2 2 4 2 2 3 19" xfId="31409"/>
    <cellStyle name="Normal 2 2 4 2 2 3 2" xfId="31410"/>
    <cellStyle name="Normal 2 2 4 2 2 3 3" xfId="31411"/>
    <cellStyle name="Normal 2 2 4 2 2 3 4" xfId="31412"/>
    <cellStyle name="Normal 2 2 4 2 2 3 5" xfId="31413"/>
    <cellStyle name="Normal 2 2 4 2 2 3 6" xfId="31414"/>
    <cellStyle name="Normal 2 2 4 2 2 3 7" xfId="31415"/>
    <cellStyle name="Normal 2 2 4 2 2 3 8" xfId="31416"/>
    <cellStyle name="Normal 2 2 4 2 2 3 9" xfId="31417"/>
    <cellStyle name="Normal 2 2 4 2 2 3_Sheet1" xfId="31418"/>
    <cellStyle name="Normal 2 2 4 2 2 4" xfId="31419"/>
    <cellStyle name="Normal 2 2 4 2 2 5" xfId="31420"/>
    <cellStyle name="Normal 2 2 4 2 2 6" xfId="31421"/>
    <cellStyle name="Normal 2 2 4 2 2 7" xfId="31422"/>
    <cellStyle name="Normal 2 2 4 2 2 8" xfId="31423"/>
    <cellStyle name="Normal 2 2 4 2 2 9" xfId="31424"/>
    <cellStyle name="Normal 2 2 4 2 20" xfId="31425"/>
    <cellStyle name="Normal 2 2 4 2 21" xfId="31426"/>
    <cellStyle name="Normal 2 2 4 2 22" xfId="31427"/>
    <cellStyle name="Normal 2 2 4 2 23" xfId="31428"/>
    <cellStyle name="Normal 2 2 4 2 24" xfId="31429"/>
    <cellStyle name="Normal 2 2 4 2 25" xfId="31430"/>
    <cellStyle name="Normal 2 2 4 2 26" xfId="31431"/>
    <cellStyle name="Normal 2 2 4 2 27" xfId="31432"/>
    <cellStyle name="Normal 2 2 4 2 28" xfId="31433"/>
    <cellStyle name="Normal 2 2 4 2 3" xfId="31434"/>
    <cellStyle name="Normal 2 2 4 2 4" xfId="31435"/>
    <cellStyle name="Normal 2 2 4 2 4 2" xfId="31436"/>
    <cellStyle name="Normal 2 2 4 2 4 2 10" xfId="31437"/>
    <cellStyle name="Normal 2 2 4 2 4 2 11" xfId="31438"/>
    <cellStyle name="Normal 2 2 4 2 4 2 12" xfId="31439"/>
    <cellStyle name="Normal 2 2 4 2 4 2 13" xfId="31440"/>
    <cellStyle name="Normal 2 2 4 2 4 2 14" xfId="31441"/>
    <cellStyle name="Normal 2 2 4 2 4 2 15" xfId="31442"/>
    <cellStyle name="Normal 2 2 4 2 4 2 16" xfId="31443"/>
    <cellStyle name="Normal 2 2 4 2 4 2 17" xfId="31444"/>
    <cellStyle name="Normal 2 2 4 2 4 2 18" xfId="31445"/>
    <cellStyle name="Normal 2 2 4 2 4 2 19" xfId="31446"/>
    <cellStyle name="Normal 2 2 4 2 4 2 2" xfId="31447"/>
    <cellStyle name="Normal 2 2 4 2 4 2 3" xfId="31448"/>
    <cellStyle name="Normal 2 2 4 2 4 2 4" xfId="31449"/>
    <cellStyle name="Normal 2 2 4 2 4 2 5" xfId="31450"/>
    <cellStyle name="Normal 2 2 4 2 4 2 6" xfId="31451"/>
    <cellStyle name="Normal 2 2 4 2 4 2 7" xfId="31452"/>
    <cellStyle name="Normal 2 2 4 2 4 2 8" xfId="31453"/>
    <cellStyle name="Normal 2 2 4 2 4 2 9" xfId="31454"/>
    <cellStyle name="Normal 2 2 4 2 4 2_Sheet1" xfId="31455"/>
    <cellStyle name="Normal 2 2 4 2 5" xfId="31456"/>
    <cellStyle name="Normal 2 2 4 2 6" xfId="31457"/>
    <cellStyle name="Normal 2 2 4 2 7" xfId="31458"/>
    <cellStyle name="Normal 2 2 4 2 8" xfId="31459"/>
    <cellStyle name="Normal 2 2 4 2 9" xfId="31460"/>
    <cellStyle name="Normal 2 2 4 2_Sheet1" xfId="31461"/>
    <cellStyle name="Normal 2 2 4 20" xfId="31462"/>
    <cellStyle name="Normal 2 2 4 21" xfId="31463"/>
    <cellStyle name="Normal 2 2 4 22" xfId="31464"/>
    <cellStyle name="Normal 2 2 4 3" xfId="31465"/>
    <cellStyle name="Normal 2 2 4 3 10" xfId="31466"/>
    <cellStyle name="Normal 2 2 4 3 11" xfId="31467"/>
    <cellStyle name="Normal 2 2 4 3 12" xfId="31468"/>
    <cellStyle name="Normal 2 2 4 3 13" xfId="31469"/>
    <cellStyle name="Normal 2 2 4 3 14" xfId="31470"/>
    <cellStyle name="Normal 2 2 4 3 15" xfId="31471"/>
    <cellStyle name="Normal 2 2 4 3 16" xfId="31472"/>
    <cellStyle name="Normal 2 2 4 3 17" xfId="31473"/>
    <cellStyle name="Normal 2 2 4 3 18" xfId="31474"/>
    <cellStyle name="Normal 2 2 4 3 19" xfId="31475"/>
    <cellStyle name="Normal 2 2 4 3 2" xfId="31476"/>
    <cellStyle name="Normal 2 2 4 3 2 10" xfId="31477"/>
    <cellStyle name="Normal 2 2 4 3 2 11" xfId="31478"/>
    <cellStyle name="Normal 2 2 4 3 2 12" xfId="31479"/>
    <cellStyle name="Normal 2 2 4 3 2 13" xfId="31480"/>
    <cellStyle name="Normal 2 2 4 3 2 2" xfId="31481"/>
    <cellStyle name="Normal 2 2 4 3 2 2 10" xfId="31482"/>
    <cellStyle name="Normal 2 2 4 3 2 2 11" xfId="31483"/>
    <cellStyle name="Normal 2 2 4 3 2 2 12" xfId="31484"/>
    <cellStyle name="Normal 2 2 4 3 2 2 13" xfId="31485"/>
    <cellStyle name="Normal 2 2 4 3 2 2 14" xfId="31486"/>
    <cellStyle name="Normal 2 2 4 3 2 2 15" xfId="31487"/>
    <cellStyle name="Normal 2 2 4 3 2 2 16" xfId="31488"/>
    <cellStyle name="Normal 2 2 4 3 2 2 17" xfId="31489"/>
    <cellStyle name="Normal 2 2 4 3 2 2 18" xfId="31490"/>
    <cellStyle name="Normal 2 2 4 3 2 2 19" xfId="31491"/>
    <cellStyle name="Normal 2 2 4 3 2 2 2" xfId="31492"/>
    <cellStyle name="Normal 2 2 4 3 2 2 2 2" xfId="31493"/>
    <cellStyle name="Normal 2 2 4 3 2 2 2 2 10" xfId="31494"/>
    <cellStyle name="Normal 2 2 4 3 2 2 2 2 11" xfId="31495"/>
    <cellStyle name="Normal 2 2 4 3 2 2 2 2 12" xfId="31496"/>
    <cellStyle name="Normal 2 2 4 3 2 2 2 2 13" xfId="31497"/>
    <cellStyle name="Normal 2 2 4 3 2 2 2 2 14" xfId="31498"/>
    <cellStyle name="Normal 2 2 4 3 2 2 2 2 15" xfId="31499"/>
    <cellStyle name="Normal 2 2 4 3 2 2 2 2 16" xfId="31500"/>
    <cellStyle name="Normal 2 2 4 3 2 2 2 2 17" xfId="31501"/>
    <cellStyle name="Normal 2 2 4 3 2 2 2 2 18" xfId="31502"/>
    <cellStyle name="Normal 2 2 4 3 2 2 2 2 19" xfId="31503"/>
    <cellStyle name="Normal 2 2 4 3 2 2 2 2 2" xfId="31504"/>
    <cellStyle name="Normal 2 2 4 3 2 2 2 2 20" xfId="31505"/>
    <cellStyle name="Normal 2 2 4 3 2 2 2 2 21" xfId="31506"/>
    <cellStyle name="Normal 2 2 4 3 2 2 2 2 22" xfId="31507"/>
    <cellStyle name="Normal 2 2 4 3 2 2 2 2 23" xfId="31508"/>
    <cellStyle name="Normal 2 2 4 3 2 2 2 2 24" xfId="31509"/>
    <cellStyle name="Normal 2 2 4 3 2 2 2 2 3" xfId="31510"/>
    <cellStyle name="Normal 2 2 4 3 2 2 2 2 4" xfId="31511"/>
    <cellStyle name="Normal 2 2 4 3 2 2 2 2 5" xfId="31512"/>
    <cellStyle name="Normal 2 2 4 3 2 2 2 2 6" xfId="31513"/>
    <cellStyle name="Normal 2 2 4 3 2 2 2 2 7" xfId="31514"/>
    <cellStyle name="Normal 2 2 4 3 2 2 2 2 8" xfId="31515"/>
    <cellStyle name="Normal 2 2 4 3 2 2 2 2 9" xfId="31516"/>
    <cellStyle name="Normal 2 2 4 3 2 2 2 2_Sheet1" xfId="31517"/>
    <cellStyle name="Normal 2 2 4 3 2 2 2 3" xfId="31518"/>
    <cellStyle name="Normal 2 2 4 3 2 2 2 4" xfId="31519"/>
    <cellStyle name="Normal 2 2 4 3 2 2 2 5" xfId="31520"/>
    <cellStyle name="Normal 2 2 4 3 2 2 2 6" xfId="31521"/>
    <cellStyle name="Normal 2 2 4 3 2 2 2 7" xfId="31522"/>
    <cellStyle name="Normal 2 2 4 3 2 2 2 8" xfId="31523"/>
    <cellStyle name="Normal 2 2 4 3 2 2 2 9" xfId="31524"/>
    <cellStyle name="Normal 2 2 4 3 2 2 20" xfId="31525"/>
    <cellStyle name="Normal 2 2 4 3 2 2 21" xfId="31526"/>
    <cellStyle name="Normal 2 2 4 3 2 2 22" xfId="31527"/>
    <cellStyle name="Normal 2 2 4 3 2 2 23" xfId="31528"/>
    <cellStyle name="Normal 2 2 4 3 2 2 24" xfId="31529"/>
    <cellStyle name="Normal 2 2 4 3 2 2 25" xfId="31530"/>
    <cellStyle name="Normal 2 2 4 3 2 2 3" xfId="31531"/>
    <cellStyle name="Normal 2 2 4 3 2 2 4" xfId="31532"/>
    <cellStyle name="Normal 2 2 4 3 2 2 5" xfId="31533"/>
    <cellStyle name="Normal 2 2 4 3 2 2 6" xfId="31534"/>
    <cellStyle name="Normal 2 2 4 3 2 2 7" xfId="31535"/>
    <cellStyle name="Normal 2 2 4 3 2 2 8" xfId="31536"/>
    <cellStyle name="Normal 2 2 4 3 2 2 9" xfId="31537"/>
    <cellStyle name="Normal 2 2 4 3 2 2_Sheet1" xfId="31538"/>
    <cellStyle name="Normal 2 2 4 3 2 3" xfId="31539"/>
    <cellStyle name="Normal 2 2 4 3 2 3 10" xfId="31540"/>
    <cellStyle name="Normal 2 2 4 3 2 3 11" xfId="31541"/>
    <cellStyle name="Normal 2 2 4 3 2 3 12" xfId="31542"/>
    <cellStyle name="Normal 2 2 4 3 2 3 13" xfId="31543"/>
    <cellStyle name="Normal 2 2 4 3 2 3 14" xfId="31544"/>
    <cellStyle name="Normal 2 2 4 3 2 3 15" xfId="31545"/>
    <cellStyle name="Normal 2 2 4 3 2 3 16" xfId="31546"/>
    <cellStyle name="Normal 2 2 4 3 2 3 17" xfId="31547"/>
    <cellStyle name="Normal 2 2 4 3 2 3 18" xfId="31548"/>
    <cellStyle name="Normal 2 2 4 3 2 3 2" xfId="31549"/>
    <cellStyle name="Normal 2 2 4 3 2 3 3" xfId="31550"/>
    <cellStyle name="Normal 2 2 4 3 2 3 4" xfId="31551"/>
    <cellStyle name="Normal 2 2 4 3 2 3 5" xfId="31552"/>
    <cellStyle name="Normal 2 2 4 3 2 3 6" xfId="31553"/>
    <cellStyle name="Normal 2 2 4 3 2 3 7" xfId="31554"/>
    <cellStyle name="Normal 2 2 4 3 2 3 8" xfId="31555"/>
    <cellStyle name="Normal 2 2 4 3 2 3 9" xfId="31556"/>
    <cellStyle name="Normal 2 2 4 3 2 3_Sheet1" xfId="31557"/>
    <cellStyle name="Normal 2 2 4 3 2 4" xfId="31558"/>
    <cellStyle name="Normal 2 2 4 3 2 5" xfId="31559"/>
    <cellStyle name="Normal 2 2 4 3 2 6" xfId="31560"/>
    <cellStyle name="Normal 2 2 4 3 2 7" xfId="31561"/>
    <cellStyle name="Normal 2 2 4 3 2 8" xfId="31562"/>
    <cellStyle name="Normal 2 2 4 3 2 9" xfId="31563"/>
    <cellStyle name="Normal 2 2 4 3 20" xfId="31564"/>
    <cellStyle name="Normal 2 2 4 3 21" xfId="31565"/>
    <cellStyle name="Normal 2 2 4 3 22" xfId="31566"/>
    <cellStyle name="Normal 2 2 4 3 23" xfId="31567"/>
    <cellStyle name="Normal 2 2 4 3 24" xfId="31568"/>
    <cellStyle name="Normal 2 2 4 3 25" xfId="31569"/>
    <cellStyle name="Normal 2 2 4 3 26" xfId="31570"/>
    <cellStyle name="Normal 2 2 4 3 3" xfId="31571"/>
    <cellStyle name="Normal 2 2 4 3 3 2" xfId="31572"/>
    <cellStyle name="Normal 2 2 4 3 3 2 10" xfId="31573"/>
    <cellStyle name="Normal 2 2 4 3 3 2 11" xfId="31574"/>
    <cellStyle name="Normal 2 2 4 3 3 2 12" xfId="31575"/>
    <cellStyle name="Normal 2 2 4 3 3 2 13" xfId="31576"/>
    <cellStyle name="Normal 2 2 4 3 3 2 14" xfId="31577"/>
    <cellStyle name="Normal 2 2 4 3 3 2 15" xfId="31578"/>
    <cellStyle name="Normal 2 2 4 3 3 2 16" xfId="31579"/>
    <cellStyle name="Normal 2 2 4 3 3 2 17" xfId="31580"/>
    <cellStyle name="Normal 2 2 4 3 3 2 18" xfId="31581"/>
    <cellStyle name="Normal 2 2 4 3 3 2 2" xfId="31582"/>
    <cellStyle name="Normal 2 2 4 3 3 2 3" xfId="31583"/>
    <cellStyle name="Normal 2 2 4 3 3 2 4" xfId="31584"/>
    <cellStyle name="Normal 2 2 4 3 3 2 5" xfId="31585"/>
    <cellStyle name="Normal 2 2 4 3 3 2 6" xfId="31586"/>
    <cellStyle name="Normal 2 2 4 3 3 2 7" xfId="31587"/>
    <cellStyle name="Normal 2 2 4 3 3 2 8" xfId="31588"/>
    <cellStyle name="Normal 2 2 4 3 3 2 9" xfId="31589"/>
    <cellStyle name="Normal 2 2 4 3 3 2_Sheet1" xfId="31590"/>
    <cellStyle name="Normal 2 2 4 3 4" xfId="31591"/>
    <cellStyle name="Normal 2 2 4 3 5" xfId="31592"/>
    <cellStyle name="Normal 2 2 4 3 6" xfId="31593"/>
    <cellStyle name="Normal 2 2 4 3 7" xfId="31594"/>
    <cellStyle name="Normal 2 2 4 3 8" xfId="31595"/>
    <cellStyle name="Normal 2 2 4 3 9" xfId="31596"/>
    <cellStyle name="Normal 2 2 4 3_Sheet1" xfId="31597"/>
    <cellStyle name="Normal 2 2 4 4" xfId="31598"/>
    <cellStyle name="Normal 2 2 4 4 10" xfId="31599"/>
    <cellStyle name="Normal 2 2 4 4 11" xfId="31600"/>
    <cellStyle name="Normal 2 2 4 4 12" xfId="31601"/>
    <cellStyle name="Normal 2 2 4 4 13" xfId="31602"/>
    <cellStyle name="Normal 2 2 4 4 14" xfId="31603"/>
    <cellStyle name="Normal 2 2 4 4 15" xfId="31604"/>
    <cellStyle name="Normal 2 2 4 4 16" xfId="31605"/>
    <cellStyle name="Normal 2 2 4 4 17" xfId="31606"/>
    <cellStyle name="Normal 2 2 4 4 18" xfId="31607"/>
    <cellStyle name="Normal 2 2 4 4 19" xfId="31608"/>
    <cellStyle name="Normal 2 2 4 4 2" xfId="31609"/>
    <cellStyle name="Normal 2 2 4 4 2 10" xfId="31610"/>
    <cellStyle name="Normal 2 2 4 4 2 11" xfId="31611"/>
    <cellStyle name="Normal 2 2 4 4 2 12" xfId="31612"/>
    <cellStyle name="Normal 2 2 4 4 2 13" xfId="31613"/>
    <cellStyle name="Normal 2 2 4 4 2 14" xfId="31614"/>
    <cellStyle name="Normal 2 2 4 4 2 2" xfId="31615"/>
    <cellStyle name="Normal 2 2 4 4 2 2 10" xfId="31616"/>
    <cellStyle name="Normal 2 2 4 4 2 2 11" xfId="31617"/>
    <cellStyle name="Normal 2 2 4 4 2 2 12" xfId="31618"/>
    <cellStyle name="Normal 2 2 4 4 2 2 13" xfId="31619"/>
    <cellStyle name="Normal 2 2 4 4 2 2 14" xfId="31620"/>
    <cellStyle name="Normal 2 2 4 4 2 2 15" xfId="31621"/>
    <cellStyle name="Normal 2 2 4 4 2 2 16" xfId="31622"/>
    <cellStyle name="Normal 2 2 4 4 2 2 17" xfId="31623"/>
    <cellStyle name="Normal 2 2 4 4 2 2 18" xfId="31624"/>
    <cellStyle name="Normal 2 2 4 4 2 2 19" xfId="31625"/>
    <cellStyle name="Normal 2 2 4 4 2 2 2" xfId="31626"/>
    <cellStyle name="Normal 2 2 4 4 2 2 20" xfId="31627"/>
    <cellStyle name="Normal 2 2 4 4 2 2 21" xfId="31628"/>
    <cellStyle name="Normal 2 2 4 4 2 2 22" xfId="31629"/>
    <cellStyle name="Normal 2 2 4 4 2 2 23" xfId="31630"/>
    <cellStyle name="Normal 2 2 4 4 2 2 24" xfId="31631"/>
    <cellStyle name="Normal 2 2 4 4 2 2 3" xfId="31632"/>
    <cellStyle name="Normal 2 2 4 4 2 2 4" xfId="31633"/>
    <cellStyle name="Normal 2 2 4 4 2 2 5" xfId="31634"/>
    <cellStyle name="Normal 2 2 4 4 2 2 6" xfId="31635"/>
    <cellStyle name="Normal 2 2 4 4 2 2 7" xfId="31636"/>
    <cellStyle name="Normal 2 2 4 4 2 2 8" xfId="31637"/>
    <cellStyle name="Normal 2 2 4 4 2 2 9" xfId="31638"/>
    <cellStyle name="Normal 2 2 4 4 2 2_Sheet1" xfId="31639"/>
    <cellStyle name="Normal 2 2 4 4 2 3" xfId="31640"/>
    <cellStyle name="Normal 2 2 4 4 2 4" xfId="31641"/>
    <cellStyle name="Normal 2 2 4 4 2 5" xfId="31642"/>
    <cellStyle name="Normal 2 2 4 4 2 6" xfId="31643"/>
    <cellStyle name="Normal 2 2 4 4 2 7" xfId="31644"/>
    <cellStyle name="Normal 2 2 4 4 2 8" xfId="31645"/>
    <cellStyle name="Normal 2 2 4 4 2 9" xfId="31646"/>
    <cellStyle name="Normal 2 2 4 4 20" xfId="31647"/>
    <cellStyle name="Normal 2 2 4 4 21" xfId="31648"/>
    <cellStyle name="Normal 2 2 4 4 22" xfId="31649"/>
    <cellStyle name="Normal 2 2 4 4 23" xfId="31650"/>
    <cellStyle name="Normal 2 2 4 4 24" xfId="31651"/>
    <cellStyle name="Normal 2 2 4 4 25" xfId="31652"/>
    <cellStyle name="Normal 2 2 4 4 3" xfId="31653"/>
    <cellStyle name="Normal 2 2 4 4 3 10" xfId="31654"/>
    <cellStyle name="Normal 2 2 4 4 3 11" xfId="31655"/>
    <cellStyle name="Normal 2 2 4 4 3 12" xfId="31656"/>
    <cellStyle name="Normal 2 2 4 4 3 13" xfId="31657"/>
    <cellStyle name="Normal 2 2 4 4 3 2" xfId="31658"/>
    <cellStyle name="Normal 2 2 4 4 3 3" xfId="31659"/>
    <cellStyle name="Normal 2 2 4 4 3 4" xfId="31660"/>
    <cellStyle name="Normal 2 2 4 4 3 5" xfId="31661"/>
    <cellStyle name="Normal 2 2 4 4 3 6" xfId="31662"/>
    <cellStyle name="Normal 2 2 4 4 3 7" xfId="31663"/>
    <cellStyle name="Normal 2 2 4 4 3 8" xfId="31664"/>
    <cellStyle name="Normal 2 2 4 4 3 9" xfId="31665"/>
    <cellStyle name="Normal 2 2 4 4 4" xfId="31666"/>
    <cellStyle name="Normal 2 2 4 4 5" xfId="31667"/>
    <cellStyle name="Normal 2 2 4 4 6" xfId="31668"/>
    <cellStyle name="Normal 2 2 4 4 7" xfId="31669"/>
    <cellStyle name="Normal 2 2 4 4 8" xfId="31670"/>
    <cellStyle name="Normal 2 2 4 4 9" xfId="31671"/>
    <cellStyle name="Normal 2 2 4 4_Sheet1" xfId="31672"/>
    <cellStyle name="Normal 2 2 4 5" xfId="31673"/>
    <cellStyle name="Normal 2 2 4 5 10" xfId="31674"/>
    <cellStyle name="Normal 2 2 4 5 11" xfId="31675"/>
    <cellStyle name="Normal 2 2 4 5 12" xfId="31676"/>
    <cellStyle name="Normal 2 2 4 5 13" xfId="31677"/>
    <cellStyle name="Normal 2 2 4 5 14" xfId="31678"/>
    <cellStyle name="Normal 2 2 4 5 15" xfId="31679"/>
    <cellStyle name="Normal 2 2 4 5 16" xfId="31680"/>
    <cellStyle name="Normal 2 2 4 5 17" xfId="31681"/>
    <cellStyle name="Normal 2 2 4 5 18" xfId="31682"/>
    <cellStyle name="Normal 2 2 4 5 19" xfId="31683"/>
    <cellStyle name="Normal 2 2 4 5 2" xfId="31684"/>
    <cellStyle name="Normal 2 2 4 5 20" xfId="31685"/>
    <cellStyle name="Normal 2 2 4 5 21" xfId="31686"/>
    <cellStyle name="Normal 2 2 4 5 22" xfId="31687"/>
    <cellStyle name="Normal 2 2 4 5 23" xfId="31688"/>
    <cellStyle name="Normal 2 2 4 5 24" xfId="31689"/>
    <cellStyle name="Normal 2 2 4 5 3" xfId="31690"/>
    <cellStyle name="Normal 2 2 4 5 4" xfId="31691"/>
    <cellStyle name="Normal 2 2 4 5 5" xfId="31692"/>
    <cellStyle name="Normal 2 2 4 5 6" xfId="31693"/>
    <cellStyle name="Normal 2 2 4 5 7" xfId="31694"/>
    <cellStyle name="Normal 2 2 4 5 8" xfId="31695"/>
    <cellStyle name="Normal 2 2 4 5 9" xfId="31696"/>
    <cellStyle name="Normal 2 2 4 5_Sheet1" xfId="31697"/>
    <cellStyle name="Normal 2 2 4 6" xfId="31698"/>
    <cellStyle name="Normal 2 2 4 7" xfId="31699"/>
    <cellStyle name="Normal 2 2 4 8" xfId="31700"/>
    <cellStyle name="Normal 2 2 4 9" xfId="31701"/>
    <cellStyle name="Normal 2 2 4_Sheet1" xfId="31702"/>
    <cellStyle name="Normal 2 2 40" xfId="31703"/>
    <cellStyle name="Normal 2 2 41" xfId="31704"/>
    <cellStyle name="Normal 2 2 42" xfId="31705"/>
    <cellStyle name="Normal 2 2 43" xfId="31706"/>
    <cellStyle name="Normal 2 2 44" xfId="31707"/>
    <cellStyle name="Normal 2 2 45" xfId="31708"/>
    <cellStyle name="Normal 2 2 46" xfId="31709"/>
    <cellStyle name="Normal 2 2 47" xfId="31710"/>
    <cellStyle name="Normal 2 2 48" xfId="31711"/>
    <cellStyle name="Normal 2 2 48 2" xfId="31712"/>
    <cellStyle name="Normal 2 2 48 3" xfId="31713"/>
    <cellStyle name="Normal 2 2 5" xfId="31714"/>
    <cellStyle name="Normal 2 2 5 10" xfId="31715"/>
    <cellStyle name="Normal 2 2 5 11" xfId="31716"/>
    <cellStyle name="Normal 2 2 5 12" xfId="31717"/>
    <cellStyle name="Normal 2 2 5 13" xfId="31718"/>
    <cellStyle name="Normal 2 2 5 14" xfId="31719"/>
    <cellStyle name="Normal 2 2 5 15" xfId="31720"/>
    <cellStyle name="Normal 2 2 5 16" xfId="31721"/>
    <cellStyle name="Normal 2 2 5 17" xfId="31722"/>
    <cellStyle name="Normal 2 2 5 18" xfId="31723"/>
    <cellStyle name="Normal 2 2 5 19" xfId="31724"/>
    <cellStyle name="Normal 2 2 5 2" xfId="31725"/>
    <cellStyle name="Normal 2 2 5 2 10" xfId="31726"/>
    <cellStyle name="Normal 2 2 5 2 11" xfId="31727"/>
    <cellStyle name="Normal 2 2 5 2 12" xfId="31728"/>
    <cellStyle name="Normal 2 2 5 2 13" xfId="31729"/>
    <cellStyle name="Normal 2 2 5 2 14" xfId="31730"/>
    <cellStyle name="Normal 2 2 5 2 15" xfId="31731"/>
    <cellStyle name="Normal 2 2 5 2 16" xfId="31732"/>
    <cellStyle name="Normal 2 2 5 2 17" xfId="31733"/>
    <cellStyle name="Normal 2 2 5 2 18" xfId="31734"/>
    <cellStyle name="Normal 2 2 5 2 19" xfId="31735"/>
    <cellStyle name="Normal 2 2 5 2 2" xfId="31736"/>
    <cellStyle name="Normal 2 2 5 2 2 10" xfId="31737"/>
    <cellStyle name="Normal 2 2 5 2 2 11" xfId="31738"/>
    <cellStyle name="Normal 2 2 5 2 2 12" xfId="31739"/>
    <cellStyle name="Normal 2 2 5 2 2 13" xfId="31740"/>
    <cellStyle name="Normal 2 2 5 2 2 14" xfId="31741"/>
    <cellStyle name="Normal 2 2 5 2 2 2" xfId="31742"/>
    <cellStyle name="Normal 2 2 5 2 2 2 10" xfId="31743"/>
    <cellStyle name="Normal 2 2 5 2 2 2 11" xfId="31744"/>
    <cellStyle name="Normal 2 2 5 2 2 2 12" xfId="31745"/>
    <cellStyle name="Normal 2 2 5 2 2 2 13" xfId="31746"/>
    <cellStyle name="Normal 2 2 5 2 2 2 14" xfId="31747"/>
    <cellStyle name="Normal 2 2 5 2 2 2 15" xfId="31748"/>
    <cellStyle name="Normal 2 2 5 2 2 2 16" xfId="31749"/>
    <cellStyle name="Normal 2 2 5 2 2 2 17" xfId="31750"/>
    <cellStyle name="Normal 2 2 5 2 2 2 18" xfId="31751"/>
    <cellStyle name="Normal 2 2 5 2 2 2 19" xfId="31752"/>
    <cellStyle name="Normal 2 2 5 2 2 2 2" xfId="31753"/>
    <cellStyle name="Normal 2 2 5 2 2 2 2 2" xfId="31754"/>
    <cellStyle name="Normal 2 2 5 2 2 2 2 3" xfId="31755"/>
    <cellStyle name="Normal 2 2 5 2 2 2 2 4" xfId="31756"/>
    <cellStyle name="Normal 2 2 5 2 2 2 2 5" xfId="31757"/>
    <cellStyle name="Normal 2 2 5 2 2 2 2 6" xfId="31758"/>
    <cellStyle name="Normal 2 2 5 2 2 2 2 7" xfId="31759"/>
    <cellStyle name="Normal 2 2 5 2 2 2 2 8" xfId="31760"/>
    <cellStyle name="Normal 2 2 5 2 2 2 2 9" xfId="31761"/>
    <cellStyle name="Normal 2 2 5 2 2 2 20" xfId="31762"/>
    <cellStyle name="Normal 2 2 5 2 2 2 21" xfId="31763"/>
    <cellStyle name="Normal 2 2 5 2 2 2 22" xfId="31764"/>
    <cellStyle name="Normal 2 2 5 2 2 2 23" xfId="31765"/>
    <cellStyle name="Normal 2 2 5 2 2 2 24" xfId="31766"/>
    <cellStyle name="Normal 2 2 5 2 2 2 25" xfId="31767"/>
    <cellStyle name="Normal 2 2 5 2 2 2 3" xfId="31768"/>
    <cellStyle name="Normal 2 2 5 2 2 2 4" xfId="31769"/>
    <cellStyle name="Normal 2 2 5 2 2 2 5" xfId="31770"/>
    <cellStyle name="Normal 2 2 5 2 2 2 6" xfId="31771"/>
    <cellStyle name="Normal 2 2 5 2 2 2 7" xfId="31772"/>
    <cellStyle name="Normal 2 2 5 2 2 2 8" xfId="31773"/>
    <cellStyle name="Normal 2 2 5 2 2 2 9" xfId="31774"/>
    <cellStyle name="Normal 2 2 5 2 2 2_Sheet1" xfId="31775"/>
    <cellStyle name="Normal 2 2 5 2 2 3" xfId="31776"/>
    <cellStyle name="Normal 2 2 5 2 2 4" xfId="31777"/>
    <cellStyle name="Normal 2 2 5 2 2 5" xfId="31778"/>
    <cellStyle name="Normal 2 2 5 2 2 6" xfId="31779"/>
    <cellStyle name="Normal 2 2 5 2 2 7" xfId="31780"/>
    <cellStyle name="Normal 2 2 5 2 2 8" xfId="31781"/>
    <cellStyle name="Normal 2 2 5 2 2 9" xfId="31782"/>
    <cellStyle name="Normal 2 2 5 2 20" xfId="31783"/>
    <cellStyle name="Normal 2 2 5 2 21" xfId="31784"/>
    <cellStyle name="Normal 2 2 5 2 22" xfId="31785"/>
    <cellStyle name="Normal 2 2 5 2 23" xfId="31786"/>
    <cellStyle name="Normal 2 2 5 2 24" xfId="31787"/>
    <cellStyle name="Normal 2 2 5 2 25" xfId="31788"/>
    <cellStyle name="Normal 2 2 5 2 26" xfId="31789"/>
    <cellStyle name="Normal 2 2 5 2 3" xfId="31790"/>
    <cellStyle name="Normal 2 2 5 2 3 10" xfId="31791"/>
    <cellStyle name="Normal 2 2 5 2 3 11" xfId="31792"/>
    <cellStyle name="Normal 2 2 5 2 3 12" xfId="31793"/>
    <cellStyle name="Normal 2 2 5 2 3 13" xfId="31794"/>
    <cellStyle name="Normal 2 2 5 2 3 2" xfId="31795"/>
    <cellStyle name="Normal 2 2 5 2 3 3" xfId="31796"/>
    <cellStyle name="Normal 2 2 5 2 3 4" xfId="31797"/>
    <cellStyle name="Normal 2 2 5 2 3 5" xfId="31798"/>
    <cellStyle name="Normal 2 2 5 2 3 6" xfId="31799"/>
    <cellStyle name="Normal 2 2 5 2 3 7" xfId="31800"/>
    <cellStyle name="Normal 2 2 5 2 3 8" xfId="31801"/>
    <cellStyle name="Normal 2 2 5 2 3 9" xfId="31802"/>
    <cellStyle name="Normal 2 2 5 2 4" xfId="31803"/>
    <cellStyle name="Normal 2 2 5 2 5" xfId="31804"/>
    <cellStyle name="Normal 2 2 5 2 6" xfId="31805"/>
    <cellStyle name="Normal 2 2 5 2 7" xfId="31806"/>
    <cellStyle name="Normal 2 2 5 2 8" xfId="31807"/>
    <cellStyle name="Normal 2 2 5 2 9" xfId="31808"/>
    <cellStyle name="Normal 2 2 5 2_Sheet1" xfId="31809"/>
    <cellStyle name="Normal 2 2 5 20" xfId="31810"/>
    <cellStyle name="Normal 2 2 5 21" xfId="31811"/>
    <cellStyle name="Normal 2 2 5 22" xfId="31812"/>
    <cellStyle name="Normal 2 2 5 3" xfId="31813"/>
    <cellStyle name="Normal 2 2 5 3 10" xfId="31814"/>
    <cellStyle name="Normal 2 2 5 3 11" xfId="31815"/>
    <cellStyle name="Normal 2 2 5 3 12" xfId="31816"/>
    <cellStyle name="Normal 2 2 5 3 13" xfId="31817"/>
    <cellStyle name="Normal 2 2 5 3 14" xfId="31818"/>
    <cellStyle name="Normal 2 2 5 3 15" xfId="31819"/>
    <cellStyle name="Normal 2 2 5 3 16" xfId="31820"/>
    <cellStyle name="Normal 2 2 5 3 17" xfId="31821"/>
    <cellStyle name="Normal 2 2 5 3 18" xfId="31822"/>
    <cellStyle name="Normal 2 2 5 3 19" xfId="31823"/>
    <cellStyle name="Normal 2 2 5 3 2" xfId="31824"/>
    <cellStyle name="Normal 2 2 5 3 2 2" xfId="31825"/>
    <cellStyle name="Normal 2 2 5 3 2 3" xfId="31826"/>
    <cellStyle name="Normal 2 2 5 3 2 4" xfId="31827"/>
    <cellStyle name="Normal 2 2 5 3 2 5" xfId="31828"/>
    <cellStyle name="Normal 2 2 5 3 2 6" xfId="31829"/>
    <cellStyle name="Normal 2 2 5 3 2 7" xfId="31830"/>
    <cellStyle name="Normal 2 2 5 3 2 8" xfId="31831"/>
    <cellStyle name="Normal 2 2 5 3 2 9" xfId="31832"/>
    <cellStyle name="Normal 2 2 5 3 20" xfId="31833"/>
    <cellStyle name="Normal 2 2 5 3 21" xfId="31834"/>
    <cellStyle name="Normal 2 2 5 3 22" xfId="31835"/>
    <cellStyle name="Normal 2 2 5 3 23" xfId="31836"/>
    <cellStyle name="Normal 2 2 5 3 24" xfId="31837"/>
    <cellStyle name="Normal 2 2 5 3 25" xfId="31838"/>
    <cellStyle name="Normal 2 2 5 3 3" xfId="31839"/>
    <cellStyle name="Normal 2 2 5 3 4" xfId="31840"/>
    <cellStyle name="Normal 2 2 5 3 5" xfId="31841"/>
    <cellStyle name="Normal 2 2 5 3 6" xfId="31842"/>
    <cellStyle name="Normal 2 2 5 3 7" xfId="31843"/>
    <cellStyle name="Normal 2 2 5 3 8" xfId="31844"/>
    <cellStyle name="Normal 2 2 5 3 9" xfId="31845"/>
    <cellStyle name="Normal 2 2 5 3_Sheet1" xfId="31846"/>
    <cellStyle name="Normal 2 2 5 4" xfId="31847"/>
    <cellStyle name="Normal 2 2 5 5" xfId="31848"/>
    <cellStyle name="Normal 2 2 5 6" xfId="31849"/>
    <cellStyle name="Normal 2 2 5 7" xfId="31850"/>
    <cellStyle name="Normal 2 2 5 8" xfId="31851"/>
    <cellStyle name="Normal 2 2 5 9" xfId="31852"/>
    <cellStyle name="Normal 2 2 5_Sheet1" xfId="31853"/>
    <cellStyle name="Normal 2 2 6" xfId="31854"/>
    <cellStyle name="Normal 2 2 6 10" xfId="31855"/>
    <cellStyle name="Normal 2 2 6 11" xfId="31856"/>
    <cellStyle name="Normal 2 2 6 12" xfId="31857"/>
    <cellStyle name="Normal 2 2 6 13" xfId="31858"/>
    <cellStyle name="Normal 2 2 6 14" xfId="31859"/>
    <cellStyle name="Normal 2 2 6 15" xfId="31860"/>
    <cellStyle name="Normal 2 2 6 16" xfId="31861"/>
    <cellStyle name="Normal 2 2 6 17" xfId="31862"/>
    <cellStyle name="Normal 2 2 6 18" xfId="31863"/>
    <cellStyle name="Normal 2 2 6 19" xfId="31864"/>
    <cellStyle name="Normal 2 2 6 2" xfId="31865"/>
    <cellStyle name="Normal 2 2 6 2 10" xfId="31866"/>
    <cellStyle name="Normal 2 2 6 2 11" xfId="31867"/>
    <cellStyle name="Normal 2 2 6 2 12" xfId="31868"/>
    <cellStyle name="Normal 2 2 6 2 13" xfId="31869"/>
    <cellStyle name="Normal 2 2 6 2 14" xfId="31870"/>
    <cellStyle name="Normal 2 2 6 2 15" xfId="31871"/>
    <cellStyle name="Normal 2 2 6 2 2" xfId="31872"/>
    <cellStyle name="Normal 2 2 6 2 2 10" xfId="31873"/>
    <cellStyle name="Normal 2 2 6 2 2 11" xfId="31874"/>
    <cellStyle name="Normal 2 2 6 2 2 12" xfId="31875"/>
    <cellStyle name="Normal 2 2 6 2 2 13" xfId="31876"/>
    <cellStyle name="Normal 2 2 6 2 2 14" xfId="31877"/>
    <cellStyle name="Normal 2 2 6 2 2 2" xfId="31878"/>
    <cellStyle name="Normal 2 2 6 2 2 2 10" xfId="31879"/>
    <cellStyle name="Normal 2 2 6 2 2 2 11" xfId="31880"/>
    <cellStyle name="Normal 2 2 6 2 2 2 12" xfId="31881"/>
    <cellStyle name="Normal 2 2 6 2 2 2 13" xfId="31882"/>
    <cellStyle name="Normal 2 2 6 2 2 2 2" xfId="31883"/>
    <cellStyle name="Normal 2 2 6 2 2 2 3" xfId="31884"/>
    <cellStyle name="Normal 2 2 6 2 2 2 4" xfId="31885"/>
    <cellStyle name="Normal 2 2 6 2 2 2 5" xfId="31886"/>
    <cellStyle name="Normal 2 2 6 2 2 2 6" xfId="31887"/>
    <cellStyle name="Normal 2 2 6 2 2 2 7" xfId="31888"/>
    <cellStyle name="Normal 2 2 6 2 2 2 8" xfId="31889"/>
    <cellStyle name="Normal 2 2 6 2 2 2 9" xfId="31890"/>
    <cellStyle name="Normal 2 2 6 2 2 3" xfId="31891"/>
    <cellStyle name="Normal 2 2 6 2 2 4" xfId="31892"/>
    <cellStyle name="Normal 2 2 6 2 2 5" xfId="31893"/>
    <cellStyle name="Normal 2 2 6 2 2 6" xfId="31894"/>
    <cellStyle name="Normal 2 2 6 2 2 7" xfId="31895"/>
    <cellStyle name="Normal 2 2 6 2 2 8" xfId="31896"/>
    <cellStyle name="Normal 2 2 6 2 2 9" xfId="31897"/>
    <cellStyle name="Normal 2 2 6 2 3" xfId="31898"/>
    <cellStyle name="Normal 2 2 6 2 3 10" xfId="31899"/>
    <cellStyle name="Normal 2 2 6 2 3 11" xfId="31900"/>
    <cellStyle name="Normal 2 2 6 2 3 12" xfId="31901"/>
    <cellStyle name="Normal 2 2 6 2 3 13" xfId="31902"/>
    <cellStyle name="Normal 2 2 6 2 3 2" xfId="31903"/>
    <cellStyle name="Normal 2 2 6 2 3 3" xfId="31904"/>
    <cellStyle name="Normal 2 2 6 2 3 4" xfId="31905"/>
    <cellStyle name="Normal 2 2 6 2 3 5" xfId="31906"/>
    <cellStyle name="Normal 2 2 6 2 3 6" xfId="31907"/>
    <cellStyle name="Normal 2 2 6 2 3 7" xfId="31908"/>
    <cellStyle name="Normal 2 2 6 2 3 8" xfId="31909"/>
    <cellStyle name="Normal 2 2 6 2 3 9" xfId="31910"/>
    <cellStyle name="Normal 2 2 6 2 4" xfId="31911"/>
    <cellStyle name="Normal 2 2 6 2 5" xfId="31912"/>
    <cellStyle name="Normal 2 2 6 2 6" xfId="31913"/>
    <cellStyle name="Normal 2 2 6 2 7" xfId="31914"/>
    <cellStyle name="Normal 2 2 6 2 8" xfId="31915"/>
    <cellStyle name="Normal 2 2 6 2 9" xfId="31916"/>
    <cellStyle name="Normal 2 2 6 20" xfId="31917"/>
    <cellStyle name="Normal 2 2 6 21" xfId="31918"/>
    <cellStyle name="Normal 2 2 6 22" xfId="31919"/>
    <cellStyle name="Normal 2 2 6 3" xfId="31920"/>
    <cellStyle name="Normal 2 2 6 3 10" xfId="31921"/>
    <cellStyle name="Normal 2 2 6 3 11" xfId="31922"/>
    <cellStyle name="Normal 2 2 6 3 12" xfId="31923"/>
    <cellStyle name="Normal 2 2 6 3 13" xfId="31924"/>
    <cellStyle name="Normal 2 2 6 3 2" xfId="31925"/>
    <cellStyle name="Normal 2 2 6 3 3" xfId="31926"/>
    <cellStyle name="Normal 2 2 6 3 4" xfId="31927"/>
    <cellStyle name="Normal 2 2 6 3 5" xfId="31928"/>
    <cellStyle name="Normal 2 2 6 3 6" xfId="31929"/>
    <cellStyle name="Normal 2 2 6 3 7" xfId="31930"/>
    <cellStyle name="Normal 2 2 6 3 8" xfId="31931"/>
    <cellStyle name="Normal 2 2 6 3 9" xfId="31932"/>
    <cellStyle name="Normal 2 2 6 4" xfId="31933"/>
    <cellStyle name="Normal 2 2 6 5" xfId="31934"/>
    <cellStyle name="Normal 2 2 6 6" xfId="31935"/>
    <cellStyle name="Normal 2 2 6 7" xfId="31936"/>
    <cellStyle name="Normal 2 2 6 8" xfId="31937"/>
    <cellStyle name="Normal 2 2 6 9" xfId="31938"/>
    <cellStyle name="Normal 2 2 6_Sheet1" xfId="31939"/>
    <cellStyle name="Normal 2 2 7" xfId="31940"/>
    <cellStyle name="Normal 2 2 7 10" xfId="31941"/>
    <cellStyle name="Normal 2 2 7 11" xfId="31942"/>
    <cellStyle name="Normal 2 2 7 12" xfId="31943"/>
    <cellStyle name="Normal 2 2 7 13" xfId="31944"/>
    <cellStyle name="Normal 2 2 7 14" xfId="31945"/>
    <cellStyle name="Normal 2 2 7 15" xfId="31946"/>
    <cellStyle name="Normal 2 2 7 16" xfId="31947"/>
    <cellStyle name="Normal 2 2 7 17" xfId="31948"/>
    <cellStyle name="Normal 2 2 7 18" xfId="31949"/>
    <cellStyle name="Normal 2 2 7 19" xfId="31950"/>
    <cellStyle name="Normal 2 2 7 2" xfId="31951"/>
    <cellStyle name="Normal 2 2 7 2 10" xfId="31952"/>
    <cellStyle name="Normal 2 2 7 2 11" xfId="31953"/>
    <cellStyle name="Normal 2 2 7 2 12" xfId="31954"/>
    <cellStyle name="Normal 2 2 7 2 13" xfId="31955"/>
    <cellStyle name="Normal 2 2 7 2 14" xfId="31956"/>
    <cellStyle name="Normal 2 2 7 2 15" xfId="31957"/>
    <cellStyle name="Normal 2 2 7 2 16" xfId="31958"/>
    <cellStyle name="Normal 2 2 7 2 17" xfId="31959"/>
    <cellStyle name="Normal 2 2 7 2 18" xfId="31960"/>
    <cellStyle name="Normal 2 2 7 2 19" xfId="31961"/>
    <cellStyle name="Normal 2 2 7 2 2" xfId="31962"/>
    <cellStyle name="Normal 2 2 7 2 2 2" xfId="31963"/>
    <cellStyle name="Normal 2 2 7 2 2 3" xfId="31964"/>
    <cellStyle name="Normal 2 2 7 2 2 4" xfId="31965"/>
    <cellStyle name="Normal 2 2 7 2 2 5" xfId="31966"/>
    <cellStyle name="Normal 2 2 7 2 2 6" xfId="31967"/>
    <cellStyle name="Normal 2 2 7 2 2 7" xfId="31968"/>
    <cellStyle name="Normal 2 2 7 2 2 8" xfId="31969"/>
    <cellStyle name="Normal 2 2 7 2 2 9" xfId="31970"/>
    <cellStyle name="Normal 2 2 7 2 20" xfId="31971"/>
    <cellStyle name="Normal 2 2 7 2 21" xfId="31972"/>
    <cellStyle name="Normal 2 2 7 2 22" xfId="31973"/>
    <cellStyle name="Normal 2 2 7 2 23" xfId="31974"/>
    <cellStyle name="Normal 2 2 7 2 24" xfId="31975"/>
    <cellStyle name="Normal 2 2 7 2 25" xfId="31976"/>
    <cellStyle name="Normal 2 2 7 2 3" xfId="31977"/>
    <cellStyle name="Normal 2 2 7 2 4" xfId="31978"/>
    <cellStyle name="Normal 2 2 7 2 5" xfId="31979"/>
    <cellStyle name="Normal 2 2 7 2 6" xfId="31980"/>
    <cellStyle name="Normal 2 2 7 2 7" xfId="31981"/>
    <cellStyle name="Normal 2 2 7 2 8" xfId="31982"/>
    <cellStyle name="Normal 2 2 7 2 9" xfId="31983"/>
    <cellStyle name="Normal 2 2 7 2_Sheet1" xfId="31984"/>
    <cellStyle name="Normal 2 2 7 20" xfId="31985"/>
    <cellStyle name="Normal 2 2 7 21" xfId="31986"/>
    <cellStyle name="Normal 2 2 7 22" xfId="31987"/>
    <cellStyle name="Normal 2 2 7 3" xfId="31988"/>
    <cellStyle name="Normal 2 2 7 4" xfId="31989"/>
    <cellStyle name="Normal 2 2 7 5" xfId="31990"/>
    <cellStyle name="Normal 2 2 7 6" xfId="31991"/>
    <cellStyle name="Normal 2 2 7 7" xfId="31992"/>
    <cellStyle name="Normal 2 2 7 8" xfId="31993"/>
    <cellStyle name="Normal 2 2 7 9" xfId="31994"/>
    <cellStyle name="Normal 2 2 8" xfId="31995"/>
    <cellStyle name="Normal 2 2 8 10" xfId="31996"/>
    <cellStyle name="Normal 2 2 8 11" xfId="31997"/>
    <cellStyle name="Normal 2 2 8 12" xfId="31998"/>
    <cellStyle name="Normal 2 2 8 13" xfId="31999"/>
    <cellStyle name="Normal 2 2 8 14" xfId="32000"/>
    <cellStyle name="Normal 2 2 8 15" xfId="32001"/>
    <cellStyle name="Normal 2 2 8 16" xfId="32002"/>
    <cellStyle name="Normal 2 2 8 17" xfId="32003"/>
    <cellStyle name="Normal 2 2 8 18" xfId="32004"/>
    <cellStyle name="Normal 2 2 8 19" xfId="32005"/>
    <cellStyle name="Normal 2 2 8 2" xfId="32006"/>
    <cellStyle name="Normal 2 2 8 20" xfId="32007"/>
    <cellStyle name="Normal 2 2 8 21" xfId="32008"/>
    <cellStyle name="Normal 2 2 8 22" xfId="32009"/>
    <cellStyle name="Normal 2 2 8 3" xfId="32010"/>
    <cellStyle name="Normal 2 2 8 4" xfId="32011"/>
    <cellStyle name="Normal 2 2 8 5" xfId="32012"/>
    <cellStyle name="Normal 2 2 8 6" xfId="32013"/>
    <cellStyle name="Normal 2 2 8 7" xfId="32014"/>
    <cellStyle name="Normal 2 2 8 8" xfId="32015"/>
    <cellStyle name="Normal 2 2 8 9" xfId="32016"/>
    <cellStyle name="Normal 2 2 9" xfId="32017"/>
    <cellStyle name="Normal 2 2 9 10" xfId="32018"/>
    <cellStyle name="Normal 2 2 9 11" xfId="32019"/>
    <cellStyle name="Normal 2 2 9 12" xfId="32020"/>
    <cellStyle name="Normal 2 2 9 13" xfId="32021"/>
    <cellStyle name="Normal 2 2 9 14" xfId="32022"/>
    <cellStyle name="Normal 2 2 9 15" xfId="32023"/>
    <cellStyle name="Normal 2 2 9 16" xfId="32024"/>
    <cellStyle name="Normal 2 2 9 17" xfId="32025"/>
    <cellStyle name="Normal 2 2 9 18" xfId="32026"/>
    <cellStyle name="Normal 2 2 9 19" xfId="32027"/>
    <cellStyle name="Normal 2 2 9 2" xfId="32028"/>
    <cellStyle name="Normal 2 2 9 20" xfId="32029"/>
    <cellStyle name="Normal 2 2 9 3" xfId="32030"/>
    <cellStyle name="Normal 2 2 9 4" xfId="32031"/>
    <cellStyle name="Normal 2 2 9 5" xfId="32032"/>
    <cellStyle name="Normal 2 2 9 6" xfId="32033"/>
    <cellStyle name="Normal 2 2 9 7" xfId="32034"/>
    <cellStyle name="Normal 2 2 9 8" xfId="32035"/>
    <cellStyle name="Normal 2 2 9 9" xfId="32036"/>
    <cellStyle name="Normal 2 2 9_Sheet1" xfId="32037"/>
    <cellStyle name="Normal 2 2_RAB Tahap I-Rev1" xfId="32038"/>
    <cellStyle name="Normal 2 20" xfId="32039"/>
    <cellStyle name="Normal 2 21" xfId="32040"/>
    <cellStyle name="Normal 2 22" xfId="32041"/>
    <cellStyle name="Normal 2 23" xfId="32042"/>
    <cellStyle name="Normal 2 24" xfId="32043"/>
    <cellStyle name="Normal 2 25" xfId="32044"/>
    <cellStyle name="Normal 2 26" xfId="32045"/>
    <cellStyle name="Normal 2 27" xfId="32046"/>
    <cellStyle name="Normal 2 28" xfId="32047"/>
    <cellStyle name="Normal 2 29" xfId="32048"/>
    <cellStyle name="Normal 2 3" xfId="32049"/>
    <cellStyle name="Normal 2 3 10" xfId="32050"/>
    <cellStyle name="Normal 2 3 11" xfId="32051"/>
    <cellStyle name="Normal 2 3 12" xfId="32052"/>
    <cellStyle name="Normal 2 3 13" xfId="32053"/>
    <cellStyle name="Normal 2 3 14" xfId="32054"/>
    <cellStyle name="Normal 2 3 15" xfId="32055"/>
    <cellStyle name="Normal 2 3 16" xfId="32056"/>
    <cellStyle name="Normal 2 3 17" xfId="32057"/>
    <cellStyle name="Normal 2 3 18" xfId="32058"/>
    <cellStyle name="Normal 2 3 19" xfId="32059"/>
    <cellStyle name="Normal 2 3 2" xfId="32060"/>
    <cellStyle name="Normal 2 3 2 10" xfId="32061"/>
    <cellStyle name="Normal 2 3 2 11" xfId="32062"/>
    <cellStyle name="Normal 2 3 2 12" xfId="32063"/>
    <cellStyle name="Normal 2 3 2 13" xfId="32064"/>
    <cellStyle name="Normal 2 3 2 14" xfId="32065"/>
    <cellStyle name="Normal 2 3 2 15" xfId="32066"/>
    <cellStyle name="Normal 2 3 2 16" xfId="32067"/>
    <cellStyle name="Normal 2 3 2 17" xfId="32068"/>
    <cellStyle name="Normal 2 3 2 2" xfId="32069"/>
    <cellStyle name="Normal 2 3 2 2 10" xfId="32070"/>
    <cellStyle name="Normal 2 3 2 2 11" xfId="32071"/>
    <cellStyle name="Normal 2 3 2 2 12" xfId="32072"/>
    <cellStyle name="Normal 2 3 2 2 13" xfId="32073"/>
    <cellStyle name="Normal 2 3 2 2 14" xfId="32074"/>
    <cellStyle name="Normal 2 3 2 2 15" xfId="32075"/>
    <cellStyle name="Normal 2 3 2 2 16" xfId="32076"/>
    <cellStyle name="Normal 2 3 2 2 17" xfId="32077"/>
    <cellStyle name="Normal 2 3 2 2 18" xfId="32078"/>
    <cellStyle name="Normal 2 3 2 2 19" xfId="32079"/>
    <cellStyle name="Normal 2 3 2 2 2" xfId="32080"/>
    <cellStyle name="Normal 2 3 2 2 2 10" xfId="32081"/>
    <cellStyle name="Normal 2 3 2 2 2 11" xfId="32082"/>
    <cellStyle name="Normal 2 3 2 2 2 12" xfId="32083"/>
    <cellStyle name="Normal 2 3 2 2 2 13" xfId="32084"/>
    <cellStyle name="Normal 2 3 2 2 2 14" xfId="32085"/>
    <cellStyle name="Normal 2 3 2 2 2 15" xfId="32086"/>
    <cellStyle name="Normal 2 3 2 2 2 2" xfId="32087"/>
    <cellStyle name="Normal 2 3 2 2 2 2 10" xfId="32088"/>
    <cellStyle name="Normal 2 3 2 2 2 2 11" xfId="32089"/>
    <cellStyle name="Normal 2 3 2 2 2 2 12" xfId="32090"/>
    <cellStyle name="Normal 2 3 2 2 2 2 13" xfId="32091"/>
    <cellStyle name="Normal 2 3 2 2 2 2 14" xfId="32092"/>
    <cellStyle name="Normal 2 3 2 2 2 2 15" xfId="32093"/>
    <cellStyle name="Normal 2 3 2 2 2 2 16" xfId="32094"/>
    <cellStyle name="Normal 2 3 2 2 2 2 17" xfId="32095"/>
    <cellStyle name="Normal 2 3 2 2 2 2 18" xfId="32096"/>
    <cellStyle name="Normal 2 3 2 2 2 2 19" xfId="32097"/>
    <cellStyle name="Normal 2 3 2 2 2 2 2" xfId="32098"/>
    <cellStyle name="Normal 2 3 2 2 2 2 2 10" xfId="32099"/>
    <cellStyle name="Normal 2 3 2 2 2 2 2 11" xfId="32100"/>
    <cellStyle name="Normal 2 3 2 2 2 2 2 12" xfId="32101"/>
    <cellStyle name="Normal 2 3 2 2 2 2 2 13" xfId="32102"/>
    <cellStyle name="Normal 2 3 2 2 2 2 2 14" xfId="32103"/>
    <cellStyle name="Normal 2 3 2 2 2 2 2 2" xfId="32104"/>
    <cellStyle name="Normal 2 3 2 2 2 2 2 2 10" xfId="32105"/>
    <cellStyle name="Normal 2 3 2 2 2 2 2 2 11" xfId="32106"/>
    <cellStyle name="Normal 2 3 2 2 2 2 2 2 12" xfId="32107"/>
    <cellStyle name="Normal 2 3 2 2 2 2 2 2 13" xfId="32108"/>
    <cellStyle name="Normal 2 3 2 2 2 2 2 2 14" xfId="32109"/>
    <cellStyle name="Normal 2 3 2 2 2 2 2 2 15" xfId="32110"/>
    <cellStyle name="Normal 2 3 2 2 2 2 2 2 16" xfId="32111"/>
    <cellStyle name="Normal 2 3 2 2 2 2 2 2 17" xfId="32112"/>
    <cellStyle name="Normal 2 3 2 2 2 2 2 2 18" xfId="32113"/>
    <cellStyle name="Normal 2 3 2 2 2 2 2 2 19" xfId="32114"/>
    <cellStyle name="Normal 2 3 2 2 2 2 2 2 2" xfId="32115"/>
    <cellStyle name="Normal 2 3 2 2 2 2 2 2 2 2" xfId="32116"/>
    <cellStyle name="Normal 2 3 2 2 2 2 2 2 2 2 10" xfId="32117"/>
    <cellStyle name="Normal 2 3 2 2 2 2 2 2 2 2 11" xfId="32118"/>
    <cellStyle name="Normal 2 3 2 2 2 2 2 2 2 2 12" xfId="32119"/>
    <cellStyle name="Normal 2 3 2 2 2 2 2 2 2 2 13" xfId="32120"/>
    <cellStyle name="Normal 2 3 2 2 2 2 2 2 2 2 14" xfId="32121"/>
    <cellStyle name="Normal 2 3 2 2 2 2 2 2 2 2 15" xfId="32122"/>
    <cellStyle name="Normal 2 3 2 2 2 2 2 2 2 2 16" xfId="32123"/>
    <cellStyle name="Normal 2 3 2 2 2 2 2 2 2 2 17" xfId="32124"/>
    <cellStyle name="Normal 2 3 2 2 2 2 2 2 2 2 18" xfId="32125"/>
    <cellStyle name="Normal 2 3 2 2 2 2 2 2 2 2 19" xfId="32126"/>
    <cellStyle name="Normal 2 3 2 2 2 2 2 2 2 2 2" xfId="32127"/>
    <cellStyle name="Normal 2 3 2 2 2 2 2 2 2 2 3" xfId="32128"/>
    <cellStyle name="Normal 2 3 2 2 2 2 2 2 2 2 4" xfId="32129"/>
    <cellStyle name="Normal 2 3 2 2 2 2 2 2 2 2 5" xfId="32130"/>
    <cellStyle name="Normal 2 3 2 2 2 2 2 2 2 2 6" xfId="32131"/>
    <cellStyle name="Normal 2 3 2 2 2 2 2 2 2 2 7" xfId="32132"/>
    <cellStyle name="Normal 2 3 2 2 2 2 2 2 2 2 8" xfId="32133"/>
    <cellStyle name="Normal 2 3 2 2 2 2 2 2 2 2 9" xfId="32134"/>
    <cellStyle name="Normal 2 3 2 2 2 2 2 2 2 2_Sheet1" xfId="32135"/>
    <cellStyle name="Normal 2 3 2 2 2 2 2 2 20" xfId="32136"/>
    <cellStyle name="Normal 2 3 2 2 2 2 2 2 3" xfId="32137"/>
    <cellStyle name="Normal 2 3 2 2 2 2 2 2 4" xfId="32138"/>
    <cellStyle name="Normal 2 3 2 2 2 2 2 2 5" xfId="32139"/>
    <cellStyle name="Normal 2 3 2 2 2 2 2 2 6" xfId="32140"/>
    <cellStyle name="Normal 2 3 2 2 2 2 2 2 7" xfId="32141"/>
    <cellStyle name="Normal 2 3 2 2 2 2 2 2 8" xfId="32142"/>
    <cellStyle name="Normal 2 3 2 2 2 2 2 2 9" xfId="32143"/>
    <cellStyle name="Normal 2 3 2 2 2 2 2 2_Sheet1" xfId="32144"/>
    <cellStyle name="Normal 2 3 2 2 2 2 2 3" xfId="32145"/>
    <cellStyle name="Normal 2 3 2 2 2 2 2 3 10" xfId="32146"/>
    <cellStyle name="Normal 2 3 2 2 2 2 2 3 11" xfId="32147"/>
    <cellStyle name="Normal 2 3 2 2 2 2 2 3 12" xfId="32148"/>
    <cellStyle name="Normal 2 3 2 2 2 2 2 3 13" xfId="32149"/>
    <cellStyle name="Normal 2 3 2 2 2 2 2 3 14" xfId="32150"/>
    <cellStyle name="Normal 2 3 2 2 2 2 2 3 15" xfId="32151"/>
    <cellStyle name="Normal 2 3 2 2 2 2 2 3 16" xfId="32152"/>
    <cellStyle name="Normal 2 3 2 2 2 2 2 3 17" xfId="32153"/>
    <cellStyle name="Normal 2 3 2 2 2 2 2 3 18" xfId="32154"/>
    <cellStyle name="Normal 2 3 2 2 2 2 2 3 19" xfId="32155"/>
    <cellStyle name="Normal 2 3 2 2 2 2 2 3 2" xfId="32156"/>
    <cellStyle name="Normal 2 3 2 2 2 2 2 3 3" xfId="32157"/>
    <cellStyle name="Normal 2 3 2 2 2 2 2 3 4" xfId="32158"/>
    <cellStyle name="Normal 2 3 2 2 2 2 2 3 5" xfId="32159"/>
    <cellStyle name="Normal 2 3 2 2 2 2 2 3 6" xfId="32160"/>
    <cellStyle name="Normal 2 3 2 2 2 2 2 3 7" xfId="32161"/>
    <cellStyle name="Normal 2 3 2 2 2 2 2 3 8" xfId="32162"/>
    <cellStyle name="Normal 2 3 2 2 2 2 2 3 9" xfId="32163"/>
    <cellStyle name="Normal 2 3 2 2 2 2 2 3_Sheet1" xfId="32164"/>
    <cellStyle name="Normal 2 3 2 2 2 2 2 4" xfId="32165"/>
    <cellStyle name="Normal 2 3 2 2 2 2 2 5" xfId="32166"/>
    <cellStyle name="Normal 2 3 2 2 2 2 2 6" xfId="32167"/>
    <cellStyle name="Normal 2 3 2 2 2 2 2 7" xfId="32168"/>
    <cellStyle name="Normal 2 3 2 2 2 2 2 8" xfId="32169"/>
    <cellStyle name="Normal 2 3 2 2 2 2 2 9" xfId="32170"/>
    <cellStyle name="Normal 2 3 2 2 2 2 20" xfId="32171"/>
    <cellStyle name="Normal 2 3 2 2 2 2 21" xfId="32172"/>
    <cellStyle name="Normal 2 3 2 2 2 2 22" xfId="32173"/>
    <cellStyle name="Normal 2 3 2 2 2 2 3" xfId="32174"/>
    <cellStyle name="Normal 2 3 2 2 2 2 3 10" xfId="32175"/>
    <cellStyle name="Normal 2 3 2 2 2 2 3 11" xfId="32176"/>
    <cellStyle name="Normal 2 3 2 2 2 2 3 12" xfId="32177"/>
    <cellStyle name="Normal 2 3 2 2 2 2 3 13" xfId="32178"/>
    <cellStyle name="Normal 2 3 2 2 2 2 3 2" xfId="32179"/>
    <cellStyle name="Normal 2 3 2 2 2 2 3 3" xfId="32180"/>
    <cellStyle name="Normal 2 3 2 2 2 2 3 4" xfId="32181"/>
    <cellStyle name="Normal 2 3 2 2 2 2 3 5" xfId="32182"/>
    <cellStyle name="Normal 2 3 2 2 2 2 3 6" xfId="32183"/>
    <cellStyle name="Normal 2 3 2 2 2 2 3 7" xfId="32184"/>
    <cellStyle name="Normal 2 3 2 2 2 2 3 8" xfId="32185"/>
    <cellStyle name="Normal 2 3 2 2 2 2 3 9" xfId="32186"/>
    <cellStyle name="Normal 2 3 2 2 2 2 4" xfId="32187"/>
    <cellStyle name="Normal 2 3 2 2 2 2 4 2" xfId="32188"/>
    <cellStyle name="Normal 2 3 2 2 2 2 4 2 10" xfId="32189"/>
    <cellStyle name="Normal 2 3 2 2 2 2 4 2 11" xfId="32190"/>
    <cellStyle name="Normal 2 3 2 2 2 2 4 2 12" xfId="32191"/>
    <cellStyle name="Normal 2 3 2 2 2 2 4 2 13" xfId="32192"/>
    <cellStyle name="Normal 2 3 2 2 2 2 4 2 14" xfId="32193"/>
    <cellStyle name="Normal 2 3 2 2 2 2 4 2 15" xfId="32194"/>
    <cellStyle name="Normal 2 3 2 2 2 2 4 2 16" xfId="32195"/>
    <cellStyle name="Normal 2 3 2 2 2 2 4 2 17" xfId="32196"/>
    <cellStyle name="Normal 2 3 2 2 2 2 4 2 18" xfId="32197"/>
    <cellStyle name="Normal 2 3 2 2 2 2 4 2 19" xfId="32198"/>
    <cellStyle name="Normal 2 3 2 2 2 2 4 2 2" xfId="32199"/>
    <cellStyle name="Normal 2 3 2 2 2 2 4 2 3" xfId="32200"/>
    <cellStyle name="Normal 2 3 2 2 2 2 4 2 4" xfId="32201"/>
    <cellStyle name="Normal 2 3 2 2 2 2 4 2 5" xfId="32202"/>
    <cellStyle name="Normal 2 3 2 2 2 2 4 2 6" xfId="32203"/>
    <cellStyle name="Normal 2 3 2 2 2 2 4 2 7" xfId="32204"/>
    <cellStyle name="Normal 2 3 2 2 2 2 4 2 8" xfId="32205"/>
    <cellStyle name="Normal 2 3 2 2 2 2 4 2 9" xfId="32206"/>
    <cellStyle name="Normal 2 3 2 2 2 2 4 2_Sheet1" xfId="32207"/>
    <cellStyle name="Normal 2 3 2 2 2 2 5" xfId="32208"/>
    <cellStyle name="Normal 2 3 2 2 2 2 6" xfId="32209"/>
    <cellStyle name="Normal 2 3 2 2 2 2 7" xfId="32210"/>
    <cellStyle name="Normal 2 3 2 2 2 2 8" xfId="32211"/>
    <cellStyle name="Normal 2 3 2 2 2 2 9" xfId="32212"/>
    <cellStyle name="Normal 2 3 2 2 2 2_Sheet1" xfId="32213"/>
    <cellStyle name="Normal 2 3 2 2 2 3" xfId="32214"/>
    <cellStyle name="Normal 2 3 2 2 2 3 10" xfId="32215"/>
    <cellStyle name="Normal 2 3 2 2 2 3 11" xfId="32216"/>
    <cellStyle name="Normal 2 3 2 2 2 3 12" xfId="32217"/>
    <cellStyle name="Normal 2 3 2 2 2 3 13" xfId="32218"/>
    <cellStyle name="Normal 2 3 2 2 2 3 14" xfId="32219"/>
    <cellStyle name="Normal 2 3 2 2 2 3 15" xfId="32220"/>
    <cellStyle name="Normal 2 3 2 2 2 3 16" xfId="32221"/>
    <cellStyle name="Normal 2 3 2 2 2 3 17" xfId="32222"/>
    <cellStyle name="Normal 2 3 2 2 2 3 18" xfId="32223"/>
    <cellStyle name="Normal 2 3 2 2 2 3 19" xfId="32224"/>
    <cellStyle name="Normal 2 3 2 2 2 3 2" xfId="32225"/>
    <cellStyle name="Normal 2 3 2 2 2 3 2 2" xfId="32226"/>
    <cellStyle name="Normal 2 3 2 2 2 3 2 2 10" xfId="32227"/>
    <cellStyle name="Normal 2 3 2 2 2 3 2 2 11" xfId="32228"/>
    <cellStyle name="Normal 2 3 2 2 2 3 2 2 12" xfId="32229"/>
    <cellStyle name="Normal 2 3 2 2 2 3 2 2 13" xfId="32230"/>
    <cellStyle name="Normal 2 3 2 2 2 3 2 2 14" xfId="32231"/>
    <cellStyle name="Normal 2 3 2 2 2 3 2 2 15" xfId="32232"/>
    <cellStyle name="Normal 2 3 2 2 2 3 2 2 16" xfId="32233"/>
    <cellStyle name="Normal 2 3 2 2 2 3 2 2 17" xfId="32234"/>
    <cellStyle name="Normal 2 3 2 2 2 3 2 2 18" xfId="32235"/>
    <cellStyle name="Normal 2 3 2 2 2 3 2 2 19" xfId="32236"/>
    <cellStyle name="Normal 2 3 2 2 2 3 2 2 2" xfId="32237"/>
    <cellStyle name="Normal 2 3 2 2 2 3 2 2 2 2" xfId="32238"/>
    <cellStyle name="Normal 2 3 2 2 2 3 2 2 2 2 10" xfId="32239"/>
    <cellStyle name="Normal 2 3 2 2 2 3 2 2 2 2 11" xfId="32240"/>
    <cellStyle name="Normal 2 3 2 2 2 3 2 2 2 2 12" xfId="32241"/>
    <cellStyle name="Normal 2 3 2 2 2 3 2 2 2 2 13" xfId="32242"/>
    <cellStyle name="Normal 2 3 2 2 2 3 2 2 2 2 14" xfId="32243"/>
    <cellStyle name="Normal 2 3 2 2 2 3 2 2 2 2 15" xfId="32244"/>
    <cellStyle name="Normal 2 3 2 2 2 3 2 2 2 2 16" xfId="32245"/>
    <cellStyle name="Normal 2 3 2 2 2 3 2 2 2 2 17" xfId="32246"/>
    <cellStyle name="Normal 2 3 2 2 2 3 2 2 2 2 18" xfId="32247"/>
    <cellStyle name="Normal 2 3 2 2 2 3 2 2 2 2 2" xfId="32248"/>
    <cellStyle name="Normal 2 3 2 2 2 3 2 2 2 2 3" xfId="32249"/>
    <cellStyle name="Normal 2 3 2 2 2 3 2 2 2 2 4" xfId="32250"/>
    <cellStyle name="Normal 2 3 2 2 2 3 2 2 2 2 5" xfId="32251"/>
    <cellStyle name="Normal 2 3 2 2 2 3 2 2 2 2 6" xfId="32252"/>
    <cellStyle name="Normal 2 3 2 2 2 3 2 2 2 2 7" xfId="32253"/>
    <cellStyle name="Normal 2 3 2 2 2 3 2 2 2 2 8" xfId="32254"/>
    <cellStyle name="Normal 2 3 2 2 2 3 2 2 2 2 9" xfId="32255"/>
    <cellStyle name="Normal 2 3 2 2 2 3 2 2 2 2_Sheet1" xfId="32256"/>
    <cellStyle name="Normal 2 3 2 2 2 3 2 2 3" xfId="32257"/>
    <cellStyle name="Normal 2 3 2 2 2 3 2 2 4" xfId="32258"/>
    <cellStyle name="Normal 2 3 2 2 2 3 2 2 5" xfId="32259"/>
    <cellStyle name="Normal 2 3 2 2 2 3 2 2 6" xfId="32260"/>
    <cellStyle name="Normal 2 3 2 2 2 3 2 2 7" xfId="32261"/>
    <cellStyle name="Normal 2 3 2 2 2 3 2 2 8" xfId="32262"/>
    <cellStyle name="Normal 2 3 2 2 2 3 2 2 9" xfId="32263"/>
    <cellStyle name="Normal 2 3 2 2 2 3 2 2_Sheet1" xfId="32264"/>
    <cellStyle name="Normal 2 3 2 2 2 3 2 3" xfId="32265"/>
    <cellStyle name="Normal 2 3 2 2 2 3 2 3 10" xfId="32266"/>
    <cellStyle name="Normal 2 3 2 2 2 3 2 3 11" xfId="32267"/>
    <cellStyle name="Normal 2 3 2 2 2 3 2 3 12" xfId="32268"/>
    <cellStyle name="Normal 2 3 2 2 2 3 2 3 13" xfId="32269"/>
    <cellStyle name="Normal 2 3 2 2 2 3 2 3 14" xfId="32270"/>
    <cellStyle name="Normal 2 3 2 2 2 3 2 3 15" xfId="32271"/>
    <cellStyle name="Normal 2 3 2 2 2 3 2 3 16" xfId="32272"/>
    <cellStyle name="Normal 2 3 2 2 2 3 2 3 17" xfId="32273"/>
    <cellStyle name="Normal 2 3 2 2 2 3 2 3 18" xfId="32274"/>
    <cellStyle name="Normal 2 3 2 2 2 3 2 3 2" xfId="32275"/>
    <cellStyle name="Normal 2 3 2 2 2 3 2 3 3" xfId="32276"/>
    <cellStyle name="Normal 2 3 2 2 2 3 2 3 4" xfId="32277"/>
    <cellStyle name="Normal 2 3 2 2 2 3 2 3 5" xfId="32278"/>
    <cellStyle name="Normal 2 3 2 2 2 3 2 3 6" xfId="32279"/>
    <cellStyle name="Normal 2 3 2 2 2 3 2 3 7" xfId="32280"/>
    <cellStyle name="Normal 2 3 2 2 2 3 2 3 8" xfId="32281"/>
    <cellStyle name="Normal 2 3 2 2 2 3 2 3 9" xfId="32282"/>
    <cellStyle name="Normal 2 3 2 2 2 3 2 3_Sheet1" xfId="32283"/>
    <cellStyle name="Normal 2 3 2 2 2 3 20" xfId="32284"/>
    <cellStyle name="Normal 2 3 2 2 2 3 3" xfId="32285"/>
    <cellStyle name="Normal 2 3 2 2 2 3 3 2" xfId="32286"/>
    <cellStyle name="Normal 2 3 2 2 2 3 3 2 10" xfId="32287"/>
    <cellStyle name="Normal 2 3 2 2 2 3 3 2 11" xfId="32288"/>
    <cellStyle name="Normal 2 3 2 2 2 3 3 2 12" xfId="32289"/>
    <cellStyle name="Normal 2 3 2 2 2 3 3 2 13" xfId="32290"/>
    <cellStyle name="Normal 2 3 2 2 2 3 3 2 14" xfId="32291"/>
    <cellStyle name="Normal 2 3 2 2 2 3 3 2 15" xfId="32292"/>
    <cellStyle name="Normal 2 3 2 2 2 3 3 2 16" xfId="32293"/>
    <cellStyle name="Normal 2 3 2 2 2 3 3 2 17" xfId="32294"/>
    <cellStyle name="Normal 2 3 2 2 2 3 3 2 18" xfId="32295"/>
    <cellStyle name="Normal 2 3 2 2 2 3 3 2 2" xfId="32296"/>
    <cellStyle name="Normal 2 3 2 2 2 3 3 2 3" xfId="32297"/>
    <cellStyle name="Normal 2 3 2 2 2 3 3 2 4" xfId="32298"/>
    <cellStyle name="Normal 2 3 2 2 2 3 3 2 5" xfId="32299"/>
    <cellStyle name="Normal 2 3 2 2 2 3 3 2 6" xfId="32300"/>
    <cellStyle name="Normal 2 3 2 2 2 3 3 2 7" xfId="32301"/>
    <cellStyle name="Normal 2 3 2 2 2 3 3 2 8" xfId="32302"/>
    <cellStyle name="Normal 2 3 2 2 2 3 3 2 9" xfId="32303"/>
    <cellStyle name="Normal 2 3 2 2 2 3 3 2_Sheet1" xfId="32304"/>
    <cellStyle name="Normal 2 3 2 2 2 3 4" xfId="32305"/>
    <cellStyle name="Normal 2 3 2 2 2 3 5" xfId="32306"/>
    <cellStyle name="Normal 2 3 2 2 2 3 6" xfId="32307"/>
    <cellStyle name="Normal 2 3 2 2 2 3 7" xfId="32308"/>
    <cellStyle name="Normal 2 3 2 2 2 3 8" xfId="32309"/>
    <cellStyle name="Normal 2 3 2 2 2 3 9" xfId="32310"/>
    <cellStyle name="Normal 2 3 2 2 2 3_Sheet1" xfId="32311"/>
    <cellStyle name="Normal 2 3 2 2 2 4" xfId="32312"/>
    <cellStyle name="Normal 2 3 2 2 2 4 10" xfId="32313"/>
    <cellStyle name="Normal 2 3 2 2 2 4 11" xfId="32314"/>
    <cellStyle name="Normal 2 3 2 2 2 4 12" xfId="32315"/>
    <cellStyle name="Normal 2 3 2 2 2 4 13" xfId="32316"/>
    <cellStyle name="Normal 2 3 2 2 2 4 14" xfId="32317"/>
    <cellStyle name="Normal 2 3 2 2 2 4 15" xfId="32318"/>
    <cellStyle name="Normal 2 3 2 2 2 4 16" xfId="32319"/>
    <cellStyle name="Normal 2 3 2 2 2 4 17" xfId="32320"/>
    <cellStyle name="Normal 2 3 2 2 2 4 18" xfId="32321"/>
    <cellStyle name="Normal 2 3 2 2 2 4 19" xfId="32322"/>
    <cellStyle name="Normal 2 3 2 2 2 4 2" xfId="32323"/>
    <cellStyle name="Normal 2 3 2 2 2 4 2 2" xfId="32324"/>
    <cellStyle name="Normal 2 3 2 2 2 4 2 2 10" xfId="32325"/>
    <cellStyle name="Normal 2 3 2 2 2 4 2 2 11" xfId="32326"/>
    <cellStyle name="Normal 2 3 2 2 2 4 2 2 12" xfId="32327"/>
    <cellStyle name="Normal 2 3 2 2 2 4 2 2 13" xfId="32328"/>
    <cellStyle name="Normal 2 3 2 2 2 4 2 2 14" xfId="32329"/>
    <cellStyle name="Normal 2 3 2 2 2 4 2 2 15" xfId="32330"/>
    <cellStyle name="Normal 2 3 2 2 2 4 2 2 16" xfId="32331"/>
    <cellStyle name="Normal 2 3 2 2 2 4 2 2 17" xfId="32332"/>
    <cellStyle name="Normal 2 3 2 2 2 4 2 2 18" xfId="32333"/>
    <cellStyle name="Normal 2 3 2 2 2 4 2 2 2" xfId="32334"/>
    <cellStyle name="Normal 2 3 2 2 2 4 2 2 3" xfId="32335"/>
    <cellStyle name="Normal 2 3 2 2 2 4 2 2 4" xfId="32336"/>
    <cellStyle name="Normal 2 3 2 2 2 4 2 2 5" xfId="32337"/>
    <cellStyle name="Normal 2 3 2 2 2 4 2 2 6" xfId="32338"/>
    <cellStyle name="Normal 2 3 2 2 2 4 2 2 7" xfId="32339"/>
    <cellStyle name="Normal 2 3 2 2 2 4 2 2 8" xfId="32340"/>
    <cellStyle name="Normal 2 3 2 2 2 4 2 2 9" xfId="32341"/>
    <cellStyle name="Normal 2 3 2 2 2 4 2 2_Sheet1" xfId="32342"/>
    <cellStyle name="Normal 2 3 2 2 2 4 3" xfId="32343"/>
    <cellStyle name="Normal 2 3 2 2 2 4 4" xfId="32344"/>
    <cellStyle name="Normal 2 3 2 2 2 4 5" xfId="32345"/>
    <cellStyle name="Normal 2 3 2 2 2 4 6" xfId="32346"/>
    <cellStyle name="Normal 2 3 2 2 2 4 7" xfId="32347"/>
    <cellStyle name="Normal 2 3 2 2 2 4 8" xfId="32348"/>
    <cellStyle name="Normal 2 3 2 2 2 4 9" xfId="32349"/>
    <cellStyle name="Normal 2 3 2 2 2 4_Sheet1" xfId="32350"/>
    <cellStyle name="Normal 2 3 2 2 2 5" xfId="32351"/>
    <cellStyle name="Normal 2 3 2 2 2 5 10" xfId="32352"/>
    <cellStyle name="Normal 2 3 2 2 2 5 11" xfId="32353"/>
    <cellStyle name="Normal 2 3 2 2 2 5 12" xfId="32354"/>
    <cellStyle name="Normal 2 3 2 2 2 5 13" xfId="32355"/>
    <cellStyle name="Normal 2 3 2 2 2 5 14" xfId="32356"/>
    <cellStyle name="Normal 2 3 2 2 2 5 15" xfId="32357"/>
    <cellStyle name="Normal 2 3 2 2 2 5 16" xfId="32358"/>
    <cellStyle name="Normal 2 3 2 2 2 5 17" xfId="32359"/>
    <cellStyle name="Normal 2 3 2 2 2 5 18" xfId="32360"/>
    <cellStyle name="Normal 2 3 2 2 2 5 2" xfId="32361"/>
    <cellStyle name="Normal 2 3 2 2 2 5 3" xfId="32362"/>
    <cellStyle name="Normal 2 3 2 2 2 5 4" xfId="32363"/>
    <cellStyle name="Normal 2 3 2 2 2 5 5" xfId="32364"/>
    <cellStyle name="Normal 2 3 2 2 2 5 6" xfId="32365"/>
    <cellStyle name="Normal 2 3 2 2 2 5 7" xfId="32366"/>
    <cellStyle name="Normal 2 3 2 2 2 5 8" xfId="32367"/>
    <cellStyle name="Normal 2 3 2 2 2 5 9" xfId="32368"/>
    <cellStyle name="Normal 2 3 2 2 2 5_Sheet1" xfId="32369"/>
    <cellStyle name="Normal 2 3 2 2 2 6" xfId="32370"/>
    <cellStyle name="Normal 2 3 2 2 2 7" xfId="32371"/>
    <cellStyle name="Normal 2 3 2 2 2 8" xfId="32372"/>
    <cellStyle name="Normal 2 3 2 2 2 9" xfId="32373"/>
    <cellStyle name="Normal 2 3 2 2 20" xfId="32374"/>
    <cellStyle name="Normal 2 3 2 2 21" xfId="32375"/>
    <cellStyle name="Normal 2 3 2 2 22" xfId="32376"/>
    <cellStyle name="Normal 2 3 2 2 23" xfId="32377"/>
    <cellStyle name="Normal 2 3 2 2 24" xfId="32378"/>
    <cellStyle name="Normal 2 3 2 2 25" xfId="32379"/>
    <cellStyle name="Normal 2 3 2 2 26" xfId="32380"/>
    <cellStyle name="Normal 2 3 2 2 27" xfId="32381"/>
    <cellStyle name="Normal 2 3 2 2 28" xfId="32382"/>
    <cellStyle name="Normal 2 3 2 2 3" xfId="32383"/>
    <cellStyle name="Normal 2 3 2 2 3 10" xfId="32384"/>
    <cellStyle name="Normal 2 3 2 2 3 11" xfId="32385"/>
    <cellStyle name="Normal 2 3 2 2 3 12" xfId="32386"/>
    <cellStyle name="Normal 2 3 2 2 3 13" xfId="32387"/>
    <cellStyle name="Normal 2 3 2 2 3 14" xfId="32388"/>
    <cellStyle name="Normal 2 3 2 2 3 15" xfId="32389"/>
    <cellStyle name="Normal 2 3 2 2 3 2" xfId="32390"/>
    <cellStyle name="Normal 2 3 2 2 3 2 10" xfId="32391"/>
    <cellStyle name="Normal 2 3 2 2 3 2 11" xfId="32392"/>
    <cellStyle name="Normal 2 3 2 2 3 2 12" xfId="32393"/>
    <cellStyle name="Normal 2 3 2 2 3 2 13" xfId="32394"/>
    <cellStyle name="Normal 2 3 2 2 3 2 14" xfId="32395"/>
    <cellStyle name="Normal 2 3 2 2 3 2 15" xfId="32396"/>
    <cellStyle name="Normal 2 3 2 2 3 2 16" xfId="32397"/>
    <cellStyle name="Normal 2 3 2 2 3 2 17" xfId="32398"/>
    <cellStyle name="Normal 2 3 2 2 3 2 18" xfId="32399"/>
    <cellStyle name="Normal 2 3 2 2 3 2 19" xfId="32400"/>
    <cellStyle name="Normal 2 3 2 2 3 2 2" xfId="32401"/>
    <cellStyle name="Normal 2 3 2 2 3 2 2 10" xfId="32402"/>
    <cellStyle name="Normal 2 3 2 2 3 2 2 11" xfId="32403"/>
    <cellStyle name="Normal 2 3 2 2 3 2 2 12" xfId="32404"/>
    <cellStyle name="Normal 2 3 2 2 3 2 2 13" xfId="32405"/>
    <cellStyle name="Normal 2 3 2 2 3 2 2 14" xfId="32406"/>
    <cellStyle name="Normal 2 3 2 2 3 2 2 2" xfId="32407"/>
    <cellStyle name="Normal 2 3 2 2 3 2 2 2 10" xfId="32408"/>
    <cellStyle name="Normal 2 3 2 2 3 2 2 2 11" xfId="32409"/>
    <cellStyle name="Normal 2 3 2 2 3 2 2 2 12" xfId="32410"/>
    <cellStyle name="Normal 2 3 2 2 3 2 2 2 13" xfId="32411"/>
    <cellStyle name="Normal 2 3 2 2 3 2 2 2 14" xfId="32412"/>
    <cellStyle name="Normal 2 3 2 2 3 2 2 2 15" xfId="32413"/>
    <cellStyle name="Normal 2 3 2 2 3 2 2 2 16" xfId="32414"/>
    <cellStyle name="Normal 2 3 2 2 3 2 2 2 17" xfId="32415"/>
    <cellStyle name="Normal 2 3 2 2 3 2 2 2 18" xfId="32416"/>
    <cellStyle name="Normal 2 3 2 2 3 2 2 2 19" xfId="32417"/>
    <cellStyle name="Normal 2 3 2 2 3 2 2 2 2" xfId="32418"/>
    <cellStyle name="Normal 2 3 2 2 3 2 2 2 3" xfId="32419"/>
    <cellStyle name="Normal 2 3 2 2 3 2 2 2 4" xfId="32420"/>
    <cellStyle name="Normal 2 3 2 2 3 2 2 2 5" xfId="32421"/>
    <cellStyle name="Normal 2 3 2 2 3 2 2 2 6" xfId="32422"/>
    <cellStyle name="Normal 2 3 2 2 3 2 2 2 7" xfId="32423"/>
    <cellStyle name="Normal 2 3 2 2 3 2 2 2 8" xfId="32424"/>
    <cellStyle name="Normal 2 3 2 2 3 2 2 2 9" xfId="32425"/>
    <cellStyle name="Normal 2 3 2 2 3 2 2 2_Sheet1" xfId="32426"/>
    <cellStyle name="Normal 2 3 2 2 3 2 2 3" xfId="32427"/>
    <cellStyle name="Normal 2 3 2 2 3 2 2 4" xfId="32428"/>
    <cellStyle name="Normal 2 3 2 2 3 2 2 5" xfId="32429"/>
    <cellStyle name="Normal 2 3 2 2 3 2 2 6" xfId="32430"/>
    <cellStyle name="Normal 2 3 2 2 3 2 2 7" xfId="32431"/>
    <cellStyle name="Normal 2 3 2 2 3 2 2 8" xfId="32432"/>
    <cellStyle name="Normal 2 3 2 2 3 2 2 9" xfId="32433"/>
    <cellStyle name="Normal 2 3 2 2 3 2 20" xfId="32434"/>
    <cellStyle name="Normal 2 3 2 2 3 2 3" xfId="32435"/>
    <cellStyle name="Normal 2 3 2 2 3 2 3 10" xfId="32436"/>
    <cellStyle name="Normal 2 3 2 2 3 2 3 11" xfId="32437"/>
    <cellStyle name="Normal 2 3 2 2 3 2 3 12" xfId="32438"/>
    <cellStyle name="Normal 2 3 2 2 3 2 3 13" xfId="32439"/>
    <cellStyle name="Normal 2 3 2 2 3 2 3 2" xfId="32440"/>
    <cellStyle name="Normal 2 3 2 2 3 2 3 3" xfId="32441"/>
    <cellStyle name="Normal 2 3 2 2 3 2 3 4" xfId="32442"/>
    <cellStyle name="Normal 2 3 2 2 3 2 3 5" xfId="32443"/>
    <cellStyle name="Normal 2 3 2 2 3 2 3 6" xfId="32444"/>
    <cellStyle name="Normal 2 3 2 2 3 2 3 7" xfId="32445"/>
    <cellStyle name="Normal 2 3 2 2 3 2 3 8" xfId="32446"/>
    <cellStyle name="Normal 2 3 2 2 3 2 3 9" xfId="32447"/>
    <cellStyle name="Normal 2 3 2 2 3 2 4" xfId="32448"/>
    <cellStyle name="Normal 2 3 2 2 3 2 5" xfId="32449"/>
    <cellStyle name="Normal 2 3 2 2 3 2 6" xfId="32450"/>
    <cellStyle name="Normal 2 3 2 2 3 2 7" xfId="32451"/>
    <cellStyle name="Normal 2 3 2 2 3 2 8" xfId="32452"/>
    <cellStyle name="Normal 2 3 2 2 3 2 9" xfId="32453"/>
    <cellStyle name="Normal 2 3 2 2 3 2_Sheet1" xfId="32454"/>
    <cellStyle name="Normal 2 3 2 2 3 3" xfId="32455"/>
    <cellStyle name="Normal 2 3 2 2 3 3 10" xfId="32456"/>
    <cellStyle name="Normal 2 3 2 2 3 3 11" xfId="32457"/>
    <cellStyle name="Normal 2 3 2 2 3 3 12" xfId="32458"/>
    <cellStyle name="Normal 2 3 2 2 3 3 13" xfId="32459"/>
    <cellStyle name="Normal 2 3 2 2 3 3 14" xfId="32460"/>
    <cellStyle name="Normal 2 3 2 2 3 3 15" xfId="32461"/>
    <cellStyle name="Normal 2 3 2 2 3 3 16" xfId="32462"/>
    <cellStyle name="Normal 2 3 2 2 3 3 17" xfId="32463"/>
    <cellStyle name="Normal 2 3 2 2 3 3 18" xfId="32464"/>
    <cellStyle name="Normal 2 3 2 2 3 3 19" xfId="32465"/>
    <cellStyle name="Normal 2 3 2 2 3 3 2" xfId="32466"/>
    <cellStyle name="Normal 2 3 2 2 3 3 3" xfId="32467"/>
    <cellStyle name="Normal 2 3 2 2 3 3 4" xfId="32468"/>
    <cellStyle name="Normal 2 3 2 2 3 3 5" xfId="32469"/>
    <cellStyle name="Normal 2 3 2 2 3 3 6" xfId="32470"/>
    <cellStyle name="Normal 2 3 2 2 3 3 7" xfId="32471"/>
    <cellStyle name="Normal 2 3 2 2 3 3 8" xfId="32472"/>
    <cellStyle name="Normal 2 3 2 2 3 3 9" xfId="32473"/>
    <cellStyle name="Normal 2 3 2 2 3 3_Sheet1" xfId="32474"/>
    <cellStyle name="Normal 2 3 2 2 3 4" xfId="32475"/>
    <cellStyle name="Normal 2 3 2 2 3 5" xfId="32476"/>
    <cellStyle name="Normal 2 3 2 2 3 6" xfId="32477"/>
    <cellStyle name="Normal 2 3 2 2 3 7" xfId="32478"/>
    <cellStyle name="Normal 2 3 2 2 3 8" xfId="32479"/>
    <cellStyle name="Normal 2 3 2 2 3 9" xfId="32480"/>
    <cellStyle name="Normal 2 3 2 2 4" xfId="32481"/>
    <cellStyle name="Normal 2 3 2 2 4 10" xfId="32482"/>
    <cellStyle name="Normal 2 3 2 2 4 11" xfId="32483"/>
    <cellStyle name="Normal 2 3 2 2 4 12" xfId="32484"/>
    <cellStyle name="Normal 2 3 2 2 4 13" xfId="32485"/>
    <cellStyle name="Normal 2 3 2 2 4 14" xfId="32486"/>
    <cellStyle name="Normal 2 3 2 2 4 15" xfId="32487"/>
    <cellStyle name="Normal 2 3 2 2 4 2" xfId="32488"/>
    <cellStyle name="Normal 2 3 2 2 4 2 10" xfId="32489"/>
    <cellStyle name="Normal 2 3 2 2 4 2 11" xfId="32490"/>
    <cellStyle name="Normal 2 3 2 2 4 2 12" xfId="32491"/>
    <cellStyle name="Normal 2 3 2 2 4 2 13" xfId="32492"/>
    <cellStyle name="Normal 2 3 2 2 4 2 14" xfId="32493"/>
    <cellStyle name="Normal 2 3 2 2 4 2 15" xfId="32494"/>
    <cellStyle name="Normal 2 3 2 2 4 2 2" xfId="32495"/>
    <cellStyle name="Normal 2 3 2 2 4 2 2 10" xfId="32496"/>
    <cellStyle name="Normal 2 3 2 2 4 2 2 11" xfId="32497"/>
    <cellStyle name="Normal 2 3 2 2 4 2 2 12" xfId="32498"/>
    <cellStyle name="Normal 2 3 2 2 4 2 2 13" xfId="32499"/>
    <cellStyle name="Normal 2 3 2 2 4 2 2 14" xfId="32500"/>
    <cellStyle name="Normal 2 3 2 2 4 2 2 2" xfId="32501"/>
    <cellStyle name="Normal 2 3 2 2 4 2 2 2 10" xfId="32502"/>
    <cellStyle name="Normal 2 3 2 2 4 2 2 2 11" xfId="32503"/>
    <cellStyle name="Normal 2 3 2 2 4 2 2 2 12" xfId="32504"/>
    <cellStyle name="Normal 2 3 2 2 4 2 2 2 13" xfId="32505"/>
    <cellStyle name="Normal 2 3 2 2 4 2 2 2 2" xfId="32506"/>
    <cellStyle name="Normal 2 3 2 2 4 2 2 2 3" xfId="32507"/>
    <cellStyle name="Normal 2 3 2 2 4 2 2 2 4" xfId="32508"/>
    <cellStyle name="Normal 2 3 2 2 4 2 2 2 5" xfId="32509"/>
    <cellStyle name="Normal 2 3 2 2 4 2 2 2 6" xfId="32510"/>
    <cellStyle name="Normal 2 3 2 2 4 2 2 2 7" xfId="32511"/>
    <cellStyle name="Normal 2 3 2 2 4 2 2 2 8" xfId="32512"/>
    <cellStyle name="Normal 2 3 2 2 4 2 2 2 9" xfId="32513"/>
    <cellStyle name="Normal 2 3 2 2 4 2 2 3" xfId="32514"/>
    <cellStyle name="Normal 2 3 2 2 4 2 2 4" xfId="32515"/>
    <cellStyle name="Normal 2 3 2 2 4 2 2 5" xfId="32516"/>
    <cellStyle name="Normal 2 3 2 2 4 2 2 6" xfId="32517"/>
    <cellStyle name="Normal 2 3 2 2 4 2 2 7" xfId="32518"/>
    <cellStyle name="Normal 2 3 2 2 4 2 2 8" xfId="32519"/>
    <cellStyle name="Normal 2 3 2 2 4 2 2 9" xfId="32520"/>
    <cellStyle name="Normal 2 3 2 2 4 2 3" xfId="32521"/>
    <cellStyle name="Normal 2 3 2 2 4 2 3 10" xfId="32522"/>
    <cellStyle name="Normal 2 3 2 2 4 2 3 11" xfId="32523"/>
    <cellStyle name="Normal 2 3 2 2 4 2 3 12" xfId="32524"/>
    <cellStyle name="Normal 2 3 2 2 4 2 3 13" xfId="32525"/>
    <cellStyle name="Normal 2 3 2 2 4 2 3 2" xfId="32526"/>
    <cellStyle name="Normal 2 3 2 2 4 2 3 3" xfId="32527"/>
    <cellStyle name="Normal 2 3 2 2 4 2 3 4" xfId="32528"/>
    <cellStyle name="Normal 2 3 2 2 4 2 3 5" xfId="32529"/>
    <cellStyle name="Normal 2 3 2 2 4 2 3 6" xfId="32530"/>
    <cellStyle name="Normal 2 3 2 2 4 2 3 7" xfId="32531"/>
    <cellStyle name="Normal 2 3 2 2 4 2 3 8" xfId="32532"/>
    <cellStyle name="Normal 2 3 2 2 4 2 3 9" xfId="32533"/>
    <cellStyle name="Normal 2 3 2 2 4 2 4" xfId="32534"/>
    <cellStyle name="Normal 2 3 2 2 4 2 5" xfId="32535"/>
    <cellStyle name="Normal 2 3 2 2 4 2 6" xfId="32536"/>
    <cellStyle name="Normal 2 3 2 2 4 2 7" xfId="32537"/>
    <cellStyle name="Normal 2 3 2 2 4 2 8" xfId="32538"/>
    <cellStyle name="Normal 2 3 2 2 4 2 9" xfId="32539"/>
    <cellStyle name="Normal 2 3 2 2 4 3" xfId="32540"/>
    <cellStyle name="Normal 2 3 2 2 4 3 10" xfId="32541"/>
    <cellStyle name="Normal 2 3 2 2 4 3 11" xfId="32542"/>
    <cellStyle name="Normal 2 3 2 2 4 3 12" xfId="32543"/>
    <cellStyle name="Normal 2 3 2 2 4 3 13" xfId="32544"/>
    <cellStyle name="Normal 2 3 2 2 4 3 2" xfId="32545"/>
    <cellStyle name="Normal 2 3 2 2 4 3 3" xfId="32546"/>
    <cellStyle name="Normal 2 3 2 2 4 3 4" xfId="32547"/>
    <cellStyle name="Normal 2 3 2 2 4 3 5" xfId="32548"/>
    <cellStyle name="Normal 2 3 2 2 4 3 6" xfId="32549"/>
    <cellStyle name="Normal 2 3 2 2 4 3 7" xfId="32550"/>
    <cellStyle name="Normal 2 3 2 2 4 3 8" xfId="32551"/>
    <cellStyle name="Normal 2 3 2 2 4 3 9" xfId="32552"/>
    <cellStyle name="Normal 2 3 2 2 4 4" xfId="32553"/>
    <cellStyle name="Normal 2 3 2 2 4 5" xfId="32554"/>
    <cellStyle name="Normal 2 3 2 2 4 6" xfId="32555"/>
    <cellStyle name="Normal 2 3 2 2 4 7" xfId="32556"/>
    <cellStyle name="Normal 2 3 2 2 4 8" xfId="32557"/>
    <cellStyle name="Normal 2 3 2 2 4 9" xfId="32558"/>
    <cellStyle name="Normal 2 3 2 2 5" xfId="32559"/>
    <cellStyle name="Normal 2 3 2 2 5 10" xfId="32560"/>
    <cellStyle name="Normal 2 3 2 2 5 11" xfId="32561"/>
    <cellStyle name="Normal 2 3 2 2 5 12" xfId="32562"/>
    <cellStyle name="Normal 2 3 2 2 5 13" xfId="32563"/>
    <cellStyle name="Normal 2 3 2 2 5 14" xfId="32564"/>
    <cellStyle name="Normal 2 3 2 2 5 2" xfId="32565"/>
    <cellStyle name="Normal 2 3 2 2 5 2 10" xfId="32566"/>
    <cellStyle name="Normal 2 3 2 2 5 2 11" xfId="32567"/>
    <cellStyle name="Normal 2 3 2 2 5 2 12" xfId="32568"/>
    <cellStyle name="Normal 2 3 2 2 5 2 13" xfId="32569"/>
    <cellStyle name="Normal 2 3 2 2 5 2 14" xfId="32570"/>
    <cellStyle name="Normal 2 3 2 2 5 2 15" xfId="32571"/>
    <cellStyle name="Normal 2 3 2 2 5 2 16" xfId="32572"/>
    <cellStyle name="Normal 2 3 2 2 5 2 17" xfId="32573"/>
    <cellStyle name="Normal 2 3 2 2 5 2 18" xfId="32574"/>
    <cellStyle name="Normal 2 3 2 2 5 2 19" xfId="32575"/>
    <cellStyle name="Normal 2 3 2 2 5 2 2" xfId="32576"/>
    <cellStyle name="Normal 2 3 2 2 5 2 3" xfId="32577"/>
    <cellStyle name="Normal 2 3 2 2 5 2 4" xfId="32578"/>
    <cellStyle name="Normal 2 3 2 2 5 2 5" xfId="32579"/>
    <cellStyle name="Normal 2 3 2 2 5 2 6" xfId="32580"/>
    <cellStyle name="Normal 2 3 2 2 5 2 7" xfId="32581"/>
    <cellStyle name="Normal 2 3 2 2 5 2 8" xfId="32582"/>
    <cellStyle name="Normal 2 3 2 2 5 2 9" xfId="32583"/>
    <cellStyle name="Normal 2 3 2 2 5 2_Sheet1" xfId="32584"/>
    <cellStyle name="Normal 2 3 2 2 5 3" xfId="32585"/>
    <cellStyle name="Normal 2 3 2 2 5 4" xfId="32586"/>
    <cellStyle name="Normal 2 3 2 2 5 5" xfId="32587"/>
    <cellStyle name="Normal 2 3 2 2 5 6" xfId="32588"/>
    <cellStyle name="Normal 2 3 2 2 5 7" xfId="32589"/>
    <cellStyle name="Normal 2 3 2 2 5 8" xfId="32590"/>
    <cellStyle name="Normal 2 3 2 2 5 9" xfId="32591"/>
    <cellStyle name="Normal 2 3 2 2 6" xfId="32592"/>
    <cellStyle name="Normal 2 3 2 2 6 10" xfId="32593"/>
    <cellStyle name="Normal 2 3 2 2 6 11" xfId="32594"/>
    <cellStyle name="Normal 2 3 2 2 6 12" xfId="32595"/>
    <cellStyle name="Normal 2 3 2 2 6 13" xfId="32596"/>
    <cellStyle name="Normal 2 3 2 2 6 2" xfId="32597"/>
    <cellStyle name="Normal 2 3 2 2 6 3" xfId="32598"/>
    <cellStyle name="Normal 2 3 2 2 6 4" xfId="32599"/>
    <cellStyle name="Normal 2 3 2 2 6 5" xfId="32600"/>
    <cellStyle name="Normal 2 3 2 2 6 6" xfId="32601"/>
    <cellStyle name="Normal 2 3 2 2 6 7" xfId="32602"/>
    <cellStyle name="Normal 2 3 2 2 6 8" xfId="32603"/>
    <cellStyle name="Normal 2 3 2 2 6 9" xfId="32604"/>
    <cellStyle name="Normal 2 3 2 2 7" xfId="32605"/>
    <cellStyle name="Normal 2 3 2 2 8" xfId="32606"/>
    <cellStyle name="Normal 2 3 2 2 9" xfId="32607"/>
    <cellStyle name="Normal 2 3 2 2_Sheet1" xfId="32608"/>
    <cellStyle name="Normal 2 3 2 3" xfId="32609"/>
    <cellStyle name="Normal 2 3 2 3 10" xfId="32610"/>
    <cellStyle name="Normal 2 3 2 3 11" xfId="32611"/>
    <cellStyle name="Normal 2 3 2 3 12" xfId="32612"/>
    <cellStyle name="Normal 2 3 2 3 13" xfId="32613"/>
    <cellStyle name="Normal 2 3 2 3 14" xfId="32614"/>
    <cellStyle name="Normal 2 3 2 3 15" xfId="32615"/>
    <cellStyle name="Normal 2 3 2 3 16" xfId="32616"/>
    <cellStyle name="Normal 2 3 2 3 17" xfId="32617"/>
    <cellStyle name="Normal 2 3 2 3 18" xfId="32618"/>
    <cellStyle name="Normal 2 3 2 3 19" xfId="32619"/>
    <cellStyle name="Normal 2 3 2 3 2" xfId="32620"/>
    <cellStyle name="Normal 2 3 2 3 2 10" xfId="32621"/>
    <cellStyle name="Normal 2 3 2 3 2 11" xfId="32622"/>
    <cellStyle name="Normal 2 3 2 3 2 12" xfId="32623"/>
    <cellStyle name="Normal 2 3 2 3 2 13" xfId="32624"/>
    <cellStyle name="Normal 2 3 2 3 2 2" xfId="32625"/>
    <cellStyle name="Normal 2 3 2 3 2 2 10" xfId="32626"/>
    <cellStyle name="Normal 2 3 2 3 2 2 11" xfId="32627"/>
    <cellStyle name="Normal 2 3 2 3 2 2 12" xfId="32628"/>
    <cellStyle name="Normal 2 3 2 3 2 2 13" xfId="32629"/>
    <cellStyle name="Normal 2 3 2 3 2 2 14" xfId="32630"/>
    <cellStyle name="Normal 2 3 2 3 2 2 15" xfId="32631"/>
    <cellStyle name="Normal 2 3 2 3 2 2 16" xfId="32632"/>
    <cellStyle name="Normal 2 3 2 3 2 2 17" xfId="32633"/>
    <cellStyle name="Normal 2 3 2 3 2 2 18" xfId="32634"/>
    <cellStyle name="Normal 2 3 2 3 2 2 19" xfId="32635"/>
    <cellStyle name="Normal 2 3 2 3 2 2 2" xfId="32636"/>
    <cellStyle name="Normal 2 3 2 3 2 2 2 2" xfId="32637"/>
    <cellStyle name="Normal 2 3 2 3 2 2 2 2 10" xfId="32638"/>
    <cellStyle name="Normal 2 3 2 3 2 2 2 2 11" xfId="32639"/>
    <cellStyle name="Normal 2 3 2 3 2 2 2 2 12" xfId="32640"/>
    <cellStyle name="Normal 2 3 2 3 2 2 2 2 13" xfId="32641"/>
    <cellStyle name="Normal 2 3 2 3 2 2 2 2 14" xfId="32642"/>
    <cellStyle name="Normal 2 3 2 3 2 2 2 2 15" xfId="32643"/>
    <cellStyle name="Normal 2 3 2 3 2 2 2 2 16" xfId="32644"/>
    <cellStyle name="Normal 2 3 2 3 2 2 2 2 17" xfId="32645"/>
    <cellStyle name="Normal 2 3 2 3 2 2 2 2 18" xfId="32646"/>
    <cellStyle name="Normal 2 3 2 3 2 2 2 2 19" xfId="32647"/>
    <cellStyle name="Normal 2 3 2 3 2 2 2 2 2" xfId="32648"/>
    <cellStyle name="Normal 2 3 2 3 2 2 2 2 3" xfId="32649"/>
    <cellStyle name="Normal 2 3 2 3 2 2 2 2 4" xfId="32650"/>
    <cellStyle name="Normal 2 3 2 3 2 2 2 2 5" xfId="32651"/>
    <cellStyle name="Normal 2 3 2 3 2 2 2 2 6" xfId="32652"/>
    <cellStyle name="Normal 2 3 2 3 2 2 2 2 7" xfId="32653"/>
    <cellStyle name="Normal 2 3 2 3 2 2 2 2 8" xfId="32654"/>
    <cellStyle name="Normal 2 3 2 3 2 2 2 2 9" xfId="32655"/>
    <cellStyle name="Normal 2 3 2 3 2 2 2 2_Sheet1" xfId="32656"/>
    <cellStyle name="Normal 2 3 2 3 2 2 20" xfId="32657"/>
    <cellStyle name="Normal 2 3 2 3 2 2 3" xfId="32658"/>
    <cellStyle name="Normal 2 3 2 3 2 2 4" xfId="32659"/>
    <cellStyle name="Normal 2 3 2 3 2 2 5" xfId="32660"/>
    <cellStyle name="Normal 2 3 2 3 2 2 6" xfId="32661"/>
    <cellStyle name="Normal 2 3 2 3 2 2 7" xfId="32662"/>
    <cellStyle name="Normal 2 3 2 3 2 2 8" xfId="32663"/>
    <cellStyle name="Normal 2 3 2 3 2 2 9" xfId="32664"/>
    <cellStyle name="Normal 2 3 2 3 2 2_Sheet1" xfId="32665"/>
    <cellStyle name="Normal 2 3 2 3 2 3" xfId="32666"/>
    <cellStyle name="Normal 2 3 2 3 2 3 10" xfId="32667"/>
    <cellStyle name="Normal 2 3 2 3 2 3 11" xfId="32668"/>
    <cellStyle name="Normal 2 3 2 3 2 3 12" xfId="32669"/>
    <cellStyle name="Normal 2 3 2 3 2 3 13" xfId="32670"/>
    <cellStyle name="Normal 2 3 2 3 2 3 14" xfId="32671"/>
    <cellStyle name="Normal 2 3 2 3 2 3 15" xfId="32672"/>
    <cellStyle name="Normal 2 3 2 3 2 3 16" xfId="32673"/>
    <cellStyle name="Normal 2 3 2 3 2 3 17" xfId="32674"/>
    <cellStyle name="Normal 2 3 2 3 2 3 18" xfId="32675"/>
    <cellStyle name="Normal 2 3 2 3 2 3 19" xfId="32676"/>
    <cellStyle name="Normal 2 3 2 3 2 3 2" xfId="32677"/>
    <cellStyle name="Normal 2 3 2 3 2 3 3" xfId="32678"/>
    <cellStyle name="Normal 2 3 2 3 2 3 4" xfId="32679"/>
    <cellStyle name="Normal 2 3 2 3 2 3 5" xfId="32680"/>
    <cellStyle name="Normal 2 3 2 3 2 3 6" xfId="32681"/>
    <cellStyle name="Normal 2 3 2 3 2 3 7" xfId="32682"/>
    <cellStyle name="Normal 2 3 2 3 2 3 8" xfId="32683"/>
    <cellStyle name="Normal 2 3 2 3 2 3 9" xfId="32684"/>
    <cellStyle name="Normal 2 3 2 3 2 3_Sheet1" xfId="32685"/>
    <cellStyle name="Normal 2 3 2 3 2 4" xfId="32686"/>
    <cellStyle name="Normal 2 3 2 3 2 5" xfId="32687"/>
    <cellStyle name="Normal 2 3 2 3 2 6" xfId="32688"/>
    <cellStyle name="Normal 2 3 2 3 2 7" xfId="32689"/>
    <cellStyle name="Normal 2 3 2 3 2 8" xfId="32690"/>
    <cellStyle name="Normal 2 3 2 3 2 9" xfId="32691"/>
    <cellStyle name="Normal 2 3 2 3 20" xfId="32692"/>
    <cellStyle name="Normal 2 3 2 3 21" xfId="32693"/>
    <cellStyle name="Normal 2 3 2 3 22" xfId="32694"/>
    <cellStyle name="Normal 2 3 2 3 3" xfId="32695"/>
    <cellStyle name="Normal 2 3 2 3 4" xfId="32696"/>
    <cellStyle name="Normal 2 3 2 3 4 2" xfId="32697"/>
    <cellStyle name="Normal 2 3 2 3 4 2 10" xfId="32698"/>
    <cellStyle name="Normal 2 3 2 3 4 2 11" xfId="32699"/>
    <cellStyle name="Normal 2 3 2 3 4 2 12" xfId="32700"/>
    <cellStyle name="Normal 2 3 2 3 4 2 13" xfId="32701"/>
    <cellStyle name="Normal 2 3 2 3 4 2 14" xfId="32702"/>
    <cellStyle name="Normal 2 3 2 3 4 2 15" xfId="32703"/>
    <cellStyle name="Normal 2 3 2 3 4 2 16" xfId="32704"/>
    <cellStyle name="Normal 2 3 2 3 4 2 17" xfId="32705"/>
    <cellStyle name="Normal 2 3 2 3 4 2 18" xfId="32706"/>
    <cellStyle name="Normal 2 3 2 3 4 2 19" xfId="32707"/>
    <cellStyle name="Normal 2 3 2 3 4 2 2" xfId="32708"/>
    <cellStyle name="Normal 2 3 2 3 4 2 3" xfId="32709"/>
    <cellStyle name="Normal 2 3 2 3 4 2 4" xfId="32710"/>
    <cellStyle name="Normal 2 3 2 3 4 2 5" xfId="32711"/>
    <cellStyle name="Normal 2 3 2 3 4 2 6" xfId="32712"/>
    <cellStyle name="Normal 2 3 2 3 4 2 7" xfId="32713"/>
    <cellStyle name="Normal 2 3 2 3 4 2 8" xfId="32714"/>
    <cellStyle name="Normal 2 3 2 3 4 2 9" xfId="32715"/>
    <cellStyle name="Normal 2 3 2 3 4 2_Sheet1" xfId="32716"/>
    <cellStyle name="Normal 2 3 2 3 5" xfId="32717"/>
    <cellStyle name="Normal 2 3 2 3 6" xfId="32718"/>
    <cellStyle name="Normal 2 3 2 3 7" xfId="32719"/>
    <cellStyle name="Normal 2 3 2 3 8" xfId="32720"/>
    <cellStyle name="Normal 2 3 2 3 9" xfId="32721"/>
    <cellStyle name="Normal 2 3 2 3_Sheet1" xfId="32722"/>
    <cellStyle name="Normal 2 3 2 4" xfId="32723"/>
    <cellStyle name="Normal 2 3 2 4 10" xfId="32724"/>
    <cellStyle name="Normal 2 3 2 4 11" xfId="32725"/>
    <cellStyle name="Normal 2 3 2 4 12" xfId="32726"/>
    <cellStyle name="Normal 2 3 2 4 13" xfId="32727"/>
    <cellStyle name="Normal 2 3 2 4 14" xfId="32728"/>
    <cellStyle name="Normal 2 3 2 4 15" xfId="32729"/>
    <cellStyle name="Normal 2 3 2 4 16" xfId="32730"/>
    <cellStyle name="Normal 2 3 2 4 17" xfId="32731"/>
    <cellStyle name="Normal 2 3 2 4 18" xfId="32732"/>
    <cellStyle name="Normal 2 3 2 4 19" xfId="32733"/>
    <cellStyle name="Normal 2 3 2 4 2" xfId="32734"/>
    <cellStyle name="Normal 2 3 2 4 2 10" xfId="32735"/>
    <cellStyle name="Normal 2 3 2 4 2 11" xfId="32736"/>
    <cellStyle name="Normal 2 3 2 4 2 12" xfId="32737"/>
    <cellStyle name="Normal 2 3 2 4 2 13" xfId="32738"/>
    <cellStyle name="Normal 2 3 2 4 2 14" xfId="32739"/>
    <cellStyle name="Normal 2 3 2 4 2 2" xfId="32740"/>
    <cellStyle name="Normal 2 3 2 4 2 2 10" xfId="32741"/>
    <cellStyle name="Normal 2 3 2 4 2 2 11" xfId="32742"/>
    <cellStyle name="Normal 2 3 2 4 2 2 12" xfId="32743"/>
    <cellStyle name="Normal 2 3 2 4 2 2 13" xfId="32744"/>
    <cellStyle name="Normal 2 3 2 4 2 2 14" xfId="32745"/>
    <cellStyle name="Normal 2 3 2 4 2 2 15" xfId="32746"/>
    <cellStyle name="Normal 2 3 2 4 2 2 16" xfId="32747"/>
    <cellStyle name="Normal 2 3 2 4 2 2 17" xfId="32748"/>
    <cellStyle name="Normal 2 3 2 4 2 2 18" xfId="32749"/>
    <cellStyle name="Normal 2 3 2 4 2 2 19" xfId="32750"/>
    <cellStyle name="Normal 2 3 2 4 2 2 2" xfId="32751"/>
    <cellStyle name="Normal 2 3 2 4 2 2 2 2" xfId="32752"/>
    <cellStyle name="Normal 2 3 2 4 2 2 2 2 10" xfId="32753"/>
    <cellStyle name="Normal 2 3 2 4 2 2 2 2 11" xfId="32754"/>
    <cellStyle name="Normal 2 3 2 4 2 2 2 2 12" xfId="32755"/>
    <cellStyle name="Normal 2 3 2 4 2 2 2 2 13" xfId="32756"/>
    <cellStyle name="Normal 2 3 2 4 2 2 2 2 14" xfId="32757"/>
    <cellStyle name="Normal 2 3 2 4 2 2 2 2 15" xfId="32758"/>
    <cellStyle name="Normal 2 3 2 4 2 2 2 2 16" xfId="32759"/>
    <cellStyle name="Normal 2 3 2 4 2 2 2 2 17" xfId="32760"/>
    <cellStyle name="Normal 2 3 2 4 2 2 2 2 18" xfId="32761"/>
    <cellStyle name="Normal 2 3 2 4 2 2 2 2 2" xfId="32762"/>
    <cellStyle name="Normal 2 3 2 4 2 2 2 2 3" xfId="32763"/>
    <cellStyle name="Normal 2 3 2 4 2 2 2 2 4" xfId="32764"/>
    <cellStyle name="Normal 2 3 2 4 2 2 2 2 5" xfId="32765"/>
    <cellStyle name="Normal 2 3 2 4 2 2 2 2 6" xfId="32766"/>
    <cellStyle name="Normal 2 3 2 4 2 2 2 2 7" xfId="32767"/>
    <cellStyle name="Normal 2 3 2 4 2 2 2 2 8" xfId="32768"/>
    <cellStyle name="Normal 2 3 2 4 2 2 2 2 9" xfId="32769"/>
    <cellStyle name="Normal 2 3 2 4 2 2 2 2_Sheet1" xfId="32770"/>
    <cellStyle name="Normal 2 3 2 4 2 2 3" xfId="32771"/>
    <cellStyle name="Normal 2 3 2 4 2 2 4" xfId="32772"/>
    <cellStyle name="Normal 2 3 2 4 2 2 5" xfId="32773"/>
    <cellStyle name="Normal 2 3 2 4 2 2 6" xfId="32774"/>
    <cellStyle name="Normal 2 3 2 4 2 2 7" xfId="32775"/>
    <cellStyle name="Normal 2 3 2 4 2 2 8" xfId="32776"/>
    <cellStyle name="Normal 2 3 2 4 2 2 9" xfId="32777"/>
    <cellStyle name="Normal 2 3 2 4 2 2_Sheet1" xfId="32778"/>
    <cellStyle name="Normal 2 3 2 4 2 3" xfId="32779"/>
    <cellStyle name="Normal 2 3 2 4 2 3 10" xfId="32780"/>
    <cellStyle name="Normal 2 3 2 4 2 3 11" xfId="32781"/>
    <cellStyle name="Normal 2 3 2 4 2 3 12" xfId="32782"/>
    <cellStyle name="Normal 2 3 2 4 2 3 13" xfId="32783"/>
    <cellStyle name="Normal 2 3 2 4 2 3 14" xfId="32784"/>
    <cellStyle name="Normal 2 3 2 4 2 3 15" xfId="32785"/>
    <cellStyle name="Normal 2 3 2 4 2 3 16" xfId="32786"/>
    <cellStyle name="Normal 2 3 2 4 2 3 17" xfId="32787"/>
    <cellStyle name="Normal 2 3 2 4 2 3 18" xfId="32788"/>
    <cellStyle name="Normal 2 3 2 4 2 3 2" xfId="32789"/>
    <cellStyle name="Normal 2 3 2 4 2 3 3" xfId="32790"/>
    <cellStyle name="Normal 2 3 2 4 2 3 4" xfId="32791"/>
    <cellStyle name="Normal 2 3 2 4 2 3 5" xfId="32792"/>
    <cellStyle name="Normal 2 3 2 4 2 3 6" xfId="32793"/>
    <cellStyle name="Normal 2 3 2 4 2 3 7" xfId="32794"/>
    <cellStyle name="Normal 2 3 2 4 2 3 8" xfId="32795"/>
    <cellStyle name="Normal 2 3 2 4 2 3 9" xfId="32796"/>
    <cellStyle name="Normal 2 3 2 4 2 3_Sheet1" xfId="32797"/>
    <cellStyle name="Normal 2 3 2 4 2 4" xfId="32798"/>
    <cellStyle name="Normal 2 3 2 4 2 5" xfId="32799"/>
    <cellStyle name="Normal 2 3 2 4 2 6" xfId="32800"/>
    <cellStyle name="Normal 2 3 2 4 2 7" xfId="32801"/>
    <cellStyle name="Normal 2 3 2 4 2 8" xfId="32802"/>
    <cellStyle name="Normal 2 3 2 4 2 9" xfId="32803"/>
    <cellStyle name="Normal 2 3 2 4 20" xfId="32804"/>
    <cellStyle name="Normal 2 3 2 4 3" xfId="32805"/>
    <cellStyle name="Normal 2 3 2 4 3 10" xfId="32806"/>
    <cellStyle name="Normal 2 3 2 4 3 11" xfId="32807"/>
    <cellStyle name="Normal 2 3 2 4 3 12" xfId="32808"/>
    <cellStyle name="Normal 2 3 2 4 3 13" xfId="32809"/>
    <cellStyle name="Normal 2 3 2 4 3 2" xfId="32810"/>
    <cellStyle name="Normal 2 3 2 4 3 2 10" xfId="32811"/>
    <cellStyle name="Normal 2 3 2 4 3 2 11" xfId="32812"/>
    <cellStyle name="Normal 2 3 2 4 3 2 12" xfId="32813"/>
    <cellStyle name="Normal 2 3 2 4 3 2 13" xfId="32814"/>
    <cellStyle name="Normal 2 3 2 4 3 2 14" xfId="32815"/>
    <cellStyle name="Normal 2 3 2 4 3 2 15" xfId="32816"/>
    <cellStyle name="Normal 2 3 2 4 3 2 16" xfId="32817"/>
    <cellStyle name="Normal 2 3 2 4 3 2 17" xfId="32818"/>
    <cellStyle name="Normal 2 3 2 4 3 2 18" xfId="32819"/>
    <cellStyle name="Normal 2 3 2 4 3 2 2" xfId="32820"/>
    <cellStyle name="Normal 2 3 2 4 3 2 3" xfId="32821"/>
    <cellStyle name="Normal 2 3 2 4 3 2 4" xfId="32822"/>
    <cellStyle name="Normal 2 3 2 4 3 2 5" xfId="32823"/>
    <cellStyle name="Normal 2 3 2 4 3 2 6" xfId="32824"/>
    <cellStyle name="Normal 2 3 2 4 3 2 7" xfId="32825"/>
    <cellStyle name="Normal 2 3 2 4 3 2 8" xfId="32826"/>
    <cellStyle name="Normal 2 3 2 4 3 2 9" xfId="32827"/>
    <cellStyle name="Normal 2 3 2 4 3 2_Sheet1" xfId="32828"/>
    <cellStyle name="Normal 2 3 2 4 3 3" xfId="32829"/>
    <cellStyle name="Normal 2 3 2 4 3 4" xfId="32830"/>
    <cellStyle name="Normal 2 3 2 4 3 5" xfId="32831"/>
    <cellStyle name="Normal 2 3 2 4 3 6" xfId="32832"/>
    <cellStyle name="Normal 2 3 2 4 3 7" xfId="32833"/>
    <cellStyle name="Normal 2 3 2 4 3 8" xfId="32834"/>
    <cellStyle name="Normal 2 3 2 4 3 9" xfId="32835"/>
    <cellStyle name="Normal 2 3 2 4 4" xfId="32836"/>
    <cellStyle name="Normal 2 3 2 4 5" xfId="32837"/>
    <cellStyle name="Normal 2 3 2 4 6" xfId="32838"/>
    <cellStyle name="Normal 2 3 2 4 7" xfId="32839"/>
    <cellStyle name="Normal 2 3 2 4 8" xfId="32840"/>
    <cellStyle name="Normal 2 3 2 4 9" xfId="32841"/>
    <cellStyle name="Normal 2 3 2 4_Sheet1" xfId="32842"/>
    <cellStyle name="Normal 2 3 2 5" xfId="32843"/>
    <cellStyle name="Normal 2 3 2 5 10" xfId="32844"/>
    <cellStyle name="Normal 2 3 2 5 11" xfId="32845"/>
    <cellStyle name="Normal 2 3 2 5 12" xfId="32846"/>
    <cellStyle name="Normal 2 3 2 5 13" xfId="32847"/>
    <cellStyle name="Normal 2 3 2 5 14" xfId="32848"/>
    <cellStyle name="Normal 2 3 2 5 15" xfId="32849"/>
    <cellStyle name="Normal 2 3 2 5 16" xfId="32850"/>
    <cellStyle name="Normal 2 3 2 5 17" xfId="32851"/>
    <cellStyle name="Normal 2 3 2 5 18" xfId="32852"/>
    <cellStyle name="Normal 2 3 2 5 19" xfId="32853"/>
    <cellStyle name="Normal 2 3 2 5 2" xfId="32854"/>
    <cellStyle name="Normal 2 3 2 5 2 2" xfId="32855"/>
    <cellStyle name="Normal 2 3 2 5 2 2 10" xfId="32856"/>
    <cellStyle name="Normal 2 3 2 5 2 2 11" xfId="32857"/>
    <cellStyle name="Normal 2 3 2 5 2 2 12" xfId="32858"/>
    <cellStyle name="Normal 2 3 2 5 2 2 13" xfId="32859"/>
    <cellStyle name="Normal 2 3 2 5 2 2 14" xfId="32860"/>
    <cellStyle name="Normal 2 3 2 5 2 2 15" xfId="32861"/>
    <cellStyle name="Normal 2 3 2 5 2 2 16" xfId="32862"/>
    <cellStyle name="Normal 2 3 2 5 2 2 17" xfId="32863"/>
    <cellStyle name="Normal 2 3 2 5 2 2 18" xfId="32864"/>
    <cellStyle name="Normal 2 3 2 5 2 2 2" xfId="32865"/>
    <cellStyle name="Normal 2 3 2 5 2 2 3" xfId="32866"/>
    <cellStyle name="Normal 2 3 2 5 2 2 4" xfId="32867"/>
    <cellStyle name="Normal 2 3 2 5 2 2 5" xfId="32868"/>
    <cellStyle name="Normal 2 3 2 5 2 2 6" xfId="32869"/>
    <cellStyle name="Normal 2 3 2 5 2 2 7" xfId="32870"/>
    <cellStyle name="Normal 2 3 2 5 2 2 8" xfId="32871"/>
    <cellStyle name="Normal 2 3 2 5 2 2 9" xfId="32872"/>
    <cellStyle name="Normal 2 3 2 5 2 2_Sheet1" xfId="32873"/>
    <cellStyle name="Normal 2 3 2 5 3" xfId="32874"/>
    <cellStyle name="Normal 2 3 2 5 4" xfId="32875"/>
    <cellStyle name="Normal 2 3 2 5 5" xfId="32876"/>
    <cellStyle name="Normal 2 3 2 5 6" xfId="32877"/>
    <cellStyle name="Normal 2 3 2 5 7" xfId="32878"/>
    <cellStyle name="Normal 2 3 2 5 8" xfId="32879"/>
    <cellStyle name="Normal 2 3 2 5 9" xfId="32880"/>
    <cellStyle name="Normal 2 3 2 5_Sheet1" xfId="32881"/>
    <cellStyle name="Normal 2 3 2 6" xfId="32882"/>
    <cellStyle name="Normal 2 3 2 6 10" xfId="32883"/>
    <cellStyle name="Normal 2 3 2 6 11" xfId="32884"/>
    <cellStyle name="Normal 2 3 2 6 12" xfId="32885"/>
    <cellStyle name="Normal 2 3 2 6 13" xfId="32886"/>
    <cellStyle name="Normal 2 3 2 6 14" xfId="32887"/>
    <cellStyle name="Normal 2 3 2 6 15" xfId="32888"/>
    <cellStyle name="Normal 2 3 2 6 16" xfId="32889"/>
    <cellStyle name="Normal 2 3 2 6 17" xfId="32890"/>
    <cellStyle name="Normal 2 3 2 6 18" xfId="32891"/>
    <cellStyle name="Normal 2 3 2 6 2" xfId="32892"/>
    <cellStyle name="Normal 2 3 2 6 3" xfId="32893"/>
    <cellStyle name="Normal 2 3 2 6 4" xfId="32894"/>
    <cellStyle name="Normal 2 3 2 6 5" xfId="32895"/>
    <cellStyle name="Normal 2 3 2 6 6" xfId="32896"/>
    <cellStyle name="Normal 2 3 2 6 7" xfId="32897"/>
    <cellStyle name="Normal 2 3 2 6 8" xfId="32898"/>
    <cellStyle name="Normal 2 3 2 6 9" xfId="32899"/>
    <cellStyle name="Normal 2 3 2 6_Sheet1" xfId="32900"/>
    <cellStyle name="Normal 2 3 2 7" xfId="32901"/>
    <cellStyle name="Normal 2 3 2 8" xfId="32902"/>
    <cellStyle name="Normal 2 3 2 9" xfId="32903"/>
    <cellStyle name="Normal 2 3 2_Sheet1" xfId="32904"/>
    <cellStyle name="Normal 2 3 20" xfId="32905"/>
    <cellStyle name="Normal 2 3 21" xfId="32906"/>
    <cellStyle name="Normal 2 3 22" xfId="32907"/>
    <cellStyle name="Normal 2 3 23" xfId="32908"/>
    <cellStyle name="Normal 2 3 24" xfId="32909"/>
    <cellStyle name="Normal 2 3 25" xfId="32910"/>
    <cellStyle name="Normal 2 3 26" xfId="32911"/>
    <cellStyle name="Normal 2 3 27" xfId="32912"/>
    <cellStyle name="Normal 2 3 28" xfId="32913"/>
    <cellStyle name="Normal 2 3 29" xfId="32914"/>
    <cellStyle name="Normal 2 3 3" xfId="32915"/>
    <cellStyle name="Normal 2 3 3 10" xfId="32916"/>
    <cellStyle name="Normal 2 3 3 11" xfId="32917"/>
    <cellStyle name="Normal 2 3 3 12" xfId="32918"/>
    <cellStyle name="Normal 2 3 3 13" xfId="32919"/>
    <cellStyle name="Normal 2 3 3 14" xfId="32920"/>
    <cellStyle name="Normal 2 3 3 15" xfId="32921"/>
    <cellStyle name="Normal 2 3 3 2" xfId="32922"/>
    <cellStyle name="Normal 2 3 3 2 10" xfId="32923"/>
    <cellStyle name="Normal 2 3 3 2 11" xfId="32924"/>
    <cellStyle name="Normal 2 3 3 2 12" xfId="32925"/>
    <cellStyle name="Normal 2 3 3 2 13" xfId="32926"/>
    <cellStyle name="Normal 2 3 3 2 14" xfId="32927"/>
    <cellStyle name="Normal 2 3 3 2 15" xfId="32928"/>
    <cellStyle name="Normal 2 3 3 2 16" xfId="32929"/>
    <cellStyle name="Normal 2 3 3 2 17" xfId="32930"/>
    <cellStyle name="Normal 2 3 3 2 18" xfId="32931"/>
    <cellStyle name="Normal 2 3 3 2 19" xfId="32932"/>
    <cellStyle name="Normal 2 3 3 2 2" xfId="32933"/>
    <cellStyle name="Normal 2 3 3 2 2 10" xfId="32934"/>
    <cellStyle name="Normal 2 3 3 2 2 11" xfId="32935"/>
    <cellStyle name="Normal 2 3 3 2 2 12" xfId="32936"/>
    <cellStyle name="Normal 2 3 3 2 2 13" xfId="32937"/>
    <cellStyle name="Normal 2 3 3 2 2 14" xfId="32938"/>
    <cellStyle name="Normal 2 3 3 2 2 2" xfId="32939"/>
    <cellStyle name="Normal 2 3 3 2 2 2 10" xfId="32940"/>
    <cellStyle name="Normal 2 3 3 2 2 2 11" xfId="32941"/>
    <cellStyle name="Normal 2 3 3 2 2 2 12" xfId="32942"/>
    <cellStyle name="Normal 2 3 3 2 2 2 13" xfId="32943"/>
    <cellStyle name="Normal 2 3 3 2 2 2 14" xfId="32944"/>
    <cellStyle name="Normal 2 3 3 2 2 2 15" xfId="32945"/>
    <cellStyle name="Normal 2 3 3 2 2 2 16" xfId="32946"/>
    <cellStyle name="Normal 2 3 3 2 2 2 17" xfId="32947"/>
    <cellStyle name="Normal 2 3 3 2 2 2 18" xfId="32948"/>
    <cellStyle name="Normal 2 3 3 2 2 2 19" xfId="32949"/>
    <cellStyle name="Normal 2 3 3 2 2 2 2" xfId="32950"/>
    <cellStyle name="Normal 2 3 3 2 2 2 2 2" xfId="32951"/>
    <cellStyle name="Normal 2 3 3 2 2 2 2 2 10" xfId="32952"/>
    <cellStyle name="Normal 2 3 3 2 2 2 2 2 11" xfId="32953"/>
    <cellStyle name="Normal 2 3 3 2 2 2 2 2 12" xfId="32954"/>
    <cellStyle name="Normal 2 3 3 2 2 2 2 2 13" xfId="32955"/>
    <cellStyle name="Normal 2 3 3 2 2 2 2 2 14" xfId="32956"/>
    <cellStyle name="Normal 2 3 3 2 2 2 2 2 15" xfId="32957"/>
    <cellStyle name="Normal 2 3 3 2 2 2 2 2 16" xfId="32958"/>
    <cellStyle name="Normal 2 3 3 2 2 2 2 2 17" xfId="32959"/>
    <cellStyle name="Normal 2 3 3 2 2 2 2 2 18" xfId="32960"/>
    <cellStyle name="Normal 2 3 3 2 2 2 2 2 19" xfId="32961"/>
    <cellStyle name="Normal 2 3 3 2 2 2 2 2 2" xfId="32962"/>
    <cellStyle name="Normal 2 3 3 2 2 2 2 2 3" xfId="32963"/>
    <cellStyle name="Normal 2 3 3 2 2 2 2 2 4" xfId="32964"/>
    <cellStyle name="Normal 2 3 3 2 2 2 2 2 5" xfId="32965"/>
    <cellStyle name="Normal 2 3 3 2 2 2 2 2 6" xfId="32966"/>
    <cellStyle name="Normal 2 3 3 2 2 2 2 2 7" xfId="32967"/>
    <cellStyle name="Normal 2 3 3 2 2 2 2 2 8" xfId="32968"/>
    <cellStyle name="Normal 2 3 3 2 2 2 2 2 9" xfId="32969"/>
    <cellStyle name="Normal 2 3 3 2 2 2 2 2_Sheet1" xfId="32970"/>
    <cellStyle name="Normal 2 3 3 2 2 2 20" xfId="32971"/>
    <cellStyle name="Normal 2 3 3 2 2 2 3" xfId="32972"/>
    <cellStyle name="Normal 2 3 3 2 2 2 4" xfId="32973"/>
    <cellStyle name="Normal 2 3 3 2 2 2 5" xfId="32974"/>
    <cellStyle name="Normal 2 3 3 2 2 2 6" xfId="32975"/>
    <cellStyle name="Normal 2 3 3 2 2 2 7" xfId="32976"/>
    <cellStyle name="Normal 2 3 3 2 2 2 8" xfId="32977"/>
    <cellStyle name="Normal 2 3 3 2 2 2 9" xfId="32978"/>
    <cellStyle name="Normal 2 3 3 2 2 2_Sheet1" xfId="32979"/>
    <cellStyle name="Normal 2 3 3 2 2 3" xfId="32980"/>
    <cellStyle name="Normal 2 3 3 2 2 3 10" xfId="32981"/>
    <cellStyle name="Normal 2 3 3 2 2 3 11" xfId="32982"/>
    <cellStyle name="Normal 2 3 3 2 2 3 12" xfId="32983"/>
    <cellStyle name="Normal 2 3 3 2 2 3 13" xfId="32984"/>
    <cellStyle name="Normal 2 3 3 2 2 3 14" xfId="32985"/>
    <cellStyle name="Normal 2 3 3 2 2 3 15" xfId="32986"/>
    <cellStyle name="Normal 2 3 3 2 2 3 16" xfId="32987"/>
    <cellStyle name="Normal 2 3 3 2 2 3 17" xfId="32988"/>
    <cellStyle name="Normal 2 3 3 2 2 3 18" xfId="32989"/>
    <cellStyle name="Normal 2 3 3 2 2 3 19" xfId="32990"/>
    <cellStyle name="Normal 2 3 3 2 2 3 2" xfId="32991"/>
    <cellStyle name="Normal 2 3 3 2 2 3 3" xfId="32992"/>
    <cellStyle name="Normal 2 3 3 2 2 3 4" xfId="32993"/>
    <cellStyle name="Normal 2 3 3 2 2 3 5" xfId="32994"/>
    <cellStyle name="Normal 2 3 3 2 2 3 6" xfId="32995"/>
    <cellStyle name="Normal 2 3 3 2 2 3 7" xfId="32996"/>
    <cellStyle name="Normal 2 3 3 2 2 3 8" xfId="32997"/>
    <cellStyle name="Normal 2 3 3 2 2 3 9" xfId="32998"/>
    <cellStyle name="Normal 2 3 3 2 2 3_Sheet1" xfId="32999"/>
    <cellStyle name="Normal 2 3 3 2 2 4" xfId="33000"/>
    <cellStyle name="Normal 2 3 3 2 2 5" xfId="33001"/>
    <cellStyle name="Normal 2 3 3 2 2 6" xfId="33002"/>
    <cellStyle name="Normal 2 3 3 2 2 7" xfId="33003"/>
    <cellStyle name="Normal 2 3 3 2 2 8" xfId="33004"/>
    <cellStyle name="Normal 2 3 3 2 2 9" xfId="33005"/>
    <cellStyle name="Normal 2 3 3 2 20" xfId="33006"/>
    <cellStyle name="Normal 2 3 3 2 21" xfId="33007"/>
    <cellStyle name="Normal 2 3 3 2 22" xfId="33008"/>
    <cellStyle name="Normal 2 3 3 2 3" xfId="33009"/>
    <cellStyle name="Normal 2 3 3 2 3 10" xfId="33010"/>
    <cellStyle name="Normal 2 3 3 2 3 11" xfId="33011"/>
    <cellStyle name="Normal 2 3 3 2 3 12" xfId="33012"/>
    <cellStyle name="Normal 2 3 3 2 3 13" xfId="33013"/>
    <cellStyle name="Normal 2 3 3 2 3 2" xfId="33014"/>
    <cellStyle name="Normal 2 3 3 2 3 3" xfId="33015"/>
    <cellStyle name="Normal 2 3 3 2 3 4" xfId="33016"/>
    <cellStyle name="Normal 2 3 3 2 3 5" xfId="33017"/>
    <cellStyle name="Normal 2 3 3 2 3 6" xfId="33018"/>
    <cellStyle name="Normal 2 3 3 2 3 7" xfId="33019"/>
    <cellStyle name="Normal 2 3 3 2 3 8" xfId="33020"/>
    <cellStyle name="Normal 2 3 3 2 3 9" xfId="33021"/>
    <cellStyle name="Normal 2 3 3 2 4" xfId="33022"/>
    <cellStyle name="Normal 2 3 3 2 4 2" xfId="33023"/>
    <cellStyle name="Normal 2 3 3 2 4 2 10" xfId="33024"/>
    <cellStyle name="Normal 2 3 3 2 4 2 11" xfId="33025"/>
    <cellStyle name="Normal 2 3 3 2 4 2 12" xfId="33026"/>
    <cellStyle name="Normal 2 3 3 2 4 2 13" xfId="33027"/>
    <cellStyle name="Normal 2 3 3 2 4 2 14" xfId="33028"/>
    <cellStyle name="Normal 2 3 3 2 4 2 15" xfId="33029"/>
    <cellStyle name="Normal 2 3 3 2 4 2 16" xfId="33030"/>
    <cellStyle name="Normal 2 3 3 2 4 2 17" xfId="33031"/>
    <cellStyle name="Normal 2 3 3 2 4 2 18" xfId="33032"/>
    <cellStyle name="Normal 2 3 3 2 4 2 19" xfId="33033"/>
    <cellStyle name="Normal 2 3 3 2 4 2 2" xfId="33034"/>
    <cellStyle name="Normal 2 3 3 2 4 2 3" xfId="33035"/>
    <cellStyle name="Normal 2 3 3 2 4 2 4" xfId="33036"/>
    <cellStyle name="Normal 2 3 3 2 4 2 5" xfId="33037"/>
    <cellStyle name="Normal 2 3 3 2 4 2 6" xfId="33038"/>
    <cellStyle name="Normal 2 3 3 2 4 2 7" xfId="33039"/>
    <cellStyle name="Normal 2 3 3 2 4 2 8" xfId="33040"/>
    <cellStyle name="Normal 2 3 3 2 4 2 9" xfId="33041"/>
    <cellStyle name="Normal 2 3 3 2 4 2_Sheet1" xfId="33042"/>
    <cellStyle name="Normal 2 3 3 2 5" xfId="33043"/>
    <cellStyle name="Normal 2 3 3 2 6" xfId="33044"/>
    <cellStyle name="Normal 2 3 3 2 7" xfId="33045"/>
    <cellStyle name="Normal 2 3 3 2 8" xfId="33046"/>
    <cellStyle name="Normal 2 3 3 2 9" xfId="33047"/>
    <cellStyle name="Normal 2 3 3 2_Sheet1" xfId="33048"/>
    <cellStyle name="Normal 2 3 3 3" xfId="33049"/>
    <cellStyle name="Normal 2 3 3 3 10" xfId="33050"/>
    <cellStyle name="Normal 2 3 3 3 11" xfId="33051"/>
    <cellStyle name="Normal 2 3 3 3 12" xfId="33052"/>
    <cellStyle name="Normal 2 3 3 3 13" xfId="33053"/>
    <cellStyle name="Normal 2 3 3 3 14" xfId="33054"/>
    <cellStyle name="Normal 2 3 3 3 15" xfId="33055"/>
    <cellStyle name="Normal 2 3 3 3 16" xfId="33056"/>
    <cellStyle name="Normal 2 3 3 3 17" xfId="33057"/>
    <cellStyle name="Normal 2 3 3 3 18" xfId="33058"/>
    <cellStyle name="Normal 2 3 3 3 19" xfId="33059"/>
    <cellStyle name="Normal 2 3 3 3 2" xfId="33060"/>
    <cellStyle name="Normal 2 3 3 3 2 2" xfId="33061"/>
    <cellStyle name="Normal 2 3 3 3 2 2 10" xfId="33062"/>
    <cellStyle name="Normal 2 3 3 3 2 2 11" xfId="33063"/>
    <cellStyle name="Normal 2 3 3 3 2 2 12" xfId="33064"/>
    <cellStyle name="Normal 2 3 3 3 2 2 13" xfId="33065"/>
    <cellStyle name="Normal 2 3 3 3 2 2 14" xfId="33066"/>
    <cellStyle name="Normal 2 3 3 3 2 2 15" xfId="33067"/>
    <cellStyle name="Normal 2 3 3 3 2 2 16" xfId="33068"/>
    <cellStyle name="Normal 2 3 3 3 2 2 17" xfId="33069"/>
    <cellStyle name="Normal 2 3 3 3 2 2 18" xfId="33070"/>
    <cellStyle name="Normal 2 3 3 3 2 2 19" xfId="33071"/>
    <cellStyle name="Normal 2 3 3 3 2 2 2" xfId="33072"/>
    <cellStyle name="Normal 2 3 3 3 2 2 2 2" xfId="33073"/>
    <cellStyle name="Normal 2 3 3 3 2 2 2 2 10" xfId="33074"/>
    <cellStyle name="Normal 2 3 3 3 2 2 2 2 11" xfId="33075"/>
    <cellStyle name="Normal 2 3 3 3 2 2 2 2 12" xfId="33076"/>
    <cellStyle name="Normal 2 3 3 3 2 2 2 2 13" xfId="33077"/>
    <cellStyle name="Normal 2 3 3 3 2 2 2 2 14" xfId="33078"/>
    <cellStyle name="Normal 2 3 3 3 2 2 2 2 15" xfId="33079"/>
    <cellStyle name="Normal 2 3 3 3 2 2 2 2 16" xfId="33080"/>
    <cellStyle name="Normal 2 3 3 3 2 2 2 2 17" xfId="33081"/>
    <cellStyle name="Normal 2 3 3 3 2 2 2 2 18" xfId="33082"/>
    <cellStyle name="Normal 2 3 3 3 2 2 2 2 2" xfId="33083"/>
    <cellStyle name="Normal 2 3 3 3 2 2 2 2 3" xfId="33084"/>
    <cellStyle name="Normal 2 3 3 3 2 2 2 2 4" xfId="33085"/>
    <cellStyle name="Normal 2 3 3 3 2 2 2 2 5" xfId="33086"/>
    <cellStyle name="Normal 2 3 3 3 2 2 2 2 6" xfId="33087"/>
    <cellStyle name="Normal 2 3 3 3 2 2 2 2 7" xfId="33088"/>
    <cellStyle name="Normal 2 3 3 3 2 2 2 2 8" xfId="33089"/>
    <cellStyle name="Normal 2 3 3 3 2 2 2 2 9" xfId="33090"/>
    <cellStyle name="Normal 2 3 3 3 2 2 2 2_Sheet1" xfId="33091"/>
    <cellStyle name="Normal 2 3 3 3 2 2 3" xfId="33092"/>
    <cellStyle name="Normal 2 3 3 3 2 2 4" xfId="33093"/>
    <cellStyle name="Normal 2 3 3 3 2 2 5" xfId="33094"/>
    <cellStyle name="Normal 2 3 3 3 2 2 6" xfId="33095"/>
    <cellStyle name="Normal 2 3 3 3 2 2 7" xfId="33096"/>
    <cellStyle name="Normal 2 3 3 3 2 2 8" xfId="33097"/>
    <cellStyle name="Normal 2 3 3 3 2 2 9" xfId="33098"/>
    <cellStyle name="Normal 2 3 3 3 2 2_Sheet1" xfId="33099"/>
    <cellStyle name="Normal 2 3 3 3 2 3" xfId="33100"/>
    <cellStyle name="Normal 2 3 3 3 2 3 10" xfId="33101"/>
    <cellStyle name="Normal 2 3 3 3 2 3 11" xfId="33102"/>
    <cellStyle name="Normal 2 3 3 3 2 3 12" xfId="33103"/>
    <cellStyle name="Normal 2 3 3 3 2 3 13" xfId="33104"/>
    <cellStyle name="Normal 2 3 3 3 2 3 14" xfId="33105"/>
    <cellStyle name="Normal 2 3 3 3 2 3 15" xfId="33106"/>
    <cellStyle name="Normal 2 3 3 3 2 3 16" xfId="33107"/>
    <cellStyle name="Normal 2 3 3 3 2 3 17" xfId="33108"/>
    <cellStyle name="Normal 2 3 3 3 2 3 18" xfId="33109"/>
    <cellStyle name="Normal 2 3 3 3 2 3 2" xfId="33110"/>
    <cellStyle name="Normal 2 3 3 3 2 3 3" xfId="33111"/>
    <cellStyle name="Normal 2 3 3 3 2 3 4" xfId="33112"/>
    <cellStyle name="Normal 2 3 3 3 2 3 5" xfId="33113"/>
    <cellStyle name="Normal 2 3 3 3 2 3 6" xfId="33114"/>
    <cellStyle name="Normal 2 3 3 3 2 3 7" xfId="33115"/>
    <cellStyle name="Normal 2 3 3 3 2 3 8" xfId="33116"/>
    <cellStyle name="Normal 2 3 3 3 2 3 9" xfId="33117"/>
    <cellStyle name="Normal 2 3 3 3 2 3_Sheet1" xfId="33118"/>
    <cellStyle name="Normal 2 3 3 3 20" xfId="33119"/>
    <cellStyle name="Normal 2 3 3 3 3" xfId="33120"/>
    <cellStyle name="Normal 2 3 3 3 3 2" xfId="33121"/>
    <cellStyle name="Normal 2 3 3 3 3 2 10" xfId="33122"/>
    <cellStyle name="Normal 2 3 3 3 3 2 11" xfId="33123"/>
    <cellStyle name="Normal 2 3 3 3 3 2 12" xfId="33124"/>
    <cellStyle name="Normal 2 3 3 3 3 2 13" xfId="33125"/>
    <cellStyle name="Normal 2 3 3 3 3 2 14" xfId="33126"/>
    <cellStyle name="Normal 2 3 3 3 3 2 15" xfId="33127"/>
    <cellStyle name="Normal 2 3 3 3 3 2 16" xfId="33128"/>
    <cellStyle name="Normal 2 3 3 3 3 2 17" xfId="33129"/>
    <cellStyle name="Normal 2 3 3 3 3 2 18" xfId="33130"/>
    <cellStyle name="Normal 2 3 3 3 3 2 2" xfId="33131"/>
    <cellStyle name="Normal 2 3 3 3 3 2 3" xfId="33132"/>
    <cellStyle name="Normal 2 3 3 3 3 2 4" xfId="33133"/>
    <cellStyle name="Normal 2 3 3 3 3 2 5" xfId="33134"/>
    <cellStyle name="Normal 2 3 3 3 3 2 6" xfId="33135"/>
    <cellStyle name="Normal 2 3 3 3 3 2 7" xfId="33136"/>
    <cellStyle name="Normal 2 3 3 3 3 2 8" xfId="33137"/>
    <cellStyle name="Normal 2 3 3 3 3 2 9" xfId="33138"/>
    <cellStyle name="Normal 2 3 3 3 3 2_Sheet1" xfId="33139"/>
    <cellStyle name="Normal 2 3 3 3 4" xfId="33140"/>
    <cellStyle name="Normal 2 3 3 3 5" xfId="33141"/>
    <cellStyle name="Normal 2 3 3 3 6" xfId="33142"/>
    <cellStyle name="Normal 2 3 3 3 7" xfId="33143"/>
    <cellStyle name="Normal 2 3 3 3 8" xfId="33144"/>
    <cellStyle name="Normal 2 3 3 3 9" xfId="33145"/>
    <cellStyle name="Normal 2 3 3 3_Sheet1" xfId="33146"/>
    <cellStyle name="Normal 2 3 3 4" xfId="33147"/>
    <cellStyle name="Normal 2 3 3 4 10" xfId="33148"/>
    <cellStyle name="Normal 2 3 3 4 11" xfId="33149"/>
    <cellStyle name="Normal 2 3 3 4 12" xfId="33150"/>
    <cellStyle name="Normal 2 3 3 4 13" xfId="33151"/>
    <cellStyle name="Normal 2 3 3 4 14" xfId="33152"/>
    <cellStyle name="Normal 2 3 3 4 15" xfId="33153"/>
    <cellStyle name="Normal 2 3 3 4 16" xfId="33154"/>
    <cellStyle name="Normal 2 3 3 4 17" xfId="33155"/>
    <cellStyle name="Normal 2 3 3 4 18" xfId="33156"/>
    <cellStyle name="Normal 2 3 3 4 19" xfId="33157"/>
    <cellStyle name="Normal 2 3 3 4 2" xfId="33158"/>
    <cellStyle name="Normal 2 3 3 4 2 2" xfId="33159"/>
    <cellStyle name="Normal 2 3 3 4 2 2 10" xfId="33160"/>
    <cellStyle name="Normal 2 3 3 4 2 2 11" xfId="33161"/>
    <cellStyle name="Normal 2 3 3 4 2 2 12" xfId="33162"/>
    <cellStyle name="Normal 2 3 3 4 2 2 13" xfId="33163"/>
    <cellStyle name="Normal 2 3 3 4 2 2 14" xfId="33164"/>
    <cellStyle name="Normal 2 3 3 4 2 2 15" xfId="33165"/>
    <cellStyle name="Normal 2 3 3 4 2 2 16" xfId="33166"/>
    <cellStyle name="Normal 2 3 3 4 2 2 17" xfId="33167"/>
    <cellStyle name="Normal 2 3 3 4 2 2 18" xfId="33168"/>
    <cellStyle name="Normal 2 3 3 4 2 2 2" xfId="33169"/>
    <cellStyle name="Normal 2 3 3 4 2 2 3" xfId="33170"/>
    <cellStyle name="Normal 2 3 3 4 2 2 4" xfId="33171"/>
    <cellStyle name="Normal 2 3 3 4 2 2 5" xfId="33172"/>
    <cellStyle name="Normal 2 3 3 4 2 2 6" xfId="33173"/>
    <cellStyle name="Normal 2 3 3 4 2 2 7" xfId="33174"/>
    <cellStyle name="Normal 2 3 3 4 2 2 8" xfId="33175"/>
    <cellStyle name="Normal 2 3 3 4 2 2 9" xfId="33176"/>
    <cellStyle name="Normal 2 3 3 4 2 2_Sheet1" xfId="33177"/>
    <cellStyle name="Normal 2 3 3 4 3" xfId="33178"/>
    <cellStyle name="Normal 2 3 3 4 4" xfId="33179"/>
    <cellStyle name="Normal 2 3 3 4 5" xfId="33180"/>
    <cellStyle name="Normal 2 3 3 4 6" xfId="33181"/>
    <cellStyle name="Normal 2 3 3 4 7" xfId="33182"/>
    <cellStyle name="Normal 2 3 3 4 8" xfId="33183"/>
    <cellStyle name="Normal 2 3 3 4 9" xfId="33184"/>
    <cellStyle name="Normal 2 3 3 4_Sheet1" xfId="33185"/>
    <cellStyle name="Normal 2 3 3 5" xfId="33186"/>
    <cellStyle name="Normal 2 3 3 5 10" xfId="33187"/>
    <cellStyle name="Normal 2 3 3 5 11" xfId="33188"/>
    <cellStyle name="Normal 2 3 3 5 12" xfId="33189"/>
    <cellStyle name="Normal 2 3 3 5 13" xfId="33190"/>
    <cellStyle name="Normal 2 3 3 5 14" xfId="33191"/>
    <cellStyle name="Normal 2 3 3 5 15" xfId="33192"/>
    <cellStyle name="Normal 2 3 3 5 16" xfId="33193"/>
    <cellStyle name="Normal 2 3 3 5 17" xfId="33194"/>
    <cellStyle name="Normal 2 3 3 5 18" xfId="33195"/>
    <cellStyle name="Normal 2 3 3 5 2" xfId="33196"/>
    <cellStyle name="Normal 2 3 3 5 3" xfId="33197"/>
    <cellStyle name="Normal 2 3 3 5 4" xfId="33198"/>
    <cellStyle name="Normal 2 3 3 5 5" xfId="33199"/>
    <cellStyle name="Normal 2 3 3 5 6" xfId="33200"/>
    <cellStyle name="Normal 2 3 3 5 7" xfId="33201"/>
    <cellStyle name="Normal 2 3 3 5 8" xfId="33202"/>
    <cellStyle name="Normal 2 3 3 5 9" xfId="33203"/>
    <cellStyle name="Normal 2 3 3 5_Sheet1" xfId="33204"/>
    <cellStyle name="Normal 2 3 3 6" xfId="33205"/>
    <cellStyle name="Normal 2 3 3 7" xfId="33206"/>
    <cellStyle name="Normal 2 3 3 8" xfId="33207"/>
    <cellStyle name="Normal 2 3 3 9" xfId="33208"/>
    <cellStyle name="Normal 2 3 3_Sheet1" xfId="33209"/>
    <cellStyle name="Normal 2 3 30" xfId="33210"/>
    <cellStyle name="Normal 2 3 31" xfId="33211"/>
    <cellStyle name="Normal 2 3 31 2" xfId="33212"/>
    <cellStyle name="Normal 2 3 31 2 2" xfId="33213"/>
    <cellStyle name="Normal 2 3 4" xfId="33214"/>
    <cellStyle name="Normal 2 3 4 10" xfId="33215"/>
    <cellStyle name="Normal 2 3 4 11" xfId="33216"/>
    <cellStyle name="Normal 2 3 4 12" xfId="33217"/>
    <cellStyle name="Normal 2 3 4 13" xfId="33218"/>
    <cellStyle name="Normal 2 3 4 14" xfId="33219"/>
    <cellStyle name="Normal 2 3 4 15" xfId="33220"/>
    <cellStyle name="Normal 2 3 4 2" xfId="33221"/>
    <cellStyle name="Normal 2 3 4 2 10" xfId="33222"/>
    <cellStyle name="Normal 2 3 4 2 11" xfId="33223"/>
    <cellStyle name="Normal 2 3 4 2 12" xfId="33224"/>
    <cellStyle name="Normal 2 3 4 2 13" xfId="33225"/>
    <cellStyle name="Normal 2 3 4 2 14" xfId="33226"/>
    <cellStyle name="Normal 2 3 4 2 15" xfId="33227"/>
    <cellStyle name="Normal 2 3 4 2 16" xfId="33228"/>
    <cellStyle name="Normal 2 3 4 2 17" xfId="33229"/>
    <cellStyle name="Normal 2 3 4 2 18" xfId="33230"/>
    <cellStyle name="Normal 2 3 4 2 19" xfId="33231"/>
    <cellStyle name="Normal 2 3 4 2 2" xfId="33232"/>
    <cellStyle name="Normal 2 3 4 2 2 10" xfId="33233"/>
    <cellStyle name="Normal 2 3 4 2 2 11" xfId="33234"/>
    <cellStyle name="Normal 2 3 4 2 2 12" xfId="33235"/>
    <cellStyle name="Normal 2 3 4 2 2 13" xfId="33236"/>
    <cellStyle name="Normal 2 3 4 2 2 14" xfId="33237"/>
    <cellStyle name="Normal 2 3 4 2 2 2" xfId="33238"/>
    <cellStyle name="Normal 2 3 4 2 2 2 10" xfId="33239"/>
    <cellStyle name="Normal 2 3 4 2 2 2 11" xfId="33240"/>
    <cellStyle name="Normal 2 3 4 2 2 2 12" xfId="33241"/>
    <cellStyle name="Normal 2 3 4 2 2 2 13" xfId="33242"/>
    <cellStyle name="Normal 2 3 4 2 2 2 14" xfId="33243"/>
    <cellStyle name="Normal 2 3 4 2 2 2 15" xfId="33244"/>
    <cellStyle name="Normal 2 3 4 2 2 2 16" xfId="33245"/>
    <cellStyle name="Normal 2 3 4 2 2 2 17" xfId="33246"/>
    <cellStyle name="Normal 2 3 4 2 2 2 18" xfId="33247"/>
    <cellStyle name="Normal 2 3 4 2 2 2 19" xfId="33248"/>
    <cellStyle name="Normal 2 3 4 2 2 2 2" xfId="33249"/>
    <cellStyle name="Normal 2 3 4 2 2 2 3" xfId="33250"/>
    <cellStyle name="Normal 2 3 4 2 2 2 4" xfId="33251"/>
    <cellStyle name="Normal 2 3 4 2 2 2 5" xfId="33252"/>
    <cellStyle name="Normal 2 3 4 2 2 2 6" xfId="33253"/>
    <cellStyle name="Normal 2 3 4 2 2 2 7" xfId="33254"/>
    <cellStyle name="Normal 2 3 4 2 2 2 8" xfId="33255"/>
    <cellStyle name="Normal 2 3 4 2 2 2 9" xfId="33256"/>
    <cellStyle name="Normal 2 3 4 2 2 2_Sheet1" xfId="33257"/>
    <cellStyle name="Normal 2 3 4 2 2 3" xfId="33258"/>
    <cellStyle name="Normal 2 3 4 2 2 4" xfId="33259"/>
    <cellStyle name="Normal 2 3 4 2 2 5" xfId="33260"/>
    <cellStyle name="Normal 2 3 4 2 2 6" xfId="33261"/>
    <cellStyle name="Normal 2 3 4 2 2 7" xfId="33262"/>
    <cellStyle name="Normal 2 3 4 2 2 8" xfId="33263"/>
    <cellStyle name="Normal 2 3 4 2 2 9" xfId="33264"/>
    <cellStyle name="Normal 2 3 4 2 20" xfId="33265"/>
    <cellStyle name="Normal 2 3 4 2 3" xfId="33266"/>
    <cellStyle name="Normal 2 3 4 2 3 10" xfId="33267"/>
    <cellStyle name="Normal 2 3 4 2 3 11" xfId="33268"/>
    <cellStyle name="Normal 2 3 4 2 3 12" xfId="33269"/>
    <cellStyle name="Normal 2 3 4 2 3 13" xfId="33270"/>
    <cellStyle name="Normal 2 3 4 2 3 2" xfId="33271"/>
    <cellStyle name="Normal 2 3 4 2 3 3" xfId="33272"/>
    <cellStyle name="Normal 2 3 4 2 3 4" xfId="33273"/>
    <cellStyle name="Normal 2 3 4 2 3 5" xfId="33274"/>
    <cellStyle name="Normal 2 3 4 2 3 6" xfId="33275"/>
    <cellStyle name="Normal 2 3 4 2 3 7" xfId="33276"/>
    <cellStyle name="Normal 2 3 4 2 3 8" xfId="33277"/>
    <cellStyle name="Normal 2 3 4 2 3 9" xfId="33278"/>
    <cellStyle name="Normal 2 3 4 2 4" xfId="33279"/>
    <cellStyle name="Normal 2 3 4 2 5" xfId="33280"/>
    <cellStyle name="Normal 2 3 4 2 6" xfId="33281"/>
    <cellStyle name="Normal 2 3 4 2 7" xfId="33282"/>
    <cellStyle name="Normal 2 3 4 2 8" xfId="33283"/>
    <cellStyle name="Normal 2 3 4 2 9" xfId="33284"/>
    <cellStyle name="Normal 2 3 4 2_Sheet1" xfId="33285"/>
    <cellStyle name="Normal 2 3 4 3" xfId="33286"/>
    <cellStyle name="Normal 2 3 4 3 10" xfId="33287"/>
    <cellStyle name="Normal 2 3 4 3 11" xfId="33288"/>
    <cellStyle name="Normal 2 3 4 3 12" xfId="33289"/>
    <cellStyle name="Normal 2 3 4 3 13" xfId="33290"/>
    <cellStyle name="Normal 2 3 4 3 14" xfId="33291"/>
    <cellStyle name="Normal 2 3 4 3 15" xfId="33292"/>
    <cellStyle name="Normal 2 3 4 3 16" xfId="33293"/>
    <cellStyle name="Normal 2 3 4 3 17" xfId="33294"/>
    <cellStyle name="Normal 2 3 4 3 18" xfId="33295"/>
    <cellStyle name="Normal 2 3 4 3 19" xfId="33296"/>
    <cellStyle name="Normal 2 3 4 3 2" xfId="33297"/>
    <cellStyle name="Normal 2 3 4 3 3" xfId="33298"/>
    <cellStyle name="Normal 2 3 4 3 4" xfId="33299"/>
    <cellStyle name="Normal 2 3 4 3 5" xfId="33300"/>
    <cellStyle name="Normal 2 3 4 3 6" xfId="33301"/>
    <cellStyle name="Normal 2 3 4 3 7" xfId="33302"/>
    <cellStyle name="Normal 2 3 4 3 8" xfId="33303"/>
    <cellStyle name="Normal 2 3 4 3 9" xfId="33304"/>
    <cellStyle name="Normal 2 3 4 3_Sheet1" xfId="33305"/>
    <cellStyle name="Normal 2 3 4 4" xfId="33306"/>
    <cellStyle name="Normal 2 3 4 5" xfId="33307"/>
    <cellStyle name="Normal 2 3 4 6" xfId="33308"/>
    <cellStyle name="Normal 2 3 4 7" xfId="33309"/>
    <cellStyle name="Normal 2 3 4 8" xfId="33310"/>
    <cellStyle name="Normal 2 3 4 9" xfId="33311"/>
    <cellStyle name="Normal 2 3 4_Sheet1" xfId="33312"/>
    <cellStyle name="Normal 2 3 5" xfId="33313"/>
    <cellStyle name="Normal 2 3 5 10" xfId="33314"/>
    <cellStyle name="Normal 2 3 5 11" xfId="33315"/>
    <cellStyle name="Normal 2 3 5 12" xfId="33316"/>
    <cellStyle name="Normal 2 3 5 13" xfId="33317"/>
    <cellStyle name="Normal 2 3 5 14" xfId="33318"/>
    <cellStyle name="Normal 2 3 5 15" xfId="33319"/>
    <cellStyle name="Normal 2 3 5 2" xfId="33320"/>
    <cellStyle name="Normal 2 3 5 2 10" xfId="33321"/>
    <cellStyle name="Normal 2 3 5 2 11" xfId="33322"/>
    <cellStyle name="Normal 2 3 5 2 12" xfId="33323"/>
    <cellStyle name="Normal 2 3 5 2 13" xfId="33324"/>
    <cellStyle name="Normal 2 3 5 2 14" xfId="33325"/>
    <cellStyle name="Normal 2 3 5 2 15" xfId="33326"/>
    <cellStyle name="Normal 2 3 5 2 2" xfId="33327"/>
    <cellStyle name="Normal 2 3 5 2 2 10" xfId="33328"/>
    <cellStyle name="Normal 2 3 5 2 2 11" xfId="33329"/>
    <cellStyle name="Normal 2 3 5 2 2 12" xfId="33330"/>
    <cellStyle name="Normal 2 3 5 2 2 13" xfId="33331"/>
    <cellStyle name="Normal 2 3 5 2 2 14" xfId="33332"/>
    <cellStyle name="Normal 2 3 5 2 2 2" xfId="33333"/>
    <cellStyle name="Normal 2 3 5 2 2 2 10" xfId="33334"/>
    <cellStyle name="Normal 2 3 5 2 2 2 11" xfId="33335"/>
    <cellStyle name="Normal 2 3 5 2 2 2 12" xfId="33336"/>
    <cellStyle name="Normal 2 3 5 2 2 2 13" xfId="33337"/>
    <cellStyle name="Normal 2 3 5 2 2 2 2" xfId="33338"/>
    <cellStyle name="Normal 2 3 5 2 2 2 3" xfId="33339"/>
    <cellStyle name="Normal 2 3 5 2 2 2 4" xfId="33340"/>
    <cellStyle name="Normal 2 3 5 2 2 2 5" xfId="33341"/>
    <cellStyle name="Normal 2 3 5 2 2 2 6" xfId="33342"/>
    <cellStyle name="Normal 2 3 5 2 2 2 7" xfId="33343"/>
    <cellStyle name="Normal 2 3 5 2 2 2 8" xfId="33344"/>
    <cellStyle name="Normal 2 3 5 2 2 2 9" xfId="33345"/>
    <cellStyle name="Normal 2 3 5 2 2 3" xfId="33346"/>
    <cellStyle name="Normal 2 3 5 2 2 4" xfId="33347"/>
    <cellStyle name="Normal 2 3 5 2 2 5" xfId="33348"/>
    <cellStyle name="Normal 2 3 5 2 2 6" xfId="33349"/>
    <cellStyle name="Normal 2 3 5 2 2 7" xfId="33350"/>
    <cellStyle name="Normal 2 3 5 2 2 8" xfId="33351"/>
    <cellStyle name="Normal 2 3 5 2 2 9" xfId="33352"/>
    <cellStyle name="Normal 2 3 5 2 3" xfId="33353"/>
    <cellStyle name="Normal 2 3 5 2 3 10" xfId="33354"/>
    <cellStyle name="Normal 2 3 5 2 3 11" xfId="33355"/>
    <cellStyle name="Normal 2 3 5 2 3 12" xfId="33356"/>
    <cellStyle name="Normal 2 3 5 2 3 13" xfId="33357"/>
    <cellStyle name="Normal 2 3 5 2 3 2" xfId="33358"/>
    <cellStyle name="Normal 2 3 5 2 3 3" xfId="33359"/>
    <cellStyle name="Normal 2 3 5 2 3 4" xfId="33360"/>
    <cellStyle name="Normal 2 3 5 2 3 5" xfId="33361"/>
    <cellStyle name="Normal 2 3 5 2 3 6" xfId="33362"/>
    <cellStyle name="Normal 2 3 5 2 3 7" xfId="33363"/>
    <cellStyle name="Normal 2 3 5 2 3 8" xfId="33364"/>
    <cellStyle name="Normal 2 3 5 2 3 9" xfId="33365"/>
    <cellStyle name="Normal 2 3 5 2 4" xfId="33366"/>
    <cellStyle name="Normal 2 3 5 2 5" xfId="33367"/>
    <cellStyle name="Normal 2 3 5 2 6" xfId="33368"/>
    <cellStyle name="Normal 2 3 5 2 7" xfId="33369"/>
    <cellStyle name="Normal 2 3 5 2 8" xfId="33370"/>
    <cellStyle name="Normal 2 3 5 2 9" xfId="33371"/>
    <cellStyle name="Normal 2 3 5 3" xfId="33372"/>
    <cellStyle name="Normal 2 3 5 3 10" xfId="33373"/>
    <cellStyle name="Normal 2 3 5 3 11" xfId="33374"/>
    <cellStyle name="Normal 2 3 5 3 12" xfId="33375"/>
    <cellStyle name="Normal 2 3 5 3 13" xfId="33376"/>
    <cellStyle name="Normal 2 3 5 3 2" xfId="33377"/>
    <cellStyle name="Normal 2 3 5 3 3" xfId="33378"/>
    <cellStyle name="Normal 2 3 5 3 4" xfId="33379"/>
    <cellStyle name="Normal 2 3 5 3 5" xfId="33380"/>
    <cellStyle name="Normal 2 3 5 3 6" xfId="33381"/>
    <cellStyle name="Normal 2 3 5 3 7" xfId="33382"/>
    <cellStyle name="Normal 2 3 5 3 8" xfId="33383"/>
    <cellStyle name="Normal 2 3 5 3 9" xfId="33384"/>
    <cellStyle name="Normal 2 3 5 4" xfId="33385"/>
    <cellStyle name="Normal 2 3 5 5" xfId="33386"/>
    <cellStyle name="Normal 2 3 5 6" xfId="33387"/>
    <cellStyle name="Normal 2 3 5 7" xfId="33388"/>
    <cellStyle name="Normal 2 3 5 8" xfId="33389"/>
    <cellStyle name="Normal 2 3 5 9" xfId="33390"/>
    <cellStyle name="Normal 2 3 6" xfId="33391"/>
    <cellStyle name="Normal 2 3 6 10" xfId="33392"/>
    <cellStyle name="Normal 2 3 6 11" xfId="33393"/>
    <cellStyle name="Normal 2 3 6 12" xfId="33394"/>
    <cellStyle name="Normal 2 3 6 13" xfId="33395"/>
    <cellStyle name="Normal 2 3 6 14" xfId="33396"/>
    <cellStyle name="Normal 2 3 6 2" xfId="33397"/>
    <cellStyle name="Normal 2 3 6 2 10" xfId="33398"/>
    <cellStyle name="Normal 2 3 6 2 11" xfId="33399"/>
    <cellStyle name="Normal 2 3 6 2 12" xfId="33400"/>
    <cellStyle name="Normal 2 3 6 2 13" xfId="33401"/>
    <cellStyle name="Normal 2 3 6 2 14" xfId="33402"/>
    <cellStyle name="Normal 2 3 6 2 15" xfId="33403"/>
    <cellStyle name="Normal 2 3 6 2 16" xfId="33404"/>
    <cellStyle name="Normal 2 3 6 2 17" xfId="33405"/>
    <cellStyle name="Normal 2 3 6 2 18" xfId="33406"/>
    <cellStyle name="Normal 2 3 6 2 19" xfId="33407"/>
    <cellStyle name="Normal 2 3 6 2 2" xfId="33408"/>
    <cellStyle name="Normal 2 3 6 2 3" xfId="33409"/>
    <cellStyle name="Normal 2 3 6 2 4" xfId="33410"/>
    <cellStyle name="Normal 2 3 6 2 5" xfId="33411"/>
    <cellStyle name="Normal 2 3 6 2 6" xfId="33412"/>
    <cellStyle name="Normal 2 3 6 2 7" xfId="33413"/>
    <cellStyle name="Normal 2 3 6 2 8" xfId="33414"/>
    <cellStyle name="Normal 2 3 6 2 9" xfId="33415"/>
    <cellStyle name="Normal 2 3 6 2_Sheet1" xfId="33416"/>
    <cellStyle name="Normal 2 3 6 3" xfId="33417"/>
    <cellStyle name="Normal 2 3 6 4" xfId="33418"/>
    <cellStyle name="Normal 2 3 6 5" xfId="33419"/>
    <cellStyle name="Normal 2 3 6 6" xfId="33420"/>
    <cellStyle name="Normal 2 3 6 7" xfId="33421"/>
    <cellStyle name="Normal 2 3 6 8" xfId="33422"/>
    <cellStyle name="Normal 2 3 6 9" xfId="33423"/>
    <cellStyle name="Normal 2 3 6_Sheet1" xfId="33424"/>
    <cellStyle name="Normal 2 3 7" xfId="33425"/>
    <cellStyle name="Normal 2 3 7 10" xfId="33426"/>
    <cellStyle name="Normal 2 3 7 11" xfId="33427"/>
    <cellStyle name="Normal 2 3 7 12" xfId="33428"/>
    <cellStyle name="Normal 2 3 7 13" xfId="33429"/>
    <cellStyle name="Normal 2 3 7 2" xfId="33430"/>
    <cellStyle name="Normal 2 3 7 3" xfId="33431"/>
    <cellStyle name="Normal 2 3 7 4" xfId="33432"/>
    <cellStyle name="Normal 2 3 7 5" xfId="33433"/>
    <cellStyle name="Normal 2 3 7 6" xfId="33434"/>
    <cellStyle name="Normal 2 3 7 7" xfId="33435"/>
    <cellStyle name="Normal 2 3 7 8" xfId="33436"/>
    <cellStyle name="Normal 2 3 7 9" xfId="33437"/>
    <cellStyle name="Normal 2 3 8" xfId="33438"/>
    <cellStyle name="Normal 2 3 9" xfId="33439"/>
    <cellStyle name="Normal 2 3 9 2" xfId="33440"/>
    <cellStyle name="Normal 2 3 9 2 2" xfId="33441"/>
    <cellStyle name="Normal 2 3 9 2_Sheet1" xfId="33442"/>
    <cellStyle name="Normal 2 3 9 3" xfId="33443"/>
    <cellStyle name="Normal 2 3 9_Sheet1" xfId="33444"/>
    <cellStyle name="Normal 2 3_Sheet1" xfId="33445"/>
    <cellStyle name="Normal 2 30" xfId="33446"/>
    <cellStyle name="Normal 2 31" xfId="33447"/>
    <cellStyle name="Normal 2 31 10" xfId="33448"/>
    <cellStyle name="Normal 2 31 11" xfId="33449"/>
    <cellStyle name="Normal 2 31 12" xfId="33450"/>
    <cellStyle name="Normal 2 31 13" xfId="33451"/>
    <cellStyle name="Normal 2 31 14" xfId="33452"/>
    <cellStyle name="Normal 2 31 15" xfId="33453"/>
    <cellStyle name="Normal 2 31 2" xfId="33454"/>
    <cellStyle name="Normal 2 31 3" xfId="33455"/>
    <cellStyle name="Normal 2 31 4" xfId="33456"/>
    <cellStyle name="Normal 2 31 5" xfId="33457"/>
    <cellStyle name="Normal 2 31 6" xfId="33458"/>
    <cellStyle name="Normal 2 31 7" xfId="33459"/>
    <cellStyle name="Normal 2 31 8" xfId="33460"/>
    <cellStyle name="Normal 2 31 9" xfId="33461"/>
    <cellStyle name="Normal 2 31_Sheet1" xfId="33462"/>
    <cellStyle name="Normal 2 32" xfId="33463"/>
    <cellStyle name="Normal 2 33" xfId="33464"/>
    <cellStyle name="Normal 2 34" xfId="33465"/>
    <cellStyle name="Normal 2 34 10" xfId="33466"/>
    <cellStyle name="Normal 2 34 11" xfId="33467"/>
    <cellStyle name="Normal 2 34 12" xfId="33468"/>
    <cellStyle name="Normal 2 34 13" xfId="33469"/>
    <cellStyle name="Normal 2 34 14" xfId="33470"/>
    <cellStyle name="Normal 2 34 2" xfId="33471"/>
    <cellStyle name="Normal 2 34 3" xfId="33472"/>
    <cellStyle name="Normal 2 34 4" xfId="33473"/>
    <cellStyle name="Normal 2 34 5" xfId="33474"/>
    <cellStyle name="Normal 2 34 6" xfId="33475"/>
    <cellStyle name="Normal 2 34 7" xfId="33476"/>
    <cellStyle name="Normal 2 34 8" xfId="33477"/>
    <cellStyle name="Normal 2 34 9" xfId="33478"/>
    <cellStyle name="Normal 2 34_Sheet1" xfId="33479"/>
    <cellStyle name="Normal 2 35" xfId="33480"/>
    <cellStyle name="Normal 2 36" xfId="33481"/>
    <cellStyle name="Normal 2 37" xfId="33482"/>
    <cellStyle name="Normal 2 37 10" xfId="33483"/>
    <cellStyle name="Normal 2 37 11" xfId="33484"/>
    <cellStyle name="Normal 2 37 12" xfId="33485"/>
    <cellStyle name="Normal 2 37 13" xfId="33486"/>
    <cellStyle name="Normal 2 37 14" xfId="33487"/>
    <cellStyle name="Normal 2 37 2" xfId="33488"/>
    <cellStyle name="Normal 2 37 3" xfId="33489"/>
    <cellStyle name="Normal 2 37 4" xfId="33490"/>
    <cellStyle name="Normal 2 37 5" xfId="33491"/>
    <cellStyle name="Normal 2 37 6" xfId="33492"/>
    <cellStyle name="Normal 2 37 7" xfId="33493"/>
    <cellStyle name="Normal 2 37 8" xfId="33494"/>
    <cellStyle name="Normal 2 37 9" xfId="33495"/>
    <cellStyle name="Normal 2 37_Sheet1" xfId="33496"/>
    <cellStyle name="Normal 2 38" xfId="33497"/>
    <cellStyle name="Normal 2 38 10" xfId="33498"/>
    <cellStyle name="Normal 2 38 11" xfId="33499"/>
    <cellStyle name="Normal 2 38 12" xfId="33500"/>
    <cellStyle name="Normal 2 38 13" xfId="33501"/>
    <cellStyle name="Normal 2 38 14" xfId="33502"/>
    <cellStyle name="Normal 2 38 2" xfId="33503"/>
    <cellStyle name="Normal 2 38 3" xfId="33504"/>
    <cellStyle name="Normal 2 38 4" xfId="33505"/>
    <cellStyle name="Normal 2 38 5" xfId="33506"/>
    <cellStyle name="Normal 2 38 6" xfId="33507"/>
    <cellStyle name="Normal 2 38 7" xfId="33508"/>
    <cellStyle name="Normal 2 38 8" xfId="33509"/>
    <cellStyle name="Normal 2 38 9" xfId="33510"/>
    <cellStyle name="Normal 2 38_Sheet1" xfId="33511"/>
    <cellStyle name="Normal 2 39" xfId="33512"/>
    <cellStyle name="Normal 2 39 10" xfId="33513"/>
    <cellStyle name="Normal 2 39 11" xfId="33514"/>
    <cellStyle name="Normal 2 39 12" xfId="33515"/>
    <cellStyle name="Normal 2 39 13" xfId="33516"/>
    <cellStyle name="Normal 2 39 14" xfId="33517"/>
    <cellStyle name="Normal 2 39 2" xfId="33518"/>
    <cellStyle name="Normal 2 39 3" xfId="33519"/>
    <cellStyle name="Normal 2 39 4" xfId="33520"/>
    <cellStyle name="Normal 2 39 5" xfId="33521"/>
    <cellStyle name="Normal 2 39 6" xfId="33522"/>
    <cellStyle name="Normal 2 39 7" xfId="33523"/>
    <cellStyle name="Normal 2 39 8" xfId="33524"/>
    <cellStyle name="Normal 2 39 9" xfId="33525"/>
    <cellStyle name="Normal 2 39_Sheet1" xfId="33526"/>
    <cellStyle name="Normal 2 4" xfId="33527"/>
    <cellStyle name="Normal 2 4 10" xfId="33528"/>
    <cellStyle name="Normal 2 4 11" xfId="33529"/>
    <cellStyle name="Normal 2 4 12" xfId="33530"/>
    <cellStyle name="Normal 2 4 13" xfId="33531"/>
    <cellStyle name="Normal 2 4 14" xfId="33532"/>
    <cellStyle name="Normal 2 4 15" xfId="33533"/>
    <cellStyle name="Normal 2 4 16" xfId="33534"/>
    <cellStyle name="Normal 2 4 17" xfId="33535"/>
    <cellStyle name="Normal 2 4 18" xfId="33536"/>
    <cellStyle name="Normal 2 4 19" xfId="33537"/>
    <cellStyle name="Normal 2 4 2" xfId="33538"/>
    <cellStyle name="Normal 2 4 2 10" xfId="33539"/>
    <cellStyle name="Normal 2 4 2 11" xfId="33540"/>
    <cellStyle name="Normal 2 4 2 12" xfId="33541"/>
    <cellStyle name="Normal 2 4 2 13" xfId="33542"/>
    <cellStyle name="Normal 2 4 2 14" xfId="33543"/>
    <cellStyle name="Normal 2 4 2 15" xfId="33544"/>
    <cellStyle name="Normal 2 4 2 16" xfId="33545"/>
    <cellStyle name="Normal 2 4 2 17" xfId="33546"/>
    <cellStyle name="Normal 2 4 2 18" xfId="33547"/>
    <cellStyle name="Normal 2 4 2 19" xfId="33548"/>
    <cellStyle name="Normal 2 4 2 2" xfId="33549"/>
    <cellStyle name="Normal 2 4 2 2 10" xfId="33550"/>
    <cellStyle name="Normal 2 4 2 2 11" xfId="33551"/>
    <cellStyle name="Normal 2 4 2 2 12" xfId="33552"/>
    <cellStyle name="Normal 2 4 2 2 13" xfId="33553"/>
    <cellStyle name="Normal 2 4 2 2 14" xfId="33554"/>
    <cellStyle name="Normal 2 4 2 2 15" xfId="33555"/>
    <cellStyle name="Normal 2 4 2 2 16" xfId="33556"/>
    <cellStyle name="Normal 2 4 2 2 17" xfId="33557"/>
    <cellStyle name="Normal 2 4 2 2 18" xfId="33558"/>
    <cellStyle name="Normal 2 4 2 2 19" xfId="33559"/>
    <cellStyle name="Normal 2 4 2 2 2" xfId="33560"/>
    <cellStyle name="Normal 2 4 2 2 2 10" xfId="33561"/>
    <cellStyle name="Normal 2 4 2 2 2 11" xfId="33562"/>
    <cellStyle name="Normal 2 4 2 2 2 12" xfId="33563"/>
    <cellStyle name="Normal 2 4 2 2 2 13" xfId="33564"/>
    <cellStyle name="Normal 2 4 2 2 2 14" xfId="33565"/>
    <cellStyle name="Normal 2 4 2 2 2 2" xfId="33566"/>
    <cellStyle name="Normal 2 4 2 2 2 2 10" xfId="33567"/>
    <cellStyle name="Normal 2 4 2 2 2 2 11" xfId="33568"/>
    <cellStyle name="Normal 2 4 2 2 2 2 12" xfId="33569"/>
    <cellStyle name="Normal 2 4 2 2 2 2 13" xfId="33570"/>
    <cellStyle name="Normal 2 4 2 2 2 2 14" xfId="33571"/>
    <cellStyle name="Normal 2 4 2 2 2 2 15" xfId="33572"/>
    <cellStyle name="Normal 2 4 2 2 2 2 16" xfId="33573"/>
    <cellStyle name="Normal 2 4 2 2 2 2 17" xfId="33574"/>
    <cellStyle name="Normal 2 4 2 2 2 2 18" xfId="33575"/>
    <cellStyle name="Normal 2 4 2 2 2 2 19" xfId="33576"/>
    <cellStyle name="Normal 2 4 2 2 2 2 2" xfId="33577"/>
    <cellStyle name="Normal 2 4 2 2 2 2 2 2" xfId="33578"/>
    <cellStyle name="Normal 2 4 2 2 2 2 2 2 10" xfId="33579"/>
    <cellStyle name="Normal 2 4 2 2 2 2 2 2 11" xfId="33580"/>
    <cellStyle name="Normal 2 4 2 2 2 2 2 2 12" xfId="33581"/>
    <cellStyle name="Normal 2 4 2 2 2 2 2 2 13" xfId="33582"/>
    <cellStyle name="Normal 2 4 2 2 2 2 2 2 14" xfId="33583"/>
    <cellStyle name="Normal 2 4 2 2 2 2 2 2 15" xfId="33584"/>
    <cellStyle name="Normal 2 4 2 2 2 2 2 2 16" xfId="33585"/>
    <cellStyle name="Normal 2 4 2 2 2 2 2 2 17" xfId="33586"/>
    <cellStyle name="Normal 2 4 2 2 2 2 2 2 18" xfId="33587"/>
    <cellStyle name="Normal 2 4 2 2 2 2 2 2 19" xfId="33588"/>
    <cellStyle name="Normal 2 4 2 2 2 2 2 2 2" xfId="33589"/>
    <cellStyle name="Normal 2 4 2 2 2 2 2 2 2 2" xfId="33590"/>
    <cellStyle name="Normal 2 4 2 2 2 2 2 2 2 3" xfId="33591"/>
    <cellStyle name="Normal 2 4 2 2 2 2 2 2 2 4" xfId="33592"/>
    <cellStyle name="Normal 2 4 2 2 2 2 2 2 2 5" xfId="33593"/>
    <cellStyle name="Normal 2 4 2 2 2 2 2 2 2 6" xfId="33594"/>
    <cellStyle name="Normal 2 4 2 2 2 2 2 2 2 7" xfId="33595"/>
    <cellStyle name="Normal 2 4 2 2 2 2 2 2 2 8" xfId="33596"/>
    <cellStyle name="Normal 2 4 2 2 2 2 2 2 2 9" xfId="33597"/>
    <cellStyle name="Normal 2 4 2 2 2 2 2 2 20" xfId="33598"/>
    <cellStyle name="Normal 2 4 2 2 2 2 2 2 21" xfId="33599"/>
    <cellStyle name="Normal 2 4 2 2 2 2 2 2 22" xfId="33600"/>
    <cellStyle name="Normal 2 4 2 2 2 2 2 2 23" xfId="33601"/>
    <cellStyle name="Normal 2 4 2 2 2 2 2 2 24" xfId="33602"/>
    <cellStyle name="Normal 2 4 2 2 2 2 2 2 25" xfId="33603"/>
    <cellStyle name="Normal 2 4 2 2 2 2 2 2 3" xfId="33604"/>
    <cellStyle name="Normal 2 4 2 2 2 2 2 2 4" xfId="33605"/>
    <cellStyle name="Normal 2 4 2 2 2 2 2 2 5" xfId="33606"/>
    <cellStyle name="Normal 2 4 2 2 2 2 2 2 6" xfId="33607"/>
    <cellStyle name="Normal 2 4 2 2 2 2 2 2 7" xfId="33608"/>
    <cellStyle name="Normal 2 4 2 2 2 2 2 2 8" xfId="33609"/>
    <cellStyle name="Normal 2 4 2 2 2 2 2 2 9" xfId="33610"/>
    <cellStyle name="Normal 2 4 2 2 2 2 2 2_Sheet1" xfId="33611"/>
    <cellStyle name="Normal 2 4 2 2 2 2 2 3" xfId="33612"/>
    <cellStyle name="Normal 2 4 2 2 2 2 2 4" xfId="33613"/>
    <cellStyle name="Normal 2 4 2 2 2 2 2 5" xfId="33614"/>
    <cellStyle name="Normal 2 4 2 2 2 2 2 6" xfId="33615"/>
    <cellStyle name="Normal 2 4 2 2 2 2 2 7" xfId="33616"/>
    <cellStyle name="Normal 2 4 2 2 2 2 2 8" xfId="33617"/>
    <cellStyle name="Normal 2 4 2 2 2 2 2 9" xfId="33618"/>
    <cellStyle name="Normal 2 4 2 2 2 2 20" xfId="33619"/>
    <cellStyle name="Normal 2 4 2 2 2 2 21" xfId="33620"/>
    <cellStyle name="Normal 2 4 2 2 2 2 22" xfId="33621"/>
    <cellStyle name="Normal 2 4 2 2 2 2 23" xfId="33622"/>
    <cellStyle name="Normal 2 4 2 2 2 2 24" xfId="33623"/>
    <cellStyle name="Normal 2 4 2 2 2 2 25" xfId="33624"/>
    <cellStyle name="Normal 2 4 2 2 2 2 26" xfId="33625"/>
    <cellStyle name="Normal 2 4 2 2 2 2 3" xfId="33626"/>
    <cellStyle name="Normal 2 4 2 2 2 2 4" xfId="33627"/>
    <cellStyle name="Normal 2 4 2 2 2 2 5" xfId="33628"/>
    <cellStyle name="Normal 2 4 2 2 2 2 6" xfId="33629"/>
    <cellStyle name="Normal 2 4 2 2 2 2 7" xfId="33630"/>
    <cellStyle name="Normal 2 4 2 2 2 2 8" xfId="33631"/>
    <cellStyle name="Normal 2 4 2 2 2 2 9" xfId="33632"/>
    <cellStyle name="Normal 2 4 2 2 2 2_Sheet1" xfId="33633"/>
    <cellStyle name="Normal 2 4 2 2 2 3" xfId="33634"/>
    <cellStyle name="Normal 2 4 2 2 2 3 10" xfId="33635"/>
    <cellStyle name="Normal 2 4 2 2 2 3 11" xfId="33636"/>
    <cellStyle name="Normal 2 4 2 2 2 3 12" xfId="33637"/>
    <cellStyle name="Normal 2 4 2 2 2 3 13" xfId="33638"/>
    <cellStyle name="Normal 2 4 2 2 2 3 14" xfId="33639"/>
    <cellStyle name="Normal 2 4 2 2 2 3 15" xfId="33640"/>
    <cellStyle name="Normal 2 4 2 2 2 3 16" xfId="33641"/>
    <cellStyle name="Normal 2 4 2 2 2 3 17" xfId="33642"/>
    <cellStyle name="Normal 2 4 2 2 2 3 18" xfId="33643"/>
    <cellStyle name="Normal 2 4 2 2 2 3 19" xfId="33644"/>
    <cellStyle name="Normal 2 4 2 2 2 3 2" xfId="33645"/>
    <cellStyle name="Normal 2 4 2 2 2 3 3" xfId="33646"/>
    <cellStyle name="Normal 2 4 2 2 2 3 4" xfId="33647"/>
    <cellStyle name="Normal 2 4 2 2 2 3 5" xfId="33648"/>
    <cellStyle name="Normal 2 4 2 2 2 3 6" xfId="33649"/>
    <cellStyle name="Normal 2 4 2 2 2 3 7" xfId="33650"/>
    <cellStyle name="Normal 2 4 2 2 2 3 8" xfId="33651"/>
    <cellStyle name="Normal 2 4 2 2 2 3 9" xfId="33652"/>
    <cellStyle name="Normal 2 4 2 2 2 3_Sheet1" xfId="33653"/>
    <cellStyle name="Normal 2 4 2 2 2 4" xfId="33654"/>
    <cellStyle name="Normal 2 4 2 2 2 5" xfId="33655"/>
    <cellStyle name="Normal 2 4 2 2 2 6" xfId="33656"/>
    <cellStyle name="Normal 2 4 2 2 2 7" xfId="33657"/>
    <cellStyle name="Normal 2 4 2 2 2 8" xfId="33658"/>
    <cellStyle name="Normal 2 4 2 2 2 9" xfId="33659"/>
    <cellStyle name="Normal 2 4 2 2 20" xfId="33660"/>
    <cellStyle name="Normal 2 4 2 2 21" xfId="33661"/>
    <cellStyle name="Normal 2 4 2 2 22" xfId="33662"/>
    <cellStyle name="Normal 2 4 2 2 23" xfId="33663"/>
    <cellStyle name="Normal 2 4 2 2 24" xfId="33664"/>
    <cellStyle name="Normal 2 4 2 2 25" xfId="33665"/>
    <cellStyle name="Normal 2 4 2 2 26" xfId="33666"/>
    <cellStyle name="Normal 2 4 2 2 27" xfId="33667"/>
    <cellStyle name="Normal 2 4 2 2 28" xfId="33668"/>
    <cellStyle name="Normal 2 4 2 2 3" xfId="33669"/>
    <cellStyle name="Normal 2 4 2 2 3 10" xfId="33670"/>
    <cellStyle name="Normal 2 4 2 2 3 11" xfId="33671"/>
    <cellStyle name="Normal 2 4 2 2 3 12" xfId="33672"/>
    <cellStyle name="Normal 2 4 2 2 3 13" xfId="33673"/>
    <cellStyle name="Normal 2 4 2 2 3 2" xfId="33674"/>
    <cellStyle name="Normal 2 4 2 2 3 3" xfId="33675"/>
    <cellStyle name="Normal 2 4 2 2 3 4" xfId="33676"/>
    <cellStyle name="Normal 2 4 2 2 3 5" xfId="33677"/>
    <cellStyle name="Normal 2 4 2 2 3 6" xfId="33678"/>
    <cellStyle name="Normal 2 4 2 2 3 7" xfId="33679"/>
    <cellStyle name="Normal 2 4 2 2 3 8" xfId="33680"/>
    <cellStyle name="Normal 2 4 2 2 3 9" xfId="33681"/>
    <cellStyle name="Normal 2 4 2 2 4" xfId="33682"/>
    <cellStyle name="Normal 2 4 2 2 4 2" xfId="33683"/>
    <cellStyle name="Normal 2 4 2 2 4 2 10" xfId="33684"/>
    <cellStyle name="Normal 2 4 2 2 4 2 11" xfId="33685"/>
    <cellStyle name="Normal 2 4 2 2 4 2 12" xfId="33686"/>
    <cellStyle name="Normal 2 4 2 2 4 2 13" xfId="33687"/>
    <cellStyle name="Normal 2 4 2 2 4 2 14" xfId="33688"/>
    <cellStyle name="Normal 2 4 2 2 4 2 15" xfId="33689"/>
    <cellStyle name="Normal 2 4 2 2 4 2 16" xfId="33690"/>
    <cellStyle name="Normal 2 4 2 2 4 2 17" xfId="33691"/>
    <cellStyle name="Normal 2 4 2 2 4 2 18" xfId="33692"/>
    <cellStyle name="Normal 2 4 2 2 4 2 19" xfId="33693"/>
    <cellStyle name="Normal 2 4 2 2 4 2 2" xfId="33694"/>
    <cellStyle name="Normal 2 4 2 2 4 2 3" xfId="33695"/>
    <cellStyle name="Normal 2 4 2 2 4 2 4" xfId="33696"/>
    <cellStyle name="Normal 2 4 2 2 4 2 5" xfId="33697"/>
    <cellStyle name="Normal 2 4 2 2 4 2 6" xfId="33698"/>
    <cellStyle name="Normal 2 4 2 2 4 2 7" xfId="33699"/>
    <cellStyle name="Normal 2 4 2 2 4 2 8" xfId="33700"/>
    <cellStyle name="Normal 2 4 2 2 4 2 9" xfId="33701"/>
    <cellStyle name="Normal 2 4 2 2 4 2_Sheet1" xfId="33702"/>
    <cellStyle name="Normal 2 4 2 2 5" xfId="33703"/>
    <cellStyle name="Normal 2 4 2 2 6" xfId="33704"/>
    <cellStyle name="Normal 2 4 2 2 7" xfId="33705"/>
    <cellStyle name="Normal 2 4 2 2 8" xfId="33706"/>
    <cellStyle name="Normal 2 4 2 2 9" xfId="33707"/>
    <cellStyle name="Normal 2 4 2 2_Sheet1" xfId="33708"/>
    <cellStyle name="Normal 2 4 2 20" xfId="33709"/>
    <cellStyle name="Normal 2 4 2 21" xfId="33710"/>
    <cellStyle name="Normal 2 4 2 22" xfId="33711"/>
    <cellStyle name="Normal 2 4 2 23" xfId="33712"/>
    <cellStyle name="Normal 2 4 2 24" xfId="33713"/>
    <cellStyle name="Normal 2 4 2 3" xfId="33714"/>
    <cellStyle name="Normal 2 4 2 3 10" xfId="33715"/>
    <cellStyle name="Normal 2 4 2 3 11" xfId="33716"/>
    <cellStyle name="Normal 2 4 2 3 12" xfId="33717"/>
    <cellStyle name="Normal 2 4 2 3 13" xfId="33718"/>
    <cellStyle name="Normal 2 4 2 3 14" xfId="33719"/>
    <cellStyle name="Normal 2 4 2 3 15" xfId="33720"/>
    <cellStyle name="Normal 2 4 2 3 16" xfId="33721"/>
    <cellStyle name="Normal 2 4 2 3 17" xfId="33722"/>
    <cellStyle name="Normal 2 4 2 3 18" xfId="33723"/>
    <cellStyle name="Normal 2 4 2 3 19" xfId="33724"/>
    <cellStyle name="Normal 2 4 2 3 2" xfId="33725"/>
    <cellStyle name="Normal 2 4 2 3 2 10" xfId="33726"/>
    <cellStyle name="Normal 2 4 2 3 2 2" xfId="33727"/>
    <cellStyle name="Normal 2 4 2 3 2 2 10" xfId="33728"/>
    <cellStyle name="Normal 2 4 2 3 2 2 11" xfId="33729"/>
    <cellStyle name="Normal 2 4 2 3 2 2 12" xfId="33730"/>
    <cellStyle name="Normal 2 4 2 3 2 2 13" xfId="33731"/>
    <cellStyle name="Normal 2 4 2 3 2 2 14" xfId="33732"/>
    <cellStyle name="Normal 2 4 2 3 2 2 15" xfId="33733"/>
    <cellStyle name="Normal 2 4 2 3 2 2 16" xfId="33734"/>
    <cellStyle name="Normal 2 4 2 3 2 2 17" xfId="33735"/>
    <cellStyle name="Normal 2 4 2 3 2 2 18" xfId="33736"/>
    <cellStyle name="Normal 2 4 2 3 2 2 19" xfId="33737"/>
    <cellStyle name="Normal 2 4 2 3 2 2 2" xfId="33738"/>
    <cellStyle name="Normal 2 4 2 3 2 2 2 2" xfId="33739"/>
    <cellStyle name="Normal 2 4 2 3 2 2 2 2 10" xfId="33740"/>
    <cellStyle name="Normal 2 4 2 3 2 2 2 2 11" xfId="33741"/>
    <cellStyle name="Normal 2 4 2 3 2 2 2 2 12" xfId="33742"/>
    <cellStyle name="Normal 2 4 2 3 2 2 2 2 13" xfId="33743"/>
    <cellStyle name="Normal 2 4 2 3 2 2 2 2 14" xfId="33744"/>
    <cellStyle name="Normal 2 4 2 3 2 2 2 2 15" xfId="33745"/>
    <cellStyle name="Normal 2 4 2 3 2 2 2 2 16" xfId="33746"/>
    <cellStyle name="Normal 2 4 2 3 2 2 2 2 17" xfId="33747"/>
    <cellStyle name="Normal 2 4 2 3 2 2 2 2 18" xfId="33748"/>
    <cellStyle name="Normal 2 4 2 3 2 2 2 2 19" xfId="33749"/>
    <cellStyle name="Normal 2 4 2 3 2 2 2 2 2" xfId="33750"/>
    <cellStyle name="Normal 2 4 2 3 2 2 2 2 20" xfId="33751"/>
    <cellStyle name="Normal 2 4 2 3 2 2 2 2 21" xfId="33752"/>
    <cellStyle name="Normal 2 4 2 3 2 2 2 2 22" xfId="33753"/>
    <cellStyle name="Normal 2 4 2 3 2 2 2 2 23" xfId="33754"/>
    <cellStyle name="Normal 2 4 2 3 2 2 2 2 24" xfId="33755"/>
    <cellStyle name="Normal 2 4 2 3 2 2 2 2 3" xfId="33756"/>
    <cellStyle name="Normal 2 4 2 3 2 2 2 2 4" xfId="33757"/>
    <cellStyle name="Normal 2 4 2 3 2 2 2 2 5" xfId="33758"/>
    <cellStyle name="Normal 2 4 2 3 2 2 2 2 6" xfId="33759"/>
    <cellStyle name="Normal 2 4 2 3 2 2 2 2 7" xfId="33760"/>
    <cellStyle name="Normal 2 4 2 3 2 2 2 2 8" xfId="33761"/>
    <cellStyle name="Normal 2 4 2 3 2 2 2 2 9" xfId="33762"/>
    <cellStyle name="Normal 2 4 2 3 2 2 2 2_Sheet1" xfId="33763"/>
    <cellStyle name="Normal 2 4 2 3 2 2 2 3" xfId="33764"/>
    <cellStyle name="Normal 2 4 2 3 2 2 2 4" xfId="33765"/>
    <cellStyle name="Normal 2 4 2 3 2 2 2 5" xfId="33766"/>
    <cellStyle name="Normal 2 4 2 3 2 2 2 6" xfId="33767"/>
    <cellStyle name="Normal 2 4 2 3 2 2 2 7" xfId="33768"/>
    <cellStyle name="Normal 2 4 2 3 2 2 2 8" xfId="33769"/>
    <cellStyle name="Normal 2 4 2 3 2 2 2 9" xfId="33770"/>
    <cellStyle name="Normal 2 4 2 3 2 2 20" xfId="33771"/>
    <cellStyle name="Normal 2 4 2 3 2 2 21" xfId="33772"/>
    <cellStyle name="Normal 2 4 2 3 2 2 22" xfId="33773"/>
    <cellStyle name="Normal 2 4 2 3 2 2 23" xfId="33774"/>
    <cellStyle name="Normal 2 4 2 3 2 2 24" xfId="33775"/>
    <cellStyle name="Normal 2 4 2 3 2 2 25" xfId="33776"/>
    <cellStyle name="Normal 2 4 2 3 2 2 3" xfId="33777"/>
    <cellStyle name="Normal 2 4 2 3 2 2 4" xfId="33778"/>
    <cellStyle name="Normal 2 4 2 3 2 2 5" xfId="33779"/>
    <cellStyle name="Normal 2 4 2 3 2 2 6" xfId="33780"/>
    <cellStyle name="Normal 2 4 2 3 2 2 7" xfId="33781"/>
    <cellStyle name="Normal 2 4 2 3 2 2 8" xfId="33782"/>
    <cellStyle name="Normal 2 4 2 3 2 2 9" xfId="33783"/>
    <cellStyle name="Normal 2 4 2 3 2 2_Sheet1" xfId="33784"/>
    <cellStyle name="Normal 2 4 2 3 2 3" xfId="33785"/>
    <cellStyle name="Normal 2 4 2 3 2 3 10" xfId="33786"/>
    <cellStyle name="Normal 2 4 2 3 2 3 11" xfId="33787"/>
    <cellStyle name="Normal 2 4 2 3 2 3 12" xfId="33788"/>
    <cellStyle name="Normal 2 4 2 3 2 3 13" xfId="33789"/>
    <cellStyle name="Normal 2 4 2 3 2 3 14" xfId="33790"/>
    <cellStyle name="Normal 2 4 2 3 2 3 15" xfId="33791"/>
    <cellStyle name="Normal 2 4 2 3 2 3 16" xfId="33792"/>
    <cellStyle name="Normal 2 4 2 3 2 3 17" xfId="33793"/>
    <cellStyle name="Normal 2 4 2 3 2 3 18" xfId="33794"/>
    <cellStyle name="Normal 2 4 2 3 2 3 2" xfId="33795"/>
    <cellStyle name="Normal 2 4 2 3 2 3 3" xfId="33796"/>
    <cellStyle name="Normal 2 4 2 3 2 3 4" xfId="33797"/>
    <cellStyle name="Normal 2 4 2 3 2 3 5" xfId="33798"/>
    <cellStyle name="Normal 2 4 2 3 2 3 6" xfId="33799"/>
    <cellStyle name="Normal 2 4 2 3 2 3 7" xfId="33800"/>
    <cellStyle name="Normal 2 4 2 3 2 3 8" xfId="33801"/>
    <cellStyle name="Normal 2 4 2 3 2 3 9" xfId="33802"/>
    <cellStyle name="Normal 2 4 2 3 2 3_Sheet1" xfId="33803"/>
    <cellStyle name="Normal 2 4 2 3 2 4" xfId="33804"/>
    <cellStyle name="Normal 2 4 2 3 2 5" xfId="33805"/>
    <cellStyle name="Normal 2 4 2 3 2 6" xfId="33806"/>
    <cellStyle name="Normal 2 4 2 3 2 7" xfId="33807"/>
    <cellStyle name="Normal 2 4 2 3 2 8" xfId="33808"/>
    <cellStyle name="Normal 2 4 2 3 2 9" xfId="33809"/>
    <cellStyle name="Normal 2 4 2 3 20" xfId="33810"/>
    <cellStyle name="Normal 2 4 2 3 21" xfId="33811"/>
    <cellStyle name="Normal 2 4 2 3 22" xfId="33812"/>
    <cellStyle name="Normal 2 4 2 3 23" xfId="33813"/>
    <cellStyle name="Normal 2 4 2 3 24" xfId="33814"/>
    <cellStyle name="Normal 2 4 2 3 25" xfId="33815"/>
    <cellStyle name="Normal 2 4 2 3 26" xfId="33816"/>
    <cellStyle name="Normal 2 4 2 3 3" xfId="33817"/>
    <cellStyle name="Normal 2 4 2 3 3 2" xfId="33818"/>
    <cellStyle name="Normal 2 4 2 3 3 2 10" xfId="33819"/>
    <cellStyle name="Normal 2 4 2 3 3 2 11" xfId="33820"/>
    <cellStyle name="Normal 2 4 2 3 3 2 12" xfId="33821"/>
    <cellStyle name="Normal 2 4 2 3 3 2 13" xfId="33822"/>
    <cellStyle name="Normal 2 4 2 3 3 2 14" xfId="33823"/>
    <cellStyle name="Normal 2 4 2 3 3 2 15" xfId="33824"/>
    <cellStyle name="Normal 2 4 2 3 3 2 16" xfId="33825"/>
    <cellStyle name="Normal 2 4 2 3 3 2 17" xfId="33826"/>
    <cellStyle name="Normal 2 4 2 3 3 2 18" xfId="33827"/>
    <cellStyle name="Normal 2 4 2 3 3 2 2" xfId="33828"/>
    <cellStyle name="Normal 2 4 2 3 3 2 3" xfId="33829"/>
    <cellStyle name="Normal 2 4 2 3 3 2 4" xfId="33830"/>
    <cellStyle name="Normal 2 4 2 3 3 2 5" xfId="33831"/>
    <cellStyle name="Normal 2 4 2 3 3 2 6" xfId="33832"/>
    <cellStyle name="Normal 2 4 2 3 3 2 7" xfId="33833"/>
    <cellStyle name="Normal 2 4 2 3 3 2 8" xfId="33834"/>
    <cellStyle name="Normal 2 4 2 3 3 2 9" xfId="33835"/>
    <cellStyle name="Normal 2 4 2 3 3 2_Sheet1" xfId="33836"/>
    <cellStyle name="Normal 2 4 2 3 4" xfId="33837"/>
    <cellStyle name="Normal 2 4 2 3 5" xfId="33838"/>
    <cellStyle name="Normal 2 4 2 3 6" xfId="33839"/>
    <cellStyle name="Normal 2 4 2 3 7" xfId="33840"/>
    <cellStyle name="Normal 2 4 2 3 8" xfId="33841"/>
    <cellStyle name="Normal 2 4 2 3 9" xfId="33842"/>
    <cellStyle name="Normal 2 4 2 3_Sheet1" xfId="33843"/>
    <cellStyle name="Normal 2 4 2 4" xfId="33844"/>
    <cellStyle name="Normal 2 4 2 4 10" xfId="33845"/>
    <cellStyle name="Normal 2 4 2 4 11" xfId="33846"/>
    <cellStyle name="Normal 2 4 2 4 12" xfId="33847"/>
    <cellStyle name="Normal 2 4 2 4 13" xfId="33848"/>
    <cellStyle name="Normal 2 4 2 4 14" xfId="33849"/>
    <cellStyle name="Normal 2 4 2 4 15" xfId="33850"/>
    <cellStyle name="Normal 2 4 2 4 16" xfId="33851"/>
    <cellStyle name="Normal 2 4 2 4 17" xfId="33852"/>
    <cellStyle name="Normal 2 4 2 4 18" xfId="33853"/>
    <cellStyle name="Normal 2 4 2 4 19" xfId="33854"/>
    <cellStyle name="Normal 2 4 2 4 2" xfId="33855"/>
    <cellStyle name="Normal 2 4 2 4 2 2" xfId="33856"/>
    <cellStyle name="Normal 2 4 2 4 2 2 10" xfId="33857"/>
    <cellStyle name="Normal 2 4 2 4 2 2 11" xfId="33858"/>
    <cellStyle name="Normal 2 4 2 4 2 2 12" xfId="33859"/>
    <cellStyle name="Normal 2 4 2 4 2 2 13" xfId="33860"/>
    <cellStyle name="Normal 2 4 2 4 2 2 14" xfId="33861"/>
    <cellStyle name="Normal 2 4 2 4 2 2 15" xfId="33862"/>
    <cellStyle name="Normal 2 4 2 4 2 2 16" xfId="33863"/>
    <cellStyle name="Normal 2 4 2 4 2 2 17" xfId="33864"/>
    <cellStyle name="Normal 2 4 2 4 2 2 18" xfId="33865"/>
    <cellStyle name="Normal 2 4 2 4 2 2 19" xfId="33866"/>
    <cellStyle name="Normal 2 4 2 4 2 2 2" xfId="33867"/>
    <cellStyle name="Normal 2 4 2 4 2 2 20" xfId="33868"/>
    <cellStyle name="Normal 2 4 2 4 2 2 21" xfId="33869"/>
    <cellStyle name="Normal 2 4 2 4 2 2 22" xfId="33870"/>
    <cellStyle name="Normal 2 4 2 4 2 2 23" xfId="33871"/>
    <cellStyle name="Normal 2 4 2 4 2 2 24" xfId="33872"/>
    <cellStyle name="Normal 2 4 2 4 2 2 3" xfId="33873"/>
    <cellStyle name="Normal 2 4 2 4 2 2 4" xfId="33874"/>
    <cellStyle name="Normal 2 4 2 4 2 2 5" xfId="33875"/>
    <cellStyle name="Normal 2 4 2 4 2 2 6" xfId="33876"/>
    <cellStyle name="Normal 2 4 2 4 2 2 7" xfId="33877"/>
    <cellStyle name="Normal 2 4 2 4 2 2 8" xfId="33878"/>
    <cellStyle name="Normal 2 4 2 4 2 2 9" xfId="33879"/>
    <cellStyle name="Normal 2 4 2 4 2 2_Sheet1" xfId="33880"/>
    <cellStyle name="Normal 2 4 2 4 2 3" xfId="33881"/>
    <cellStyle name="Normal 2 4 2 4 2 4" xfId="33882"/>
    <cellStyle name="Normal 2 4 2 4 2 5" xfId="33883"/>
    <cellStyle name="Normal 2 4 2 4 2 6" xfId="33884"/>
    <cellStyle name="Normal 2 4 2 4 2 7" xfId="33885"/>
    <cellStyle name="Normal 2 4 2 4 2 8" xfId="33886"/>
    <cellStyle name="Normal 2 4 2 4 2 9" xfId="33887"/>
    <cellStyle name="Normal 2 4 2 4 20" xfId="33888"/>
    <cellStyle name="Normal 2 4 2 4 21" xfId="33889"/>
    <cellStyle name="Normal 2 4 2 4 22" xfId="33890"/>
    <cellStyle name="Normal 2 4 2 4 23" xfId="33891"/>
    <cellStyle name="Normal 2 4 2 4 24" xfId="33892"/>
    <cellStyle name="Normal 2 4 2 4 25" xfId="33893"/>
    <cellStyle name="Normal 2 4 2 4 3" xfId="33894"/>
    <cellStyle name="Normal 2 4 2 4 4" xfId="33895"/>
    <cellStyle name="Normal 2 4 2 4 5" xfId="33896"/>
    <cellStyle name="Normal 2 4 2 4 6" xfId="33897"/>
    <cellStyle name="Normal 2 4 2 4 7" xfId="33898"/>
    <cellStyle name="Normal 2 4 2 4 8" xfId="33899"/>
    <cellStyle name="Normal 2 4 2 4 9" xfId="33900"/>
    <cellStyle name="Normal 2 4 2 4_Sheet1" xfId="33901"/>
    <cellStyle name="Normal 2 4 2 5" xfId="33902"/>
    <cellStyle name="Normal 2 4 2 5 10" xfId="33903"/>
    <cellStyle name="Normal 2 4 2 5 11" xfId="33904"/>
    <cellStyle name="Normal 2 4 2 5 12" xfId="33905"/>
    <cellStyle name="Normal 2 4 2 5 13" xfId="33906"/>
    <cellStyle name="Normal 2 4 2 5 14" xfId="33907"/>
    <cellStyle name="Normal 2 4 2 5 15" xfId="33908"/>
    <cellStyle name="Normal 2 4 2 5 16" xfId="33909"/>
    <cellStyle name="Normal 2 4 2 5 17" xfId="33910"/>
    <cellStyle name="Normal 2 4 2 5 18" xfId="33911"/>
    <cellStyle name="Normal 2 4 2 5 19" xfId="33912"/>
    <cellStyle name="Normal 2 4 2 5 2" xfId="33913"/>
    <cellStyle name="Normal 2 4 2 5 20" xfId="33914"/>
    <cellStyle name="Normal 2 4 2 5 21" xfId="33915"/>
    <cellStyle name="Normal 2 4 2 5 22" xfId="33916"/>
    <cellStyle name="Normal 2 4 2 5 23" xfId="33917"/>
    <cellStyle name="Normal 2 4 2 5 24" xfId="33918"/>
    <cellStyle name="Normal 2 4 2 5 3" xfId="33919"/>
    <cellStyle name="Normal 2 4 2 5 4" xfId="33920"/>
    <cellStyle name="Normal 2 4 2 5 5" xfId="33921"/>
    <cellStyle name="Normal 2 4 2 5 6" xfId="33922"/>
    <cellStyle name="Normal 2 4 2 5 7" xfId="33923"/>
    <cellStyle name="Normal 2 4 2 5 8" xfId="33924"/>
    <cellStyle name="Normal 2 4 2 5 9" xfId="33925"/>
    <cellStyle name="Normal 2 4 2 5_Sheet1" xfId="33926"/>
    <cellStyle name="Normal 2 4 2 6" xfId="33927"/>
    <cellStyle name="Normal 2 4 2 7" xfId="33928"/>
    <cellStyle name="Normal 2 4 2 8" xfId="33929"/>
    <cellStyle name="Normal 2 4 2 9" xfId="33930"/>
    <cellStyle name="Normal 2 4 2_Sheet1" xfId="33931"/>
    <cellStyle name="Normal 2 4 20" xfId="33932"/>
    <cellStyle name="Normal 2 4 21" xfId="33933"/>
    <cellStyle name="Normal 2 4 22" xfId="33934"/>
    <cellStyle name="Normal 2 4 23" xfId="33935"/>
    <cellStyle name="Normal 2 4 24" xfId="33936"/>
    <cellStyle name="Normal 2 4 25" xfId="33937"/>
    <cellStyle name="Normal 2 4 26" xfId="33938"/>
    <cellStyle name="Normal 2 4 27" xfId="33939"/>
    <cellStyle name="Normal 2 4 28" xfId="33940"/>
    <cellStyle name="Normal 2 4 29" xfId="33941"/>
    <cellStyle name="Normal 2 4 3" xfId="33942"/>
    <cellStyle name="Normal 2 4 3 10" xfId="33943"/>
    <cellStyle name="Normal 2 4 3 11" xfId="33944"/>
    <cellStyle name="Normal 2 4 3 12" xfId="33945"/>
    <cellStyle name="Normal 2 4 3 13" xfId="33946"/>
    <cellStyle name="Normal 2 4 3 14" xfId="33947"/>
    <cellStyle name="Normal 2 4 3 15" xfId="33948"/>
    <cellStyle name="Normal 2 4 3 2" xfId="33949"/>
    <cellStyle name="Normal 2 4 3 2 10" xfId="33950"/>
    <cellStyle name="Normal 2 4 3 2 11" xfId="33951"/>
    <cellStyle name="Normal 2 4 3 2 12" xfId="33952"/>
    <cellStyle name="Normal 2 4 3 2 13" xfId="33953"/>
    <cellStyle name="Normal 2 4 3 2 14" xfId="33954"/>
    <cellStyle name="Normal 2 4 3 2 15" xfId="33955"/>
    <cellStyle name="Normal 2 4 3 2 16" xfId="33956"/>
    <cellStyle name="Normal 2 4 3 2 17" xfId="33957"/>
    <cellStyle name="Normal 2 4 3 2 18" xfId="33958"/>
    <cellStyle name="Normal 2 4 3 2 19" xfId="33959"/>
    <cellStyle name="Normal 2 4 3 2 2" xfId="33960"/>
    <cellStyle name="Normal 2 4 3 2 2 10" xfId="33961"/>
    <cellStyle name="Normal 2 4 3 2 2 11" xfId="33962"/>
    <cellStyle name="Normal 2 4 3 2 2 12" xfId="33963"/>
    <cellStyle name="Normal 2 4 3 2 2 13" xfId="33964"/>
    <cellStyle name="Normal 2 4 3 2 2 14" xfId="33965"/>
    <cellStyle name="Normal 2 4 3 2 2 2" xfId="33966"/>
    <cellStyle name="Normal 2 4 3 2 2 2 10" xfId="33967"/>
    <cellStyle name="Normal 2 4 3 2 2 2 11" xfId="33968"/>
    <cellStyle name="Normal 2 4 3 2 2 2 12" xfId="33969"/>
    <cellStyle name="Normal 2 4 3 2 2 2 13" xfId="33970"/>
    <cellStyle name="Normal 2 4 3 2 2 2 14" xfId="33971"/>
    <cellStyle name="Normal 2 4 3 2 2 2 15" xfId="33972"/>
    <cellStyle name="Normal 2 4 3 2 2 2 16" xfId="33973"/>
    <cellStyle name="Normal 2 4 3 2 2 2 17" xfId="33974"/>
    <cellStyle name="Normal 2 4 3 2 2 2 18" xfId="33975"/>
    <cellStyle name="Normal 2 4 3 2 2 2 19" xfId="33976"/>
    <cellStyle name="Normal 2 4 3 2 2 2 2" xfId="33977"/>
    <cellStyle name="Normal 2 4 3 2 2 2 2 2" xfId="33978"/>
    <cellStyle name="Normal 2 4 3 2 2 2 2 3" xfId="33979"/>
    <cellStyle name="Normal 2 4 3 2 2 2 2 4" xfId="33980"/>
    <cellStyle name="Normal 2 4 3 2 2 2 2 5" xfId="33981"/>
    <cellStyle name="Normal 2 4 3 2 2 2 2 6" xfId="33982"/>
    <cellStyle name="Normal 2 4 3 2 2 2 2 7" xfId="33983"/>
    <cellStyle name="Normal 2 4 3 2 2 2 2 8" xfId="33984"/>
    <cellStyle name="Normal 2 4 3 2 2 2 2 9" xfId="33985"/>
    <cellStyle name="Normal 2 4 3 2 2 2 20" xfId="33986"/>
    <cellStyle name="Normal 2 4 3 2 2 2 21" xfId="33987"/>
    <cellStyle name="Normal 2 4 3 2 2 2 22" xfId="33988"/>
    <cellStyle name="Normal 2 4 3 2 2 2 23" xfId="33989"/>
    <cellStyle name="Normal 2 4 3 2 2 2 24" xfId="33990"/>
    <cellStyle name="Normal 2 4 3 2 2 2 25" xfId="33991"/>
    <cellStyle name="Normal 2 4 3 2 2 2 3" xfId="33992"/>
    <cellStyle name="Normal 2 4 3 2 2 2 4" xfId="33993"/>
    <cellStyle name="Normal 2 4 3 2 2 2 5" xfId="33994"/>
    <cellStyle name="Normal 2 4 3 2 2 2 6" xfId="33995"/>
    <cellStyle name="Normal 2 4 3 2 2 2 7" xfId="33996"/>
    <cellStyle name="Normal 2 4 3 2 2 2 8" xfId="33997"/>
    <cellStyle name="Normal 2 4 3 2 2 2 9" xfId="33998"/>
    <cellStyle name="Normal 2 4 3 2 2 2_Sheet1" xfId="33999"/>
    <cellStyle name="Normal 2 4 3 2 2 3" xfId="34000"/>
    <cellStyle name="Normal 2 4 3 2 2 4" xfId="34001"/>
    <cellStyle name="Normal 2 4 3 2 2 5" xfId="34002"/>
    <cellStyle name="Normal 2 4 3 2 2 6" xfId="34003"/>
    <cellStyle name="Normal 2 4 3 2 2 7" xfId="34004"/>
    <cellStyle name="Normal 2 4 3 2 2 8" xfId="34005"/>
    <cellStyle name="Normal 2 4 3 2 2 9" xfId="34006"/>
    <cellStyle name="Normal 2 4 3 2 20" xfId="34007"/>
    <cellStyle name="Normal 2 4 3 2 21" xfId="34008"/>
    <cellStyle name="Normal 2 4 3 2 22" xfId="34009"/>
    <cellStyle name="Normal 2 4 3 2 23" xfId="34010"/>
    <cellStyle name="Normal 2 4 3 2 24" xfId="34011"/>
    <cellStyle name="Normal 2 4 3 2 25" xfId="34012"/>
    <cellStyle name="Normal 2 4 3 2 26" xfId="34013"/>
    <cellStyle name="Normal 2 4 3 2 3" xfId="34014"/>
    <cellStyle name="Normal 2 4 3 2 3 10" xfId="34015"/>
    <cellStyle name="Normal 2 4 3 2 3 11" xfId="34016"/>
    <cellStyle name="Normal 2 4 3 2 3 12" xfId="34017"/>
    <cellStyle name="Normal 2 4 3 2 3 13" xfId="34018"/>
    <cellStyle name="Normal 2 4 3 2 3 2" xfId="34019"/>
    <cellStyle name="Normal 2 4 3 2 3 3" xfId="34020"/>
    <cellStyle name="Normal 2 4 3 2 3 4" xfId="34021"/>
    <cellStyle name="Normal 2 4 3 2 3 5" xfId="34022"/>
    <cellStyle name="Normal 2 4 3 2 3 6" xfId="34023"/>
    <cellStyle name="Normal 2 4 3 2 3 7" xfId="34024"/>
    <cellStyle name="Normal 2 4 3 2 3 8" xfId="34025"/>
    <cellStyle name="Normal 2 4 3 2 3 9" xfId="34026"/>
    <cellStyle name="Normal 2 4 3 2 4" xfId="34027"/>
    <cellStyle name="Normal 2 4 3 2 5" xfId="34028"/>
    <cellStyle name="Normal 2 4 3 2 6" xfId="34029"/>
    <cellStyle name="Normal 2 4 3 2 7" xfId="34030"/>
    <cellStyle name="Normal 2 4 3 2 8" xfId="34031"/>
    <cellStyle name="Normal 2 4 3 2 9" xfId="34032"/>
    <cellStyle name="Normal 2 4 3 2_Sheet1" xfId="34033"/>
    <cellStyle name="Normal 2 4 3 3" xfId="34034"/>
    <cellStyle name="Normal 2 4 3 3 10" xfId="34035"/>
    <cellStyle name="Normal 2 4 3 3 11" xfId="34036"/>
    <cellStyle name="Normal 2 4 3 3 12" xfId="34037"/>
    <cellStyle name="Normal 2 4 3 3 13" xfId="34038"/>
    <cellStyle name="Normal 2 4 3 3 14" xfId="34039"/>
    <cellStyle name="Normal 2 4 3 3 15" xfId="34040"/>
    <cellStyle name="Normal 2 4 3 3 16" xfId="34041"/>
    <cellStyle name="Normal 2 4 3 3 17" xfId="34042"/>
    <cellStyle name="Normal 2 4 3 3 18" xfId="34043"/>
    <cellStyle name="Normal 2 4 3 3 19" xfId="34044"/>
    <cellStyle name="Normal 2 4 3 3 2" xfId="34045"/>
    <cellStyle name="Normal 2 4 3 3 3" xfId="34046"/>
    <cellStyle name="Normal 2 4 3 3 4" xfId="34047"/>
    <cellStyle name="Normal 2 4 3 3 5" xfId="34048"/>
    <cellStyle name="Normal 2 4 3 3 6" xfId="34049"/>
    <cellStyle name="Normal 2 4 3 3 7" xfId="34050"/>
    <cellStyle name="Normal 2 4 3 3 8" xfId="34051"/>
    <cellStyle name="Normal 2 4 3 3 9" xfId="34052"/>
    <cellStyle name="Normal 2 4 3 3_Sheet1" xfId="34053"/>
    <cellStyle name="Normal 2 4 3 4" xfId="34054"/>
    <cellStyle name="Normal 2 4 3 5" xfId="34055"/>
    <cellStyle name="Normal 2 4 3 6" xfId="34056"/>
    <cellStyle name="Normal 2 4 3 7" xfId="34057"/>
    <cellStyle name="Normal 2 4 3 8" xfId="34058"/>
    <cellStyle name="Normal 2 4 3 9" xfId="34059"/>
    <cellStyle name="Normal 2 4 30" xfId="34060"/>
    <cellStyle name="Normal 2 4 4" xfId="34061"/>
    <cellStyle name="Normal 2 4 4 10" xfId="34062"/>
    <cellStyle name="Normal 2 4 4 11" xfId="34063"/>
    <cellStyle name="Normal 2 4 4 12" xfId="34064"/>
    <cellStyle name="Normal 2 4 4 13" xfId="34065"/>
    <cellStyle name="Normal 2 4 4 14" xfId="34066"/>
    <cellStyle name="Normal 2 4 4 15" xfId="34067"/>
    <cellStyle name="Normal 2 4 4 2" xfId="34068"/>
    <cellStyle name="Normal 2 4 4 2 10" xfId="34069"/>
    <cellStyle name="Normal 2 4 4 2 11" xfId="34070"/>
    <cellStyle name="Normal 2 4 4 2 12" xfId="34071"/>
    <cellStyle name="Normal 2 4 4 2 13" xfId="34072"/>
    <cellStyle name="Normal 2 4 4 2 14" xfId="34073"/>
    <cellStyle name="Normal 2 4 4 2 15" xfId="34074"/>
    <cellStyle name="Normal 2 4 4 2 2" xfId="34075"/>
    <cellStyle name="Normal 2 4 4 2 2 10" xfId="34076"/>
    <cellStyle name="Normal 2 4 4 2 2 11" xfId="34077"/>
    <cellStyle name="Normal 2 4 4 2 2 12" xfId="34078"/>
    <cellStyle name="Normal 2 4 4 2 2 13" xfId="34079"/>
    <cellStyle name="Normal 2 4 4 2 2 14" xfId="34080"/>
    <cellStyle name="Normal 2 4 4 2 2 2" xfId="34081"/>
    <cellStyle name="Normal 2 4 4 2 2 2 10" xfId="34082"/>
    <cellStyle name="Normal 2 4 4 2 2 2 11" xfId="34083"/>
    <cellStyle name="Normal 2 4 4 2 2 2 12" xfId="34084"/>
    <cellStyle name="Normal 2 4 4 2 2 2 13" xfId="34085"/>
    <cellStyle name="Normal 2 4 4 2 2 2 2" xfId="34086"/>
    <cellStyle name="Normal 2 4 4 2 2 2 3" xfId="34087"/>
    <cellStyle name="Normal 2 4 4 2 2 2 4" xfId="34088"/>
    <cellStyle name="Normal 2 4 4 2 2 2 5" xfId="34089"/>
    <cellStyle name="Normal 2 4 4 2 2 2 6" xfId="34090"/>
    <cellStyle name="Normal 2 4 4 2 2 2 7" xfId="34091"/>
    <cellStyle name="Normal 2 4 4 2 2 2 8" xfId="34092"/>
    <cellStyle name="Normal 2 4 4 2 2 2 9" xfId="34093"/>
    <cellStyle name="Normal 2 4 4 2 2 3" xfId="34094"/>
    <cellStyle name="Normal 2 4 4 2 2 4" xfId="34095"/>
    <cellStyle name="Normal 2 4 4 2 2 5" xfId="34096"/>
    <cellStyle name="Normal 2 4 4 2 2 6" xfId="34097"/>
    <cellStyle name="Normal 2 4 4 2 2 7" xfId="34098"/>
    <cellStyle name="Normal 2 4 4 2 2 8" xfId="34099"/>
    <cellStyle name="Normal 2 4 4 2 2 9" xfId="34100"/>
    <cellStyle name="Normal 2 4 4 2 3" xfId="34101"/>
    <cellStyle name="Normal 2 4 4 2 3 10" xfId="34102"/>
    <cellStyle name="Normal 2 4 4 2 3 11" xfId="34103"/>
    <cellStyle name="Normal 2 4 4 2 3 12" xfId="34104"/>
    <cellStyle name="Normal 2 4 4 2 3 13" xfId="34105"/>
    <cellStyle name="Normal 2 4 4 2 3 2" xfId="34106"/>
    <cellStyle name="Normal 2 4 4 2 3 3" xfId="34107"/>
    <cellStyle name="Normal 2 4 4 2 3 4" xfId="34108"/>
    <cellStyle name="Normal 2 4 4 2 3 5" xfId="34109"/>
    <cellStyle name="Normal 2 4 4 2 3 6" xfId="34110"/>
    <cellStyle name="Normal 2 4 4 2 3 7" xfId="34111"/>
    <cellStyle name="Normal 2 4 4 2 3 8" xfId="34112"/>
    <cellStyle name="Normal 2 4 4 2 3 9" xfId="34113"/>
    <cellStyle name="Normal 2 4 4 2 4" xfId="34114"/>
    <cellStyle name="Normal 2 4 4 2 5" xfId="34115"/>
    <cellStyle name="Normal 2 4 4 2 6" xfId="34116"/>
    <cellStyle name="Normal 2 4 4 2 7" xfId="34117"/>
    <cellStyle name="Normal 2 4 4 2 8" xfId="34118"/>
    <cellStyle name="Normal 2 4 4 2 9" xfId="34119"/>
    <cellStyle name="Normal 2 4 4 3" xfId="34120"/>
    <cellStyle name="Normal 2 4 4 3 10" xfId="34121"/>
    <cellStyle name="Normal 2 4 4 3 11" xfId="34122"/>
    <cellStyle name="Normal 2 4 4 3 12" xfId="34123"/>
    <cellStyle name="Normal 2 4 4 3 13" xfId="34124"/>
    <cellStyle name="Normal 2 4 4 3 2" xfId="34125"/>
    <cellStyle name="Normal 2 4 4 3 3" xfId="34126"/>
    <cellStyle name="Normal 2 4 4 3 4" xfId="34127"/>
    <cellStyle name="Normal 2 4 4 3 5" xfId="34128"/>
    <cellStyle name="Normal 2 4 4 3 6" xfId="34129"/>
    <cellStyle name="Normal 2 4 4 3 7" xfId="34130"/>
    <cellStyle name="Normal 2 4 4 3 8" xfId="34131"/>
    <cellStyle name="Normal 2 4 4 3 9" xfId="34132"/>
    <cellStyle name="Normal 2 4 4 4" xfId="34133"/>
    <cellStyle name="Normal 2 4 4 5" xfId="34134"/>
    <cellStyle name="Normal 2 4 4 6" xfId="34135"/>
    <cellStyle name="Normal 2 4 4 7" xfId="34136"/>
    <cellStyle name="Normal 2 4 4 8" xfId="34137"/>
    <cellStyle name="Normal 2 4 4 9" xfId="34138"/>
    <cellStyle name="Normal 2 4 5" xfId="34139"/>
    <cellStyle name="Normal 2 4 5 10" xfId="34140"/>
    <cellStyle name="Normal 2 4 5 11" xfId="34141"/>
    <cellStyle name="Normal 2 4 5 12" xfId="34142"/>
    <cellStyle name="Normal 2 4 5 13" xfId="34143"/>
    <cellStyle name="Normal 2 4 5 14" xfId="34144"/>
    <cellStyle name="Normal 2 4 5 2" xfId="34145"/>
    <cellStyle name="Normal 2 4 5 2 10" xfId="34146"/>
    <cellStyle name="Normal 2 4 5 2 11" xfId="34147"/>
    <cellStyle name="Normal 2 4 5 2 12" xfId="34148"/>
    <cellStyle name="Normal 2 4 5 2 13" xfId="34149"/>
    <cellStyle name="Normal 2 4 5 2 14" xfId="34150"/>
    <cellStyle name="Normal 2 4 5 2 15" xfId="34151"/>
    <cellStyle name="Normal 2 4 5 2 16" xfId="34152"/>
    <cellStyle name="Normal 2 4 5 2 17" xfId="34153"/>
    <cellStyle name="Normal 2 4 5 2 18" xfId="34154"/>
    <cellStyle name="Normal 2 4 5 2 19" xfId="34155"/>
    <cellStyle name="Normal 2 4 5 2 2" xfId="34156"/>
    <cellStyle name="Normal 2 4 5 2 2 2" xfId="34157"/>
    <cellStyle name="Normal 2 4 5 2 2 3" xfId="34158"/>
    <cellStyle name="Normal 2 4 5 2 2 4" xfId="34159"/>
    <cellStyle name="Normal 2 4 5 2 2 5" xfId="34160"/>
    <cellStyle name="Normal 2 4 5 2 2 6" xfId="34161"/>
    <cellStyle name="Normal 2 4 5 2 2 7" xfId="34162"/>
    <cellStyle name="Normal 2 4 5 2 2 8" xfId="34163"/>
    <cellStyle name="Normal 2 4 5 2 2 9" xfId="34164"/>
    <cellStyle name="Normal 2 4 5 2 20" xfId="34165"/>
    <cellStyle name="Normal 2 4 5 2 21" xfId="34166"/>
    <cellStyle name="Normal 2 4 5 2 22" xfId="34167"/>
    <cellStyle name="Normal 2 4 5 2 23" xfId="34168"/>
    <cellStyle name="Normal 2 4 5 2 24" xfId="34169"/>
    <cellStyle name="Normal 2 4 5 2 25" xfId="34170"/>
    <cellStyle name="Normal 2 4 5 2 3" xfId="34171"/>
    <cellStyle name="Normal 2 4 5 2 4" xfId="34172"/>
    <cellStyle name="Normal 2 4 5 2 5" xfId="34173"/>
    <cellStyle name="Normal 2 4 5 2 6" xfId="34174"/>
    <cellStyle name="Normal 2 4 5 2 7" xfId="34175"/>
    <cellStyle name="Normal 2 4 5 2 8" xfId="34176"/>
    <cellStyle name="Normal 2 4 5 2 9" xfId="34177"/>
    <cellStyle name="Normal 2 4 5 2_Sheet1" xfId="34178"/>
    <cellStyle name="Normal 2 4 5 3" xfId="34179"/>
    <cellStyle name="Normal 2 4 5 4" xfId="34180"/>
    <cellStyle name="Normal 2 4 5 5" xfId="34181"/>
    <cellStyle name="Normal 2 4 5 6" xfId="34182"/>
    <cellStyle name="Normal 2 4 5 7" xfId="34183"/>
    <cellStyle name="Normal 2 4 5 8" xfId="34184"/>
    <cellStyle name="Normal 2 4 5 9" xfId="34185"/>
    <cellStyle name="Normal 2 4 6" xfId="34186"/>
    <cellStyle name="Normal 2 4 6 10" xfId="34187"/>
    <cellStyle name="Normal 2 4 6 11" xfId="34188"/>
    <cellStyle name="Normal 2 4 6 12" xfId="34189"/>
    <cellStyle name="Normal 2 4 6 13" xfId="34190"/>
    <cellStyle name="Normal 2 4 6 2" xfId="34191"/>
    <cellStyle name="Normal 2 4 6 3" xfId="34192"/>
    <cellStyle name="Normal 2 4 6 4" xfId="34193"/>
    <cellStyle name="Normal 2 4 6 5" xfId="34194"/>
    <cellStyle name="Normal 2 4 6 6" xfId="34195"/>
    <cellStyle name="Normal 2 4 6 7" xfId="34196"/>
    <cellStyle name="Normal 2 4 6 8" xfId="34197"/>
    <cellStyle name="Normal 2 4 6 9" xfId="34198"/>
    <cellStyle name="Normal 2 4 7" xfId="34199"/>
    <cellStyle name="Normal 2 4 7 2" xfId="34200"/>
    <cellStyle name="Normal 2 4 7 3" xfId="34201"/>
    <cellStyle name="Normal 2 4 7 4" xfId="34202"/>
    <cellStyle name="Normal 2 4 7 5" xfId="34203"/>
    <cellStyle name="Normal 2 4 7 6" xfId="34204"/>
    <cellStyle name="Normal 2 4 7 7" xfId="34205"/>
    <cellStyle name="Normal 2 4 7_Sheet1" xfId="34206"/>
    <cellStyle name="Normal 2 4 8" xfId="34207"/>
    <cellStyle name="Normal 2 4 8 2" xfId="34208"/>
    <cellStyle name="Normal 2 4 8 3" xfId="34209"/>
    <cellStyle name="Normal 2 4 8 4" xfId="34210"/>
    <cellStyle name="Normal 2 4 8 5" xfId="34211"/>
    <cellStyle name="Normal 2 4 8 6" xfId="34212"/>
    <cellStyle name="Normal 2 4 8 7" xfId="34213"/>
    <cellStyle name="Normal 2 4 8_Sheet1" xfId="34214"/>
    <cellStyle name="Normal 2 4 9" xfId="34215"/>
    <cellStyle name="Normal 2 40" xfId="34216"/>
    <cellStyle name="Normal 2 40 10" xfId="34217"/>
    <cellStyle name="Normal 2 40 11" xfId="34218"/>
    <cellStyle name="Normal 2 40 12" xfId="34219"/>
    <cellStyle name="Normal 2 40 13" xfId="34220"/>
    <cellStyle name="Normal 2 40 14" xfId="34221"/>
    <cellStyle name="Normal 2 40 2" xfId="34222"/>
    <cellStyle name="Normal 2 40 3" xfId="34223"/>
    <cellStyle name="Normal 2 40 4" xfId="34224"/>
    <cellStyle name="Normal 2 40 5" xfId="34225"/>
    <cellStyle name="Normal 2 40 6" xfId="34226"/>
    <cellStyle name="Normal 2 40 7" xfId="34227"/>
    <cellStyle name="Normal 2 40 8" xfId="34228"/>
    <cellStyle name="Normal 2 40 9" xfId="34229"/>
    <cellStyle name="Normal 2 40_Sheet1" xfId="34230"/>
    <cellStyle name="Normal 2 41" xfId="34231"/>
    <cellStyle name="Normal 2 41 10" xfId="34232"/>
    <cellStyle name="Normal 2 41 11" xfId="34233"/>
    <cellStyle name="Normal 2 41 12" xfId="34234"/>
    <cellStyle name="Normal 2 41 13" xfId="34235"/>
    <cellStyle name="Normal 2 41 14" xfId="34236"/>
    <cellStyle name="Normal 2 41 2" xfId="34237"/>
    <cellStyle name="Normal 2 41 3" xfId="34238"/>
    <cellStyle name="Normal 2 41 4" xfId="34239"/>
    <cellStyle name="Normal 2 41 5" xfId="34240"/>
    <cellStyle name="Normal 2 41 6" xfId="34241"/>
    <cellStyle name="Normal 2 41 7" xfId="34242"/>
    <cellStyle name="Normal 2 41 8" xfId="34243"/>
    <cellStyle name="Normal 2 41 9" xfId="34244"/>
    <cellStyle name="Normal 2 41_Sheet1" xfId="34245"/>
    <cellStyle name="Normal 2 42" xfId="34246"/>
    <cellStyle name="Normal 2 42 10" xfId="34247"/>
    <cellStyle name="Normal 2 42 11" xfId="34248"/>
    <cellStyle name="Normal 2 42 12" xfId="34249"/>
    <cellStyle name="Normal 2 42 13" xfId="34250"/>
    <cellStyle name="Normal 2 42 14" xfId="34251"/>
    <cellStyle name="Normal 2 42 2" xfId="34252"/>
    <cellStyle name="Normal 2 42 3" xfId="34253"/>
    <cellStyle name="Normal 2 42 4" xfId="34254"/>
    <cellStyle name="Normal 2 42 5" xfId="34255"/>
    <cellStyle name="Normal 2 42 6" xfId="34256"/>
    <cellStyle name="Normal 2 42 7" xfId="34257"/>
    <cellStyle name="Normal 2 42 8" xfId="34258"/>
    <cellStyle name="Normal 2 42 9" xfId="34259"/>
    <cellStyle name="Normal 2 42_Sheet1" xfId="34260"/>
    <cellStyle name="Normal 2 43" xfId="34261"/>
    <cellStyle name="Normal 2 43 10" xfId="34262"/>
    <cellStyle name="Normal 2 43 11" xfId="34263"/>
    <cellStyle name="Normal 2 43 12" xfId="34264"/>
    <cellStyle name="Normal 2 43 13" xfId="34265"/>
    <cellStyle name="Normal 2 43 14" xfId="34266"/>
    <cellStyle name="Normal 2 43 2" xfId="34267"/>
    <cellStyle name="Normal 2 43 3" xfId="34268"/>
    <cellStyle name="Normal 2 43 4" xfId="34269"/>
    <cellStyle name="Normal 2 43 5" xfId="34270"/>
    <cellStyle name="Normal 2 43 6" xfId="34271"/>
    <cellStyle name="Normal 2 43 7" xfId="34272"/>
    <cellStyle name="Normal 2 43 8" xfId="34273"/>
    <cellStyle name="Normal 2 43 9" xfId="34274"/>
    <cellStyle name="Normal 2 43_Sheet1" xfId="34275"/>
    <cellStyle name="Normal 2 44" xfId="34276"/>
    <cellStyle name="Normal 2 44 10" xfId="34277"/>
    <cellStyle name="Normal 2 44 11" xfId="34278"/>
    <cellStyle name="Normal 2 44 12" xfId="34279"/>
    <cellStyle name="Normal 2 44 13" xfId="34280"/>
    <cellStyle name="Normal 2 44 14" xfId="34281"/>
    <cellStyle name="Normal 2 44 2" xfId="34282"/>
    <cellStyle name="Normal 2 44 3" xfId="34283"/>
    <cellStyle name="Normal 2 44 4" xfId="34284"/>
    <cellStyle name="Normal 2 44 5" xfId="34285"/>
    <cellStyle name="Normal 2 44 6" xfId="34286"/>
    <cellStyle name="Normal 2 44 7" xfId="34287"/>
    <cellStyle name="Normal 2 44 8" xfId="34288"/>
    <cellStyle name="Normal 2 44 9" xfId="34289"/>
    <cellStyle name="Normal 2 44_Sheet1" xfId="34290"/>
    <cellStyle name="Normal 2 45" xfId="34291"/>
    <cellStyle name="Normal 2 45 10" xfId="34292"/>
    <cellStyle name="Normal 2 45 11" xfId="34293"/>
    <cellStyle name="Normal 2 45 12" xfId="34294"/>
    <cellStyle name="Normal 2 45 13" xfId="34295"/>
    <cellStyle name="Normal 2 45 14" xfId="34296"/>
    <cellStyle name="Normal 2 45 2" xfId="34297"/>
    <cellStyle name="Normal 2 45 3" xfId="34298"/>
    <cellStyle name="Normal 2 45 4" xfId="34299"/>
    <cellStyle name="Normal 2 45 5" xfId="34300"/>
    <cellStyle name="Normal 2 45 6" xfId="34301"/>
    <cellStyle name="Normal 2 45 7" xfId="34302"/>
    <cellStyle name="Normal 2 45 8" xfId="34303"/>
    <cellStyle name="Normal 2 45 9" xfId="34304"/>
    <cellStyle name="Normal 2 45_Sheet1" xfId="34305"/>
    <cellStyle name="Normal 2 46" xfId="34306"/>
    <cellStyle name="Normal 2 46 10" xfId="34307"/>
    <cellStyle name="Normal 2 46 11" xfId="34308"/>
    <cellStyle name="Normal 2 46 2" xfId="34309"/>
    <cellStyle name="Normal 2 46 3" xfId="34310"/>
    <cellStyle name="Normal 2 46 4" xfId="34311"/>
    <cellStyle name="Normal 2 46 5" xfId="34312"/>
    <cellStyle name="Normal 2 46 6" xfId="34313"/>
    <cellStyle name="Normal 2 46 7" xfId="34314"/>
    <cellStyle name="Normal 2 46 8" xfId="34315"/>
    <cellStyle name="Normal 2 46 9" xfId="34316"/>
    <cellStyle name="Normal 2 46_Sheet1" xfId="34317"/>
    <cellStyle name="Normal 2 47" xfId="34318"/>
    <cellStyle name="Normal 2 47 10" xfId="34319"/>
    <cellStyle name="Normal 2 47 11" xfId="34320"/>
    <cellStyle name="Normal 2 47 2" xfId="34321"/>
    <cellStyle name="Normal 2 47 3" xfId="34322"/>
    <cellStyle name="Normal 2 47 4" xfId="34323"/>
    <cellStyle name="Normal 2 47 5" xfId="34324"/>
    <cellStyle name="Normal 2 47 6" xfId="34325"/>
    <cellStyle name="Normal 2 47 7" xfId="34326"/>
    <cellStyle name="Normal 2 47 8" xfId="34327"/>
    <cellStyle name="Normal 2 47 9" xfId="34328"/>
    <cellStyle name="Normal 2 47_Sheet1" xfId="34329"/>
    <cellStyle name="Normal 2 48" xfId="34330"/>
    <cellStyle name="Normal 2 48 10" xfId="34331"/>
    <cellStyle name="Normal 2 48 11" xfId="34332"/>
    <cellStyle name="Normal 2 48 12" xfId="34333"/>
    <cellStyle name="Normal 2 48 13" xfId="34334"/>
    <cellStyle name="Normal 2 48 14" xfId="34335"/>
    <cellStyle name="Normal 2 48 2" xfId="34336"/>
    <cellStyle name="Normal 2 48 3" xfId="34337"/>
    <cellStyle name="Normal 2 48 4" xfId="34338"/>
    <cellStyle name="Normal 2 48 5" xfId="34339"/>
    <cellStyle name="Normal 2 48 6" xfId="34340"/>
    <cellStyle name="Normal 2 48 7" xfId="34341"/>
    <cellStyle name="Normal 2 48 8" xfId="34342"/>
    <cellStyle name="Normal 2 48 9" xfId="34343"/>
    <cellStyle name="Normal 2 48_Sheet1" xfId="34344"/>
    <cellStyle name="Normal 2 49" xfId="34345"/>
    <cellStyle name="Normal 2 49 10" xfId="34346"/>
    <cellStyle name="Normal 2 49 11" xfId="34347"/>
    <cellStyle name="Normal 2 49 12" xfId="34348"/>
    <cellStyle name="Normal 2 49 13" xfId="34349"/>
    <cellStyle name="Normal 2 49 14" xfId="34350"/>
    <cellStyle name="Normal 2 49 2" xfId="34351"/>
    <cellStyle name="Normal 2 49 3" xfId="34352"/>
    <cellStyle name="Normal 2 49 4" xfId="34353"/>
    <cellStyle name="Normal 2 49 5" xfId="34354"/>
    <cellStyle name="Normal 2 49 6" xfId="34355"/>
    <cellStyle name="Normal 2 49 7" xfId="34356"/>
    <cellStyle name="Normal 2 49 8" xfId="34357"/>
    <cellStyle name="Normal 2 49 9" xfId="34358"/>
    <cellStyle name="Normal 2 49_Sheet1" xfId="34359"/>
    <cellStyle name="Normal 2 5" xfId="34360"/>
    <cellStyle name="Normal 2 5 10" xfId="34361"/>
    <cellStyle name="Normal 2 5 11" xfId="34362"/>
    <cellStyle name="Normal 2 5 12" xfId="34363"/>
    <cellStyle name="Normal 2 5 13" xfId="34364"/>
    <cellStyle name="Normal 2 5 14" xfId="34365"/>
    <cellStyle name="Normal 2 5 15" xfId="34366"/>
    <cellStyle name="Normal 2 5 16" xfId="34367"/>
    <cellStyle name="Normal 2 5 17" xfId="34368"/>
    <cellStyle name="Normal 2 5 18" xfId="34369"/>
    <cellStyle name="Normal 2 5 19" xfId="34370"/>
    <cellStyle name="Normal 2 5 2" xfId="34371"/>
    <cellStyle name="Normal 2 5 2 10" xfId="34372"/>
    <cellStyle name="Normal 2 5 2 11" xfId="34373"/>
    <cellStyle name="Normal 2 5 2 12" xfId="34374"/>
    <cellStyle name="Normal 2 5 2 13" xfId="34375"/>
    <cellStyle name="Normal 2 5 2 14" xfId="34376"/>
    <cellStyle name="Normal 2 5 2 15" xfId="34377"/>
    <cellStyle name="Normal 2 5 2 16" xfId="34378"/>
    <cellStyle name="Normal 2 5 2 17" xfId="34379"/>
    <cellStyle name="Normal 2 5 2 18" xfId="34380"/>
    <cellStyle name="Normal 2 5 2 19" xfId="34381"/>
    <cellStyle name="Normal 2 5 2 2" xfId="34382"/>
    <cellStyle name="Normal 2 5 2 2 10" xfId="34383"/>
    <cellStyle name="Normal 2 5 2 2 11" xfId="34384"/>
    <cellStyle name="Normal 2 5 2 2 12" xfId="34385"/>
    <cellStyle name="Normal 2 5 2 2 13" xfId="34386"/>
    <cellStyle name="Normal 2 5 2 2 14" xfId="34387"/>
    <cellStyle name="Normal 2 5 2 2 15" xfId="34388"/>
    <cellStyle name="Normal 2 5 2 2 16" xfId="34389"/>
    <cellStyle name="Normal 2 5 2 2 17" xfId="34390"/>
    <cellStyle name="Normal 2 5 2 2 18" xfId="34391"/>
    <cellStyle name="Normal 2 5 2 2 19" xfId="34392"/>
    <cellStyle name="Normal 2 5 2 2 2" xfId="34393"/>
    <cellStyle name="Normal 2 5 2 2 2 2" xfId="34394"/>
    <cellStyle name="Normal 2 5 2 2 2 2 10" xfId="34395"/>
    <cellStyle name="Normal 2 5 2 2 2 2 11" xfId="34396"/>
    <cellStyle name="Normal 2 5 2 2 2 2 12" xfId="34397"/>
    <cellStyle name="Normal 2 5 2 2 2 2 13" xfId="34398"/>
    <cellStyle name="Normal 2 5 2 2 2 2 14" xfId="34399"/>
    <cellStyle name="Normal 2 5 2 2 2 2 15" xfId="34400"/>
    <cellStyle name="Normal 2 5 2 2 2 2 16" xfId="34401"/>
    <cellStyle name="Normal 2 5 2 2 2 2 17" xfId="34402"/>
    <cellStyle name="Normal 2 5 2 2 2 2 18" xfId="34403"/>
    <cellStyle name="Normal 2 5 2 2 2 2 19" xfId="34404"/>
    <cellStyle name="Normal 2 5 2 2 2 2 2" xfId="34405"/>
    <cellStyle name="Normal 2 5 2 2 2 2 2 2" xfId="34406"/>
    <cellStyle name="Normal 2 5 2 2 2 2 2 3" xfId="34407"/>
    <cellStyle name="Normal 2 5 2 2 2 2 2 4" xfId="34408"/>
    <cellStyle name="Normal 2 5 2 2 2 2 2 5" xfId="34409"/>
    <cellStyle name="Normal 2 5 2 2 2 2 2 6" xfId="34410"/>
    <cellStyle name="Normal 2 5 2 2 2 2 2 7" xfId="34411"/>
    <cellStyle name="Normal 2 5 2 2 2 2 2 8" xfId="34412"/>
    <cellStyle name="Normal 2 5 2 2 2 2 2 9" xfId="34413"/>
    <cellStyle name="Normal 2 5 2 2 2 2 20" xfId="34414"/>
    <cellStyle name="Normal 2 5 2 2 2 2 21" xfId="34415"/>
    <cellStyle name="Normal 2 5 2 2 2 2 22" xfId="34416"/>
    <cellStyle name="Normal 2 5 2 2 2 2 23" xfId="34417"/>
    <cellStyle name="Normal 2 5 2 2 2 2 24" xfId="34418"/>
    <cellStyle name="Normal 2 5 2 2 2 2 25" xfId="34419"/>
    <cellStyle name="Normal 2 5 2 2 2 2 3" xfId="34420"/>
    <cellStyle name="Normal 2 5 2 2 2 2 4" xfId="34421"/>
    <cellStyle name="Normal 2 5 2 2 2 2 5" xfId="34422"/>
    <cellStyle name="Normal 2 5 2 2 2 2 6" xfId="34423"/>
    <cellStyle name="Normal 2 5 2 2 2 2 7" xfId="34424"/>
    <cellStyle name="Normal 2 5 2 2 2 2 8" xfId="34425"/>
    <cellStyle name="Normal 2 5 2 2 2 2 9" xfId="34426"/>
    <cellStyle name="Normal 2 5 2 2 2 2_Sheet1" xfId="34427"/>
    <cellStyle name="Normal 2 5 2 2 2 3" xfId="34428"/>
    <cellStyle name="Normal 2 5 2 2 2 4" xfId="34429"/>
    <cellStyle name="Normal 2 5 2 2 2 5" xfId="34430"/>
    <cellStyle name="Normal 2 5 2 2 2 6" xfId="34431"/>
    <cellStyle name="Normal 2 5 2 2 2 7" xfId="34432"/>
    <cellStyle name="Normal 2 5 2 2 2 8" xfId="34433"/>
    <cellStyle name="Normal 2 5 2 2 2 9" xfId="34434"/>
    <cellStyle name="Normal 2 5 2 2 20" xfId="34435"/>
    <cellStyle name="Normal 2 5 2 2 21" xfId="34436"/>
    <cellStyle name="Normal 2 5 2 2 22" xfId="34437"/>
    <cellStyle name="Normal 2 5 2 2 23" xfId="34438"/>
    <cellStyle name="Normal 2 5 2 2 24" xfId="34439"/>
    <cellStyle name="Normal 2 5 2 2 25" xfId="34440"/>
    <cellStyle name="Normal 2 5 2 2 26" xfId="34441"/>
    <cellStyle name="Normal 2 5 2 2 3" xfId="34442"/>
    <cellStyle name="Normal 2 5 2 2 4" xfId="34443"/>
    <cellStyle name="Normal 2 5 2 2 5" xfId="34444"/>
    <cellStyle name="Normal 2 5 2 2 6" xfId="34445"/>
    <cellStyle name="Normal 2 5 2 2 7" xfId="34446"/>
    <cellStyle name="Normal 2 5 2 2 8" xfId="34447"/>
    <cellStyle name="Normal 2 5 2 2 9" xfId="34448"/>
    <cellStyle name="Normal 2 5 2 2_Sheet1" xfId="34449"/>
    <cellStyle name="Normal 2 5 2 20" xfId="34450"/>
    <cellStyle name="Normal 2 5 2 21" xfId="34451"/>
    <cellStyle name="Normal 2 5 2 22" xfId="34452"/>
    <cellStyle name="Normal 2 5 2 3" xfId="34453"/>
    <cellStyle name="Normal 2 5 2 3 10" xfId="34454"/>
    <cellStyle name="Normal 2 5 2 3 11" xfId="34455"/>
    <cellStyle name="Normal 2 5 2 3 12" xfId="34456"/>
    <cellStyle name="Normal 2 5 2 3 13" xfId="34457"/>
    <cellStyle name="Normal 2 5 2 3 14" xfId="34458"/>
    <cellStyle name="Normal 2 5 2 3 15" xfId="34459"/>
    <cellStyle name="Normal 2 5 2 3 16" xfId="34460"/>
    <cellStyle name="Normal 2 5 2 3 17" xfId="34461"/>
    <cellStyle name="Normal 2 5 2 3 18" xfId="34462"/>
    <cellStyle name="Normal 2 5 2 3 19" xfId="34463"/>
    <cellStyle name="Normal 2 5 2 3 2" xfId="34464"/>
    <cellStyle name="Normal 2 5 2 3 2 2" xfId="34465"/>
    <cellStyle name="Normal 2 5 2 3 2 3" xfId="34466"/>
    <cellStyle name="Normal 2 5 2 3 2 4" xfId="34467"/>
    <cellStyle name="Normal 2 5 2 3 2 5" xfId="34468"/>
    <cellStyle name="Normal 2 5 2 3 2 6" xfId="34469"/>
    <cellStyle name="Normal 2 5 2 3 2 7" xfId="34470"/>
    <cellStyle name="Normal 2 5 2 3 2 8" xfId="34471"/>
    <cellStyle name="Normal 2 5 2 3 2 9" xfId="34472"/>
    <cellStyle name="Normal 2 5 2 3 20" xfId="34473"/>
    <cellStyle name="Normal 2 5 2 3 21" xfId="34474"/>
    <cellStyle name="Normal 2 5 2 3 22" xfId="34475"/>
    <cellStyle name="Normal 2 5 2 3 23" xfId="34476"/>
    <cellStyle name="Normal 2 5 2 3 24" xfId="34477"/>
    <cellStyle name="Normal 2 5 2 3 25" xfId="34478"/>
    <cellStyle name="Normal 2 5 2 3 3" xfId="34479"/>
    <cellStyle name="Normal 2 5 2 3 4" xfId="34480"/>
    <cellStyle name="Normal 2 5 2 3 5" xfId="34481"/>
    <cellStyle name="Normal 2 5 2 3 6" xfId="34482"/>
    <cellStyle name="Normal 2 5 2 3 7" xfId="34483"/>
    <cellStyle name="Normal 2 5 2 3 8" xfId="34484"/>
    <cellStyle name="Normal 2 5 2 3 9" xfId="34485"/>
    <cellStyle name="Normal 2 5 2 3_Sheet1" xfId="34486"/>
    <cellStyle name="Normal 2 5 2 4" xfId="34487"/>
    <cellStyle name="Normal 2 5 2 5" xfId="34488"/>
    <cellStyle name="Normal 2 5 2 6" xfId="34489"/>
    <cellStyle name="Normal 2 5 2 7" xfId="34490"/>
    <cellStyle name="Normal 2 5 2 8" xfId="34491"/>
    <cellStyle name="Normal 2 5 2 9" xfId="34492"/>
    <cellStyle name="Normal 2 5 2_Sheet1" xfId="34493"/>
    <cellStyle name="Normal 2 5 20" xfId="34494"/>
    <cellStyle name="Normal 2 5 21" xfId="34495"/>
    <cellStyle name="Normal 2 5 22" xfId="34496"/>
    <cellStyle name="Normal 2 5 23" xfId="34497"/>
    <cellStyle name="Normal 2 5 24" xfId="34498"/>
    <cellStyle name="Normal 2 5 25" xfId="34499"/>
    <cellStyle name="Normal 2 5 26" xfId="34500"/>
    <cellStyle name="Normal 2 5 27" xfId="34501"/>
    <cellStyle name="Normal 2 5 28" xfId="34502"/>
    <cellStyle name="Normal 2 5 29" xfId="34503"/>
    <cellStyle name="Normal 2 5 3" xfId="34504"/>
    <cellStyle name="Normal 2 5 3 2" xfId="34505"/>
    <cellStyle name="Normal 2 5 3 3" xfId="34506"/>
    <cellStyle name="Normal 2 5 3 4" xfId="34507"/>
    <cellStyle name="Normal 2 5 3 5" xfId="34508"/>
    <cellStyle name="Normal 2 5 3 6" xfId="34509"/>
    <cellStyle name="Normal 2 5 3 7" xfId="34510"/>
    <cellStyle name="Normal 2 5 3 8" xfId="34511"/>
    <cellStyle name="Normal 2 5 3 9" xfId="34512"/>
    <cellStyle name="Normal 2 5 4" xfId="34513"/>
    <cellStyle name="Normal 2 5 4 2" xfId="34514"/>
    <cellStyle name="Normal 2 5 4 2 10" xfId="34515"/>
    <cellStyle name="Normal 2 5 4 2 11" xfId="34516"/>
    <cellStyle name="Normal 2 5 4 2 12" xfId="34517"/>
    <cellStyle name="Normal 2 5 4 2 13" xfId="34518"/>
    <cellStyle name="Normal 2 5 4 2 14" xfId="34519"/>
    <cellStyle name="Normal 2 5 4 2 15" xfId="34520"/>
    <cellStyle name="Normal 2 5 4 2 16" xfId="34521"/>
    <cellStyle name="Normal 2 5 4 2 17" xfId="34522"/>
    <cellStyle name="Normal 2 5 4 2 18" xfId="34523"/>
    <cellStyle name="Normal 2 5 4 2 19" xfId="34524"/>
    <cellStyle name="Normal 2 5 4 2 2" xfId="34525"/>
    <cellStyle name="Normal 2 5 4 2 2 2" xfId="34526"/>
    <cellStyle name="Normal 2 5 4 2 2 3" xfId="34527"/>
    <cellStyle name="Normal 2 5 4 2 2 4" xfId="34528"/>
    <cellStyle name="Normal 2 5 4 2 2 5" xfId="34529"/>
    <cellStyle name="Normal 2 5 4 2 2 6" xfId="34530"/>
    <cellStyle name="Normal 2 5 4 2 2 7" xfId="34531"/>
    <cellStyle name="Normal 2 5 4 2 2 8" xfId="34532"/>
    <cellStyle name="Normal 2 5 4 2 2 9" xfId="34533"/>
    <cellStyle name="Normal 2 5 4 2 20" xfId="34534"/>
    <cellStyle name="Normal 2 5 4 2 21" xfId="34535"/>
    <cellStyle name="Normal 2 5 4 2 22" xfId="34536"/>
    <cellStyle name="Normal 2 5 4 2 23" xfId="34537"/>
    <cellStyle name="Normal 2 5 4 2 24" xfId="34538"/>
    <cellStyle name="Normal 2 5 4 2 25" xfId="34539"/>
    <cellStyle name="Normal 2 5 4 2 3" xfId="34540"/>
    <cellStyle name="Normal 2 5 4 2 4" xfId="34541"/>
    <cellStyle name="Normal 2 5 4 2 5" xfId="34542"/>
    <cellStyle name="Normal 2 5 4 2 6" xfId="34543"/>
    <cellStyle name="Normal 2 5 4 2 7" xfId="34544"/>
    <cellStyle name="Normal 2 5 4 2 8" xfId="34545"/>
    <cellStyle name="Normal 2 5 4 2 9" xfId="34546"/>
    <cellStyle name="Normal 2 5 4 2_Sheet1" xfId="34547"/>
    <cellStyle name="Normal 2 5 4 3" xfId="34548"/>
    <cellStyle name="Normal 2 5 4 4" xfId="34549"/>
    <cellStyle name="Normal 2 5 4 5" xfId="34550"/>
    <cellStyle name="Normal 2 5 4 6" xfId="34551"/>
    <cellStyle name="Normal 2 5 4 7" xfId="34552"/>
    <cellStyle name="Normal 2 5 4 8" xfId="34553"/>
    <cellStyle name="Normal 2 5 4 9" xfId="34554"/>
    <cellStyle name="Normal 2 5 5" xfId="34555"/>
    <cellStyle name="Normal 2 5 5 2" xfId="34556"/>
    <cellStyle name="Normal 2 5 5 3" xfId="34557"/>
    <cellStyle name="Normal 2 5 5 4" xfId="34558"/>
    <cellStyle name="Normal 2 5 5 5" xfId="34559"/>
    <cellStyle name="Normal 2 5 5 6" xfId="34560"/>
    <cellStyle name="Normal 2 5 5 7" xfId="34561"/>
    <cellStyle name="Normal 2 5 5 8" xfId="34562"/>
    <cellStyle name="Normal 2 5 5 9" xfId="34563"/>
    <cellStyle name="Normal 2 5 6" xfId="34564"/>
    <cellStyle name="Normal 2 5 7" xfId="34565"/>
    <cellStyle name="Normal 2 5 8" xfId="34566"/>
    <cellStyle name="Normal 2 5 9" xfId="34567"/>
    <cellStyle name="Normal 2 50" xfId="34568"/>
    <cellStyle name="Normal 2 50 10" xfId="34569"/>
    <cellStyle name="Normal 2 50 11" xfId="34570"/>
    <cellStyle name="Normal 2 50 12" xfId="34571"/>
    <cellStyle name="Normal 2 50 13" xfId="34572"/>
    <cellStyle name="Normal 2 50 14" xfId="34573"/>
    <cellStyle name="Normal 2 50 2" xfId="34574"/>
    <cellStyle name="Normal 2 50 3" xfId="34575"/>
    <cellStyle name="Normal 2 50 4" xfId="34576"/>
    <cellStyle name="Normal 2 50 5" xfId="34577"/>
    <cellStyle name="Normal 2 50 6" xfId="34578"/>
    <cellStyle name="Normal 2 50 7" xfId="34579"/>
    <cellStyle name="Normal 2 50 8" xfId="34580"/>
    <cellStyle name="Normal 2 50 9" xfId="34581"/>
    <cellStyle name="Normal 2 50_Sheet1" xfId="34582"/>
    <cellStyle name="Normal 2 51" xfId="34583"/>
    <cellStyle name="Normal 2 51 10" xfId="34584"/>
    <cellStyle name="Normal 2 51 11" xfId="34585"/>
    <cellStyle name="Normal 2 51 12" xfId="34586"/>
    <cellStyle name="Normal 2 51 13" xfId="34587"/>
    <cellStyle name="Normal 2 51 14" xfId="34588"/>
    <cellStyle name="Normal 2 51 2" xfId="34589"/>
    <cellStyle name="Normal 2 51 3" xfId="34590"/>
    <cellStyle name="Normal 2 51 4" xfId="34591"/>
    <cellStyle name="Normal 2 51 5" xfId="34592"/>
    <cellStyle name="Normal 2 51 6" xfId="34593"/>
    <cellStyle name="Normal 2 51 7" xfId="34594"/>
    <cellStyle name="Normal 2 51 8" xfId="34595"/>
    <cellStyle name="Normal 2 51 9" xfId="34596"/>
    <cellStyle name="Normal 2 51_Sheet1" xfId="34597"/>
    <cellStyle name="Normal 2 52" xfId="34598"/>
    <cellStyle name="Normal 2 52 10" xfId="34599"/>
    <cellStyle name="Normal 2 52 11" xfId="34600"/>
    <cellStyle name="Normal 2 52 12" xfId="34601"/>
    <cellStyle name="Normal 2 52 13" xfId="34602"/>
    <cellStyle name="Normal 2 52 14" xfId="34603"/>
    <cellStyle name="Normal 2 52 2" xfId="34604"/>
    <cellStyle name="Normal 2 52 3" xfId="34605"/>
    <cellStyle name="Normal 2 52 4" xfId="34606"/>
    <cellStyle name="Normal 2 52 5" xfId="34607"/>
    <cellStyle name="Normal 2 52 6" xfId="34608"/>
    <cellStyle name="Normal 2 52 7" xfId="34609"/>
    <cellStyle name="Normal 2 52 8" xfId="34610"/>
    <cellStyle name="Normal 2 52 9" xfId="34611"/>
    <cellStyle name="Normal 2 52_Sheet1" xfId="34612"/>
    <cellStyle name="Normal 2 53" xfId="34613"/>
    <cellStyle name="Normal 2 53 2" xfId="34614"/>
    <cellStyle name="Normal 2 53 3" xfId="34615"/>
    <cellStyle name="Normal 2 53 4" xfId="34616"/>
    <cellStyle name="Normal 2 53_Sheet1" xfId="34617"/>
    <cellStyle name="Normal 2 54" xfId="34618"/>
    <cellStyle name="Normal 2 54 2" xfId="34619"/>
    <cellStyle name="Normal 2 54 3" xfId="34620"/>
    <cellStyle name="Normal 2 54 4" xfId="34621"/>
    <cellStyle name="Normal 2 54_Sheet1" xfId="34622"/>
    <cellStyle name="Normal 2 55" xfId="34623"/>
    <cellStyle name="Normal 2 55 2" xfId="34624"/>
    <cellStyle name="Normal 2 55 3" xfId="34625"/>
    <cellStyle name="Normal 2 55 4" xfId="34626"/>
    <cellStyle name="Normal 2 55_Sheet1" xfId="34627"/>
    <cellStyle name="Normal 2 56" xfId="34628"/>
    <cellStyle name="Normal 2 56 2" xfId="34629"/>
    <cellStyle name="Normal 2 56 3" xfId="34630"/>
    <cellStyle name="Normal 2 56 4" xfId="34631"/>
    <cellStyle name="Normal 2 56_Sheet1" xfId="34632"/>
    <cellStyle name="Normal 2 57" xfId="34633"/>
    <cellStyle name="Normal 2 57 2" xfId="34634"/>
    <cellStyle name="Normal 2 57 3" xfId="34635"/>
    <cellStyle name="Normal 2 57 4" xfId="34636"/>
    <cellStyle name="Normal 2 57_Sheet1" xfId="34637"/>
    <cellStyle name="Normal 2 58" xfId="34638"/>
    <cellStyle name="Normal 2 58 2" xfId="34639"/>
    <cellStyle name="Normal 2 58 3" xfId="34640"/>
    <cellStyle name="Normal 2 58 4" xfId="34641"/>
    <cellStyle name="Normal 2 58_Sheet1" xfId="34642"/>
    <cellStyle name="Normal 2 59" xfId="34643"/>
    <cellStyle name="Normal 2 59 2" xfId="34644"/>
    <cellStyle name="Normal 2 59 3" xfId="34645"/>
    <cellStyle name="Normal 2 59 4" xfId="34646"/>
    <cellStyle name="Normal 2 59_Sheet1" xfId="34647"/>
    <cellStyle name="Normal 2 6" xfId="34648"/>
    <cellStyle name="Normal 2 6 10" xfId="34649"/>
    <cellStyle name="Normal 2 6 11" xfId="34650"/>
    <cellStyle name="Normal 2 6 12" xfId="34651"/>
    <cellStyle name="Normal 2 6 13" xfId="34652"/>
    <cellStyle name="Normal 2 6 14" xfId="34653"/>
    <cellStyle name="Normal 2 6 15" xfId="34654"/>
    <cellStyle name="Normal 2 6 16" xfId="34655"/>
    <cellStyle name="Normal 2 6 17" xfId="34656"/>
    <cellStyle name="Normal 2 6 18" xfId="34657"/>
    <cellStyle name="Normal 2 6 19" xfId="34658"/>
    <cellStyle name="Normal 2 6 2" xfId="34659"/>
    <cellStyle name="Normal 2 6 2 10" xfId="34660"/>
    <cellStyle name="Normal 2 6 2 11" xfId="34661"/>
    <cellStyle name="Normal 2 6 2 12" xfId="34662"/>
    <cellStyle name="Normal 2 6 2 13" xfId="34663"/>
    <cellStyle name="Normal 2 6 2 14" xfId="34664"/>
    <cellStyle name="Normal 2 6 2 15" xfId="34665"/>
    <cellStyle name="Normal 2 6 2 16" xfId="34666"/>
    <cellStyle name="Normal 2 6 2 17" xfId="34667"/>
    <cellStyle name="Normal 2 6 2 18" xfId="34668"/>
    <cellStyle name="Normal 2 6 2 19" xfId="34669"/>
    <cellStyle name="Normal 2 6 2 2" xfId="34670"/>
    <cellStyle name="Normal 2 6 2 2 10" xfId="34671"/>
    <cellStyle name="Normal 2 6 2 2 11" xfId="34672"/>
    <cellStyle name="Normal 2 6 2 2 12" xfId="34673"/>
    <cellStyle name="Normal 2 6 2 2 13" xfId="34674"/>
    <cellStyle name="Normal 2 6 2 2 14" xfId="34675"/>
    <cellStyle name="Normal 2 6 2 2 15" xfId="34676"/>
    <cellStyle name="Normal 2 6 2 2 16" xfId="34677"/>
    <cellStyle name="Normal 2 6 2 2 17" xfId="34678"/>
    <cellStyle name="Normal 2 6 2 2 18" xfId="34679"/>
    <cellStyle name="Normal 2 6 2 2 19" xfId="34680"/>
    <cellStyle name="Normal 2 6 2 2 2" xfId="34681"/>
    <cellStyle name="Normal 2 6 2 2 2 2" xfId="34682"/>
    <cellStyle name="Normal 2 6 2 2 2 2 10" xfId="34683"/>
    <cellStyle name="Normal 2 6 2 2 2 2 11" xfId="34684"/>
    <cellStyle name="Normal 2 6 2 2 2 2 12" xfId="34685"/>
    <cellStyle name="Normal 2 6 2 2 2 2 13" xfId="34686"/>
    <cellStyle name="Normal 2 6 2 2 2 2 14" xfId="34687"/>
    <cellStyle name="Normal 2 6 2 2 2 2 15" xfId="34688"/>
    <cellStyle name="Normal 2 6 2 2 2 2 16" xfId="34689"/>
    <cellStyle name="Normal 2 6 2 2 2 2 17" xfId="34690"/>
    <cellStyle name="Normal 2 6 2 2 2 2 18" xfId="34691"/>
    <cellStyle name="Normal 2 6 2 2 2 2 19" xfId="34692"/>
    <cellStyle name="Normal 2 6 2 2 2 2 2" xfId="34693"/>
    <cellStyle name="Normal 2 6 2 2 2 2 20" xfId="34694"/>
    <cellStyle name="Normal 2 6 2 2 2 2 21" xfId="34695"/>
    <cellStyle name="Normal 2 6 2 2 2 2 22" xfId="34696"/>
    <cellStyle name="Normal 2 6 2 2 2 2 23" xfId="34697"/>
    <cellStyle name="Normal 2 6 2 2 2 2 24" xfId="34698"/>
    <cellStyle name="Normal 2 6 2 2 2 2 3" xfId="34699"/>
    <cellStyle name="Normal 2 6 2 2 2 2 4" xfId="34700"/>
    <cellStyle name="Normal 2 6 2 2 2 2 5" xfId="34701"/>
    <cellStyle name="Normal 2 6 2 2 2 2 6" xfId="34702"/>
    <cellStyle name="Normal 2 6 2 2 2 2 7" xfId="34703"/>
    <cellStyle name="Normal 2 6 2 2 2 2 8" xfId="34704"/>
    <cellStyle name="Normal 2 6 2 2 2 2 9" xfId="34705"/>
    <cellStyle name="Normal 2 6 2 2 2 2_Sheet1" xfId="34706"/>
    <cellStyle name="Normal 2 6 2 2 2 3" xfId="34707"/>
    <cellStyle name="Normal 2 6 2 2 2 4" xfId="34708"/>
    <cellStyle name="Normal 2 6 2 2 2 5" xfId="34709"/>
    <cellStyle name="Normal 2 6 2 2 2 6" xfId="34710"/>
    <cellStyle name="Normal 2 6 2 2 2 7" xfId="34711"/>
    <cellStyle name="Normal 2 6 2 2 2 8" xfId="34712"/>
    <cellStyle name="Normal 2 6 2 2 2 9" xfId="34713"/>
    <cellStyle name="Normal 2 6 2 2 20" xfId="34714"/>
    <cellStyle name="Normal 2 6 2 2 21" xfId="34715"/>
    <cellStyle name="Normal 2 6 2 2 22" xfId="34716"/>
    <cellStyle name="Normal 2 6 2 2 23" xfId="34717"/>
    <cellStyle name="Normal 2 6 2 2 24" xfId="34718"/>
    <cellStyle name="Normal 2 6 2 2 25" xfId="34719"/>
    <cellStyle name="Normal 2 6 2 2 3" xfId="34720"/>
    <cellStyle name="Normal 2 6 2 2 4" xfId="34721"/>
    <cellStyle name="Normal 2 6 2 2 5" xfId="34722"/>
    <cellStyle name="Normal 2 6 2 2 6" xfId="34723"/>
    <cellStyle name="Normal 2 6 2 2 7" xfId="34724"/>
    <cellStyle name="Normal 2 6 2 2 8" xfId="34725"/>
    <cellStyle name="Normal 2 6 2 2 9" xfId="34726"/>
    <cellStyle name="Normal 2 6 2 2_Sheet1" xfId="34727"/>
    <cellStyle name="Normal 2 6 2 20" xfId="34728"/>
    <cellStyle name="Normal 2 6 2 21" xfId="34729"/>
    <cellStyle name="Normal 2 6 2 22" xfId="34730"/>
    <cellStyle name="Normal 2 6 2 3" xfId="34731"/>
    <cellStyle name="Normal 2 6 2 3 10" xfId="34732"/>
    <cellStyle name="Normal 2 6 2 3 11" xfId="34733"/>
    <cellStyle name="Normal 2 6 2 3 12" xfId="34734"/>
    <cellStyle name="Normal 2 6 2 3 13" xfId="34735"/>
    <cellStyle name="Normal 2 6 2 3 14" xfId="34736"/>
    <cellStyle name="Normal 2 6 2 3 15" xfId="34737"/>
    <cellStyle name="Normal 2 6 2 3 16" xfId="34738"/>
    <cellStyle name="Normal 2 6 2 3 17" xfId="34739"/>
    <cellStyle name="Normal 2 6 2 3 18" xfId="34740"/>
    <cellStyle name="Normal 2 6 2 3 19" xfId="34741"/>
    <cellStyle name="Normal 2 6 2 3 2" xfId="34742"/>
    <cellStyle name="Normal 2 6 2 3 20" xfId="34743"/>
    <cellStyle name="Normal 2 6 2 3 21" xfId="34744"/>
    <cellStyle name="Normal 2 6 2 3 22" xfId="34745"/>
    <cellStyle name="Normal 2 6 2 3 23" xfId="34746"/>
    <cellStyle name="Normal 2 6 2 3 24" xfId="34747"/>
    <cellStyle name="Normal 2 6 2 3 3" xfId="34748"/>
    <cellStyle name="Normal 2 6 2 3 4" xfId="34749"/>
    <cellStyle name="Normal 2 6 2 3 5" xfId="34750"/>
    <cellStyle name="Normal 2 6 2 3 6" xfId="34751"/>
    <cellStyle name="Normal 2 6 2 3 7" xfId="34752"/>
    <cellStyle name="Normal 2 6 2 3 8" xfId="34753"/>
    <cellStyle name="Normal 2 6 2 3 9" xfId="34754"/>
    <cellStyle name="Normal 2 6 2 3_Sheet1" xfId="34755"/>
    <cellStyle name="Normal 2 6 2 4" xfId="34756"/>
    <cellStyle name="Normal 2 6 2 5" xfId="34757"/>
    <cellStyle name="Normal 2 6 2 6" xfId="34758"/>
    <cellStyle name="Normal 2 6 2 7" xfId="34759"/>
    <cellStyle name="Normal 2 6 2 8" xfId="34760"/>
    <cellStyle name="Normal 2 6 2 9" xfId="34761"/>
    <cellStyle name="Normal 2 6 2_Sheet1" xfId="34762"/>
    <cellStyle name="Normal 2 6 20" xfId="34763"/>
    <cellStyle name="Normal 2 6 21" xfId="34764"/>
    <cellStyle name="Normal 2 6 22" xfId="34765"/>
    <cellStyle name="Normal 2 6 23" xfId="34766"/>
    <cellStyle name="Normal 2 6 24" xfId="34767"/>
    <cellStyle name="Normal 2 6 25" xfId="34768"/>
    <cellStyle name="Normal 2 6 26" xfId="34769"/>
    <cellStyle name="Normal 2 6 3" xfId="34770"/>
    <cellStyle name="Normal 2 6 3 10" xfId="34771"/>
    <cellStyle name="Normal 2 6 3 11" xfId="34772"/>
    <cellStyle name="Normal 2 6 3 12" xfId="34773"/>
    <cellStyle name="Normal 2 6 3 13" xfId="34774"/>
    <cellStyle name="Normal 2 6 3 2" xfId="34775"/>
    <cellStyle name="Normal 2 6 3 2 10" xfId="34776"/>
    <cellStyle name="Normal 2 6 3 2 11" xfId="34777"/>
    <cellStyle name="Normal 2 6 3 2 12" xfId="34778"/>
    <cellStyle name="Normal 2 6 3 2 13" xfId="34779"/>
    <cellStyle name="Normal 2 6 3 2 14" xfId="34780"/>
    <cellStyle name="Normal 2 6 3 2 15" xfId="34781"/>
    <cellStyle name="Normal 2 6 3 2 16" xfId="34782"/>
    <cellStyle name="Normal 2 6 3 2 17" xfId="34783"/>
    <cellStyle name="Normal 2 6 3 2 18" xfId="34784"/>
    <cellStyle name="Normal 2 6 3 2 19" xfId="34785"/>
    <cellStyle name="Normal 2 6 3 2 2" xfId="34786"/>
    <cellStyle name="Normal 2 6 3 2 20" xfId="34787"/>
    <cellStyle name="Normal 2 6 3 2 21" xfId="34788"/>
    <cellStyle name="Normal 2 6 3 2 22" xfId="34789"/>
    <cellStyle name="Normal 2 6 3 2 23" xfId="34790"/>
    <cellStyle name="Normal 2 6 3 2 24" xfId="34791"/>
    <cellStyle name="Normal 2 6 3 2 3" xfId="34792"/>
    <cellStyle name="Normal 2 6 3 2 4" xfId="34793"/>
    <cellStyle name="Normal 2 6 3 2 5" xfId="34794"/>
    <cellStyle name="Normal 2 6 3 2 6" xfId="34795"/>
    <cellStyle name="Normal 2 6 3 2 7" xfId="34796"/>
    <cellStyle name="Normal 2 6 3 2 8" xfId="34797"/>
    <cellStyle name="Normal 2 6 3 2 9" xfId="34798"/>
    <cellStyle name="Normal 2 6 3 2_Sheet1" xfId="34799"/>
    <cellStyle name="Normal 2 6 3 3" xfId="34800"/>
    <cellStyle name="Normal 2 6 3 4" xfId="34801"/>
    <cellStyle name="Normal 2 6 3 5" xfId="34802"/>
    <cellStyle name="Normal 2 6 3 6" xfId="34803"/>
    <cellStyle name="Normal 2 6 3 7" xfId="34804"/>
    <cellStyle name="Normal 2 6 3 8" xfId="34805"/>
    <cellStyle name="Normal 2 6 3 9" xfId="34806"/>
    <cellStyle name="Normal 2 6 3_Sheet1" xfId="34807"/>
    <cellStyle name="Normal 2 6 4" xfId="34808"/>
    <cellStyle name="Normal 2 6 4 2" xfId="34809"/>
    <cellStyle name="Normal 2 6 4 3" xfId="34810"/>
    <cellStyle name="Normal 2 6 4 4" xfId="34811"/>
    <cellStyle name="Normal 2 6 4 5" xfId="34812"/>
    <cellStyle name="Normal 2 6 4 6" xfId="34813"/>
    <cellStyle name="Normal 2 6 4 7" xfId="34814"/>
    <cellStyle name="Normal 2 6 4_Sheet1" xfId="34815"/>
    <cellStyle name="Normal 2 6 5" xfId="34816"/>
    <cellStyle name="Normal 2 6 5 2" xfId="34817"/>
    <cellStyle name="Normal 2 6 5 3" xfId="34818"/>
    <cellStyle name="Normal 2 6 5 4" xfId="34819"/>
    <cellStyle name="Normal 2 6 5 5" xfId="34820"/>
    <cellStyle name="Normal 2 6 5 6" xfId="34821"/>
    <cellStyle name="Normal 2 6 5 7" xfId="34822"/>
    <cellStyle name="Normal 2 6 5_Sheet1" xfId="34823"/>
    <cellStyle name="Normal 2 6 6" xfId="34824"/>
    <cellStyle name="Normal 2 6 7" xfId="34825"/>
    <cellStyle name="Normal 2 6 8" xfId="34826"/>
    <cellStyle name="Normal 2 6 9" xfId="34827"/>
    <cellStyle name="Normal 2 60" xfId="34828"/>
    <cellStyle name="Normal 2 60 2" xfId="34829"/>
    <cellStyle name="Normal 2 60 3" xfId="34830"/>
    <cellStyle name="Normal 2 60 4" xfId="34831"/>
    <cellStyle name="Normal 2 60_Sheet1" xfId="34832"/>
    <cellStyle name="Normal 2 61" xfId="34833"/>
    <cellStyle name="Normal 2 61 2" xfId="34834"/>
    <cellStyle name="Normal 2 61 3" xfId="34835"/>
    <cellStyle name="Normal 2 61 4" xfId="34836"/>
    <cellStyle name="Normal 2 61_Sheet1" xfId="34837"/>
    <cellStyle name="Normal 2 62" xfId="34838"/>
    <cellStyle name="Normal 2 62 2" xfId="34839"/>
    <cellStyle name="Normal 2 62 3" xfId="34840"/>
    <cellStyle name="Normal 2 62 4" xfId="34841"/>
    <cellStyle name="Normal 2 62_Sheet1" xfId="34842"/>
    <cellStyle name="Normal 2 63" xfId="34843"/>
    <cellStyle name="Normal 2 63 2" xfId="34844"/>
    <cellStyle name="Normal 2 63 3" xfId="34845"/>
    <cellStyle name="Normal 2 63 4" xfId="34846"/>
    <cellStyle name="Normal 2 63_Sheet1" xfId="34847"/>
    <cellStyle name="Normal 2 64" xfId="34848"/>
    <cellStyle name="Normal 2 65" xfId="34849"/>
    <cellStyle name="Normal 2 66" xfId="34850"/>
    <cellStyle name="Normal 2 67" xfId="34851"/>
    <cellStyle name="Normal 2 68" xfId="34852"/>
    <cellStyle name="Normal 2 69" xfId="34853"/>
    <cellStyle name="Normal 2 7" xfId="34854"/>
    <cellStyle name="Normal 2 7 10" xfId="34855"/>
    <cellStyle name="Normal 2 7 11" xfId="34856"/>
    <cellStyle name="Normal 2 7 12" xfId="34857"/>
    <cellStyle name="Normal 2 7 13" xfId="34858"/>
    <cellStyle name="Normal 2 7 14" xfId="34859"/>
    <cellStyle name="Normal 2 7 15" xfId="34860"/>
    <cellStyle name="Normal 2 7 16" xfId="34861"/>
    <cellStyle name="Normal 2 7 17" xfId="34862"/>
    <cellStyle name="Normal 2 7 18" xfId="34863"/>
    <cellStyle name="Normal 2 7 19" xfId="34864"/>
    <cellStyle name="Normal 2 7 2" xfId="34865"/>
    <cellStyle name="Normal 2 7 2 2" xfId="34866"/>
    <cellStyle name="Normal 2 7 2 2 10" xfId="34867"/>
    <cellStyle name="Normal 2 7 2 2 11" xfId="34868"/>
    <cellStyle name="Normal 2 7 2 2 12" xfId="34869"/>
    <cellStyle name="Normal 2 7 2 2 13" xfId="34870"/>
    <cellStyle name="Normal 2 7 2 2 14" xfId="34871"/>
    <cellStyle name="Normal 2 7 2 2 15" xfId="34872"/>
    <cellStyle name="Normal 2 7 2 2 16" xfId="34873"/>
    <cellStyle name="Normal 2 7 2 2 17" xfId="34874"/>
    <cellStyle name="Normal 2 7 2 2 18" xfId="34875"/>
    <cellStyle name="Normal 2 7 2 2 19" xfId="34876"/>
    <cellStyle name="Normal 2 7 2 2 2" xfId="34877"/>
    <cellStyle name="Normal 2 7 2 2 20" xfId="34878"/>
    <cellStyle name="Normal 2 7 2 2 21" xfId="34879"/>
    <cellStyle name="Normal 2 7 2 2 22" xfId="34880"/>
    <cellStyle name="Normal 2 7 2 2 23" xfId="34881"/>
    <cellStyle name="Normal 2 7 2 2 24" xfId="34882"/>
    <cellStyle name="Normal 2 7 2 2 3" xfId="34883"/>
    <cellStyle name="Normal 2 7 2 2 4" xfId="34884"/>
    <cellStyle name="Normal 2 7 2 2 5" xfId="34885"/>
    <cellStyle name="Normal 2 7 2 2 6" xfId="34886"/>
    <cellStyle name="Normal 2 7 2 2 7" xfId="34887"/>
    <cellStyle name="Normal 2 7 2 2 8" xfId="34888"/>
    <cellStyle name="Normal 2 7 2 2 9" xfId="34889"/>
    <cellStyle name="Normal 2 7 2 2_Sheet1" xfId="34890"/>
    <cellStyle name="Normal 2 7 2 3" xfId="34891"/>
    <cellStyle name="Normal 2 7 2 4" xfId="34892"/>
    <cellStyle name="Normal 2 7 2 5" xfId="34893"/>
    <cellStyle name="Normal 2 7 2 6" xfId="34894"/>
    <cellStyle name="Normal 2 7 2 7" xfId="34895"/>
    <cellStyle name="Normal 2 7 2 8" xfId="34896"/>
    <cellStyle name="Normal 2 7 2 9" xfId="34897"/>
    <cellStyle name="Normal 2 7 2_Sheet1" xfId="34898"/>
    <cellStyle name="Normal 2 7 20" xfId="34899"/>
    <cellStyle name="Normal 2 7 21" xfId="34900"/>
    <cellStyle name="Normal 2 7 22" xfId="34901"/>
    <cellStyle name="Normal 2 7 23" xfId="34902"/>
    <cellStyle name="Normal 2 7 24" xfId="34903"/>
    <cellStyle name="Normal 2 7 25" xfId="34904"/>
    <cellStyle name="Normal 2 7 3" xfId="34905"/>
    <cellStyle name="Normal 2 7 4" xfId="34906"/>
    <cellStyle name="Normal 2 7 5" xfId="34907"/>
    <cellStyle name="Normal 2 7 6" xfId="34908"/>
    <cellStyle name="Normal 2 7 7" xfId="34909"/>
    <cellStyle name="Normal 2 7 8" xfId="34910"/>
    <cellStyle name="Normal 2 7 9" xfId="34911"/>
    <cellStyle name="Normal 2 70" xfId="34912"/>
    <cellStyle name="Normal 2 71" xfId="34913"/>
    <cellStyle name="Normal 2 72" xfId="34914"/>
    <cellStyle name="Normal 2 73" xfId="34915"/>
    <cellStyle name="Normal 2 74" xfId="34916"/>
    <cellStyle name="Normal 2 75" xfId="34917"/>
    <cellStyle name="Normal 2 76" xfId="34918"/>
    <cellStyle name="Normal 2 77" xfId="34919"/>
    <cellStyle name="Normal 2 78" xfId="34920"/>
    <cellStyle name="Normal 2 79" xfId="34921"/>
    <cellStyle name="Normal 2 8" xfId="34922"/>
    <cellStyle name="Normal 2 8 10" xfId="34923"/>
    <cellStyle name="Normal 2 8 11" xfId="34924"/>
    <cellStyle name="Normal 2 8 12" xfId="34925"/>
    <cellStyle name="Normal 2 8 13" xfId="34926"/>
    <cellStyle name="Normal 2 8 14" xfId="34927"/>
    <cellStyle name="Normal 2 8 15" xfId="34928"/>
    <cellStyle name="Normal 2 8 16" xfId="34929"/>
    <cellStyle name="Normal 2 8 17" xfId="34930"/>
    <cellStyle name="Normal 2 8 18" xfId="34931"/>
    <cellStyle name="Normal 2 8 19" xfId="34932"/>
    <cellStyle name="Normal 2 8 2" xfId="34933"/>
    <cellStyle name="Normal 2 8 2 10" xfId="34934"/>
    <cellStyle name="Normal 2 8 2 11" xfId="34935"/>
    <cellStyle name="Normal 2 8 2 12" xfId="34936"/>
    <cellStyle name="Normal 2 8 2 13" xfId="34937"/>
    <cellStyle name="Normal 2 8 2 14" xfId="34938"/>
    <cellStyle name="Normal 2 8 2 2" xfId="34939"/>
    <cellStyle name="Normal 2 8 2 3" xfId="34940"/>
    <cellStyle name="Normal 2 8 2 4" xfId="34941"/>
    <cellStyle name="Normal 2 8 2 5" xfId="34942"/>
    <cellStyle name="Normal 2 8 2 6" xfId="34943"/>
    <cellStyle name="Normal 2 8 2 7" xfId="34944"/>
    <cellStyle name="Normal 2 8 2 8" xfId="34945"/>
    <cellStyle name="Normal 2 8 2 9" xfId="34946"/>
    <cellStyle name="Normal 2 8 2_Sheet1" xfId="34947"/>
    <cellStyle name="Normal 2 8 20" xfId="34948"/>
    <cellStyle name="Normal 2 8 21" xfId="34949"/>
    <cellStyle name="Normal 2 8 22" xfId="34950"/>
    <cellStyle name="Normal 2 8 23" xfId="34951"/>
    <cellStyle name="Normal 2 8 24" xfId="34952"/>
    <cellStyle name="Normal 2 8 25" xfId="34953"/>
    <cellStyle name="Normal 2 8 3" xfId="34954"/>
    <cellStyle name="Normal 2 8 3 2" xfId="34955"/>
    <cellStyle name="Normal 2 8 3 3" xfId="34956"/>
    <cellStyle name="Normal 2 8 3 4" xfId="34957"/>
    <cellStyle name="Normal 2 8 3 5" xfId="34958"/>
    <cellStyle name="Normal 2 8 3 6" xfId="34959"/>
    <cellStyle name="Normal 2 8 3 7" xfId="34960"/>
    <cellStyle name="Normal 2 8 3_Sheet1" xfId="34961"/>
    <cellStyle name="Normal 2 8 4" xfId="34962"/>
    <cellStyle name="Normal 2 8 4 2" xfId="34963"/>
    <cellStyle name="Normal 2 8 4 3" xfId="34964"/>
    <cellStyle name="Normal 2 8 4 4" xfId="34965"/>
    <cellStyle name="Normal 2 8 4 5" xfId="34966"/>
    <cellStyle name="Normal 2 8 4 6" xfId="34967"/>
    <cellStyle name="Normal 2 8 4 7" xfId="34968"/>
    <cellStyle name="Normal 2 8 4_Sheet1" xfId="34969"/>
    <cellStyle name="Normal 2 8 5" xfId="34970"/>
    <cellStyle name="Normal 2 8 5 2" xfId="34971"/>
    <cellStyle name="Normal 2 8 5 3" xfId="34972"/>
    <cellStyle name="Normal 2 8 5 4" xfId="34973"/>
    <cellStyle name="Normal 2 8 5 5" xfId="34974"/>
    <cellStyle name="Normal 2 8 5 6" xfId="34975"/>
    <cellStyle name="Normal 2 8 5 7" xfId="34976"/>
    <cellStyle name="Normal 2 8 5_Sheet1" xfId="34977"/>
    <cellStyle name="Normal 2 8 6" xfId="34978"/>
    <cellStyle name="Normal 2 8 7" xfId="34979"/>
    <cellStyle name="Normal 2 8 8" xfId="34980"/>
    <cellStyle name="Normal 2 8 9" xfId="34981"/>
    <cellStyle name="Normal 2 8_Sheet1" xfId="34982"/>
    <cellStyle name="Normal 2 80" xfId="34983"/>
    <cellStyle name="Normal 2 81" xfId="34984"/>
    <cellStyle name="Normal 2 82" xfId="34985"/>
    <cellStyle name="Normal 2 83" xfId="34986"/>
    <cellStyle name="Normal 2 84" xfId="34987"/>
    <cellStyle name="Normal 2 85" xfId="34988"/>
    <cellStyle name="Normal 2 86" xfId="34989"/>
    <cellStyle name="Normal 2 87" xfId="34990"/>
    <cellStyle name="Normal 2 88" xfId="34991"/>
    <cellStyle name="Normal 2 89" xfId="34992"/>
    <cellStyle name="Normal 2 9" xfId="34993"/>
    <cellStyle name="Normal 2 9 10" xfId="34994"/>
    <cellStyle name="Normal 2 9 11" xfId="34995"/>
    <cellStyle name="Normal 2 9 12" xfId="34996"/>
    <cellStyle name="Normal 2 9 13" xfId="34997"/>
    <cellStyle name="Normal 2 9 14" xfId="34998"/>
    <cellStyle name="Normal 2 9 15" xfId="34999"/>
    <cellStyle name="Normal 2 9 16" xfId="35000"/>
    <cellStyle name="Normal 2 9 17" xfId="35001"/>
    <cellStyle name="Normal 2 9 18" xfId="35002"/>
    <cellStyle name="Normal 2 9 19" xfId="35003"/>
    <cellStyle name="Normal 2 9 2" xfId="35004"/>
    <cellStyle name="Normal 2 9 2 10" xfId="35005"/>
    <cellStyle name="Normal 2 9 2 11" xfId="35006"/>
    <cellStyle name="Normal 2 9 2 12" xfId="35007"/>
    <cellStyle name="Normal 2 9 2 13" xfId="35008"/>
    <cellStyle name="Normal 2 9 2 14" xfId="35009"/>
    <cellStyle name="Normal 2 9 2 2" xfId="35010"/>
    <cellStyle name="Normal 2 9 2 3" xfId="35011"/>
    <cellStyle name="Normal 2 9 2 4" xfId="35012"/>
    <cellStyle name="Normal 2 9 2 5" xfId="35013"/>
    <cellStyle name="Normal 2 9 2 6" xfId="35014"/>
    <cellStyle name="Normal 2 9 2 7" xfId="35015"/>
    <cellStyle name="Normal 2 9 2 8" xfId="35016"/>
    <cellStyle name="Normal 2 9 2 9" xfId="35017"/>
    <cellStyle name="Normal 2 9 2_Sheet1" xfId="35018"/>
    <cellStyle name="Normal 2 9 3" xfId="35019"/>
    <cellStyle name="Normal 2 9 4" xfId="35020"/>
    <cellStyle name="Normal 2 9 5" xfId="35021"/>
    <cellStyle name="Normal 2 9 6" xfId="35022"/>
    <cellStyle name="Normal 2 9 7" xfId="35023"/>
    <cellStyle name="Normal 2 9 8" xfId="35024"/>
    <cellStyle name="Normal 2 9 9" xfId="35025"/>
    <cellStyle name="Normal 2 9_Sheet1" xfId="35026"/>
    <cellStyle name="Normal 2 90" xfId="35027"/>
    <cellStyle name="Normal 2 91" xfId="35028"/>
    <cellStyle name="Normal 2 92" xfId="35029"/>
    <cellStyle name="Normal 2 93" xfId="35030"/>
    <cellStyle name="Normal 2 94" xfId="35031"/>
    <cellStyle name="Normal 2 95" xfId="35032"/>
    <cellStyle name="Normal 2 96" xfId="35033"/>
    <cellStyle name="Normal 2 97" xfId="35034"/>
    <cellStyle name="Normal 2 98" xfId="35035"/>
    <cellStyle name="Normal 2 98 2" xfId="35036"/>
    <cellStyle name="Normal 2 98 3" xfId="35037"/>
    <cellStyle name="Normal 2 98 4" xfId="35038"/>
    <cellStyle name="Normal 2 98 5" xfId="35039"/>
    <cellStyle name="Normal 2 98 6" xfId="35040"/>
    <cellStyle name="Normal 2 98_Sheet1" xfId="35041"/>
    <cellStyle name="Normal 2 99" xfId="35042"/>
    <cellStyle name="Normal 2_06.  Form Monitoring Alat Vs Mpp Operator_Sua" xfId="35043"/>
    <cellStyle name="Normal 20" xfId="35044"/>
    <cellStyle name="Normal 20 10" xfId="35045"/>
    <cellStyle name="Normal 20 11" xfId="35046"/>
    <cellStyle name="Normal 20 2" xfId="35047"/>
    <cellStyle name="Normal 20 2 2" xfId="35048"/>
    <cellStyle name="Normal 20 2 3" xfId="35049"/>
    <cellStyle name="Normal 20 2 4" xfId="35050"/>
    <cellStyle name="Normal 20 2 5" xfId="35051"/>
    <cellStyle name="Normal 20 2 6" xfId="35052"/>
    <cellStyle name="Normal 20 2 7" xfId="35053"/>
    <cellStyle name="Normal 20 2_Sheet1" xfId="35054"/>
    <cellStyle name="Normal 20 3" xfId="35055"/>
    <cellStyle name="Normal 20 3 2" xfId="35056"/>
    <cellStyle name="Normal 20 3 3" xfId="35057"/>
    <cellStyle name="Normal 20 3 4" xfId="35058"/>
    <cellStyle name="Normal 20 3 5" xfId="35059"/>
    <cellStyle name="Normal 20 3 6" xfId="35060"/>
    <cellStyle name="Normal 20 3 7" xfId="35061"/>
    <cellStyle name="Normal 20 3_Sheet1" xfId="35062"/>
    <cellStyle name="Normal 20 4" xfId="35063"/>
    <cellStyle name="Normal 20 4 2" xfId="35064"/>
    <cellStyle name="Normal 20 4 3" xfId="35065"/>
    <cellStyle name="Normal 20 4 4" xfId="35066"/>
    <cellStyle name="Normal 20 4 5" xfId="35067"/>
    <cellStyle name="Normal 20 4 6" xfId="35068"/>
    <cellStyle name="Normal 20 4 7" xfId="35069"/>
    <cellStyle name="Normal 20 4_Sheet1" xfId="35070"/>
    <cellStyle name="Normal 20 5" xfId="35071"/>
    <cellStyle name="Normal 20 5 2" xfId="35072"/>
    <cellStyle name="Normal 20 5 3" xfId="35073"/>
    <cellStyle name="Normal 20 5 4" xfId="35074"/>
    <cellStyle name="Normal 20 5 5" xfId="35075"/>
    <cellStyle name="Normal 20 5 6" xfId="35076"/>
    <cellStyle name="Normal 20 5 7" xfId="35077"/>
    <cellStyle name="Normal 20 5_Sheet1" xfId="35078"/>
    <cellStyle name="Normal 20 6" xfId="35079"/>
    <cellStyle name="Normal 20 7" xfId="35080"/>
    <cellStyle name="Normal 20 8" xfId="35081"/>
    <cellStyle name="Normal 20 9" xfId="35082"/>
    <cellStyle name="Normal 20_Sheet1" xfId="35083"/>
    <cellStyle name="Normal 21" xfId="35084"/>
    <cellStyle name="Normal 21 2" xfId="35085"/>
    <cellStyle name="Normal 21 2 2" xfId="35086"/>
    <cellStyle name="Normal 21 2 3" xfId="35087"/>
    <cellStyle name="Normal 21 2 4" xfId="35088"/>
    <cellStyle name="Normal 21 2 5" xfId="35089"/>
    <cellStyle name="Normal 21 2 6" xfId="35090"/>
    <cellStyle name="Normal 21 2 7" xfId="35091"/>
    <cellStyle name="Normal 21 2_Sheet1" xfId="35092"/>
    <cellStyle name="Normal 21 3" xfId="35093"/>
    <cellStyle name="Normal 21 4" xfId="35094"/>
    <cellStyle name="Normal 21 5" xfId="35095"/>
    <cellStyle name="Normal 21 6" xfId="35096"/>
    <cellStyle name="Normal 21 7" xfId="35097"/>
    <cellStyle name="Normal 21 8" xfId="35098"/>
    <cellStyle name="Normal 21_Sheet1" xfId="35099"/>
    <cellStyle name="Normal 22" xfId="35100"/>
    <cellStyle name="Normal 22 10" xfId="35101"/>
    <cellStyle name="Normal 22 11" xfId="35102"/>
    <cellStyle name="Normal 22 2" xfId="35103"/>
    <cellStyle name="Normal 22 2 2" xfId="35104"/>
    <cellStyle name="Normal 22 2 3" xfId="35105"/>
    <cellStyle name="Normal 22 2 4" xfId="35106"/>
    <cellStyle name="Normal 22 2 5" xfId="35107"/>
    <cellStyle name="Normal 22 2 6" xfId="35108"/>
    <cellStyle name="Normal 22 2 7" xfId="35109"/>
    <cellStyle name="Normal 22 2_Sheet1" xfId="35110"/>
    <cellStyle name="Normal 22 3" xfId="35111"/>
    <cellStyle name="Normal 22 3 2" xfId="35112"/>
    <cellStyle name="Normal 22 3 3" xfId="35113"/>
    <cellStyle name="Normal 22 3 4" xfId="35114"/>
    <cellStyle name="Normal 22 3 5" xfId="35115"/>
    <cellStyle name="Normal 22 3 6" xfId="35116"/>
    <cellStyle name="Normal 22 3 7" xfId="35117"/>
    <cellStyle name="Normal 22 3_Sheet1" xfId="35118"/>
    <cellStyle name="Normal 22 4" xfId="35119"/>
    <cellStyle name="Normal 22 4 2" xfId="35120"/>
    <cellStyle name="Normal 22 4 3" xfId="35121"/>
    <cellStyle name="Normal 22 4 4" xfId="35122"/>
    <cellStyle name="Normal 22 4 5" xfId="35123"/>
    <cellStyle name="Normal 22 4 6" xfId="35124"/>
    <cellStyle name="Normal 22 4 7" xfId="35125"/>
    <cellStyle name="Normal 22 4_Sheet1" xfId="35126"/>
    <cellStyle name="Normal 22 5" xfId="35127"/>
    <cellStyle name="Normal 22 5 2" xfId="35128"/>
    <cellStyle name="Normal 22 5 3" xfId="35129"/>
    <cellStyle name="Normal 22 5 4" xfId="35130"/>
    <cellStyle name="Normal 22 5 5" xfId="35131"/>
    <cellStyle name="Normal 22 5 6" xfId="35132"/>
    <cellStyle name="Normal 22 5 7" xfId="35133"/>
    <cellStyle name="Normal 22 5_Sheet1" xfId="35134"/>
    <cellStyle name="Normal 22 6" xfId="35135"/>
    <cellStyle name="Normal 22 7" xfId="35136"/>
    <cellStyle name="Normal 22 8" xfId="35137"/>
    <cellStyle name="Normal 22 9" xfId="35138"/>
    <cellStyle name="Normal 22_Sheet1" xfId="35139"/>
    <cellStyle name="Normal 23" xfId="35140"/>
    <cellStyle name="Normal 23 2" xfId="35141"/>
    <cellStyle name="Normal 23 2 2" xfId="35142"/>
    <cellStyle name="Normal 23 2 3" xfId="35143"/>
    <cellStyle name="Normal 23 2 4" xfId="35144"/>
    <cellStyle name="Normal 23 2 5" xfId="35145"/>
    <cellStyle name="Normal 23 2 6" xfId="35146"/>
    <cellStyle name="Normal 23 2_Sheet1" xfId="35147"/>
    <cellStyle name="Normal 23_Sheet1" xfId="35148"/>
    <cellStyle name="Normal 24" xfId="35149"/>
    <cellStyle name="Normal 24 2" xfId="35150"/>
    <cellStyle name="Normal 24 2 2" xfId="35151"/>
    <cellStyle name="Normal 24 2 3" xfId="35152"/>
    <cellStyle name="Normal 24 2 4" xfId="35153"/>
    <cellStyle name="Normal 24 2 5" xfId="35154"/>
    <cellStyle name="Normal 24 2 6" xfId="35155"/>
    <cellStyle name="Normal 24 2_Sheet1" xfId="35156"/>
    <cellStyle name="Normal 24 3" xfId="35157"/>
    <cellStyle name="Normal 24_Sheet1" xfId="35158"/>
    <cellStyle name="Normal 25" xfId="35159"/>
    <cellStyle name="Normal 25 2" xfId="35160"/>
    <cellStyle name="Normal 25_Sheet1" xfId="35161"/>
    <cellStyle name="Normal 26" xfId="35162"/>
    <cellStyle name="Normal 26 2" xfId="35163"/>
    <cellStyle name="Normal 26 2 2" xfId="35164"/>
    <cellStyle name="Normal 26 2_Sheet1" xfId="35165"/>
    <cellStyle name="Normal 26 3" xfId="35166"/>
    <cellStyle name="Normal 26_Sheet1" xfId="35167"/>
    <cellStyle name="Normal 27" xfId="35168"/>
    <cellStyle name="Normal 27 2" xfId="35169"/>
    <cellStyle name="Normal 27_Sheet1" xfId="35170"/>
    <cellStyle name="Normal 28" xfId="35171"/>
    <cellStyle name="Normal 28 2" xfId="35172"/>
    <cellStyle name="Normal 28 2 2" xfId="35173"/>
    <cellStyle name="Normal 28 2_Sheet1" xfId="35174"/>
    <cellStyle name="Normal 28_Sheet1" xfId="35175"/>
    <cellStyle name="Normal 29" xfId="35176"/>
    <cellStyle name="Normal 29 2" xfId="35177"/>
    <cellStyle name="Normal 29_Sheet1" xfId="35178"/>
    <cellStyle name="Normal 3" xfId="35179"/>
    <cellStyle name="Normal 3 10" xfId="35180"/>
    <cellStyle name="Normal 3 11" xfId="35181"/>
    <cellStyle name="Normal 3 12" xfId="35182"/>
    <cellStyle name="Normal 3 13" xfId="35183"/>
    <cellStyle name="Normal 3 14" xfId="35184"/>
    <cellStyle name="Normal 3 15" xfId="35185"/>
    <cellStyle name="Normal 3 16" xfId="35186"/>
    <cellStyle name="Normal 3 17" xfId="35187"/>
    <cellStyle name="Normal 3 18" xfId="35188"/>
    <cellStyle name="Normal 3 19" xfId="35189"/>
    <cellStyle name="Normal 3 19 2" xfId="35190"/>
    <cellStyle name="Normal 3 19 3" xfId="35191"/>
    <cellStyle name="Normal 3 19 4" xfId="35192"/>
    <cellStyle name="Normal 3 19 5" xfId="35193"/>
    <cellStyle name="Normal 3 19 6" xfId="35194"/>
    <cellStyle name="Normal 3 19_Sheet1" xfId="35195"/>
    <cellStyle name="Normal 3 2" xfId="35196"/>
    <cellStyle name="Normal 3 2 10" xfId="35197"/>
    <cellStyle name="Normal 3 2 11" xfId="35198"/>
    <cellStyle name="Normal 3 2 12" xfId="35199"/>
    <cellStyle name="Normal 3 2 13" xfId="35200"/>
    <cellStyle name="Normal 3 2 14" xfId="35201"/>
    <cellStyle name="Normal 3 2 15" xfId="35202"/>
    <cellStyle name="Normal 3 2 16" xfId="35203"/>
    <cellStyle name="Normal 3 2 2" xfId="35204"/>
    <cellStyle name="Normal 3 2 2 10" xfId="35205"/>
    <cellStyle name="Normal 3 2 2 11" xfId="35206"/>
    <cellStyle name="Normal 3 2 2 12" xfId="35207"/>
    <cellStyle name="Normal 3 2 2 13" xfId="35208"/>
    <cellStyle name="Normal 3 2 2 14" xfId="35209"/>
    <cellStyle name="Normal 3 2 2 15" xfId="35210"/>
    <cellStyle name="Normal 3 2 2 2" xfId="35211"/>
    <cellStyle name="Normal 3 2 2 2 10" xfId="35212"/>
    <cellStyle name="Normal 3 2 2 2 11" xfId="35213"/>
    <cellStyle name="Normal 3 2 2 2 12" xfId="35214"/>
    <cellStyle name="Normal 3 2 2 2 13" xfId="35215"/>
    <cellStyle name="Normal 3 2 2 2 2" xfId="35216"/>
    <cellStyle name="Normal 3 2 2 2 2 2" xfId="35217"/>
    <cellStyle name="Normal 3 2 2 2 2 3" xfId="35218"/>
    <cellStyle name="Normal 3 2 2 2 2 3 2" xfId="35219"/>
    <cellStyle name="Normal 3 2 2 2 2 3 3" xfId="35220"/>
    <cellStyle name="Normal 3 2 2 2 2 3 3 2" xfId="35221"/>
    <cellStyle name="Normal 3 2 2 2 2 4" xfId="35222"/>
    <cellStyle name="Normal 3 2 2 2 2 4 2" xfId="35223"/>
    <cellStyle name="Normal 3 2 2 2 2 4 2 2" xfId="35224"/>
    <cellStyle name="Normal 3 2 2 2 2 4 2 3" xfId="35225"/>
    <cellStyle name="Normal 3 2 2 2 2 5" xfId="35226"/>
    <cellStyle name="Normal 3 2 2 2 2 5 2" xfId="35227"/>
    <cellStyle name="Normal 3 2 2 2 2 6" xfId="35228"/>
    <cellStyle name="Normal 3 2 2 2 2 6 2" xfId="35229"/>
    <cellStyle name="Normal 3 2 2 2 3" xfId="4"/>
    <cellStyle name="Normal 3 2 2 2 3 2" xfId="35230"/>
    <cellStyle name="Normal 3 2 2 2 3 3" xfId="35231"/>
    <cellStyle name="Normal 3 2 2 2 3 3 2" xfId="35232"/>
    <cellStyle name="Normal 3 2 2 2 3 3 2 2" xfId="35233"/>
    <cellStyle name="Normal 3 2 2 2 3 3 2 2 2" xfId="35234"/>
    <cellStyle name="Normal 3 2 2 2 3 4" xfId="35235"/>
    <cellStyle name="Normal 3 2 2 2 3 4 2" xfId="35236"/>
    <cellStyle name="Normal 3 2 2 2 3 4 2 2" xfId="35237"/>
    <cellStyle name="Normal 3 2 2 2 3 5" xfId="35238"/>
    <cellStyle name="Normal 3 2 2 2 3 5 2" xfId="35239"/>
    <cellStyle name="Normal 3 2 2 2 3 6" xfId="35240"/>
    <cellStyle name="Normal 3 2 2 2 4" xfId="35241"/>
    <cellStyle name="Normal 3 2 2 2 5" xfId="35242"/>
    <cellStyle name="Normal 3 2 2 2 5 2" xfId="35243"/>
    <cellStyle name="Normal 3 2 2 2 5 2 2" xfId="35244"/>
    <cellStyle name="Normal 3 2 2 2 5 2 3" xfId="35245"/>
    <cellStyle name="Normal 3 2 2 2 6" xfId="35246"/>
    <cellStyle name="Normal 3 2 2 2 6 2" xfId="35247"/>
    <cellStyle name="Normal 3 2 2 2 7" xfId="35248"/>
    <cellStyle name="Normal 3 2 2 2 8" xfId="35249"/>
    <cellStyle name="Normal 3 2 2 2 9" xfId="35250"/>
    <cellStyle name="Normal 3 2 2 3" xfId="35251"/>
    <cellStyle name="Normal 3 2 2 3 2" xfId="35252"/>
    <cellStyle name="Normal 3 2 2 3 2 2" xfId="35253"/>
    <cellStyle name="Normal 3 2 2 3 2 2 2" xfId="35254"/>
    <cellStyle name="Normal 3 2 2 3 2 2 2 2" xfId="35255"/>
    <cellStyle name="Normal 3 2 2 3 2 2 2 2 2" xfId="35256"/>
    <cellStyle name="Normal 3 2 2 3 2 3" xfId="35257"/>
    <cellStyle name="Normal 3 2 2 3 2 3 2" xfId="35258"/>
    <cellStyle name="Normal 3 2 2 3 2 3 2 2" xfId="35259"/>
    <cellStyle name="Normal 3 2 2 3 3" xfId="35260"/>
    <cellStyle name="Normal 3 2 2 4" xfId="35261"/>
    <cellStyle name="Normal 3 2 2 5" xfId="35262"/>
    <cellStyle name="Normal 3 2 2 6" xfId="35263"/>
    <cellStyle name="Normal 3 2 2 7" xfId="35264"/>
    <cellStyle name="Normal 3 2 2 8" xfId="35265"/>
    <cellStyle name="Normal 3 2 2 9" xfId="35266"/>
    <cellStyle name="Normal 3 2 2_Sheet1" xfId="35267"/>
    <cellStyle name="Normal 3 2 3" xfId="35268"/>
    <cellStyle name="Normal 3 2 3 10" xfId="35269"/>
    <cellStyle name="Normal 3 2 3 11" xfId="35270"/>
    <cellStyle name="Normal 3 2 3 12" xfId="35271"/>
    <cellStyle name="Normal 3 2 3 13" xfId="35272"/>
    <cellStyle name="Normal 3 2 3 14" xfId="35273"/>
    <cellStyle name="Normal 3 2 3 15" xfId="35274"/>
    <cellStyle name="Normal 3 2 3 15 2" xfId="35275"/>
    <cellStyle name="Normal 3 2 3 15 2 2" xfId="35276"/>
    <cellStyle name="Normal 3 2 3 15 2 2 2" xfId="35277"/>
    <cellStyle name="Normal 3 2 3 15 2 2 2 2" xfId="35278"/>
    <cellStyle name="Normal 3 2 3 2" xfId="35279"/>
    <cellStyle name="Normal 3 2 3 2 10" xfId="35280"/>
    <cellStyle name="Normal 3 2 3 2 11" xfId="35281"/>
    <cellStyle name="Normal 3 2 3 2 12" xfId="35282"/>
    <cellStyle name="Normal 3 2 3 2 13" xfId="35283"/>
    <cellStyle name="Normal 3 2 3 2 14" xfId="35284"/>
    <cellStyle name="Normal 3 2 3 2 14 2" xfId="35285"/>
    <cellStyle name="Normal 3 2 3 2 14 3" xfId="35286"/>
    <cellStyle name="Normal 3 2 3 2 14 3 2" xfId="35287"/>
    <cellStyle name="Normal 3 2 3 2 14 3 2 2" xfId="35288"/>
    <cellStyle name="Normal 3 2 3 2 14 3 3" xfId="35289"/>
    <cellStyle name="Normal 3 2 3 2 14 4" xfId="35290"/>
    <cellStyle name="Normal 3 2 3 2 14 4 2" xfId="35291"/>
    <cellStyle name="Normal 3 2 3 2 14 5" xfId="35292"/>
    <cellStyle name="Normal 3 2 3 2 2" xfId="35293"/>
    <cellStyle name="Normal 3 2 3 2 3" xfId="35294"/>
    <cellStyle name="Normal 3 2 3 2 4" xfId="35295"/>
    <cellStyle name="Normal 3 2 3 2 5" xfId="35296"/>
    <cellStyle name="Normal 3 2 3 2 6" xfId="35297"/>
    <cellStyle name="Normal 3 2 3 2 7" xfId="35298"/>
    <cellStyle name="Normal 3 2 3 2 8" xfId="35299"/>
    <cellStyle name="Normal 3 2 3 2 9" xfId="35300"/>
    <cellStyle name="Normal 3 2 3 3" xfId="35301"/>
    <cellStyle name="Normal 3 2 3 4" xfId="35302"/>
    <cellStyle name="Normal 3 2 3 5" xfId="35303"/>
    <cellStyle name="Normal 3 2 3 6" xfId="35304"/>
    <cellStyle name="Normal 3 2 3 7" xfId="35305"/>
    <cellStyle name="Normal 3 2 3 8" xfId="35306"/>
    <cellStyle name="Normal 3 2 3 9" xfId="35307"/>
    <cellStyle name="Normal 3 2 3_Sheet1" xfId="35308"/>
    <cellStyle name="Normal 3 2 4" xfId="35309"/>
    <cellStyle name="Normal 3 2 4 10" xfId="35310"/>
    <cellStyle name="Normal 3 2 4 11" xfId="35311"/>
    <cellStyle name="Normal 3 2 4 12" xfId="35312"/>
    <cellStyle name="Normal 3 2 4 13" xfId="35313"/>
    <cellStyle name="Normal 3 2 4 2" xfId="35314"/>
    <cellStyle name="Normal 3 2 4 2 2" xfId="35315"/>
    <cellStyle name="Normal 3 2 4 2 2 2" xfId="35316"/>
    <cellStyle name="Normal 3 2 4 2 2 2 2" xfId="35317"/>
    <cellStyle name="Normal 3 2 4 2 2 3" xfId="35318"/>
    <cellStyle name="Normal 3 2 4 2 3" xfId="35319"/>
    <cellStyle name="Normal 3 2 4 2 4" xfId="35320"/>
    <cellStyle name="Normal 3 2 4 2 4 2" xfId="35321"/>
    <cellStyle name="Normal 3 2 4 2 5" xfId="35322"/>
    <cellStyle name="Normal 3 2 4 2 5 2" xfId="35323"/>
    <cellStyle name="Normal 3 2 4 2 6" xfId="35324"/>
    <cellStyle name="Normal 3 2 4 3" xfId="35325"/>
    <cellStyle name="Normal 3 2 4 4" xfId="35326"/>
    <cellStyle name="Normal 3 2 4 5" xfId="35327"/>
    <cellStyle name="Normal 3 2 4 6" xfId="35328"/>
    <cellStyle name="Normal 3 2 4 7" xfId="35329"/>
    <cellStyle name="Normal 3 2 4 8" xfId="35330"/>
    <cellStyle name="Normal 3 2 4 9" xfId="35331"/>
    <cellStyle name="Normal 3 2 4_Sheet1" xfId="35332"/>
    <cellStyle name="Normal 3 2 5" xfId="35333"/>
    <cellStyle name="Normal 3 2 5 2" xfId="35334"/>
    <cellStyle name="Normal 3 2 5 2 2" xfId="35335"/>
    <cellStyle name="Normal 3 2 5 2 2 2" xfId="35336"/>
    <cellStyle name="Normal 3 2 5 3" xfId="35337"/>
    <cellStyle name="Normal 3 2 5 4" xfId="35338"/>
    <cellStyle name="Normal 3 2 5 5" xfId="35339"/>
    <cellStyle name="Normal 3 2 5 5 2" xfId="35340"/>
    <cellStyle name="Normal 3 2 5 5 2 2" xfId="35341"/>
    <cellStyle name="Normal 3 2 5 5 2 2 2" xfId="35342"/>
    <cellStyle name="Normal 3 2 5 5 2 2 2 2" xfId="35343"/>
    <cellStyle name="Normal 3 2 5 5 3" xfId="35344"/>
    <cellStyle name="Normal 3 2 5 5 3 2" xfId="35345"/>
    <cellStyle name="Normal 3 2 5 5 3 2 2" xfId="35346"/>
    <cellStyle name="Normal 3 2 5 5 4" xfId="35347"/>
    <cellStyle name="Normal 3 2 5 5 4 2" xfId="35348"/>
    <cellStyle name="Normal 3 2 5 6" xfId="35349"/>
    <cellStyle name="Normal 3 2 6" xfId="35350"/>
    <cellStyle name="Normal 3 2 6 2" xfId="35351"/>
    <cellStyle name="Normal 3 2 6 2 2" xfId="35352"/>
    <cellStyle name="Normal 3 2 6 2 3" xfId="11"/>
    <cellStyle name="Normal 3 2 6 2 3 2" xfId="35353"/>
    <cellStyle name="Normal 3 2 6 2 3 2 2" xfId="35354"/>
    <cellStyle name="Normal 3 2 6 2 3 2 2 2" xfId="35355"/>
    <cellStyle name="Normal 3 2 6 2 3 3" xfId="35356"/>
    <cellStyle name="Normal 3 2 7" xfId="35357"/>
    <cellStyle name="Normal 3 2 7 2" xfId="35358"/>
    <cellStyle name="Normal 3 2 8" xfId="35359"/>
    <cellStyle name="Normal 3 2 9" xfId="35360"/>
    <cellStyle name="Normal 3 20" xfId="35361"/>
    <cellStyle name="Normal 3 21" xfId="35362"/>
    <cellStyle name="Normal 3 22" xfId="35363"/>
    <cellStyle name="Normal 3 23" xfId="35364"/>
    <cellStyle name="Normal 3 24" xfId="35365"/>
    <cellStyle name="Normal 3 25" xfId="35366"/>
    <cellStyle name="Normal 3 26" xfId="35367"/>
    <cellStyle name="Normal 3 27" xfId="35368"/>
    <cellStyle name="Normal 3 28" xfId="35369"/>
    <cellStyle name="Normal 3 29" xfId="35370"/>
    <cellStyle name="Normal 3 3" xfId="35371"/>
    <cellStyle name="Normal 3 3 10" xfId="35372"/>
    <cellStyle name="Normal 3 3 11" xfId="35373"/>
    <cellStyle name="Normal 3 3 12" xfId="35374"/>
    <cellStyle name="Normal 3 3 13" xfId="35375"/>
    <cellStyle name="Normal 3 3 14" xfId="35376"/>
    <cellStyle name="Normal 3 3 2" xfId="35377"/>
    <cellStyle name="Normal 3 3 2 10" xfId="35378"/>
    <cellStyle name="Normal 3 3 2 11" xfId="35379"/>
    <cellStyle name="Normal 3 3 2 12" xfId="35380"/>
    <cellStyle name="Normal 3 3 2 13" xfId="35381"/>
    <cellStyle name="Normal 3 3 2 2" xfId="35382"/>
    <cellStyle name="Normal 3 3 2 2 2" xfId="35383"/>
    <cellStyle name="Normal 3 3 2 2 3" xfId="35384"/>
    <cellStyle name="Normal 3 3 2 2 4" xfId="35385"/>
    <cellStyle name="Normal 3 3 2 2 4 2" xfId="35386"/>
    <cellStyle name="Normal 3 3 2 2 4 2 2" xfId="35387"/>
    <cellStyle name="Normal 3 3 2 2 4 2 3" xfId="35388"/>
    <cellStyle name="Normal 3 3 2 2 4 2 4" xfId="35389"/>
    <cellStyle name="Normal 3 3 2 2 4 2 4 2" xfId="35390"/>
    <cellStyle name="Normal 3 3 2 2 4 2 4 2 2" xfId="35391"/>
    <cellStyle name="Normal 3 3 2 2 4 2 4 2 2 2" xfId="35392"/>
    <cellStyle name="Normal 3 3 2 2 4 2 5" xfId="35393"/>
    <cellStyle name="Normal 3 3 2 2 4 2 5 2" xfId="35394"/>
    <cellStyle name="Normal 3 3 2 2 4 2 5 2 2" xfId="35395"/>
    <cellStyle name="Normal 3 3 2 2 4 2 6" xfId="35396"/>
    <cellStyle name="Normal 3 3 2 2 4 2 6 2" xfId="35397"/>
    <cellStyle name="Normal 3 3 2 2 4 2 7" xfId="35398"/>
    <cellStyle name="Normal 3 3 2 3" xfId="35399"/>
    <cellStyle name="Normal 3 3 2 3 2" xfId="35400"/>
    <cellStyle name="Normal 3 3 2 3 3" xfId="35401"/>
    <cellStyle name="Normal 3 3 2 3 3 2" xfId="35402"/>
    <cellStyle name="Normal 3 3 2 3 3 2 2" xfId="35403"/>
    <cellStyle name="Normal 3 3 2 3 3 2 3" xfId="35404"/>
    <cellStyle name="Normal 3 3 2 4" xfId="35405"/>
    <cellStyle name="Normal 3 3 2 4 2" xfId="2"/>
    <cellStyle name="Normal 3 3 2 4 3" xfId="35406"/>
    <cellStyle name="Normal 3 3 2 4 4" xfId="35407"/>
    <cellStyle name="Normal 3 3 2 4 4 2" xfId="35408"/>
    <cellStyle name="Normal 3 3 2 4 4 2 2" xfId="35409"/>
    <cellStyle name="Normal 3 3 2 4 4 2 3" xfId="35410"/>
    <cellStyle name="Normal 3 3 2 5" xfId="35411"/>
    <cellStyle name="Normal 3 3 2 6" xfId="35412"/>
    <cellStyle name="Normal 3 3 2 6 2" xfId="35413"/>
    <cellStyle name="Normal 3 3 2 6 2 2" xfId="35414"/>
    <cellStyle name="Normal 3 3 2 6 2 3" xfId="35415"/>
    <cellStyle name="Normal 3 3 2 7" xfId="35416"/>
    <cellStyle name="Normal 3 3 2 8" xfId="35417"/>
    <cellStyle name="Normal 3 3 2 9" xfId="35418"/>
    <cellStyle name="Normal 3 3 3" xfId="35419"/>
    <cellStyle name="Normal 3 3 4" xfId="35420"/>
    <cellStyle name="Normal 3 3 5" xfId="35421"/>
    <cellStyle name="Normal 3 3 6" xfId="35422"/>
    <cellStyle name="Normal 3 3 7" xfId="35423"/>
    <cellStyle name="Normal 3 3 8" xfId="35424"/>
    <cellStyle name="Normal 3 3 9" xfId="35425"/>
    <cellStyle name="Normal 3 30" xfId="35426"/>
    <cellStyle name="Normal 3 4" xfId="35427"/>
    <cellStyle name="Normal 3 4 10" xfId="35428"/>
    <cellStyle name="Normal 3 4 11" xfId="35429"/>
    <cellStyle name="Normal 3 4 12" xfId="35430"/>
    <cellStyle name="Normal 3 4 13" xfId="35431"/>
    <cellStyle name="Normal 3 4 14" xfId="35432"/>
    <cellStyle name="Normal 3 4 2" xfId="35433"/>
    <cellStyle name="Normal 3 4 2 10" xfId="35434"/>
    <cellStyle name="Normal 3 4 2 11" xfId="35435"/>
    <cellStyle name="Normal 3 4 2 12" xfId="35436"/>
    <cellStyle name="Normal 3 4 2 13" xfId="35437"/>
    <cellStyle name="Normal 3 4 2 2" xfId="35438"/>
    <cellStyle name="Normal 3 4 2 3" xfId="35439"/>
    <cellStyle name="Normal 3 4 2 4" xfId="35440"/>
    <cellStyle name="Normal 3 4 2 5" xfId="35441"/>
    <cellStyle name="Normal 3 4 2 6" xfId="35442"/>
    <cellStyle name="Normal 3 4 2 7" xfId="35443"/>
    <cellStyle name="Normal 3 4 2 8" xfId="35444"/>
    <cellStyle name="Normal 3 4 2 9" xfId="35445"/>
    <cellStyle name="Normal 3 4 3" xfId="35446"/>
    <cellStyle name="Normal 3 4 4" xfId="35447"/>
    <cellStyle name="Normal 3 4 5" xfId="35448"/>
    <cellStyle name="Normal 3 4 6" xfId="35449"/>
    <cellStyle name="Normal 3 4 7" xfId="35450"/>
    <cellStyle name="Normal 3 4 8" xfId="35451"/>
    <cellStyle name="Normal 3 4 9" xfId="35452"/>
    <cellStyle name="Normal 3 4_Sheet1" xfId="35453"/>
    <cellStyle name="Normal 3 44" xfId="35454"/>
    <cellStyle name="Normal 3 5" xfId="35455"/>
    <cellStyle name="Normal 3 5 10" xfId="35456"/>
    <cellStyle name="Normal 3 5 11" xfId="35457"/>
    <cellStyle name="Normal 3 5 12" xfId="35458"/>
    <cellStyle name="Normal 3 5 13" xfId="35459"/>
    <cellStyle name="Normal 3 5 14" xfId="35460"/>
    <cellStyle name="Normal 3 5 2" xfId="35461"/>
    <cellStyle name="Normal 3 5 2 10" xfId="35462"/>
    <cellStyle name="Normal 3 5 2 11" xfId="35463"/>
    <cellStyle name="Normal 3 5 2 12" xfId="35464"/>
    <cellStyle name="Normal 3 5 2 13" xfId="35465"/>
    <cellStyle name="Normal 3 5 2 2" xfId="35466"/>
    <cellStyle name="Normal 3 5 2 3" xfId="35467"/>
    <cellStyle name="Normal 3 5 2 4" xfId="35468"/>
    <cellStyle name="Normal 3 5 2 5" xfId="35469"/>
    <cellStyle name="Normal 3 5 2 6" xfId="35470"/>
    <cellStyle name="Normal 3 5 2 7" xfId="35471"/>
    <cellStyle name="Normal 3 5 2 8" xfId="35472"/>
    <cellStyle name="Normal 3 5 2 9" xfId="35473"/>
    <cellStyle name="Normal 3 5 3" xfId="35474"/>
    <cellStyle name="Normal 3 5 4" xfId="35475"/>
    <cellStyle name="Normal 3 5 5" xfId="35476"/>
    <cellStyle name="Normal 3 5 6" xfId="35477"/>
    <cellStyle name="Normal 3 5 7" xfId="35478"/>
    <cellStyle name="Normal 3 5 8" xfId="35479"/>
    <cellStyle name="Normal 3 5 9" xfId="35480"/>
    <cellStyle name="Normal 3 5_Sheet1" xfId="35481"/>
    <cellStyle name="Normal 3 6" xfId="35482"/>
    <cellStyle name="Normal 3 6 10" xfId="35483"/>
    <cellStyle name="Normal 3 6 11" xfId="35484"/>
    <cellStyle name="Normal 3 6 12" xfId="35485"/>
    <cellStyle name="Normal 3 6 13" xfId="35486"/>
    <cellStyle name="Normal 3 6 2" xfId="35487"/>
    <cellStyle name="Normal 3 6 3" xfId="35488"/>
    <cellStyle name="Normal 3 6 4" xfId="35489"/>
    <cellStyle name="Normal 3 6 5" xfId="35490"/>
    <cellStyle name="Normal 3 6 6" xfId="35491"/>
    <cellStyle name="Normal 3 6 7" xfId="35492"/>
    <cellStyle name="Normal 3 6 8" xfId="35493"/>
    <cellStyle name="Normal 3 6 9" xfId="35494"/>
    <cellStyle name="Normal 3 7" xfId="35495"/>
    <cellStyle name="Normal 3 8" xfId="35496"/>
    <cellStyle name="Normal 3 9" xfId="35497"/>
    <cellStyle name="Normal 3_eval-prod-SMO 2013" xfId="35498"/>
    <cellStyle name="Normal 30" xfId="35499"/>
    <cellStyle name="Normal 31" xfId="35500"/>
    <cellStyle name="Normal 31 2" xfId="35501"/>
    <cellStyle name="Normal 31_Sheet1" xfId="35502"/>
    <cellStyle name="Normal 32" xfId="35503"/>
    <cellStyle name="Normal 32 2" xfId="35504"/>
    <cellStyle name="Normal 33" xfId="35505"/>
    <cellStyle name="Normal 33 2" xfId="35506"/>
    <cellStyle name="Normal 33 3" xfId="35507"/>
    <cellStyle name="Normal 33 3 2" xfId="35508"/>
    <cellStyle name="Normal 33 3 2 2" xfId="35509"/>
    <cellStyle name="Normal 33 3 2 3" xfId="35510"/>
    <cellStyle name="Normal 33 3 2 4" xfId="35511"/>
    <cellStyle name="Normal 33 3 2 5" xfId="35512"/>
    <cellStyle name="Normal 33 3 2 6" xfId="35513"/>
    <cellStyle name="Normal 33 3 2_Sheet1" xfId="35514"/>
    <cellStyle name="Normal 33 3 3" xfId="35515"/>
    <cellStyle name="Normal 33 3 3 2" xfId="35516"/>
    <cellStyle name="Normal 33 3 3 3" xfId="35517"/>
    <cellStyle name="Normal 33 3 3 4" xfId="35518"/>
    <cellStyle name="Normal 33 3 3 5" xfId="35519"/>
    <cellStyle name="Normal 33 3 3 6" xfId="35520"/>
    <cellStyle name="Normal 33 3 3_Sheet1" xfId="35521"/>
    <cellStyle name="Normal 33 3 4" xfId="35522"/>
    <cellStyle name="Normal 33 3 5" xfId="35523"/>
    <cellStyle name="Normal 33 3 6" xfId="35524"/>
    <cellStyle name="Normal 33 3 7" xfId="35525"/>
    <cellStyle name="Normal 33 3 8" xfId="35526"/>
    <cellStyle name="Normal 33 3_Sheet1" xfId="35527"/>
    <cellStyle name="Normal 33 4" xfId="35528"/>
    <cellStyle name="Normal 33 5" xfId="35529"/>
    <cellStyle name="Normal 33 6" xfId="35530"/>
    <cellStyle name="Normal 33 7" xfId="35531"/>
    <cellStyle name="Normal 33 8" xfId="35532"/>
    <cellStyle name="Normal 33_Sheet1" xfId="35533"/>
    <cellStyle name="Normal 34" xfId="35534"/>
    <cellStyle name="Normal 35" xfId="35535"/>
    <cellStyle name="Normal 36" xfId="35536"/>
    <cellStyle name="Normal 37" xfId="35537"/>
    <cellStyle name="Normal 37 2" xfId="35538"/>
    <cellStyle name="Normal 37_Sheet1" xfId="35539"/>
    <cellStyle name="Normal 38" xfId="35540"/>
    <cellStyle name="Normal 38 2" xfId="35541"/>
    <cellStyle name="Normal 38 3" xfId="35542"/>
    <cellStyle name="Normal 38_Sheet1" xfId="35543"/>
    <cellStyle name="Normal 39" xfId="35544"/>
    <cellStyle name="Normal 39 2" xfId="35545"/>
    <cellStyle name="Normal 39 3" xfId="35546"/>
    <cellStyle name="Normal 39_Sheet1" xfId="35547"/>
    <cellStyle name="Normal 4" xfId="35548"/>
    <cellStyle name="Normal 4 10" xfId="35549"/>
    <cellStyle name="Normal 4 10 2" xfId="35550"/>
    <cellStyle name="Normal 4 10 3" xfId="35551"/>
    <cellStyle name="Normal 4 10 4" xfId="35552"/>
    <cellStyle name="Normal 4 10 5" xfId="35553"/>
    <cellStyle name="Normal 4 10 6" xfId="35554"/>
    <cellStyle name="Normal 4 10 7" xfId="35555"/>
    <cellStyle name="Normal 4 10_Sheet1" xfId="35556"/>
    <cellStyle name="Normal 4 11" xfId="35557"/>
    <cellStyle name="Normal 4 11 2" xfId="35558"/>
    <cellStyle name="Normal 4 11 3" xfId="35559"/>
    <cellStyle name="Normal 4 11 4" xfId="35560"/>
    <cellStyle name="Normal 4 11 5" xfId="35561"/>
    <cellStyle name="Normal 4 11 6" xfId="35562"/>
    <cellStyle name="Normal 4 11 7" xfId="35563"/>
    <cellStyle name="Normal 4 11_Sheet1" xfId="35564"/>
    <cellStyle name="Normal 4 12" xfId="35565"/>
    <cellStyle name="Normal 4 12 2" xfId="35566"/>
    <cellStyle name="Normal 4 12 3" xfId="35567"/>
    <cellStyle name="Normal 4 12 4" xfId="35568"/>
    <cellStyle name="Normal 4 12 5" xfId="35569"/>
    <cellStyle name="Normal 4 12 6" xfId="35570"/>
    <cellStyle name="Normal 4 12 7" xfId="35571"/>
    <cellStyle name="Normal 4 12_Sheet1" xfId="35572"/>
    <cellStyle name="Normal 4 13" xfId="35573"/>
    <cellStyle name="Normal 4 13 2" xfId="35574"/>
    <cellStyle name="Normal 4 13 3" xfId="35575"/>
    <cellStyle name="Normal 4 13 4" xfId="35576"/>
    <cellStyle name="Normal 4 13 5" xfId="35577"/>
    <cellStyle name="Normal 4 13 6" xfId="35578"/>
    <cellStyle name="Normal 4 13 7" xfId="35579"/>
    <cellStyle name="Normal 4 13_Sheet1" xfId="35580"/>
    <cellStyle name="Normal 4 14" xfId="35581"/>
    <cellStyle name="Normal 4 14 2" xfId="35582"/>
    <cellStyle name="Normal 4 14 3" xfId="35583"/>
    <cellStyle name="Normal 4 14 4" xfId="35584"/>
    <cellStyle name="Normal 4 14 5" xfId="35585"/>
    <cellStyle name="Normal 4 14 6" xfId="35586"/>
    <cellStyle name="Normal 4 14 7" xfId="35587"/>
    <cellStyle name="Normal 4 14_Sheet1" xfId="35588"/>
    <cellStyle name="Normal 4 15" xfId="35589"/>
    <cellStyle name="Normal 4 15 2" xfId="35590"/>
    <cellStyle name="Normal 4 15 3" xfId="35591"/>
    <cellStyle name="Normal 4 15 4" xfId="35592"/>
    <cellStyle name="Normal 4 15 5" xfId="35593"/>
    <cellStyle name="Normal 4 15 6" xfId="35594"/>
    <cellStyle name="Normal 4 15 7" xfId="35595"/>
    <cellStyle name="Normal 4 15_Sheet1" xfId="35596"/>
    <cellStyle name="Normal 4 16" xfId="35597"/>
    <cellStyle name="Normal 4 16 2" xfId="35598"/>
    <cellStyle name="Normal 4 16 3" xfId="35599"/>
    <cellStyle name="Normal 4 16 4" xfId="35600"/>
    <cellStyle name="Normal 4 16 5" xfId="35601"/>
    <cellStyle name="Normal 4 16 6" xfId="35602"/>
    <cellStyle name="Normal 4 16 7" xfId="35603"/>
    <cellStyle name="Normal 4 16_Sheet1" xfId="35604"/>
    <cellStyle name="Normal 4 17" xfId="35605"/>
    <cellStyle name="Normal 4 17 2" xfId="35606"/>
    <cellStyle name="Normal 4 17 3" xfId="35607"/>
    <cellStyle name="Normal 4 17 4" xfId="35608"/>
    <cellStyle name="Normal 4 17 5" xfId="35609"/>
    <cellStyle name="Normal 4 17 6" xfId="35610"/>
    <cellStyle name="Normal 4 17 7" xfId="35611"/>
    <cellStyle name="Normal 4 17_Sheet1" xfId="35612"/>
    <cellStyle name="Normal 4 18" xfId="35613"/>
    <cellStyle name="Normal 4 18 2" xfId="35614"/>
    <cellStyle name="Normal 4 18 3" xfId="35615"/>
    <cellStyle name="Normal 4 18 4" xfId="35616"/>
    <cellStyle name="Normal 4 18 5" xfId="35617"/>
    <cellStyle name="Normal 4 18 6" xfId="35618"/>
    <cellStyle name="Normal 4 18 7" xfId="35619"/>
    <cellStyle name="Normal 4 18_Sheet1" xfId="35620"/>
    <cellStyle name="Normal 4 19" xfId="35621"/>
    <cellStyle name="Normal 4 19 2" xfId="35622"/>
    <cellStyle name="Normal 4 19 3" xfId="35623"/>
    <cellStyle name="Normal 4 19 4" xfId="35624"/>
    <cellStyle name="Normal 4 19 5" xfId="35625"/>
    <cellStyle name="Normal 4 19 6" xfId="35626"/>
    <cellStyle name="Normal 4 19 7" xfId="35627"/>
    <cellStyle name="Normal 4 19_Sheet1" xfId="35628"/>
    <cellStyle name="Normal 4 2" xfId="35629"/>
    <cellStyle name="Normal 4 2 10" xfId="35630"/>
    <cellStyle name="Normal 4 2 11" xfId="35631"/>
    <cellStyle name="Normal 4 2 12" xfId="35632"/>
    <cellStyle name="Normal 4 2 13" xfId="35633"/>
    <cellStyle name="Normal 4 2 14" xfId="35634"/>
    <cellStyle name="Normal 4 2 15" xfId="35635"/>
    <cellStyle name="Normal 4 2 16" xfId="35636"/>
    <cellStyle name="Normal 4 2 17" xfId="35637"/>
    <cellStyle name="Normal 4 2 18" xfId="35638"/>
    <cellStyle name="Normal 4 2 19" xfId="35639"/>
    <cellStyle name="Normal 4 2 2" xfId="35640"/>
    <cellStyle name="Normal 4 2 2 10" xfId="35641"/>
    <cellStyle name="Normal 4 2 2 11" xfId="35642"/>
    <cellStyle name="Normal 4 2 2 12" xfId="35643"/>
    <cellStyle name="Normal 4 2 2 13" xfId="35644"/>
    <cellStyle name="Normal 4 2 2 2" xfId="35645"/>
    <cellStyle name="Normal 4 2 2 3" xfId="35646"/>
    <cellStyle name="Normal 4 2 2 4" xfId="35647"/>
    <cellStyle name="Normal 4 2 2 5" xfId="35648"/>
    <cellStyle name="Normal 4 2 2 6" xfId="35649"/>
    <cellStyle name="Normal 4 2 2 7" xfId="35650"/>
    <cellStyle name="Normal 4 2 2 8" xfId="35651"/>
    <cellStyle name="Normal 4 2 2 9" xfId="35652"/>
    <cellStyle name="Normal 4 2 2_Sheet1" xfId="35653"/>
    <cellStyle name="Normal 4 2 20" xfId="35654"/>
    <cellStyle name="Normal 4 2 21" xfId="35655"/>
    <cellStyle name="Normal 4 2 22" xfId="35656"/>
    <cellStyle name="Normal 4 2 23" xfId="35657"/>
    <cellStyle name="Normal 4 2 24" xfId="35658"/>
    <cellStyle name="Normal 4 2 25" xfId="35659"/>
    <cellStyle name="Normal 4 2 26" xfId="35660"/>
    <cellStyle name="Normal 4 2 27" xfId="35661"/>
    <cellStyle name="Normal 4 2 28" xfId="35662"/>
    <cellStyle name="Normal 4 2 29" xfId="35663"/>
    <cellStyle name="Normal 4 2 3" xfId="35664"/>
    <cellStyle name="Normal 4 2 3 2" xfId="35665"/>
    <cellStyle name="Normal 4 2 3 3" xfId="35666"/>
    <cellStyle name="Normal 4 2 3 4" xfId="35667"/>
    <cellStyle name="Normal 4 2 3 5" xfId="35668"/>
    <cellStyle name="Normal 4 2 3 6" xfId="35669"/>
    <cellStyle name="Normal 4 2 3 7" xfId="35670"/>
    <cellStyle name="Normal 4 2 3_Sheet1" xfId="35671"/>
    <cellStyle name="Normal 4 2 30" xfId="35672"/>
    <cellStyle name="Normal 4 2 4" xfId="35673"/>
    <cellStyle name="Normal 4 2 5" xfId="35674"/>
    <cellStyle name="Normal 4 2 6" xfId="35675"/>
    <cellStyle name="Normal 4 2 7" xfId="35676"/>
    <cellStyle name="Normal 4 2 8" xfId="35677"/>
    <cellStyle name="Normal 4 2 9" xfId="35678"/>
    <cellStyle name="Normal 4 2_Sheet1" xfId="35679"/>
    <cellStyle name="Normal 4 20" xfId="35680"/>
    <cellStyle name="Normal 4 20 2" xfId="35681"/>
    <cellStyle name="Normal 4 20 3" xfId="35682"/>
    <cellStyle name="Normal 4 20 4" xfId="35683"/>
    <cellStyle name="Normal 4 20 5" xfId="35684"/>
    <cellStyle name="Normal 4 20 6" xfId="35685"/>
    <cellStyle name="Normal 4 20 7" xfId="35686"/>
    <cellStyle name="Normal 4 20_Sheet1" xfId="35687"/>
    <cellStyle name="Normal 4 21" xfId="35688"/>
    <cellStyle name="Normal 4 21 2" xfId="35689"/>
    <cellStyle name="Normal 4 21 3" xfId="35690"/>
    <cellStyle name="Normal 4 21 4" xfId="35691"/>
    <cellStyle name="Normal 4 21 5" xfId="35692"/>
    <cellStyle name="Normal 4 21 6" xfId="35693"/>
    <cellStyle name="Normal 4 21 7" xfId="35694"/>
    <cellStyle name="Normal 4 21_Sheet1" xfId="35695"/>
    <cellStyle name="Normal 4 22" xfId="35696"/>
    <cellStyle name="Normal 4 22 2" xfId="35697"/>
    <cellStyle name="Normal 4 22 3" xfId="35698"/>
    <cellStyle name="Normal 4 22 4" xfId="35699"/>
    <cellStyle name="Normal 4 22 5" xfId="35700"/>
    <cellStyle name="Normal 4 22 6" xfId="35701"/>
    <cellStyle name="Normal 4 22 7" xfId="35702"/>
    <cellStyle name="Normal 4 22_Sheet1" xfId="35703"/>
    <cellStyle name="Normal 4 23" xfId="35704"/>
    <cellStyle name="Normal 4 23 2" xfId="35705"/>
    <cellStyle name="Normal 4 23 3" xfId="35706"/>
    <cellStyle name="Normal 4 23 4" xfId="35707"/>
    <cellStyle name="Normal 4 23 5" xfId="35708"/>
    <cellStyle name="Normal 4 23 6" xfId="35709"/>
    <cellStyle name="Normal 4 23 7" xfId="35710"/>
    <cellStyle name="Normal 4 23_Sheet1" xfId="35711"/>
    <cellStyle name="Normal 4 24" xfId="35712"/>
    <cellStyle name="Normal 4 24 2" xfId="35713"/>
    <cellStyle name="Normal 4 24 3" xfId="35714"/>
    <cellStyle name="Normal 4 24 4" xfId="35715"/>
    <cellStyle name="Normal 4 24 5" xfId="35716"/>
    <cellStyle name="Normal 4 24 6" xfId="35717"/>
    <cellStyle name="Normal 4 24 7" xfId="35718"/>
    <cellStyle name="Normal 4 24_Sheet1" xfId="35719"/>
    <cellStyle name="Normal 4 25" xfId="35720"/>
    <cellStyle name="Normal 4 25 2" xfId="35721"/>
    <cellStyle name="Normal 4 25 3" xfId="35722"/>
    <cellStyle name="Normal 4 25 4" xfId="35723"/>
    <cellStyle name="Normal 4 25 5" xfId="35724"/>
    <cellStyle name="Normal 4 25 6" xfId="35725"/>
    <cellStyle name="Normal 4 25 7" xfId="35726"/>
    <cellStyle name="Normal 4 25_Sheet1" xfId="35727"/>
    <cellStyle name="Normal 4 26" xfId="35728"/>
    <cellStyle name="Normal 4 26 2" xfId="35729"/>
    <cellStyle name="Normal 4 26 3" xfId="35730"/>
    <cellStyle name="Normal 4 26 4" xfId="35731"/>
    <cellStyle name="Normal 4 26 5" xfId="35732"/>
    <cellStyle name="Normal 4 26 6" xfId="35733"/>
    <cellStyle name="Normal 4 26 7" xfId="35734"/>
    <cellStyle name="Normal 4 26_Sheet1" xfId="35735"/>
    <cellStyle name="Normal 4 27" xfId="35736"/>
    <cellStyle name="Normal 4 27 2" xfId="35737"/>
    <cellStyle name="Normal 4 27 3" xfId="35738"/>
    <cellStyle name="Normal 4 27 4" xfId="35739"/>
    <cellStyle name="Normal 4 27 5" xfId="35740"/>
    <cellStyle name="Normal 4 27 6" xfId="35741"/>
    <cellStyle name="Normal 4 27 7" xfId="35742"/>
    <cellStyle name="Normal 4 27_Sheet1" xfId="35743"/>
    <cellStyle name="Normal 4 28" xfId="35744"/>
    <cellStyle name="Normal 4 28 2" xfId="35745"/>
    <cellStyle name="Normal 4 28 3" xfId="35746"/>
    <cellStyle name="Normal 4 28 4" xfId="35747"/>
    <cellStyle name="Normal 4 28 5" xfId="35748"/>
    <cellStyle name="Normal 4 28 6" xfId="35749"/>
    <cellStyle name="Normal 4 28 7" xfId="35750"/>
    <cellStyle name="Normal 4 28_Sheet1" xfId="35751"/>
    <cellStyle name="Normal 4 29" xfId="35752"/>
    <cellStyle name="Normal 4 29 2" xfId="35753"/>
    <cellStyle name="Normal 4 29 3" xfId="35754"/>
    <cellStyle name="Normal 4 29 4" xfId="35755"/>
    <cellStyle name="Normal 4 29 5" xfId="35756"/>
    <cellStyle name="Normal 4 29 6" xfId="35757"/>
    <cellStyle name="Normal 4 29 7" xfId="35758"/>
    <cellStyle name="Normal 4 29_Sheet1" xfId="35759"/>
    <cellStyle name="Normal 4 3" xfId="35760"/>
    <cellStyle name="Normal 4 3 10" xfId="35761"/>
    <cellStyle name="Normal 4 3 11" xfId="35762"/>
    <cellStyle name="Normal 4 3 12" xfId="35763"/>
    <cellStyle name="Normal 4 3 13" xfId="35764"/>
    <cellStyle name="Normal 4 3 14" xfId="35765"/>
    <cellStyle name="Normal 4 3 15" xfId="35766"/>
    <cellStyle name="Normal 4 3 16" xfId="35767"/>
    <cellStyle name="Normal 4 3 17" xfId="35768"/>
    <cellStyle name="Normal 4 3 18" xfId="35769"/>
    <cellStyle name="Normal 4 3 19" xfId="35770"/>
    <cellStyle name="Normal 4 3 2" xfId="35771"/>
    <cellStyle name="Normal 4 3 2 10" xfId="35772"/>
    <cellStyle name="Normal 4 3 2 11" xfId="35773"/>
    <cellStyle name="Normal 4 3 2 12" xfId="35774"/>
    <cellStyle name="Normal 4 3 2 13" xfId="35775"/>
    <cellStyle name="Normal 4 3 2 2" xfId="35776"/>
    <cellStyle name="Normal 4 3 2 3" xfId="35777"/>
    <cellStyle name="Normal 4 3 2 4" xfId="35778"/>
    <cellStyle name="Normal 4 3 2 5" xfId="35779"/>
    <cellStyle name="Normal 4 3 2 6" xfId="35780"/>
    <cellStyle name="Normal 4 3 2 7" xfId="35781"/>
    <cellStyle name="Normal 4 3 2 8" xfId="35782"/>
    <cellStyle name="Normal 4 3 2 9" xfId="35783"/>
    <cellStyle name="Normal 4 3 20" xfId="35784"/>
    <cellStyle name="Normal 4 3 21" xfId="35785"/>
    <cellStyle name="Normal 4 3 22" xfId="35786"/>
    <cellStyle name="Normal 4 3 23" xfId="35787"/>
    <cellStyle name="Normal 4 3 24" xfId="35788"/>
    <cellStyle name="Normal 4 3 25" xfId="35789"/>
    <cellStyle name="Normal 4 3 26" xfId="35790"/>
    <cellStyle name="Normal 4 3 27" xfId="35791"/>
    <cellStyle name="Normal 4 3 28" xfId="35792"/>
    <cellStyle name="Normal 4 3 29" xfId="35793"/>
    <cellStyle name="Normal 4 3 3" xfId="35794"/>
    <cellStyle name="Normal 4 3 30" xfId="35795"/>
    <cellStyle name="Normal 4 3 4" xfId="35796"/>
    <cellStyle name="Normal 4 3 5" xfId="35797"/>
    <cellStyle name="Normal 4 3 6" xfId="35798"/>
    <cellStyle name="Normal 4 3 7" xfId="35799"/>
    <cellStyle name="Normal 4 3 8" xfId="35800"/>
    <cellStyle name="Normal 4 3 9" xfId="35801"/>
    <cellStyle name="Normal 4 3_Sheet1" xfId="35802"/>
    <cellStyle name="Normal 4 30" xfId="35803"/>
    <cellStyle name="Normal 4 30 2" xfId="35804"/>
    <cellStyle name="Normal 4 30 3" xfId="35805"/>
    <cellStyle name="Normal 4 30 4" xfId="35806"/>
    <cellStyle name="Normal 4 30 5" xfId="35807"/>
    <cellStyle name="Normal 4 30 6" xfId="35808"/>
    <cellStyle name="Normal 4 30 7" xfId="35809"/>
    <cellStyle name="Normal 4 30_Sheet1" xfId="35810"/>
    <cellStyle name="Normal 4 31" xfId="35811"/>
    <cellStyle name="Normal 4 31 2" xfId="35812"/>
    <cellStyle name="Normal 4 31 3" xfId="35813"/>
    <cellStyle name="Normal 4 31 4" xfId="35814"/>
    <cellStyle name="Normal 4 31 5" xfId="35815"/>
    <cellStyle name="Normal 4 31 6" xfId="35816"/>
    <cellStyle name="Normal 4 31 7" xfId="35817"/>
    <cellStyle name="Normal 4 31_Sheet1" xfId="35818"/>
    <cellStyle name="Normal 4 32" xfId="35819"/>
    <cellStyle name="Normal 4 32 2" xfId="35820"/>
    <cellStyle name="Normal 4 32 3" xfId="35821"/>
    <cellStyle name="Normal 4 32 4" xfId="35822"/>
    <cellStyle name="Normal 4 32 5" xfId="35823"/>
    <cellStyle name="Normal 4 32 6" xfId="35824"/>
    <cellStyle name="Normal 4 32 7" xfId="35825"/>
    <cellStyle name="Normal 4 32_Sheet1" xfId="35826"/>
    <cellStyle name="Normal 4 33" xfId="35827"/>
    <cellStyle name="Normal 4 33 2" xfId="35828"/>
    <cellStyle name="Normal 4 33 3" xfId="35829"/>
    <cellStyle name="Normal 4 33 4" xfId="35830"/>
    <cellStyle name="Normal 4 33 5" xfId="35831"/>
    <cellStyle name="Normal 4 33 6" xfId="35832"/>
    <cellStyle name="Normal 4 33 7" xfId="35833"/>
    <cellStyle name="Normal 4 33_Sheet1" xfId="35834"/>
    <cellStyle name="Normal 4 34" xfId="35835"/>
    <cellStyle name="Normal 4 34 2" xfId="35836"/>
    <cellStyle name="Normal 4 34 3" xfId="35837"/>
    <cellStyle name="Normal 4 34 4" xfId="35838"/>
    <cellStyle name="Normal 4 34 5" xfId="35839"/>
    <cellStyle name="Normal 4 34 6" xfId="35840"/>
    <cellStyle name="Normal 4 34 7" xfId="35841"/>
    <cellStyle name="Normal 4 34_Sheet1" xfId="35842"/>
    <cellStyle name="Normal 4 35" xfId="35843"/>
    <cellStyle name="Normal 4 36" xfId="35844"/>
    <cellStyle name="Normal 4 37" xfId="35845"/>
    <cellStyle name="Normal 4 38" xfId="35846"/>
    <cellStyle name="Normal 4 39" xfId="35847"/>
    <cellStyle name="Normal 4 4" xfId="8"/>
    <cellStyle name="Normal 4 4 10" xfId="35848"/>
    <cellStyle name="Normal 4 4 11" xfId="35849"/>
    <cellStyle name="Normal 4 4 12" xfId="35850"/>
    <cellStyle name="Normal 4 4 13" xfId="35851"/>
    <cellStyle name="Normal 4 4 14" xfId="35852"/>
    <cellStyle name="Normal 4 4 15" xfId="35853"/>
    <cellStyle name="Normal 4 4 16" xfId="35854"/>
    <cellStyle name="Normal 4 4 17" xfId="35855"/>
    <cellStyle name="Normal 4 4 18" xfId="35856"/>
    <cellStyle name="Normal 4 4 19" xfId="35857"/>
    <cellStyle name="Normal 4 4 2" xfId="35858"/>
    <cellStyle name="Normal 4 4 2 10" xfId="35859"/>
    <cellStyle name="Normal 4 4 2 11" xfId="35860"/>
    <cellStyle name="Normal 4 4 2 12" xfId="35861"/>
    <cellStyle name="Normal 4 4 2 13" xfId="35862"/>
    <cellStyle name="Normal 4 4 2 2" xfId="35863"/>
    <cellStyle name="Normal 4 4 2 3" xfId="35864"/>
    <cellStyle name="Normal 4 4 2 4" xfId="35865"/>
    <cellStyle name="Normal 4 4 2 5" xfId="35866"/>
    <cellStyle name="Normal 4 4 2 6" xfId="35867"/>
    <cellStyle name="Normal 4 4 2 7" xfId="35868"/>
    <cellStyle name="Normal 4 4 2 8" xfId="35869"/>
    <cellStyle name="Normal 4 4 2 9" xfId="35870"/>
    <cellStyle name="Normal 4 4 20" xfId="35871"/>
    <cellStyle name="Normal 4 4 21" xfId="35872"/>
    <cellStyle name="Normal 4 4 22" xfId="35873"/>
    <cellStyle name="Normal 4 4 23" xfId="35874"/>
    <cellStyle name="Normal 4 4 24" xfId="35875"/>
    <cellStyle name="Normal 4 4 25" xfId="35876"/>
    <cellStyle name="Normal 4 4 26" xfId="35877"/>
    <cellStyle name="Normal 4 4 27" xfId="35878"/>
    <cellStyle name="Normal 4 4 28" xfId="35879"/>
    <cellStyle name="Normal 4 4 29" xfId="35880"/>
    <cellStyle name="Normal 4 4 3" xfId="35881"/>
    <cellStyle name="Normal 4 4 30" xfId="35882"/>
    <cellStyle name="Normal 4 4 31" xfId="35883"/>
    <cellStyle name="Normal 4 4 4" xfId="35884"/>
    <cellStyle name="Normal 4 4 5" xfId="35885"/>
    <cellStyle name="Normal 4 4 6" xfId="35886"/>
    <cellStyle name="Normal 4 4 7" xfId="35887"/>
    <cellStyle name="Normal 4 4 8" xfId="35888"/>
    <cellStyle name="Normal 4 4 9" xfId="35889"/>
    <cellStyle name="Normal 4 4_Sheet1" xfId="35890"/>
    <cellStyle name="Normal 4 40" xfId="35891"/>
    <cellStyle name="Normal 4 41" xfId="35892"/>
    <cellStyle name="Normal 4 42" xfId="35893"/>
    <cellStyle name="Normal 4 43" xfId="35894"/>
    <cellStyle name="Normal 4 44" xfId="35895"/>
    <cellStyle name="Normal 4 45" xfId="35896"/>
    <cellStyle name="Normal 4 46" xfId="35897"/>
    <cellStyle name="Normal 4 47" xfId="35898"/>
    <cellStyle name="Normal 4 48" xfId="35899"/>
    <cellStyle name="Normal 4 49" xfId="35900"/>
    <cellStyle name="Normal 4 49 2" xfId="35901"/>
    <cellStyle name="Normal 4 49_Sheet1" xfId="35902"/>
    <cellStyle name="Normal 4 5" xfId="35903"/>
    <cellStyle name="Normal 4 5 10" xfId="35904"/>
    <cellStyle name="Normal 4 5 11" xfId="35905"/>
    <cellStyle name="Normal 4 5 12" xfId="35906"/>
    <cellStyle name="Normal 4 5 13" xfId="35907"/>
    <cellStyle name="Normal 4 5 14" xfId="35908"/>
    <cellStyle name="Normal 4 5 15" xfId="35909"/>
    <cellStyle name="Normal 4 5 16" xfId="35910"/>
    <cellStyle name="Normal 4 5 17" xfId="35911"/>
    <cellStyle name="Normal 4 5 18" xfId="35912"/>
    <cellStyle name="Normal 4 5 19" xfId="35913"/>
    <cellStyle name="Normal 4 5 2" xfId="35914"/>
    <cellStyle name="Normal 4 5 2 2" xfId="35915"/>
    <cellStyle name="Normal 4 5 2 2 2" xfId="35916"/>
    <cellStyle name="Normal 4 5 2 2 2 2" xfId="35917"/>
    <cellStyle name="Normal 4 5 2 2 2 3" xfId="35918"/>
    <cellStyle name="Normal 4 5 2 2 2 3 2" xfId="35919"/>
    <cellStyle name="Normal 4 5 2 2 2 3 2 2" xfId="35920"/>
    <cellStyle name="Normal 4 5 2 2 2 3 2 2 2" xfId="35921"/>
    <cellStyle name="Normal 4 5 2 2 3" xfId="35922"/>
    <cellStyle name="Normal 4 5 2 3" xfId="6"/>
    <cellStyle name="Normal 4 5 2 3 2" xfId="35923"/>
    <cellStyle name="Normal 4 5 2 3 3" xfId="35924"/>
    <cellStyle name="Normal 4 5 2 3 3 2" xfId="35925"/>
    <cellStyle name="Normal 4 5 2 3 4" xfId="35926"/>
    <cellStyle name="Normal 4 5 2 3 4 2" xfId="35927"/>
    <cellStyle name="Normal 4 5 2 3 4 2 2" xfId="35928"/>
    <cellStyle name="Normal 4 5 2 3 4 2 2 2" xfId="35929"/>
    <cellStyle name="Normal 4 5 2 3 4 3" xfId="35930"/>
    <cellStyle name="Normal 4 5 2 3 4 3 2" xfId="35931"/>
    <cellStyle name="Normal 4 5 2 3 5" xfId="35932"/>
    <cellStyle name="Normal 4 5 2 3 5 2" xfId="35933"/>
    <cellStyle name="Normal 4 5 2 3 5 2 2" xfId="35934"/>
    <cellStyle name="Normal 4 5 2 3 6" xfId="35935"/>
    <cellStyle name="Normal 4 5 2 3 6 2" xfId="35936"/>
    <cellStyle name="Normal 4 5 2 3 7" xfId="35937"/>
    <cellStyle name="Normal 4 5 2 4" xfId="35938"/>
    <cellStyle name="Normal 4 5 2 4 2" xfId="35939"/>
    <cellStyle name="Normal 4 5 2 5" xfId="35940"/>
    <cellStyle name="Normal 4 5 2 5 2" xfId="7"/>
    <cellStyle name="Normal 4 5 2 5 3" xfId="35941"/>
    <cellStyle name="Normal 4 5 2 5 3 2" xfId="35942"/>
    <cellStyle name="Normal 4 5 2 5 4" xfId="35943"/>
    <cellStyle name="Normal 4 5 2 5 4 2" xfId="35944"/>
    <cellStyle name="Normal 4 5 2 6" xfId="35945"/>
    <cellStyle name="Normal 4 5 2 7" xfId="35946"/>
    <cellStyle name="Normal 4 5 2 7 2" xfId="35947"/>
    <cellStyle name="Normal 4 5 2 7 2 2" xfId="35948"/>
    <cellStyle name="Normal 4 5 2 7 2 3" xfId="35949"/>
    <cellStyle name="Normal 4 5 2 8" xfId="35950"/>
    <cellStyle name="Normal 4 5 2 8 2" xfId="35951"/>
    <cellStyle name="Normal 4 5 20" xfId="35952"/>
    <cellStyle name="Normal 4 5 21" xfId="35953"/>
    <cellStyle name="Normal 4 5 22" xfId="35954"/>
    <cellStyle name="Normal 4 5 23" xfId="35955"/>
    <cellStyle name="Normal 4 5 24" xfId="35956"/>
    <cellStyle name="Normal 4 5 25" xfId="35957"/>
    <cellStyle name="Normal 4 5 26" xfId="35958"/>
    <cellStyle name="Normal 4 5 27" xfId="35959"/>
    <cellStyle name="Normal 4 5 28" xfId="35960"/>
    <cellStyle name="Normal 4 5 29" xfId="35961"/>
    <cellStyle name="Normal 4 5 3" xfId="35962"/>
    <cellStyle name="Normal 4 5 30" xfId="35963"/>
    <cellStyle name="Normal 4 5 31" xfId="35964"/>
    <cellStyle name="Normal 4 5 31 2" xfId="35965"/>
    <cellStyle name="Normal 4 5 32" xfId="35966"/>
    <cellStyle name="Normal 4 5 32 2" xfId="35967"/>
    <cellStyle name="Normal 4 5 4" xfId="35968"/>
    <cellStyle name="Normal 4 5 5" xfId="35969"/>
    <cellStyle name="Normal 4 5 6" xfId="35970"/>
    <cellStyle name="Normal 4 5 7" xfId="35971"/>
    <cellStyle name="Normal 4 5 8" xfId="35972"/>
    <cellStyle name="Normal 4 5 9" xfId="35973"/>
    <cellStyle name="Normal 4 5_Sheet1" xfId="35974"/>
    <cellStyle name="Normal 4 50" xfId="35975"/>
    <cellStyle name="Normal 4 51" xfId="35976"/>
    <cellStyle name="Normal 4 51 2" xfId="35977"/>
    <cellStyle name="Normal 4 51 3" xfId="35978"/>
    <cellStyle name="Normal 4 51 4" xfId="35979"/>
    <cellStyle name="Normal 4 51 5" xfId="35980"/>
    <cellStyle name="Normal 4 51 6" xfId="35981"/>
    <cellStyle name="Normal 4 51_Sheet1" xfId="35982"/>
    <cellStyle name="Normal 4 52" xfId="35983"/>
    <cellStyle name="Normal 4 53" xfId="35984"/>
    <cellStyle name="Normal 4 54" xfId="35985"/>
    <cellStyle name="Normal 4 55" xfId="35986"/>
    <cellStyle name="Normal 4 56" xfId="35987"/>
    <cellStyle name="Normal 4 6" xfId="35988"/>
    <cellStyle name="Normal 4 6 10" xfId="35989"/>
    <cellStyle name="Normal 4 6 11" xfId="35990"/>
    <cellStyle name="Normal 4 6 12" xfId="35991"/>
    <cellStyle name="Normal 4 6 13" xfId="35992"/>
    <cellStyle name="Normal 4 6 14" xfId="35993"/>
    <cellStyle name="Normal 4 6 15" xfId="35994"/>
    <cellStyle name="Normal 4 6 16" xfId="35995"/>
    <cellStyle name="Normal 4 6 17" xfId="35996"/>
    <cellStyle name="Normal 4 6 18" xfId="35997"/>
    <cellStyle name="Normal 4 6 19" xfId="35998"/>
    <cellStyle name="Normal 4 6 2" xfId="35999"/>
    <cellStyle name="Normal 4 6 20" xfId="36000"/>
    <cellStyle name="Normal 4 6 21" xfId="36001"/>
    <cellStyle name="Normal 4 6 22" xfId="36002"/>
    <cellStyle name="Normal 4 6 23" xfId="36003"/>
    <cellStyle name="Normal 4 6 24" xfId="36004"/>
    <cellStyle name="Normal 4 6 25" xfId="36005"/>
    <cellStyle name="Normal 4 6 26" xfId="36006"/>
    <cellStyle name="Normal 4 6 27" xfId="36007"/>
    <cellStyle name="Normal 4 6 28" xfId="36008"/>
    <cellStyle name="Normal 4 6 29" xfId="36009"/>
    <cellStyle name="Normal 4 6 3" xfId="36010"/>
    <cellStyle name="Normal 4 6 30" xfId="36011"/>
    <cellStyle name="Normal 4 6 31" xfId="36012"/>
    <cellStyle name="Normal 4 6 4" xfId="36013"/>
    <cellStyle name="Normal 4 6 5" xfId="36014"/>
    <cellStyle name="Normal 4 6 6" xfId="36015"/>
    <cellStyle name="Normal 4 6 7" xfId="36016"/>
    <cellStyle name="Normal 4 6 8" xfId="36017"/>
    <cellStyle name="Normal 4 6 9" xfId="36018"/>
    <cellStyle name="Normal 4 6_Sheet1" xfId="36019"/>
    <cellStyle name="Normal 4 7" xfId="36020"/>
    <cellStyle name="Normal 4 7 10" xfId="36021"/>
    <cellStyle name="Normal 4 7 11" xfId="36022"/>
    <cellStyle name="Normal 4 7 12" xfId="36023"/>
    <cellStyle name="Normal 4 7 13" xfId="36024"/>
    <cellStyle name="Normal 4 7 14" xfId="36025"/>
    <cellStyle name="Normal 4 7 15" xfId="36026"/>
    <cellStyle name="Normal 4 7 16" xfId="36027"/>
    <cellStyle name="Normal 4 7 17" xfId="36028"/>
    <cellStyle name="Normal 4 7 18" xfId="36029"/>
    <cellStyle name="Normal 4 7 19" xfId="36030"/>
    <cellStyle name="Normal 4 7 2" xfId="36031"/>
    <cellStyle name="Normal 4 7 20" xfId="36032"/>
    <cellStyle name="Normal 4 7 21" xfId="36033"/>
    <cellStyle name="Normal 4 7 22" xfId="36034"/>
    <cellStyle name="Normal 4 7 23" xfId="36035"/>
    <cellStyle name="Normal 4 7 24" xfId="36036"/>
    <cellStyle name="Normal 4 7 25" xfId="36037"/>
    <cellStyle name="Normal 4 7 26" xfId="36038"/>
    <cellStyle name="Normal 4 7 27" xfId="36039"/>
    <cellStyle name="Normal 4 7 28" xfId="36040"/>
    <cellStyle name="Normal 4 7 29" xfId="36041"/>
    <cellStyle name="Normal 4 7 3" xfId="36042"/>
    <cellStyle name="Normal 4 7 30" xfId="36043"/>
    <cellStyle name="Normal 4 7 4" xfId="36044"/>
    <cellStyle name="Normal 4 7 5" xfId="36045"/>
    <cellStyle name="Normal 4 7 6" xfId="36046"/>
    <cellStyle name="Normal 4 7 7" xfId="36047"/>
    <cellStyle name="Normal 4 7 8" xfId="36048"/>
    <cellStyle name="Normal 4 7 9" xfId="36049"/>
    <cellStyle name="Normal 4 7_Sheet1" xfId="36050"/>
    <cellStyle name="Normal 4 8" xfId="36051"/>
    <cellStyle name="Normal 4 8 2" xfId="36052"/>
    <cellStyle name="Normal 4 8 3" xfId="36053"/>
    <cellStyle name="Normal 4 8 4" xfId="36054"/>
    <cellStyle name="Normal 4 8 5" xfId="36055"/>
    <cellStyle name="Normal 4 8 6" xfId="36056"/>
    <cellStyle name="Normal 4 8 7" xfId="36057"/>
    <cellStyle name="Normal 4 8_Sheet1" xfId="36058"/>
    <cellStyle name="Normal 4 9" xfId="36059"/>
    <cellStyle name="Normal 4 9 2" xfId="36060"/>
    <cellStyle name="Normal 4 9 3" xfId="36061"/>
    <cellStyle name="Normal 4 9 4" xfId="36062"/>
    <cellStyle name="Normal 4 9 5" xfId="36063"/>
    <cellStyle name="Normal 4 9 6" xfId="36064"/>
    <cellStyle name="Normal 4 9 7" xfId="36065"/>
    <cellStyle name="Normal 4 9_Sheet1" xfId="36066"/>
    <cellStyle name="Normal 4_Copy of EE RAB M.JAWA" xfId="36067"/>
    <cellStyle name="Normal 40" xfId="36068"/>
    <cellStyle name="Normal 40 2" xfId="36069"/>
    <cellStyle name="Normal 40 2 2" xfId="36070"/>
    <cellStyle name="Normal 40 2 3" xfId="36071"/>
    <cellStyle name="Normal 40 2 4" xfId="36072"/>
    <cellStyle name="Normal 40 2 5" xfId="36073"/>
    <cellStyle name="Normal 40 2 6" xfId="36074"/>
    <cellStyle name="Normal 40 2_Sheet1" xfId="36075"/>
    <cellStyle name="Normal 40 3" xfId="36076"/>
    <cellStyle name="Normal 40_Sheet1" xfId="36077"/>
    <cellStyle name="Normal 41" xfId="36078"/>
    <cellStyle name="Normal 41 2" xfId="36079"/>
    <cellStyle name="Normal 41_Sheet1" xfId="36080"/>
    <cellStyle name="Normal 42" xfId="36081"/>
    <cellStyle name="Normal 42 2" xfId="36082"/>
    <cellStyle name="Normal 42 2 2" xfId="36083"/>
    <cellStyle name="Normal 42 2 3" xfId="36084"/>
    <cellStyle name="Normal 42 2 4" xfId="36085"/>
    <cellStyle name="Normal 42 2 5" xfId="36086"/>
    <cellStyle name="Normal 42 2 6" xfId="36087"/>
    <cellStyle name="Normal 42 2_Sheet1" xfId="36088"/>
    <cellStyle name="Normal 42 3" xfId="36089"/>
    <cellStyle name="Normal 42_Sheet1" xfId="36090"/>
    <cellStyle name="Normal 43" xfId="36091"/>
    <cellStyle name="Normal 44" xfId="36092"/>
    <cellStyle name="Normal 45" xfId="36093"/>
    <cellStyle name="Normal 46" xfId="36094"/>
    <cellStyle name="Normal 46 2" xfId="36095"/>
    <cellStyle name="Normal 46_Sheet1" xfId="36096"/>
    <cellStyle name="Normal 47" xfId="36097"/>
    <cellStyle name="Normal 48" xfId="36098"/>
    <cellStyle name="Normal 49" xfId="36099"/>
    <cellStyle name="Normal 5" xfId="36100"/>
    <cellStyle name="Normal 5 10" xfId="36101"/>
    <cellStyle name="Normal 5 10 2" xfId="36102"/>
    <cellStyle name="Normal 5 10_Sheet1" xfId="36103"/>
    <cellStyle name="Normal 5 11" xfId="36104"/>
    <cellStyle name="Normal 5 11 2" xfId="36105"/>
    <cellStyle name="Normal 5 11_Sheet1" xfId="36106"/>
    <cellStyle name="Normal 5 12" xfId="36107"/>
    <cellStyle name="Normal 5 12 2" xfId="36108"/>
    <cellStyle name="Normal 5 12_Sheet1" xfId="36109"/>
    <cellStyle name="Normal 5 13" xfId="36110"/>
    <cellStyle name="Normal 5 13 2" xfId="36111"/>
    <cellStyle name="Normal 5 13_Sheet1" xfId="36112"/>
    <cellStyle name="Normal 5 14" xfId="36113"/>
    <cellStyle name="Normal 5 14 2" xfId="36114"/>
    <cellStyle name="Normal 5 14_Sheet1" xfId="36115"/>
    <cellStyle name="Normal 5 15" xfId="36116"/>
    <cellStyle name="Normal 5 15 2" xfId="36117"/>
    <cellStyle name="Normal 5 15_Sheet1" xfId="36118"/>
    <cellStyle name="Normal 5 16" xfId="36119"/>
    <cellStyle name="Normal 5 16 2" xfId="36120"/>
    <cellStyle name="Normal 5 16_Sheet1" xfId="36121"/>
    <cellStyle name="Normal 5 17" xfId="36122"/>
    <cellStyle name="Normal 5 17 2" xfId="36123"/>
    <cellStyle name="Normal 5 17_Sheet1" xfId="36124"/>
    <cellStyle name="Normal 5 18" xfId="36125"/>
    <cellStyle name="Normal 5 18 2" xfId="36126"/>
    <cellStyle name="Normal 5 19" xfId="36127"/>
    <cellStyle name="Normal 5 2" xfId="36128"/>
    <cellStyle name="Normal 5 2 10" xfId="36129"/>
    <cellStyle name="Normal 5 2 11" xfId="36130"/>
    <cellStyle name="Normal 5 2 12" xfId="36131"/>
    <cellStyle name="Normal 5 2 13" xfId="36132"/>
    <cellStyle name="Normal 5 2 14" xfId="36133"/>
    <cellStyle name="Normal 5 2 15" xfId="36134"/>
    <cellStyle name="Normal 5 2 16" xfId="36135"/>
    <cellStyle name="Normal 5 2 17" xfId="36136"/>
    <cellStyle name="Normal 5 2 18" xfId="36137"/>
    <cellStyle name="Normal 5 2 2" xfId="36138"/>
    <cellStyle name="Normal 5 2 2 10" xfId="36139"/>
    <cellStyle name="Normal 5 2 2 11" xfId="36140"/>
    <cellStyle name="Normal 5 2 2 12" xfId="36141"/>
    <cellStyle name="Normal 5 2 2 13" xfId="36142"/>
    <cellStyle name="Normal 5 2 2 2" xfId="36143"/>
    <cellStyle name="Normal 5 2 2 3" xfId="36144"/>
    <cellStyle name="Normal 5 2 2 4" xfId="36145"/>
    <cellStyle name="Normal 5 2 2 5" xfId="36146"/>
    <cellStyle name="Normal 5 2 2 6" xfId="36147"/>
    <cellStyle name="Normal 5 2 2 7" xfId="36148"/>
    <cellStyle name="Normal 5 2 2 8" xfId="36149"/>
    <cellStyle name="Normal 5 2 2 9" xfId="36150"/>
    <cellStyle name="Normal 5 2 2_Sheet1" xfId="36151"/>
    <cellStyle name="Normal 5 2 3" xfId="36152"/>
    <cellStyle name="Normal 5 2 3 2" xfId="36153"/>
    <cellStyle name="Normal 5 2 3 3" xfId="36154"/>
    <cellStyle name="Normal 5 2 3 4" xfId="36155"/>
    <cellStyle name="Normal 5 2 3 5" xfId="36156"/>
    <cellStyle name="Normal 5 2 3 6" xfId="36157"/>
    <cellStyle name="Normal 5 2 3 7" xfId="36158"/>
    <cellStyle name="Normal 5 2 3_Sheet1" xfId="36159"/>
    <cellStyle name="Normal 5 2 4" xfId="36160"/>
    <cellStyle name="Normal 5 2 5" xfId="36161"/>
    <cellStyle name="Normal 5 2 6" xfId="36162"/>
    <cellStyle name="Normal 5 2 7" xfId="36163"/>
    <cellStyle name="Normal 5 2 8" xfId="36164"/>
    <cellStyle name="Normal 5 2 9" xfId="36165"/>
    <cellStyle name="Normal 5 2_Sheet1" xfId="36166"/>
    <cellStyle name="Normal 5 20" xfId="36167"/>
    <cellStyle name="Normal 5 21" xfId="36168"/>
    <cellStyle name="Normal 5 22" xfId="36169"/>
    <cellStyle name="Normal 5 23" xfId="36170"/>
    <cellStyle name="Normal 5 24" xfId="36171"/>
    <cellStyle name="Normal 5 25" xfId="36172"/>
    <cellStyle name="Normal 5 26" xfId="36173"/>
    <cellStyle name="Normal 5 3" xfId="36174"/>
    <cellStyle name="Normal 5 3 10" xfId="36175"/>
    <cellStyle name="Normal 5 3 11" xfId="36176"/>
    <cellStyle name="Normal 5 3 12" xfId="36177"/>
    <cellStyle name="Normal 5 3 13" xfId="36178"/>
    <cellStyle name="Normal 5 3 14" xfId="36179"/>
    <cellStyle name="Normal 5 3 15" xfId="36180"/>
    <cellStyle name="Normal 5 3 16" xfId="36181"/>
    <cellStyle name="Normal 5 3 17" xfId="36182"/>
    <cellStyle name="Normal 5 3 18" xfId="36183"/>
    <cellStyle name="Normal 5 3 19" xfId="36184"/>
    <cellStyle name="Normal 5 3 2" xfId="36185"/>
    <cellStyle name="Normal 5 3 2 10" xfId="36186"/>
    <cellStyle name="Normal 5 3 2 11" xfId="36187"/>
    <cellStyle name="Normal 5 3 2 12" xfId="36188"/>
    <cellStyle name="Normal 5 3 2 13" xfId="36189"/>
    <cellStyle name="Normal 5 3 2 2" xfId="36190"/>
    <cellStyle name="Normal 5 3 2 3" xfId="36191"/>
    <cellStyle name="Normal 5 3 2 4" xfId="36192"/>
    <cellStyle name="Normal 5 3 2 5" xfId="36193"/>
    <cellStyle name="Normal 5 3 2 6" xfId="36194"/>
    <cellStyle name="Normal 5 3 2 7" xfId="36195"/>
    <cellStyle name="Normal 5 3 2 8" xfId="36196"/>
    <cellStyle name="Normal 5 3 2 9" xfId="36197"/>
    <cellStyle name="Normal 5 3 2_Sheet1" xfId="36198"/>
    <cellStyle name="Normal 5 3 20" xfId="36199"/>
    <cellStyle name="Normal 5 3 21" xfId="36200"/>
    <cellStyle name="Normal 5 3 22" xfId="36201"/>
    <cellStyle name="Normal 5 3 23" xfId="36202"/>
    <cellStyle name="Normal 5 3 3" xfId="36203"/>
    <cellStyle name="Normal 5 3 4" xfId="36204"/>
    <cellStyle name="Normal 5 3 4 2" xfId="36205"/>
    <cellStyle name="Normal 5 3 4 3" xfId="36206"/>
    <cellStyle name="Normal 5 3 4 4" xfId="36207"/>
    <cellStyle name="Normal 5 3 4_Sheet1" xfId="36208"/>
    <cellStyle name="Normal 5 3 5" xfId="36209"/>
    <cellStyle name="Normal 5 3 6" xfId="36210"/>
    <cellStyle name="Normal 5 3 7" xfId="36211"/>
    <cellStyle name="Normal 5 3 8" xfId="36212"/>
    <cellStyle name="Normal 5 3 9" xfId="36213"/>
    <cellStyle name="Normal 5 3_Sheet1" xfId="36214"/>
    <cellStyle name="Normal 5 4" xfId="36215"/>
    <cellStyle name="Normal 5 4 10" xfId="36216"/>
    <cellStyle name="Normal 5 4 11" xfId="36217"/>
    <cellStyle name="Normal 5 4 12" xfId="36218"/>
    <cellStyle name="Normal 5 4 13" xfId="36219"/>
    <cellStyle name="Normal 5 4 14" xfId="36220"/>
    <cellStyle name="Normal 5 4 15" xfId="36221"/>
    <cellStyle name="Normal 5 4 16" xfId="36222"/>
    <cellStyle name="Normal 5 4 17" xfId="36223"/>
    <cellStyle name="Normal 5 4 18" xfId="36224"/>
    <cellStyle name="Normal 5 4 19" xfId="36225"/>
    <cellStyle name="Normal 5 4 2" xfId="36226"/>
    <cellStyle name="Normal 5 4 2 10" xfId="36227"/>
    <cellStyle name="Normal 5 4 2 11" xfId="36228"/>
    <cellStyle name="Normal 5 4 2 12" xfId="36229"/>
    <cellStyle name="Normal 5 4 2 13" xfId="36230"/>
    <cellStyle name="Normal 5 4 2 2" xfId="36231"/>
    <cellStyle name="Normal 5 4 2 3" xfId="36232"/>
    <cellStyle name="Normal 5 4 2 4" xfId="36233"/>
    <cellStyle name="Normal 5 4 2 5" xfId="36234"/>
    <cellStyle name="Normal 5 4 2 6" xfId="36235"/>
    <cellStyle name="Normal 5 4 2 7" xfId="36236"/>
    <cellStyle name="Normal 5 4 2 8" xfId="36237"/>
    <cellStyle name="Normal 5 4 2 9" xfId="36238"/>
    <cellStyle name="Normal 5 4 24" xfId="36239"/>
    <cellStyle name="Normal 5 4 24 2" xfId="36240"/>
    <cellStyle name="Normal 5 4 24 2 2" xfId="36241"/>
    <cellStyle name="Normal 5 4 24 2 2 2" xfId="36242"/>
    <cellStyle name="Normal 5 4 24 2 2 2 2" xfId="36243"/>
    <cellStyle name="Normal 5 4 24 3" xfId="36244"/>
    <cellStyle name="Normal 5 4 24 3 2" xfId="36245"/>
    <cellStyle name="Normal 5 4 24 3 2 2" xfId="36246"/>
    <cellStyle name="Normal 5 4 3" xfId="36247"/>
    <cellStyle name="Normal 5 4 4" xfId="36248"/>
    <cellStyle name="Normal 5 4 5" xfId="36249"/>
    <cellStyle name="Normal 5 4 6" xfId="36250"/>
    <cellStyle name="Normal 5 4 7" xfId="36251"/>
    <cellStyle name="Normal 5 4 8" xfId="36252"/>
    <cellStyle name="Normal 5 4 9" xfId="36253"/>
    <cellStyle name="Normal 5 4_Sheet1" xfId="36254"/>
    <cellStyle name="Normal 5 5" xfId="36255"/>
    <cellStyle name="Normal 5 5 10" xfId="36256"/>
    <cellStyle name="Normal 5 5 11" xfId="36257"/>
    <cellStyle name="Normal 5 5 12" xfId="36258"/>
    <cellStyle name="Normal 5 5 13" xfId="36259"/>
    <cellStyle name="Normal 5 5 14" xfId="36260"/>
    <cellStyle name="Normal 5 5 15" xfId="36261"/>
    <cellStyle name="Normal 5 5 16" xfId="36262"/>
    <cellStyle name="Normal 5 5 17" xfId="36263"/>
    <cellStyle name="Normal 5 5 18" xfId="36264"/>
    <cellStyle name="Normal 5 5 2" xfId="36265"/>
    <cellStyle name="Normal 5 5 3" xfId="36266"/>
    <cellStyle name="Normal 5 5 4" xfId="36267"/>
    <cellStyle name="Normal 5 5 5" xfId="36268"/>
    <cellStyle name="Normal 5 5 6" xfId="36269"/>
    <cellStyle name="Normal 5 5 7" xfId="36270"/>
    <cellStyle name="Normal 5 5 8" xfId="36271"/>
    <cellStyle name="Normal 5 5 9" xfId="36272"/>
    <cellStyle name="Normal 5 5_Sheet1" xfId="36273"/>
    <cellStyle name="Normal 5 6" xfId="36274"/>
    <cellStyle name="Normal 5 6 10" xfId="36275"/>
    <cellStyle name="Normal 5 6 11" xfId="36276"/>
    <cellStyle name="Normal 5 6 12" xfId="36277"/>
    <cellStyle name="Normal 5 6 13" xfId="36278"/>
    <cellStyle name="Normal 5 6 14" xfId="36279"/>
    <cellStyle name="Normal 5 6 15" xfId="36280"/>
    <cellStyle name="Normal 5 6 16" xfId="36281"/>
    <cellStyle name="Normal 5 6 17" xfId="36282"/>
    <cellStyle name="Normal 5 6 18" xfId="36283"/>
    <cellStyle name="Normal 5 6 2" xfId="36284"/>
    <cellStyle name="Normal 5 6 3" xfId="36285"/>
    <cellStyle name="Normal 5 6 4" xfId="36286"/>
    <cellStyle name="Normal 5 6 5" xfId="36287"/>
    <cellStyle name="Normal 5 6 6" xfId="36288"/>
    <cellStyle name="Normal 5 6 7" xfId="36289"/>
    <cellStyle name="Normal 5 6 8" xfId="36290"/>
    <cellStyle name="Normal 5 6 9" xfId="36291"/>
    <cellStyle name="Normal 5 6_Sheet1" xfId="36292"/>
    <cellStyle name="Normal 5 7" xfId="36293"/>
    <cellStyle name="Normal 5 7 2" xfId="36294"/>
    <cellStyle name="Normal 5 7 2 2" xfId="36295"/>
    <cellStyle name="Normal 5 7 2_Sheet1" xfId="36296"/>
    <cellStyle name="Normal 5 7 3" xfId="36297"/>
    <cellStyle name="Normal 5 7_Sheet1" xfId="36298"/>
    <cellStyle name="Normal 5 8" xfId="36299"/>
    <cellStyle name="Normal 5 8 2" xfId="36300"/>
    <cellStyle name="Normal 5 8_Sheet1" xfId="36301"/>
    <cellStyle name="Normal 5 9" xfId="36302"/>
    <cellStyle name="Normal 5 9 2" xfId="36303"/>
    <cellStyle name="Normal 5 9_Sheet1" xfId="36304"/>
    <cellStyle name="Normal 5_Sheet1" xfId="36305"/>
    <cellStyle name="Normal 50" xfId="36306"/>
    <cellStyle name="Normal 51" xfId="36307"/>
    <cellStyle name="Normal 52" xfId="36308"/>
    <cellStyle name="Normal 53" xfId="36309"/>
    <cellStyle name="Normal 54" xfId="36310"/>
    <cellStyle name="Normal 55" xfId="36311"/>
    <cellStyle name="Normal 56" xfId="36312"/>
    <cellStyle name="Normal 57" xfId="36313"/>
    <cellStyle name="Normal 58" xfId="36314"/>
    <cellStyle name="Normal 58 2" xfId="36315"/>
    <cellStyle name="Normal 58 3" xfId="36316"/>
    <cellStyle name="Normal 58 4" xfId="36317"/>
    <cellStyle name="Normal 58 5" xfId="36318"/>
    <cellStyle name="Normal 58 6" xfId="36319"/>
    <cellStyle name="Normal 58_Sheet1" xfId="36320"/>
    <cellStyle name="Normal 59" xfId="36321"/>
    <cellStyle name="Normal 6" xfId="36322"/>
    <cellStyle name="Normal 6 10" xfId="36323"/>
    <cellStyle name="Normal 6 10 2" xfId="36324"/>
    <cellStyle name="Normal 6 10 3" xfId="36325"/>
    <cellStyle name="Normal 6 10 4" xfId="36326"/>
    <cellStyle name="Normal 6 10 5" xfId="36327"/>
    <cellStyle name="Normal 6 10 6" xfId="36328"/>
    <cellStyle name="Normal 6 10 7" xfId="36329"/>
    <cellStyle name="Normal 6 11" xfId="36330"/>
    <cellStyle name="Normal 6 11 2" xfId="36331"/>
    <cellStyle name="Normal 6 11 3" xfId="36332"/>
    <cellStyle name="Normal 6 11 4" xfId="36333"/>
    <cellStyle name="Normal 6 11 5" xfId="36334"/>
    <cellStyle name="Normal 6 11 6" xfId="36335"/>
    <cellStyle name="Normal 6 11 7" xfId="36336"/>
    <cellStyle name="Normal 6 12" xfId="36337"/>
    <cellStyle name="Normal 6 12 2" xfId="36338"/>
    <cellStyle name="Normal 6 12 3" xfId="36339"/>
    <cellStyle name="Normal 6 12 4" xfId="36340"/>
    <cellStyle name="Normal 6 12 5" xfId="36341"/>
    <cellStyle name="Normal 6 12 6" xfId="36342"/>
    <cellStyle name="Normal 6 12 7" xfId="36343"/>
    <cellStyle name="Normal 6 13" xfId="36344"/>
    <cellStyle name="Normal 6 13 2" xfId="36345"/>
    <cellStyle name="Normal 6 13 3" xfId="36346"/>
    <cellStyle name="Normal 6 13 4" xfId="36347"/>
    <cellStyle name="Normal 6 13 5" xfId="36348"/>
    <cellStyle name="Normal 6 13 6" xfId="36349"/>
    <cellStyle name="Normal 6 13 7" xfId="36350"/>
    <cellStyle name="Normal 6 14" xfId="36351"/>
    <cellStyle name="Normal 6 14 2" xfId="36352"/>
    <cellStyle name="Normal 6 14 3" xfId="36353"/>
    <cellStyle name="Normal 6 14 4" xfId="36354"/>
    <cellStyle name="Normal 6 14 5" xfId="36355"/>
    <cellStyle name="Normal 6 14 6" xfId="36356"/>
    <cellStyle name="Normal 6 14 7" xfId="36357"/>
    <cellStyle name="Normal 6 15" xfId="36358"/>
    <cellStyle name="Normal 6 15 2" xfId="36359"/>
    <cellStyle name="Normal 6 15 3" xfId="36360"/>
    <cellStyle name="Normal 6 15 4" xfId="36361"/>
    <cellStyle name="Normal 6 15 5" xfId="36362"/>
    <cellStyle name="Normal 6 15 6" xfId="36363"/>
    <cellStyle name="Normal 6 15 7" xfId="36364"/>
    <cellStyle name="Normal 6 16" xfId="36365"/>
    <cellStyle name="Normal 6 16 2" xfId="36366"/>
    <cellStyle name="Normal 6 16 3" xfId="36367"/>
    <cellStyle name="Normal 6 16 4" xfId="36368"/>
    <cellStyle name="Normal 6 16 5" xfId="36369"/>
    <cellStyle name="Normal 6 16 6" xfId="36370"/>
    <cellStyle name="Normal 6 16 7" xfId="36371"/>
    <cellStyle name="Normal 6 17" xfId="36372"/>
    <cellStyle name="Normal 6 17 2" xfId="36373"/>
    <cellStyle name="Normal 6 17 3" xfId="36374"/>
    <cellStyle name="Normal 6 17 4" xfId="36375"/>
    <cellStyle name="Normal 6 17 5" xfId="36376"/>
    <cellStyle name="Normal 6 17 6" xfId="36377"/>
    <cellStyle name="Normal 6 17 7" xfId="36378"/>
    <cellStyle name="Normal 6 18" xfId="36379"/>
    <cellStyle name="Normal 6 18 2" xfId="36380"/>
    <cellStyle name="Normal 6 18 3" xfId="36381"/>
    <cellStyle name="Normal 6 18 4" xfId="36382"/>
    <cellStyle name="Normal 6 18 5" xfId="36383"/>
    <cellStyle name="Normal 6 18 6" xfId="36384"/>
    <cellStyle name="Normal 6 18 7" xfId="36385"/>
    <cellStyle name="Normal 6 19" xfId="36386"/>
    <cellStyle name="Normal 6 19 2" xfId="36387"/>
    <cellStyle name="Normal 6 19 3" xfId="36388"/>
    <cellStyle name="Normal 6 19 4" xfId="36389"/>
    <cellStyle name="Normal 6 19 5" xfId="36390"/>
    <cellStyle name="Normal 6 19 6" xfId="36391"/>
    <cellStyle name="Normal 6 19 7" xfId="36392"/>
    <cellStyle name="Normal 6 2" xfId="36393"/>
    <cellStyle name="Normal 6 2 10" xfId="36394"/>
    <cellStyle name="Normal 6 2 11" xfId="36395"/>
    <cellStyle name="Normal 6 2 12" xfId="36396"/>
    <cellStyle name="Normal 6 2 13" xfId="36397"/>
    <cellStyle name="Normal 6 2 14" xfId="36398"/>
    <cellStyle name="Normal 6 2 15" xfId="36399"/>
    <cellStyle name="Normal 6 2 16" xfId="36400"/>
    <cellStyle name="Normal 6 2 17" xfId="36401"/>
    <cellStyle name="Normal 6 2 18" xfId="36402"/>
    <cellStyle name="Normal 6 2 19" xfId="36403"/>
    <cellStyle name="Normal 6 2 2" xfId="36404"/>
    <cellStyle name="Normal 6 2 2 10" xfId="36405"/>
    <cellStyle name="Normal 6 2 2 11" xfId="36406"/>
    <cellStyle name="Normal 6 2 2 12" xfId="36407"/>
    <cellStyle name="Normal 6 2 2 13" xfId="36408"/>
    <cellStyle name="Normal 6 2 2 2" xfId="36409"/>
    <cellStyle name="Normal 6 2 2 2 2" xfId="36410"/>
    <cellStyle name="Normal 6 2 2 3" xfId="36411"/>
    <cellStyle name="Normal 6 2 2 4" xfId="36412"/>
    <cellStyle name="Normal 6 2 2 5" xfId="36413"/>
    <cellStyle name="Normal 6 2 2 6" xfId="36414"/>
    <cellStyle name="Normal 6 2 2 7" xfId="36415"/>
    <cellStyle name="Normal 6 2 2 8" xfId="36416"/>
    <cellStyle name="Normal 6 2 2 9" xfId="36417"/>
    <cellStyle name="Normal 6 2 20" xfId="36418"/>
    <cellStyle name="Normal 6 2 21" xfId="36419"/>
    <cellStyle name="Normal 6 2 22" xfId="36420"/>
    <cellStyle name="Normal 6 2 23" xfId="36421"/>
    <cellStyle name="Normal 6 2 24" xfId="36422"/>
    <cellStyle name="Normal 6 2 25" xfId="36423"/>
    <cellStyle name="Normal 6 2 26" xfId="36424"/>
    <cellStyle name="Normal 6 2 27" xfId="36425"/>
    <cellStyle name="Normal 6 2 28" xfId="36426"/>
    <cellStyle name="Normal 6 2 29" xfId="36427"/>
    <cellStyle name="Normal 6 2 3" xfId="36428"/>
    <cellStyle name="Normal 6 2 3 2" xfId="36429"/>
    <cellStyle name="Normal 6 2 30" xfId="36430"/>
    <cellStyle name="Normal 6 2 4" xfId="36431"/>
    <cellStyle name="Normal 6 2 4 2" xfId="36432"/>
    <cellStyle name="Normal 6 2 4 2 2" xfId="36433"/>
    <cellStyle name="Normal 6 2 4 2 2 2" xfId="36434"/>
    <cellStyle name="Normal 6 2 4 2 3" xfId="36435"/>
    <cellStyle name="Normal 6 2 4 3" xfId="36436"/>
    <cellStyle name="Normal 6 2 5" xfId="36437"/>
    <cellStyle name="Normal 6 2 6" xfId="36438"/>
    <cellStyle name="Normal 6 2 7" xfId="36439"/>
    <cellStyle name="Normal 6 2 8" xfId="36440"/>
    <cellStyle name="Normal 6 2 9" xfId="36441"/>
    <cellStyle name="Normal 6 2_BQ Novotel" xfId="36442"/>
    <cellStyle name="Normal 6 20" xfId="36443"/>
    <cellStyle name="Normal 6 20 2" xfId="36444"/>
    <cellStyle name="Normal 6 20 3" xfId="36445"/>
    <cellStyle name="Normal 6 20 4" xfId="36446"/>
    <cellStyle name="Normal 6 20 5" xfId="36447"/>
    <cellStyle name="Normal 6 20 6" xfId="36448"/>
    <cellStyle name="Normal 6 20 7" xfId="36449"/>
    <cellStyle name="Normal 6 21" xfId="36450"/>
    <cellStyle name="Normal 6 21 2" xfId="36451"/>
    <cellStyle name="Normal 6 21 3" xfId="36452"/>
    <cellStyle name="Normal 6 21 4" xfId="36453"/>
    <cellStyle name="Normal 6 21 5" xfId="36454"/>
    <cellStyle name="Normal 6 21 6" xfId="36455"/>
    <cellStyle name="Normal 6 21 7" xfId="36456"/>
    <cellStyle name="Normal 6 22" xfId="36457"/>
    <cellStyle name="Normal 6 22 2" xfId="36458"/>
    <cellStyle name="Normal 6 22 3" xfId="36459"/>
    <cellStyle name="Normal 6 22 4" xfId="36460"/>
    <cellStyle name="Normal 6 22 5" xfId="36461"/>
    <cellStyle name="Normal 6 22 6" xfId="36462"/>
    <cellStyle name="Normal 6 22 7" xfId="36463"/>
    <cellStyle name="Normal 6 23" xfId="36464"/>
    <cellStyle name="Normal 6 23 2" xfId="36465"/>
    <cellStyle name="Normal 6 23 3" xfId="36466"/>
    <cellStyle name="Normal 6 23 4" xfId="36467"/>
    <cellStyle name="Normal 6 23 5" xfId="36468"/>
    <cellStyle name="Normal 6 23 6" xfId="36469"/>
    <cellStyle name="Normal 6 23 7" xfId="36470"/>
    <cellStyle name="Normal 6 24" xfId="36471"/>
    <cellStyle name="Normal 6 24 2" xfId="36472"/>
    <cellStyle name="Normal 6 24 3" xfId="36473"/>
    <cellStyle name="Normal 6 24 4" xfId="36474"/>
    <cellStyle name="Normal 6 24 5" xfId="36475"/>
    <cellStyle name="Normal 6 24 6" xfId="36476"/>
    <cellStyle name="Normal 6 24 7" xfId="36477"/>
    <cellStyle name="Normal 6 25" xfId="36478"/>
    <cellStyle name="Normal 6 25 2" xfId="36479"/>
    <cellStyle name="Normal 6 25 3" xfId="36480"/>
    <cellStyle name="Normal 6 25 4" xfId="36481"/>
    <cellStyle name="Normal 6 25 5" xfId="36482"/>
    <cellStyle name="Normal 6 25 6" xfId="36483"/>
    <cellStyle name="Normal 6 25 7" xfId="36484"/>
    <cellStyle name="Normal 6 26" xfId="36485"/>
    <cellStyle name="Normal 6 26 2" xfId="36486"/>
    <cellStyle name="Normal 6 26 3" xfId="36487"/>
    <cellStyle name="Normal 6 26 4" xfId="36488"/>
    <cellStyle name="Normal 6 26 5" xfId="36489"/>
    <cellStyle name="Normal 6 26 6" xfId="36490"/>
    <cellStyle name="Normal 6 26 7" xfId="36491"/>
    <cellStyle name="Normal 6 27" xfId="36492"/>
    <cellStyle name="Normal 6 27 2" xfId="36493"/>
    <cellStyle name="Normal 6 27 3" xfId="36494"/>
    <cellStyle name="Normal 6 27 4" xfId="36495"/>
    <cellStyle name="Normal 6 27 5" xfId="36496"/>
    <cellStyle name="Normal 6 27 6" xfId="36497"/>
    <cellStyle name="Normal 6 27 7" xfId="36498"/>
    <cellStyle name="Normal 6 28" xfId="36499"/>
    <cellStyle name="Normal 6 28 2" xfId="36500"/>
    <cellStyle name="Normal 6 28 3" xfId="36501"/>
    <cellStyle name="Normal 6 28 4" xfId="36502"/>
    <cellStyle name="Normal 6 28 5" xfId="36503"/>
    <cellStyle name="Normal 6 28 6" xfId="36504"/>
    <cellStyle name="Normal 6 28 7" xfId="36505"/>
    <cellStyle name="Normal 6 29" xfId="36506"/>
    <cellStyle name="Normal 6 3" xfId="36507"/>
    <cellStyle name="Normal 6 3 10" xfId="36508"/>
    <cellStyle name="Normal 6 3 11" xfId="36509"/>
    <cellStyle name="Normal 6 3 12" xfId="36510"/>
    <cellStyle name="Normal 6 3 13" xfId="36511"/>
    <cellStyle name="Normal 6 3 14" xfId="36512"/>
    <cellStyle name="Normal 6 3 15" xfId="36513"/>
    <cellStyle name="Normal 6 3 16" xfId="36514"/>
    <cellStyle name="Normal 6 3 17" xfId="36515"/>
    <cellStyle name="Normal 6 3 18" xfId="36516"/>
    <cellStyle name="Normal 6 3 19" xfId="36517"/>
    <cellStyle name="Normal 6 3 2" xfId="36518"/>
    <cellStyle name="Normal 6 3 20" xfId="36519"/>
    <cellStyle name="Normal 6 3 21" xfId="36520"/>
    <cellStyle name="Normal 6 3 22" xfId="36521"/>
    <cellStyle name="Normal 6 3 23" xfId="36522"/>
    <cellStyle name="Normal 6 3 24" xfId="36523"/>
    <cellStyle name="Normal 6 3 25" xfId="36524"/>
    <cellStyle name="Normal 6 3 26" xfId="36525"/>
    <cellStyle name="Normal 6 3 27" xfId="36526"/>
    <cellStyle name="Normal 6 3 28" xfId="36527"/>
    <cellStyle name="Normal 6 3 29" xfId="36528"/>
    <cellStyle name="Normal 6 3 3" xfId="36529"/>
    <cellStyle name="Normal 6 3 30" xfId="36530"/>
    <cellStyle name="Normal 6 3 4" xfId="36531"/>
    <cellStyle name="Normal 6 3 5" xfId="36532"/>
    <cellStyle name="Normal 6 3 6" xfId="36533"/>
    <cellStyle name="Normal 6 3 7" xfId="36534"/>
    <cellStyle name="Normal 6 3 8" xfId="36535"/>
    <cellStyle name="Normal 6 3 9" xfId="36536"/>
    <cellStyle name="Normal 6 30" xfId="36537"/>
    <cellStyle name="Normal 6 31" xfId="36538"/>
    <cellStyle name="Normal 6 32" xfId="36539"/>
    <cellStyle name="Normal 6 33" xfId="36540"/>
    <cellStyle name="Normal 6 34" xfId="36541"/>
    <cellStyle name="Normal 6 35" xfId="36542"/>
    <cellStyle name="Normal 6 36" xfId="36543"/>
    <cellStyle name="Normal 6 37" xfId="36544"/>
    <cellStyle name="Normal 6 38" xfId="36545"/>
    <cellStyle name="Normal 6 39" xfId="36546"/>
    <cellStyle name="Normal 6 4" xfId="36547"/>
    <cellStyle name="Normal 6 4 10" xfId="36548"/>
    <cellStyle name="Normal 6 4 11" xfId="36549"/>
    <cellStyle name="Normal 6 4 12" xfId="36550"/>
    <cellStyle name="Normal 6 4 13" xfId="36551"/>
    <cellStyle name="Normal 6 4 14" xfId="36552"/>
    <cellStyle name="Normal 6 4 15" xfId="36553"/>
    <cellStyle name="Normal 6 4 16" xfId="36554"/>
    <cellStyle name="Normal 6 4 17" xfId="36555"/>
    <cellStyle name="Normal 6 4 18" xfId="36556"/>
    <cellStyle name="Normal 6 4 19" xfId="36557"/>
    <cellStyle name="Normal 6 4 2" xfId="36558"/>
    <cellStyle name="Normal 6 4 20" xfId="36559"/>
    <cellStyle name="Normal 6 4 21" xfId="36560"/>
    <cellStyle name="Normal 6 4 22" xfId="36561"/>
    <cellStyle name="Normal 6 4 23" xfId="36562"/>
    <cellStyle name="Normal 6 4 24" xfId="36563"/>
    <cellStyle name="Normal 6 4 25" xfId="36564"/>
    <cellStyle name="Normal 6 4 26" xfId="36565"/>
    <cellStyle name="Normal 6 4 27" xfId="36566"/>
    <cellStyle name="Normal 6 4 28" xfId="36567"/>
    <cellStyle name="Normal 6 4 29" xfId="36568"/>
    <cellStyle name="Normal 6 4 3" xfId="36569"/>
    <cellStyle name="Normal 6 4 30" xfId="36570"/>
    <cellStyle name="Normal 6 4 4" xfId="36571"/>
    <cellStyle name="Normal 6 4 5" xfId="36572"/>
    <cellStyle name="Normal 6 4 6" xfId="36573"/>
    <cellStyle name="Normal 6 4 7" xfId="36574"/>
    <cellStyle name="Normal 6 4 8" xfId="36575"/>
    <cellStyle name="Normal 6 4 9" xfId="36576"/>
    <cellStyle name="Normal 6 4_Sheet1" xfId="36577"/>
    <cellStyle name="Normal 6 40" xfId="36578"/>
    <cellStyle name="Normal 6 41" xfId="36579"/>
    <cellStyle name="Normal 6 42" xfId="36580"/>
    <cellStyle name="Normal 6 43" xfId="36581"/>
    <cellStyle name="Normal 6 44" xfId="36582"/>
    <cellStyle name="Normal 6 45" xfId="36583"/>
    <cellStyle name="Normal 6 46" xfId="36584"/>
    <cellStyle name="Normal 6 47" xfId="36585"/>
    <cellStyle name="Normal 6 48" xfId="36586"/>
    <cellStyle name="Normal 6 49" xfId="36587"/>
    <cellStyle name="Normal 6 49 2" xfId="36588"/>
    <cellStyle name="Normal 6 49 2 2" xfId="36589"/>
    <cellStyle name="Normal 6 49 2 3" xfId="36590"/>
    <cellStyle name="Normal 6 49 2 4" xfId="36591"/>
    <cellStyle name="Normal 6 49 2 5" xfId="36592"/>
    <cellStyle name="Normal 6 49 2 6" xfId="36593"/>
    <cellStyle name="Normal 6 49 2_Sheet1" xfId="36594"/>
    <cellStyle name="Normal 6 49 3" xfId="36595"/>
    <cellStyle name="Normal 6 49 4" xfId="36596"/>
    <cellStyle name="Normal 6 49 5" xfId="36597"/>
    <cellStyle name="Normal 6 49 6" xfId="36598"/>
    <cellStyle name="Normal 6 49 7" xfId="36599"/>
    <cellStyle name="Normal 6 49_Sheet1" xfId="36600"/>
    <cellStyle name="Normal 6 5" xfId="36601"/>
    <cellStyle name="Normal 6 5 10" xfId="36602"/>
    <cellStyle name="Normal 6 5 11" xfId="36603"/>
    <cellStyle name="Normal 6 5 12" xfId="36604"/>
    <cellStyle name="Normal 6 5 13" xfId="36605"/>
    <cellStyle name="Normal 6 5 14" xfId="36606"/>
    <cellStyle name="Normal 6 5 15" xfId="36607"/>
    <cellStyle name="Normal 6 5 16" xfId="36608"/>
    <cellStyle name="Normal 6 5 17" xfId="36609"/>
    <cellStyle name="Normal 6 5 18" xfId="36610"/>
    <cellStyle name="Normal 6 5 19" xfId="36611"/>
    <cellStyle name="Normal 6 5 2" xfId="36612"/>
    <cellStyle name="Normal 6 5 20" xfId="36613"/>
    <cellStyle name="Normal 6 5 21" xfId="36614"/>
    <cellStyle name="Normal 6 5 22" xfId="36615"/>
    <cellStyle name="Normal 6 5 23" xfId="36616"/>
    <cellStyle name="Normal 6 5 24" xfId="36617"/>
    <cellStyle name="Normal 6 5 25" xfId="36618"/>
    <cellStyle name="Normal 6 5 26" xfId="36619"/>
    <cellStyle name="Normal 6 5 27" xfId="36620"/>
    <cellStyle name="Normal 6 5 28" xfId="36621"/>
    <cellStyle name="Normal 6 5 29" xfId="36622"/>
    <cellStyle name="Normal 6 5 3" xfId="36623"/>
    <cellStyle name="Normal 6 5 30" xfId="36624"/>
    <cellStyle name="Normal 6 5 4" xfId="36625"/>
    <cellStyle name="Normal 6 5 5" xfId="36626"/>
    <cellStyle name="Normal 6 5 6" xfId="36627"/>
    <cellStyle name="Normal 6 5 7" xfId="36628"/>
    <cellStyle name="Normal 6 5 8" xfId="36629"/>
    <cellStyle name="Normal 6 5 9" xfId="36630"/>
    <cellStyle name="Normal 6 50" xfId="36631"/>
    <cellStyle name="Normal 6 50 2" xfId="36632"/>
    <cellStyle name="Normal 6 50 3" xfId="36633"/>
    <cellStyle name="Normal 6 50 4" xfId="36634"/>
    <cellStyle name="Normal 6 50 5" xfId="36635"/>
    <cellStyle name="Normal 6 50 6" xfId="36636"/>
    <cellStyle name="Normal 6 50_Sheet1" xfId="36637"/>
    <cellStyle name="Normal 6 51" xfId="36638"/>
    <cellStyle name="Normal 6 51 2" xfId="36639"/>
    <cellStyle name="Normal 6 51 3" xfId="36640"/>
    <cellStyle name="Normal 6 51 4" xfId="36641"/>
    <cellStyle name="Normal 6 51 5" xfId="36642"/>
    <cellStyle name="Normal 6 51 6" xfId="36643"/>
    <cellStyle name="Normal 6 51_Sheet1" xfId="36644"/>
    <cellStyle name="Normal 6 52" xfId="36645"/>
    <cellStyle name="Normal 6 53" xfId="36646"/>
    <cellStyle name="Normal 6 54" xfId="36647"/>
    <cellStyle name="Normal 6 55" xfId="36648"/>
    <cellStyle name="Normal 6 56" xfId="36649"/>
    <cellStyle name="Normal 6 6" xfId="36650"/>
    <cellStyle name="Normal 6 6 2" xfId="36651"/>
    <cellStyle name="Normal 6 6 3" xfId="36652"/>
    <cellStyle name="Normal 6 6 4" xfId="36653"/>
    <cellStyle name="Normal 6 6 5" xfId="36654"/>
    <cellStyle name="Normal 6 6 6" xfId="36655"/>
    <cellStyle name="Normal 6 6 7" xfId="36656"/>
    <cellStyle name="Normal 6 7" xfId="36657"/>
    <cellStyle name="Normal 6 7 2" xfId="36658"/>
    <cellStyle name="Normal 6 7 3" xfId="36659"/>
    <cellStyle name="Normal 6 7 4" xfId="36660"/>
    <cellStyle name="Normal 6 7 5" xfId="36661"/>
    <cellStyle name="Normal 6 7 6" xfId="36662"/>
    <cellStyle name="Normal 6 7 7" xfId="36663"/>
    <cellStyle name="Normal 6 8" xfId="36664"/>
    <cellStyle name="Normal 6 8 2" xfId="36665"/>
    <cellStyle name="Normal 6 8 3" xfId="36666"/>
    <cellStyle name="Normal 6 8 4" xfId="36667"/>
    <cellStyle name="Normal 6 8 5" xfId="36668"/>
    <cellStyle name="Normal 6 8 6" xfId="36669"/>
    <cellStyle name="Normal 6 8 7" xfId="36670"/>
    <cellStyle name="Normal 6 9" xfId="36671"/>
    <cellStyle name="Normal 6 9 2" xfId="36672"/>
    <cellStyle name="Normal 6 9 3" xfId="36673"/>
    <cellStyle name="Normal 6 9 4" xfId="36674"/>
    <cellStyle name="Normal 6 9 5" xfId="36675"/>
    <cellStyle name="Normal 6 9 6" xfId="36676"/>
    <cellStyle name="Normal 6 9 7" xfId="36677"/>
    <cellStyle name="Normal 6_BQ Novotel" xfId="36678"/>
    <cellStyle name="Normal 60" xfId="36679"/>
    <cellStyle name="Normal 61" xfId="36680"/>
    <cellStyle name="Normal 62" xfId="36681"/>
    <cellStyle name="Normal 63" xfId="36682"/>
    <cellStyle name="Normal 64" xfId="36683"/>
    <cellStyle name="Normal 65" xfId="36684"/>
    <cellStyle name="Normal 66" xfId="36685"/>
    <cellStyle name="Normal 67" xfId="36686"/>
    <cellStyle name="Normal 68" xfId="36687"/>
    <cellStyle name="Normal 69" xfId="36688"/>
    <cellStyle name="Normal 7" xfId="36689"/>
    <cellStyle name="Normal 7 10" xfId="36690"/>
    <cellStyle name="Normal 7 11" xfId="36691"/>
    <cellStyle name="Normal 7 12" xfId="36692"/>
    <cellStyle name="Normal 7 13" xfId="36693"/>
    <cellStyle name="Normal 7 14" xfId="36694"/>
    <cellStyle name="Normal 7 15" xfId="36695"/>
    <cellStyle name="Normal 7 16" xfId="36696"/>
    <cellStyle name="Normal 7 17" xfId="36697"/>
    <cellStyle name="Normal 7 18" xfId="36698"/>
    <cellStyle name="Normal 7 19" xfId="36699"/>
    <cellStyle name="Normal 7 2" xfId="36700"/>
    <cellStyle name="Normal 7 2 10" xfId="36701"/>
    <cellStyle name="Normal 7 2 11" xfId="36702"/>
    <cellStyle name="Normal 7 2 12" xfId="36703"/>
    <cellStyle name="Normal 7 2 13" xfId="36704"/>
    <cellStyle name="Normal 7 2 14" xfId="36705"/>
    <cellStyle name="Normal 7 2 15" xfId="36706"/>
    <cellStyle name="Normal 7 2 16" xfId="36707"/>
    <cellStyle name="Normal 7 2 17" xfId="36708"/>
    <cellStyle name="Normal 7 2 18" xfId="36709"/>
    <cellStyle name="Normal 7 2 19" xfId="36710"/>
    <cellStyle name="Normal 7 2 2" xfId="36711"/>
    <cellStyle name="Normal 7 2 2 2" xfId="36712"/>
    <cellStyle name="Normal 7 2 2 2 2" xfId="36713"/>
    <cellStyle name="Normal 7 2 2 2 2 2" xfId="36714"/>
    <cellStyle name="Normal 7 2 2 2 2 3" xfId="36715"/>
    <cellStyle name="Normal 7 2 2 2 2 4" xfId="36716"/>
    <cellStyle name="Normal 7 2 2 2 2 5" xfId="36717"/>
    <cellStyle name="Normal 7 2 2 2 2 6" xfId="36718"/>
    <cellStyle name="Normal 7 2 2 2 2_Sheet1" xfId="36719"/>
    <cellStyle name="Normal 7 2 2 2 3" xfId="36720"/>
    <cellStyle name="Normal 7 2 2 2 4" xfId="36721"/>
    <cellStyle name="Normal 7 2 2 2 5" xfId="36722"/>
    <cellStyle name="Normal 7 2 2 2 6" xfId="36723"/>
    <cellStyle name="Normal 7 2 2 2 7" xfId="36724"/>
    <cellStyle name="Normal 7 2 2 3" xfId="36725"/>
    <cellStyle name="Normal 7 2 2 3 2" xfId="36726"/>
    <cellStyle name="Normal 7 2 2 3 3" xfId="36727"/>
    <cellStyle name="Normal 7 2 2 3 4" xfId="36728"/>
    <cellStyle name="Normal 7 2 2 3 5" xfId="36729"/>
    <cellStyle name="Normal 7 2 2 3 6" xfId="36730"/>
    <cellStyle name="Normal 7 2 2 3_Sheet1" xfId="36731"/>
    <cellStyle name="Normal 7 2 2 4" xfId="36732"/>
    <cellStyle name="Normal 7 2 2 5" xfId="36733"/>
    <cellStyle name="Normal 7 2 2 6" xfId="36734"/>
    <cellStyle name="Normal 7 2 2 7" xfId="36735"/>
    <cellStyle name="Normal 7 2 2 8" xfId="36736"/>
    <cellStyle name="Normal 7 2 20" xfId="36737"/>
    <cellStyle name="Normal 7 2 21" xfId="36738"/>
    <cellStyle name="Normal 7 2 22" xfId="36739"/>
    <cellStyle name="Normal 7 2 23" xfId="36740"/>
    <cellStyle name="Normal 7 2 24" xfId="36741"/>
    <cellStyle name="Normal 7 2 3" xfId="36742"/>
    <cellStyle name="Normal 7 2 3 2" xfId="36743"/>
    <cellStyle name="Normal 7 2 3 2 2" xfId="36744"/>
    <cellStyle name="Normal 7 2 3 2 3" xfId="36745"/>
    <cellStyle name="Normal 7 2 3 2 4" xfId="36746"/>
    <cellStyle name="Normal 7 2 3 2 5" xfId="36747"/>
    <cellStyle name="Normal 7 2 3 2 6" xfId="36748"/>
    <cellStyle name="Normal 7 2 3 3" xfId="36749"/>
    <cellStyle name="Normal 7 2 3 3 2" xfId="36750"/>
    <cellStyle name="Normal 7 2 3 3 3" xfId="36751"/>
    <cellStyle name="Normal 7 2 3 3 4" xfId="36752"/>
    <cellStyle name="Normal 7 2 3 3 5" xfId="36753"/>
    <cellStyle name="Normal 7 2 3 3 6" xfId="36754"/>
    <cellStyle name="Normal 7 2 3 3_Sheet1" xfId="36755"/>
    <cellStyle name="Normal 7 2 3 4" xfId="36756"/>
    <cellStyle name="Normal 7 2 3 5" xfId="36757"/>
    <cellStyle name="Normal 7 2 3 6" xfId="36758"/>
    <cellStyle name="Normal 7 2 3 7" xfId="36759"/>
    <cellStyle name="Normal 7 2 3 8" xfId="36760"/>
    <cellStyle name="Normal 7 2 4" xfId="36761"/>
    <cellStyle name="Normal 7 2 4 2" xfId="36762"/>
    <cellStyle name="Normal 7 2 4 2 2" xfId="36763"/>
    <cellStyle name="Normal 7 2 4 2 3" xfId="36764"/>
    <cellStyle name="Normal 7 2 4 2 4" xfId="36765"/>
    <cellStyle name="Normal 7 2 4 2 5" xfId="36766"/>
    <cellStyle name="Normal 7 2 4 2 6" xfId="36767"/>
    <cellStyle name="Normal 7 2 4 3" xfId="36768"/>
    <cellStyle name="Normal 7 2 4 4" xfId="36769"/>
    <cellStyle name="Normal 7 2 4 5" xfId="36770"/>
    <cellStyle name="Normal 7 2 4 6" xfId="36771"/>
    <cellStyle name="Normal 7 2 4 7" xfId="36772"/>
    <cellStyle name="Normal 7 2 5" xfId="36773"/>
    <cellStyle name="Normal 7 2 5 2" xfId="36774"/>
    <cellStyle name="Normal 7 2 5 2 2" xfId="36775"/>
    <cellStyle name="Normal 7 2 5 2 2 2" xfId="36776"/>
    <cellStyle name="Normal 7 2 5 2 2 2 2" xfId="36777"/>
    <cellStyle name="Normal 7 2 5 2 2 3" xfId="36778"/>
    <cellStyle name="Normal 7 2 5 2 3" xfId="36779"/>
    <cellStyle name="Normal 7 2 5 2 3 2" xfId="36780"/>
    <cellStyle name="Normal 7 2 5 2 4" xfId="36781"/>
    <cellStyle name="Normal 7 2 5 2 5" xfId="36782"/>
    <cellStyle name="Normal 7 2 5 2 6" xfId="36783"/>
    <cellStyle name="Normal 7 2 5 3" xfId="36784"/>
    <cellStyle name="Normal 7 2 5 3 2" xfId="36785"/>
    <cellStyle name="Normal 7 2 5 3 2 2" xfId="36786"/>
    <cellStyle name="Normal 7 2 5 3 2 2 2" xfId="36787"/>
    <cellStyle name="Normal 7 2 5 3 2 2 2 2" xfId="36788"/>
    <cellStyle name="Normal 7 2 5 3 2 2 2 2 2" xfId="36789"/>
    <cellStyle name="Normal 7 2 5 3 2 2 2 3" xfId="36790"/>
    <cellStyle name="Normal 7 2 5 3 2 2 2 3 2" xfId="36791"/>
    <cellStyle name="Normal 7 2 5 3 2 2 2 4" xfId="36792"/>
    <cellStyle name="Normal 7 2 5 3 2 2 3" xfId="36793"/>
    <cellStyle name="Normal 7 2 5 3 2 2 3 2" xfId="36794"/>
    <cellStyle name="Normal 7 2 5 3 2 2 4" xfId="36795"/>
    <cellStyle name="Normal 7 2 5 3 2 2 4 2" xfId="36796"/>
    <cellStyle name="Normal 7 2 5 3 2 2 5" xfId="36797"/>
    <cellStyle name="Normal 7 2 5 3 2 3" xfId="36798"/>
    <cellStyle name="Normal 7 2 5 3 2 3 2" xfId="36799"/>
    <cellStyle name="Normal 7 2 5 3 2 4" xfId="36800"/>
    <cellStyle name="Normal 7 2 5 3 3" xfId="36801"/>
    <cellStyle name="Normal 7 2 5 3 3 2" xfId="36802"/>
    <cellStyle name="Normal 7 2 5 3 4" xfId="36803"/>
    <cellStyle name="Normal 7 2 5 4" xfId="36804"/>
    <cellStyle name="Normal 7 2 5 4 2" xfId="36805"/>
    <cellStyle name="Normal 7 2 5 5" xfId="36806"/>
    <cellStyle name="Normal 7 2 5 6" xfId="36807"/>
    <cellStyle name="Normal 7 2 5 7" xfId="36808"/>
    <cellStyle name="Normal 7 2 6" xfId="36809"/>
    <cellStyle name="Normal 7 2 6 2" xfId="36810"/>
    <cellStyle name="Normal 7 2 7" xfId="36811"/>
    <cellStyle name="Normal 7 2 8" xfId="36812"/>
    <cellStyle name="Normal 7 2 9" xfId="36813"/>
    <cellStyle name="Normal 7 20" xfId="36814"/>
    <cellStyle name="Normal 7 21" xfId="36815"/>
    <cellStyle name="Normal 7 22" xfId="36816"/>
    <cellStyle name="Normal 7 23" xfId="36817"/>
    <cellStyle name="Normal 7 24" xfId="36818"/>
    <cellStyle name="Normal 7 25" xfId="36819"/>
    <cellStyle name="Normal 7 26" xfId="36820"/>
    <cellStyle name="Normal 7 27" xfId="36821"/>
    <cellStyle name="Normal 7 28" xfId="36822"/>
    <cellStyle name="Normal 7 29" xfId="36823"/>
    <cellStyle name="Normal 7 3" xfId="36824"/>
    <cellStyle name="Normal 7 3 10" xfId="36825"/>
    <cellStyle name="Normal 7 3 11" xfId="36826"/>
    <cellStyle name="Normal 7 3 12" xfId="36827"/>
    <cellStyle name="Normal 7 3 13" xfId="36828"/>
    <cellStyle name="Normal 7 3 14" xfId="36829"/>
    <cellStyle name="Normal 7 3 15" xfId="36830"/>
    <cellStyle name="Normal 7 3 16" xfId="36831"/>
    <cellStyle name="Normal 7 3 17" xfId="36832"/>
    <cellStyle name="Normal 7 3 18" xfId="36833"/>
    <cellStyle name="Normal 7 3 19" xfId="36834"/>
    <cellStyle name="Normal 7 3 2" xfId="36835"/>
    <cellStyle name="Normal 7 3 20" xfId="36836"/>
    <cellStyle name="Normal 7 3 21" xfId="36837"/>
    <cellStyle name="Normal 7 3 22" xfId="36838"/>
    <cellStyle name="Normal 7 3 23" xfId="36839"/>
    <cellStyle name="Normal 7 3 24" xfId="36840"/>
    <cellStyle name="Normal 7 3 3" xfId="36841"/>
    <cellStyle name="Normal 7 3 4" xfId="36842"/>
    <cellStyle name="Normal 7 3 5" xfId="36843"/>
    <cellStyle name="Normal 7 3 6" xfId="36844"/>
    <cellStyle name="Normal 7 3 7" xfId="36845"/>
    <cellStyle name="Normal 7 3 8" xfId="36846"/>
    <cellStyle name="Normal 7 3 9" xfId="36847"/>
    <cellStyle name="Normal 7 30" xfId="36848"/>
    <cellStyle name="Normal 7 31" xfId="36849"/>
    <cellStyle name="Normal 7 32" xfId="36850"/>
    <cellStyle name="Normal 7 33" xfId="36851"/>
    <cellStyle name="Normal 7 34" xfId="36852"/>
    <cellStyle name="Normal 7 35" xfId="36853"/>
    <cellStyle name="Normal 7 36" xfId="36854"/>
    <cellStyle name="Normal 7 37" xfId="36855"/>
    <cellStyle name="Normal 7 38" xfId="36856"/>
    <cellStyle name="Normal 7 39" xfId="36857"/>
    <cellStyle name="Normal 7 4" xfId="36858"/>
    <cellStyle name="Normal 7 4 2" xfId="36859"/>
    <cellStyle name="Normal 7 4 2 2" xfId="36860"/>
    <cellStyle name="Normal 7 4 2 3" xfId="36861"/>
    <cellStyle name="Normal 7 4 2 4" xfId="36862"/>
    <cellStyle name="Normal 7 4 2 5" xfId="36863"/>
    <cellStyle name="Normal 7 4 2 6" xfId="36864"/>
    <cellStyle name="Normal 7 4 2 7" xfId="36865"/>
    <cellStyle name="Normal 7 4 2_Sheet1" xfId="36866"/>
    <cellStyle name="Normal 7 4 3" xfId="36867"/>
    <cellStyle name="Normal 7 4 4" xfId="36868"/>
    <cellStyle name="Normal 7 4 5" xfId="36869"/>
    <cellStyle name="Normal 7 4 6" xfId="36870"/>
    <cellStyle name="Normal 7 4 7" xfId="36871"/>
    <cellStyle name="Normal 7 4 8" xfId="36872"/>
    <cellStyle name="Normal 7 4_Sheet1" xfId="36873"/>
    <cellStyle name="Normal 7 40" xfId="36874"/>
    <cellStyle name="Normal 7 41" xfId="36875"/>
    <cellStyle name="Normal 7 42" xfId="36876"/>
    <cellStyle name="Normal 7 5" xfId="36877"/>
    <cellStyle name="Normal 7 5 2" xfId="36878"/>
    <cellStyle name="Normal 7 5 3" xfId="36879"/>
    <cellStyle name="Normal 7 5 4" xfId="36880"/>
    <cellStyle name="Normal 7 5 5" xfId="36881"/>
    <cellStyle name="Normal 7 5 6" xfId="36882"/>
    <cellStyle name="Normal 7 5 7" xfId="36883"/>
    <cellStyle name="Normal 7 5_Sheet1" xfId="36884"/>
    <cellStyle name="Normal 7 6" xfId="36885"/>
    <cellStyle name="Normal 7 7" xfId="36886"/>
    <cellStyle name="Normal 7 8" xfId="36887"/>
    <cellStyle name="Normal 7 9" xfId="36888"/>
    <cellStyle name="Normal 7_2.Activity Plan-Template v2.0" xfId="36889"/>
    <cellStyle name="Normal 70" xfId="36890"/>
    <cellStyle name="Normal 71" xfId="36891"/>
    <cellStyle name="Normal 72" xfId="36892"/>
    <cellStyle name="Normal 73" xfId="36893"/>
    <cellStyle name="Normal 74" xfId="36894"/>
    <cellStyle name="Normal 75" xfId="36895"/>
    <cellStyle name="Normal 76" xfId="36896"/>
    <cellStyle name="Normal 77" xfId="36897"/>
    <cellStyle name="Normal 78" xfId="36898"/>
    <cellStyle name="Normal 79" xfId="36899"/>
    <cellStyle name="Normal 79 2" xfId="36900"/>
    <cellStyle name="Normal 79 2 2" xfId="36901"/>
    <cellStyle name="Normal 79 2 2 2" xfId="36902"/>
    <cellStyle name="Normal 79 2 2 3" xfId="36903"/>
    <cellStyle name="Normal 79 2 2_Sheet1" xfId="36904"/>
    <cellStyle name="Normal 79 2 3" xfId="36905"/>
    <cellStyle name="Normal 79 2 4" xfId="36906"/>
    <cellStyle name="Normal 79 2_Sheet1" xfId="36907"/>
    <cellStyle name="Normal 79 3" xfId="36908"/>
    <cellStyle name="Normal 79 4" xfId="36909"/>
    <cellStyle name="Normal 79 5" xfId="36910"/>
    <cellStyle name="Normal 79 6" xfId="36911"/>
    <cellStyle name="Normal 79_Sheet1" xfId="36912"/>
    <cellStyle name="Normal 8" xfId="36913"/>
    <cellStyle name="Normal 8 10" xfId="36914"/>
    <cellStyle name="Normal 8 10 2" xfId="36915"/>
    <cellStyle name="Normal 8 10 3" xfId="36916"/>
    <cellStyle name="Normal 8 10 4" xfId="36917"/>
    <cellStyle name="Normal 8 10 5" xfId="36918"/>
    <cellStyle name="Normal 8 10 6" xfId="36919"/>
    <cellStyle name="Normal 8 10 7" xfId="36920"/>
    <cellStyle name="Normal 8 10_Sheet1" xfId="36921"/>
    <cellStyle name="Normal 8 11" xfId="36922"/>
    <cellStyle name="Normal 8 11 2" xfId="36923"/>
    <cellStyle name="Normal 8 11 3" xfId="36924"/>
    <cellStyle name="Normal 8 11 4" xfId="36925"/>
    <cellStyle name="Normal 8 11 5" xfId="36926"/>
    <cellStyle name="Normal 8 11 6" xfId="36927"/>
    <cellStyle name="Normal 8 11 7" xfId="36928"/>
    <cellStyle name="Normal 8 11_Sheet1" xfId="36929"/>
    <cellStyle name="Normal 8 12" xfId="36930"/>
    <cellStyle name="Normal 8 12 2" xfId="36931"/>
    <cellStyle name="Normal 8 12 3" xfId="36932"/>
    <cellStyle name="Normal 8 12 4" xfId="36933"/>
    <cellStyle name="Normal 8 12 5" xfId="36934"/>
    <cellStyle name="Normal 8 12 6" xfId="36935"/>
    <cellStyle name="Normal 8 12 7" xfId="36936"/>
    <cellStyle name="Normal 8 12_Sheet1" xfId="36937"/>
    <cellStyle name="Normal 8 13" xfId="36938"/>
    <cellStyle name="Normal 8 13 2" xfId="36939"/>
    <cellStyle name="Normal 8 13 3" xfId="36940"/>
    <cellStyle name="Normal 8 13 4" xfId="36941"/>
    <cellStyle name="Normal 8 13 5" xfId="36942"/>
    <cellStyle name="Normal 8 13 6" xfId="36943"/>
    <cellStyle name="Normal 8 13 7" xfId="36944"/>
    <cellStyle name="Normal 8 13_Sheet1" xfId="36945"/>
    <cellStyle name="Normal 8 14" xfId="36946"/>
    <cellStyle name="Normal 8 14 2" xfId="36947"/>
    <cellStyle name="Normal 8 14 3" xfId="36948"/>
    <cellStyle name="Normal 8 14 4" xfId="36949"/>
    <cellStyle name="Normal 8 14 5" xfId="36950"/>
    <cellStyle name="Normal 8 14 6" xfId="36951"/>
    <cellStyle name="Normal 8 14 7" xfId="36952"/>
    <cellStyle name="Normal 8 14_Sheet1" xfId="36953"/>
    <cellStyle name="Normal 8 15" xfId="36954"/>
    <cellStyle name="Normal 8 15 2" xfId="36955"/>
    <cellStyle name="Normal 8 15 3" xfId="36956"/>
    <cellStyle name="Normal 8 15 4" xfId="36957"/>
    <cellStyle name="Normal 8 15 5" xfId="36958"/>
    <cellStyle name="Normal 8 15 6" xfId="36959"/>
    <cellStyle name="Normal 8 15 7" xfId="36960"/>
    <cellStyle name="Normal 8 15_Sheet1" xfId="36961"/>
    <cellStyle name="Normal 8 16" xfId="36962"/>
    <cellStyle name="Normal 8 16 2" xfId="36963"/>
    <cellStyle name="Normal 8 16 3" xfId="36964"/>
    <cellStyle name="Normal 8 16 4" xfId="36965"/>
    <cellStyle name="Normal 8 16 5" xfId="36966"/>
    <cellStyle name="Normal 8 16 6" xfId="36967"/>
    <cellStyle name="Normal 8 16 7" xfId="36968"/>
    <cellStyle name="Normal 8 16_Sheet1" xfId="36969"/>
    <cellStyle name="Normal 8 17" xfId="36970"/>
    <cellStyle name="Normal 8 17 2" xfId="36971"/>
    <cellStyle name="Normal 8 17 3" xfId="36972"/>
    <cellStyle name="Normal 8 17 4" xfId="36973"/>
    <cellStyle name="Normal 8 17 5" xfId="36974"/>
    <cellStyle name="Normal 8 17 6" xfId="36975"/>
    <cellStyle name="Normal 8 17 7" xfId="36976"/>
    <cellStyle name="Normal 8 17_Sheet1" xfId="36977"/>
    <cellStyle name="Normal 8 18" xfId="36978"/>
    <cellStyle name="Normal 8 18 2" xfId="36979"/>
    <cellStyle name="Normal 8 18 3" xfId="36980"/>
    <cellStyle name="Normal 8 18 4" xfId="36981"/>
    <cellStyle name="Normal 8 18 5" xfId="36982"/>
    <cellStyle name="Normal 8 18 6" xfId="36983"/>
    <cellStyle name="Normal 8 18 7" xfId="36984"/>
    <cellStyle name="Normal 8 18_Sheet1" xfId="36985"/>
    <cellStyle name="Normal 8 19" xfId="36986"/>
    <cellStyle name="Normal 8 19 2" xfId="36987"/>
    <cellStyle name="Normal 8 19 3" xfId="36988"/>
    <cellStyle name="Normal 8 19 4" xfId="36989"/>
    <cellStyle name="Normal 8 19 5" xfId="36990"/>
    <cellStyle name="Normal 8 19 6" xfId="36991"/>
    <cellStyle name="Normal 8 19 7" xfId="36992"/>
    <cellStyle name="Normal 8 19_Sheet1" xfId="36993"/>
    <cellStyle name="Normal 8 2" xfId="36994"/>
    <cellStyle name="Normal 8 2 10" xfId="36995"/>
    <cellStyle name="Normal 8 2 10 2" xfId="36996"/>
    <cellStyle name="Normal 8 2 10 3" xfId="36997"/>
    <cellStyle name="Normal 8 2 10 4" xfId="36998"/>
    <cellStyle name="Normal 8 2 10 5" xfId="36999"/>
    <cellStyle name="Normal 8 2 10 6" xfId="37000"/>
    <cellStyle name="Normal 8 2 10 7" xfId="37001"/>
    <cellStyle name="Normal 8 2 10_Sheet1" xfId="37002"/>
    <cellStyle name="Normal 8 2 11" xfId="37003"/>
    <cellStyle name="Normal 8 2 11 2" xfId="37004"/>
    <cellStyle name="Normal 8 2 11 3" xfId="37005"/>
    <cellStyle name="Normal 8 2 11 4" xfId="37006"/>
    <cellStyle name="Normal 8 2 11 5" xfId="37007"/>
    <cellStyle name="Normal 8 2 11 6" xfId="37008"/>
    <cellStyle name="Normal 8 2 11 7" xfId="37009"/>
    <cellStyle name="Normal 8 2 11_Sheet1" xfId="37010"/>
    <cellStyle name="Normal 8 2 12" xfId="37011"/>
    <cellStyle name="Normal 8 2 12 2" xfId="37012"/>
    <cellStyle name="Normal 8 2 12 3" xfId="37013"/>
    <cellStyle name="Normal 8 2 12 4" xfId="37014"/>
    <cellStyle name="Normal 8 2 12 5" xfId="37015"/>
    <cellStyle name="Normal 8 2 12 6" xfId="37016"/>
    <cellStyle name="Normal 8 2 12 7" xfId="37017"/>
    <cellStyle name="Normal 8 2 12_Sheet1" xfId="37018"/>
    <cellStyle name="Normal 8 2 13" xfId="37019"/>
    <cellStyle name="Normal 8 2 13 2" xfId="37020"/>
    <cellStyle name="Normal 8 2 13 3" xfId="37021"/>
    <cellStyle name="Normal 8 2 13 4" xfId="37022"/>
    <cellStyle name="Normal 8 2 13 5" xfId="37023"/>
    <cellStyle name="Normal 8 2 13 6" xfId="37024"/>
    <cellStyle name="Normal 8 2 13 7" xfId="37025"/>
    <cellStyle name="Normal 8 2 13_Sheet1" xfId="37026"/>
    <cellStyle name="Normal 8 2 14" xfId="37027"/>
    <cellStyle name="Normal 8 2 14 2" xfId="37028"/>
    <cellStyle name="Normal 8 2 14 3" xfId="37029"/>
    <cellStyle name="Normal 8 2 14 4" xfId="37030"/>
    <cellStyle name="Normal 8 2 14 5" xfId="37031"/>
    <cellStyle name="Normal 8 2 14 6" xfId="37032"/>
    <cellStyle name="Normal 8 2 14 7" xfId="37033"/>
    <cellStyle name="Normal 8 2 14_Sheet1" xfId="37034"/>
    <cellStyle name="Normal 8 2 15" xfId="37035"/>
    <cellStyle name="Normal 8 2 15 2" xfId="37036"/>
    <cellStyle name="Normal 8 2 15 3" xfId="37037"/>
    <cellStyle name="Normal 8 2 15 4" xfId="37038"/>
    <cellStyle name="Normal 8 2 15 5" xfId="37039"/>
    <cellStyle name="Normal 8 2 15 6" xfId="37040"/>
    <cellStyle name="Normal 8 2 15 7" xfId="37041"/>
    <cellStyle name="Normal 8 2 15_Sheet1" xfId="37042"/>
    <cellStyle name="Normal 8 2 16" xfId="37043"/>
    <cellStyle name="Normal 8 2 16 2" xfId="37044"/>
    <cellStyle name="Normal 8 2 16 3" xfId="37045"/>
    <cellStyle name="Normal 8 2 16 4" xfId="37046"/>
    <cellStyle name="Normal 8 2 16 5" xfId="37047"/>
    <cellStyle name="Normal 8 2 16 6" xfId="37048"/>
    <cellStyle name="Normal 8 2 16 7" xfId="37049"/>
    <cellStyle name="Normal 8 2 16_Sheet1" xfId="37050"/>
    <cellStyle name="Normal 8 2 17" xfId="37051"/>
    <cellStyle name="Normal 8 2 17 2" xfId="37052"/>
    <cellStyle name="Normal 8 2 17 3" xfId="37053"/>
    <cellStyle name="Normal 8 2 17 4" xfId="37054"/>
    <cellStyle name="Normal 8 2 17 5" xfId="37055"/>
    <cellStyle name="Normal 8 2 17 6" xfId="37056"/>
    <cellStyle name="Normal 8 2 17 7" xfId="37057"/>
    <cellStyle name="Normal 8 2 17_Sheet1" xfId="37058"/>
    <cellStyle name="Normal 8 2 18" xfId="37059"/>
    <cellStyle name="Normal 8 2 18 2" xfId="37060"/>
    <cellStyle name="Normal 8 2 18 3" xfId="37061"/>
    <cellStyle name="Normal 8 2 18 4" xfId="37062"/>
    <cellStyle name="Normal 8 2 18 5" xfId="37063"/>
    <cellStyle name="Normal 8 2 18 6" xfId="37064"/>
    <cellStyle name="Normal 8 2 18 7" xfId="37065"/>
    <cellStyle name="Normal 8 2 18_Sheet1" xfId="37066"/>
    <cellStyle name="Normal 8 2 19" xfId="37067"/>
    <cellStyle name="Normal 8 2 19 2" xfId="37068"/>
    <cellStyle name="Normal 8 2 19 3" xfId="37069"/>
    <cellStyle name="Normal 8 2 19 4" xfId="37070"/>
    <cellStyle name="Normal 8 2 19 5" xfId="37071"/>
    <cellStyle name="Normal 8 2 19 6" xfId="37072"/>
    <cellStyle name="Normal 8 2 19 7" xfId="37073"/>
    <cellStyle name="Normal 8 2 19_Sheet1" xfId="37074"/>
    <cellStyle name="Normal 8 2 2" xfId="37075"/>
    <cellStyle name="Normal 8 2 2 10" xfId="37076"/>
    <cellStyle name="Normal 8 2 2 11" xfId="37077"/>
    <cellStyle name="Normal 8 2 2 12" xfId="37078"/>
    <cellStyle name="Normal 8 2 2 13" xfId="37079"/>
    <cellStyle name="Normal 8 2 2 2" xfId="37080"/>
    <cellStyle name="Normal 8 2 2 2 2" xfId="37081"/>
    <cellStyle name="Normal 8 2 2 2 3" xfId="37082"/>
    <cellStyle name="Normal 8 2 2 2 4" xfId="37083"/>
    <cellStyle name="Normal 8 2 2 2 5" xfId="37084"/>
    <cellStyle name="Normal 8 2 2 2 6" xfId="37085"/>
    <cellStyle name="Normal 8 2 2 2 7" xfId="37086"/>
    <cellStyle name="Normal 8 2 2 2_Sheet1" xfId="37087"/>
    <cellStyle name="Normal 8 2 2 3" xfId="37088"/>
    <cellStyle name="Normal 8 2 2 3 2" xfId="37089"/>
    <cellStyle name="Normal 8 2 2 3 3" xfId="37090"/>
    <cellStyle name="Normal 8 2 2 3 4" xfId="37091"/>
    <cellStyle name="Normal 8 2 2 3 5" xfId="37092"/>
    <cellStyle name="Normal 8 2 2 3 6" xfId="37093"/>
    <cellStyle name="Normal 8 2 2 3 7" xfId="37094"/>
    <cellStyle name="Normal 8 2 2 3_Sheet1" xfId="37095"/>
    <cellStyle name="Normal 8 2 2 4" xfId="37096"/>
    <cellStyle name="Normal 8 2 2 4 2" xfId="37097"/>
    <cellStyle name="Normal 8 2 2 4 3" xfId="37098"/>
    <cellStyle name="Normal 8 2 2 4 4" xfId="37099"/>
    <cellStyle name="Normal 8 2 2 4 5" xfId="37100"/>
    <cellStyle name="Normal 8 2 2 4 6" xfId="37101"/>
    <cellStyle name="Normal 8 2 2 4 7" xfId="37102"/>
    <cellStyle name="Normal 8 2 2 4_Sheet1" xfId="37103"/>
    <cellStyle name="Normal 8 2 2 5" xfId="37104"/>
    <cellStyle name="Normal 8 2 2 5 2" xfId="37105"/>
    <cellStyle name="Normal 8 2 2 5 3" xfId="37106"/>
    <cellStyle name="Normal 8 2 2 5 4" xfId="37107"/>
    <cellStyle name="Normal 8 2 2 5 5" xfId="37108"/>
    <cellStyle name="Normal 8 2 2 5 6" xfId="37109"/>
    <cellStyle name="Normal 8 2 2 5 7" xfId="37110"/>
    <cellStyle name="Normal 8 2 2 5_Sheet1" xfId="37111"/>
    <cellStyle name="Normal 8 2 2 6" xfId="37112"/>
    <cellStyle name="Normal 8 2 2 6 2" xfId="37113"/>
    <cellStyle name="Normal 8 2 2 6 3" xfId="37114"/>
    <cellStyle name="Normal 8 2 2 6 4" xfId="37115"/>
    <cellStyle name="Normal 8 2 2 6 5" xfId="37116"/>
    <cellStyle name="Normal 8 2 2 6 6" xfId="37117"/>
    <cellStyle name="Normal 8 2 2 6 7" xfId="37118"/>
    <cellStyle name="Normal 8 2 2 6_Sheet1" xfId="37119"/>
    <cellStyle name="Normal 8 2 2 7" xfId="37120"/>
    <cellStyle name="Normal 8 2 2 7 2" xfId="37121"/>
    <cellStyle name="Normal 8 2 2 7 3" xfId="37122"/>
    <cellStyle name="Normal 8 2 2 7 4" xfId="37123"/>
    <cellStyle name="Normal 8 2 2 7 5" xfId="37124"/>
    <cellStyle name="Normal 8 2 2 7 6" xfId="37125"/>
    <cellStyle name="Normal 8 2 2 7 7" xfId="37126"/>
    <cellStyle name="Normal 8 2 2 7_Sheet1" xfId="37127"/>
    <cellStyle name="Normal 8 2 2 8" xfId="37128"/>
    <cellStyle name="Normal 8 2 2 9" xfId="37129"/>
    <cellStyle name="Normal 8 2 20" xfId="37130"/>
    <cellStyle name="Normal 8 2 20 2" xfId="37131"/>
    <cellStyle name="Normal 8 2 20 3" xfId="37132"/>
    <cellStyle name="Normal 8 2 20 4" xfId="37133"/>
    <cellStyle name="Normal 8 2 20 5" xfId="37134"/>
    <cellStyle name="Normal 8 2 20 6" xfId="37135"/>
    <cellStyle name="Normal 8 2 20 7" xfId="37136"/>
    <cellStyle name="Normal 8 2 20_Sheet1" xfId="37137"/>
    <cellStyle name="Normal 8 2 21" xfId="37138"/>
    <cellStyle name="Normal 8 2 21 2" xfId="37139"/>
    <cellStyle name="Normal 8 2 21 3" xfId="37140"/>
    <cellStyle name="Normal 8 2 21 4" xfId="37141"/>
    <cellStyle name="Normal 8 2 21 5" xfId="37142"/>
    <cellStyle name="Normal 8 2 21 6" xfId="37143"/>
    <cellStyle name="Normal 8 2 21 7" xfId="37144"/>
    <cellStyle name="Normal 8 2 21_Sheet1" xfId="37145"/>
    <cellStyle name="Normal 8 2 22" xfId="37146"/>
    <cellStyle name="Normal 8 2 22 2" xfId="37147"/>
    <cellStyle name="Normal 8 2 22 3" xfId="37148"/>
    <cellStyle name="Normal 8 2 22 4" xfId="37149"/>
    <cellStyle name="Normal 8 2 22 5" xfId="37150"/>
    <cellStyle name="Normal 8 2 22 6" xfId="37151"/>
    <cellStyle name="Normal 8 2 22 7" xfId="37152"/>
    <cellStyle name="Normal 8 2 22_Sheet1" xfId="37153"/>
    <cellStyle name="Normal 8 2 23" xfId="37154"/>
    <cellStyle name="Normal 8 2 23 2" xfId="37155"/>
    <cellStyle name="Normal 8 2 23 3" xfId="37156"/>
    <cellStyle name="Normal 8 2 23 4" xfId="37157"/>
    <cellStyle name="Normal 8 2 23 5" xfId="37158"/>
    <cellStyle name="Normal 8 2 23 6" xfId="37159"/>
    <cellStyle name="Normal 8 2 23 7" xfId="37160"/>
    <cellStyle name="Normal 8 2 23_Sheet1" xfId="37161"/>
    <cellStyle name="Normal 8 2 24" xfId="37162"/>
    <cellStyle name="Normal 8 2 24 2" xfId="37163"/>
    <cellStyle name="Normal 8 2 24 3" xfId="37164"/>
    <cellStyle name="Normal 8 2 24 4" xfId="37165"/>
    <cellStyle name="Normal 8 2 24 5" xfId="37166"/>
    <cellStyle name="Normal 8 2 24 6" xfId="37167"/>
    <cellStyle name="Normal 8 2 24 7" xfId="37168"/>
    <cellStyle name="Normal 8 2 24_Sheet1" xfId="37169"/>
    <cellStyle name="Normal 8 2 25" xfId="37170"/>
    <cellStyle name="Normal 8 2 26" xfId="37171"/>
    <cellStyle name="Normal 8 2 27" xfId="37172"/>
    <cellStyle name="Normal 8 2 28" xfId="37173"/>
    <cellStyle name="Normal 8 2 29" xfId="37174"/>
    <cellStyle name="Normal 8 2 3" xfId="37175"/>
    <cellStyle name="Normal 8 2 3 2" xfId="37176"/>
    <cellStyle name="Normal 8 2 3 3" xfId="37177"/>
    <cellStyle name="Normal 8 2 3 4" xfId="37178"/>
    <cellStyle name="Normal 8 2 3 5" xfId="37179"/>
    <cellStyle name="Normal 8 2 3 6" xfId="37180"/>
    <cellStyle name="Normal 8 2 3 7" xfId="37181"/>
    <cellStyle name="Normal 8 2 3_Sheet1" xfId="37182"/>
    <cellStyle name="Normal 8 2 30" xfId="37183"/>
    <cellStyle name="Normal 8 2 4" xfId="37184"/>
    <cellStyle name="Normal 8 2 4 2" xfId="37185"/>
    <cellStyle name="Normal 8 2 4 3" xfId="37186"/>
    <cellStyle name="Normal 8 2 4 4" xfId="37187"/>
    <cellStyle name="Normal 8 2 4 5" xfId="37188"/>
    <cellStyle name="Normal 8 2 4 6" xfId="37189"/>
    <cellStyle name="Normal 8 2 4 7" xfId="37190"/>
    <cellStyle name="Normal 8 2 4_Sheet1" xfId="37191"/>
    <cellStyle name="Normal 8 2 5" xfId="37192"/>
    <cellStyle name="Normal 8 2 5 2" xfId="37193"/>
    <cellStyle name="Normal 8 2 5 3" xfId="37194"/>
    <cellStyle name="Normal 8 2 5 4" xfId="37195"/>
    <cellStyle name="Normal 8 2 5 5" xfId="37196"/>
    <cellStyle name="Normal 8 2 5 6" xfId="37197"/>
    <cellStyle name="Normal 8 2 5 7" xfId="37198"/>
    <cellStyle name="Normal 8 2 5_Sheet1" xfId="37199"/>
    <cellStyle name="Normal 8 2 6" xfId="37200"/>
    <cellStyle name="Normal 8 2 6 2" xfId="37201"/>
    <cellStyle name="Normal 8 2 6 3" xfId="37202"/>
    <cellStyle name="Normal 8 2 6 4" xfId="37203"/>
    <cellStyle name="Normal 8 2 6 5" xfId="37204"/>
    <cellStyle name="Normal 8 2 6 6" xfId="37205"/>
    <cellStyle name="Normal 8 2 6 7" xfId="37206"/>
    <cellStyle name="Normal 8 2 6_Sheet1" xfId="37207"/>
    <cellStyle name="Normal 8 2 7" xfId="37208"/>
    <cellStyle name="Normal 8 2 7 2" xfId="37209"/>
    <cellStyle name="Normal 8 2 7 3" xfId="37210"/>
    <cellStyle name="Normal 8 2 7 4" xfId="37211"/>
    <cellStyle name="Normal 8 2 7 5" xfId="37212"/>
    <cellStyle name="Normal 8 2 7 6" xfId="37213"/>
    <cellStyle name="Normal 8 2 7 7" xfId="37214"/>
    <cellStyle name="Normal 8 2 7_Sheet1" xfId="37215"/>
    <cellStyle name="Normal 8 2 8" xfId="37216"/>
    <cellStyle name="Normal 8 2 8 2" xfId="37217"/>
    <cellStyle name="Normal 8 2 8 3" xfId="37218"/>
    <cellStyle name="Normal 8 2 8 4" xfId="37219"/>
    <cellStyle name="Normal 8 2 8 5" xfId="37220"/>
    <cellStyle name="Normal 8 2 8 6" xfId="37221"/>
    <cellStyle name="Normal 8 2 8 7" xfId="37222"/>
    <cellStyle name="Normal 8 2 8_Sheet1" xfId="37223"/>
    <cellStyle name="Normal 8 2 9" xfId="37224"/>
    <cellStyle name="Normal 8 2 9 2" xfId="37225"/>
    <cellStyle name="Normal 8 2 9 3" xfId="37226"/>
    <cellStyle name="Normal 8 2 9 4" xfId="37227"/>
    <cellStyle name="Normal 8 2 9 5" xfId="37228"/>
    <cellStyle name="Normal 8 2 9 6" xfId="37229"/>
    <cellStyle name="Normal 8 2 9 7" xfId="37230"/>
    <cellStyle name="Normal 8 2 9_Sheet1" xfId="37231"/>
    <cellStyle name="Normal 8 20" xfId="37232"/>
    <cellStyle name="Normal 8 20 2" xfId="37233"/>
    <cellStyle name="Normal 8 20 3" xfId="37234"/>
    <cellStyle name="Normal 8 20 4" xfId="37235"/>
    <cellStyle name="Normal 8 20 5" xfId="37236"/>
    <cellStyle name="Normal 8 20 6" xfId="37237"/>
    <cellStyle name="Normal 8 20 7" xfId="37238"/>
    <cellStyle name="Normal 8 20_Sheet1" xfId="37239"/>
    <cellStyle name="Normal 8 21" xfId="37240"/>
    <cellStyle name="Normal 8 21 2" xfId="37241"/>
    <cellStyle name="Normal 8 21 3" xfId="37242"/>
    <cellStyle name="Normal 8 21 4" xfId="37243"/>
    <cellStyle name="Normal 8 21 5" xfId="37244"/>
    <cellStyle name="Normal 8 21 6" xfId="37245"/>
    <cellStyle name="Normal 8 21 7" xfId="37246"/>
    <cellStyle name="Normal 8 21_Sheet1" xfId="37247"/>
    <cellStyle name="Normal 8 22" xfId="37248"/>
    <cellStyle name="Normal 8 22 2" xfId="37249"/>
    <cellStyle name="Normal 8 22 3" xfId="37250"/>
    <cellStyle name="Normal 8 22 4" xfId="37251"/>
    <cellStyle name="Normal 8 22 5" xfId="37252"/>
    <cellStyle name="Normal 8 22 6" xfId="37253"/>
    <cellStyle name="Normal 8 22 7" xfId="37254"/>
    <cellStyle name="Normal 8 22_Sheet1" xfId="37255"/>
    <cellStyle name="Normal 8 23" xfId="37256"/>
    <cellStyle name="Normal 8 23 2" xfId="37257"/>
    <cellStyle name="Normal 8 23 3" xfId="37258"/>
    <cellStyle name="Normal 8 23 4" xfId="37259"/>
    <cellStyle name="Normal 8 23 5" xfId="37260"/>
    <cellStyle name="Normal 8 23 6" xfId="37261"/>
    <cellStyle name="Normal 8 23 7" xfId="37262"/>
    <cellStyle name="Normal 8 23_Sheet1" xfId="37263"/>
    <cellStyle name="Normal 8 24" xfId="37264"/>
    <cellStyle name="Normal 8 24 2" xfId="37265"/>
    <cellStyle name="Normal 8 24 3" xfId="37266"/>
    <cellStyle name="Normal 8 24 4" xfId="37267"/>
    <cellStyle name="Normal 8 24 5" xfId="37268"/>
    <cellStyle name="Normal 8 24 6" xfId="37269"/>
    <cellStyle name="Normal 8 24 7" xfId="37270"/>
    <cellStyle name="Normal 8 24_Sheet1" xfId="37271"/>
    <cellStyle name="Normal 8 25" xfId="37272"/>
    <cellStyle name="Normal 8 25 2" xfId="37273"/>
    <cellStyle name="Normal 8 25 3" xfId="37274"/>
    <cellStyle name="Normal 8 25 4" xfId="37275"/>
    <cellStyle name="Normal 8 25 5" xfId="37276"/>
    <cellStyle name="Normal 8 25 6" xfId="37277"/>
    <cellStyle name="Normal 8 25 7" xfId="37278"/>
    <cellStyle name="Normal 8 25_Sheet1" xfId="37279"/>
    <cellStyle name="Normal 8 26" xfId="37280"/>
    <cellStyle name="Normal 8 26 2" xfId="37281"/>
    <cellStyle name="Normal 8 26 3" xfId="37282"/>
    <cellStyle name="Normal 8 26 4" xfId="37283"/>
    <cellStyle name="Normal 8 26 5" xfId="37284"/>
    <cellStyle name="Normal 8 26 6" xfId="37285"/>
    <cellStyle name="Normal 8 26 7" xfId="37286"/>
    <cellStyle name="Normal 8 26_Sheet1" xfId="37287"/>
    <cellStyle name="Normal 8 27" xfId="37288"/>
    <cellStyle name="Normal 8 28" xfId="37289"/>
    <cellStyle name="Normal 8 29" xfId="3"/>
    <cellStyle name="Normal 8 29 2" xfId="37290"/>
    <cellStyle name="Normal 8 29 2 2" xfId="37291"/>
    <cellStyle name="Normal 8 29 2 2 2" xfId="37292"/>
    <cellStyle name="Normal 8 29 2 2 2 2" xfId="37293"/>
    <cellStyle name="Normal 8 29 3" xfId="37294"/>
    <cellStyle name="Normal 8 29 3 2" xfId="37295"/>
    <cellStyle name="Normal 8 29 3 2 2" xfId="37296"/>
    <cellStyle name="Normal 8 29 4" xfId="37297"/>
    <cellStyle name="Normal 8 29 4 2" xfId="37298"/>
    <cellStyle name="Normal 8 29 5" xfId="37299"/>
    <cellStyle name="Normal 8 3" xfId="37300"/>
    <cellStyle name="Normal 8 3 10" xfId="37301"/>
    <cellStyle name="Normal 8 3 10 2" xfId="37302"/>
    <cellStyle name="Normal 8 3 10 3" xfId="37303"/>
    <cellStyle name="Normal 8 3 10 4" xfId="37304"/>
    <cellStyle name="Normal 8 3 10 5" xfId="37305"/>
    <cellStyle name="Normal 8 3 10 6" xfId="37306"/>
    <cellStyle name="Normal 8 3 10 7" xfId="37307"/>
    <cellStyle name="Normal 8 3 10_Sheet1" xfId="37308"/>
    <cellStyle name="Normal 8 3 11" xfId="37309"/>
    <cellStyle name="Normal 8 3 11 2" xfId="37310"/>
    <cellStyle name="Normal 8 3 11 3" xfId="37311"/>
    <cellStyle name="Normal 8 3 11 4" xfId="37312"/>
    <cellStyle name="Normal 8 3 11 5" xfId="37313"/>
    <cellStyle name="Normal 8 3 11 6" xfId="37314"/>
    <cellStyle name="Normal 8 3 11 7" xfId="37315"/>
    <cellStyle name="Normal 8 3 11_Sheet1" xfId="37316"/>
    <cellStyle name="Normal 8 3 12" xfId="37317"/>
    <cellStyle name="Normal 8 3 12 2" xfId="37318"/>
    <cellStyle name="Normal 8 3 12 3" xfId="37319"/>
    <cellStyle name="Normal 8 3 12 4" xfId="37320"/>
    <cellStyle name="Normal 8 3 12 5" xfId="37321"/>
    <cellStyle name="Normal 8 3 12 6" xfId="37322"/>
    <cellStyle name="Normal 8 3 12 7" xfId="37323"/>
    <cellStyle name="Normal 8 3 12_Sheet1" xfId="37324"/>
    <cellStyle name="Normal 8 3 13" xfId="37325"/>
    <cellStyle name="Normal 8 3 13 2" xfId="37326"/>
    <cellStyle name="Normal 8 3 13 3" xfId="37327"/>
    <cellStyle name="Normal 8 3 13 4" xfId="37328"/>
    <cellStyle name="Normal 8 3 13 5" xfId="37329"/>
    <cellStyle name="Normal 8 3 13 6" xfId="37330"/>
    <cellStyle name="Normal 8 3 13 7" xfId="37331"/>
    <cellStyle name="Normal 8 3 13_Sheet1" xfId="37332"/>
    <cellStyle name="Normal 8 3 14" xfId="37333"/>
    <cellStyle name="Normal 8 3 14 2" xfId="37334"/>
    <cellStyle name="Normal 8 3 14 3" xfId="37335"/>
    <cellStyle name="Normal 8 3 14 4" xfId="37336"/>
    <cellStyle name="Normal 8 3 14 5" xfId="37337"/>
    <cellStyle name="Normal 8 3 14 6" xfId="37338"/>
    <cellStyle name="Normal 8 3 14 7" xfId="37339"/>
    <cellStyle name="Normal 8 3 14_Sheet1" xfId="37340"/>
    <cellStyle name="Normal 8 3 15" xfId="37341"/>
    <cellStyle name="Normal 8 3 15 2" xfId="37342"/>
    <cellStyle name="Normal 8 3 15 3" xfId="37343"/>
    <cellStyle name="Normal 8 3 15 4" xfId="37344"/>
    <cellStyle name="Normal 8 3 15 5" xfId="37345"/>
    <cellStyle name="Normal 8 3 15 6" xfId="37346"/>
    <cellStyle name="Normal 8 3 15 7" xfId="37347"/>
    <cellStyle name="Normal 8 3 15_Sheet1" xfId="37348"/>
    <cellStyle name="Normal 8 3 16" xfId="37349"/>
    <cellStyle name="Normal 8 3 16 2" xfId="37350"/>
    <cellStyle name="Normal 8 3 16 3" xfId="37351"/>
    <cellStyle name="Normal 8 3 16 4" xfId="37352"/>
    <cellStyle name="Normal 8 3 16 5" xfId="37353"/>
    <cellStyle name="Normal 8 3 16 6" xfId="37354"/>
    <cellStyle name="Normal 8 3 16 7" xfId="37355"/>
    <cellStyle name="Normal 8 3 16_Sheet1" xfId="37356"/>
    <cellStyle name="Normal 8 3 17" xfId="37357"/>
    <cellStyle name="Normal 8 3 17 2" xfId="37358"/>
    <cellStyle name="Normal 8 3 17 3" xfId="37359"/>
    <cellStyle name="Normal 8 3 17 4" xfId="37360"/>
    <cellStyle name="Normal 8 3 17 5" xfId="37361"/>
    <cellStyle name="Normal 8 3 17 6" xfId="37362"/>
    <cellStyle name="Normal 8 3 17 7" xfId="37363"/>
    <cellStyle name="Normal 8 3 17_Sheet1" xfId="37364"/>
    <cellStyle name="Normal 8 3 18" xfId="37365"/>
    <cellStyle name="Normal 8 3 18 2" xfId="37366"/>
    <cellStyle name="Normal 8 3 18 3" xfId="37367"/>
    <cellStyle name="Normal 8 3 18 4" xfId="37368"/>
    <cellStyle name="Normal 8 3 18 5" xfId="37369"/>
    <cellStyle name="Normal 8 3 18 6" xfId="37370"/>
    <cellStyle name="Normal 8 3 18 7" xfId="37371"/>
    <cellStyle name="Normal 8 3 18_Sheet1" xfId="37372"/>
    <cellStyle name="Normal 8 3 19" xfId="37373"/>
    <cellStyle name="Normal 8 3 19 2" xfId="37374"/>
    <cellStyle name="Normal 8 3 19 3" xfId="37375"/>
    <cellStyle name="Normal 8 3 19 4" xfId="37376"/>
    <cellStyle name="Normal 8 3 19 5" xfId="37377"/>
    <cellStyle name="Normal 8 3 19 6" xfId="37378"/>
    <cellStyle name="Normal 8 3 19 7" xfId="37379"/>
    <cellStyle name="Normal 8 3 19_Sheet1" xfId="37380"/>
    <cellStyle name="Normal 8 3 2" xfId="37381"/>
    <cellStyle name="Normal 8 3 2 10" xfId="37382"/>
    <cellStyle name="Normal 8 3 2 11" xfId="37383"/>
    <cellStyle name="Normal 8 3 2 12" xfId="37384"/>
    <cellStyle name="Normal 8 3 2 13" xfId="37385"/>
    <cellStyle name="Normal 8 3 2 2" xfId="37386"/>
    <cellStyle name="Normal 8 3 2 2 2" xfId="37387"/>
    <cellStyle name="Normal 8 3 2 2 3" xfId="37388"/>
    <cellStyle name="Normal 8 3 2 2 4" xfId="37389"/>
    <cellStyle name="Normal 8 3 2 2 5" xfId="37390"/>
    <cellStyle name="Normal 8 3 2 2 6" xfId="37391"/>
    <cellStyle name="Normal 8 3 2 2 7" xfId="37392"/>
    <cellStyle name="Normal 8 3 2 2_Sheet1" xfId="37393"/>
    <cellStyle name="Normal 8 3 2 3" xfId="37394"/>
    <cellStyle name="Normal 8 3 2 3 2" xfId="37395"/>
    <cellStyle name="Normal 8 3 2 3 3" xfId="37396"/>
    <cellStyle name="Normal 8 3 2 3 4" xfId="37397"/>
    <cellStyle name="Normal 8 3 2 3 5" xfId="37398"/>
    <cellStyle name="Normal 8 3 2 3 6" xfId="37399"/>
    <cellStyle name="Normal 8 3 2 3 7" xfId="37400"/>
    <cellStyle name="Normal 8 3 2 3_Sheet1" xfId="37401"/>
    <cellStyle name="Normal 8 3 2 4" xfId="37402"/>
    <cellStyle name="Normal 8 3 2 4 2" xfId="37403"/>
    <cellStyle name="Normal 8 3 2 4 3" xfId="37404"/>
    <cellStyle name="Normal 8 3 2 4 4" xfId="37405"/>
    <cellStyle name="Normal 8 3 2 4 5" xfId="37406"/>
    <cellStyle name="Normal 8 3 2 4 6" xfId="37407"/>
    <cellStyle name="Normal 8 3 2 4 7" xfId="37408"/>
    <cellStyle name="Normal 8 3 2 4_Sheet1" xfId="37409"/>
    <cellStyle name="Normal 8 3 2 5" xfId="37410"/>
    <cellStyle name="Normal 8 3 2 5 2" xfId="37411"/>
    <cellStyle name="Normal 8 3 2 5 3" xfId="37412"/>
    <cellStyle name="Normal 8 3 2 5 4" xfId="37413"/>
    <cellStyle name="Normal 8 3 2 5 5" xfId="37414"/>
    <cellStyle name="Normal 8 3 2 5 6" xfId="37415"/>
    <cellStyle name="Normal 8 3 2 5 7" xfId="37416"/>
    <cellStyle name="Normal 8 3 2 5_Sheet1" xfId="37417"/>
    <cellStyle name="Normal 8 3 2 6" xfId="37418"/>
    <cellStyle name="Normal 8 3 2 6 2" xfId="37419"/>
    <cellStyle name="Normal 8 3 2 6 3" xfId="37420"/>
    <cellStyle name="Normal 8 3 2 6 4" xfId="37421"/>
    <cellStyle name="Normal 8 3 2 6 5" xfId="37422"/>
    <cellStyle name="Normal 8 3 2 6 6" xfId="37423"/>
    <cellStyle name="Normal 8 3 2 6 7" xfId="37424"/>
    <cellStyle name="Normal 8 3 2 6_Sheet1" xfId="37425"/>
    <cellStyle name="Normal 8 3 2 7" xfId="37426"/>
    <cellStyle name="Normal 8 3 2 7 2" xfId="37427"/>
    <cellStyle name="Normal 8 3 2 7 3" xfId="37428"/>
    <cellStyle name="Normal 8 3 2 7 4" xfId="37429"/>
    <cellStyle name="Normal 8 3 2 7 5" xfId="37430"/>
    <cellStyle name="Normal 8 3 2 7 6" xfId="37431"/>
    <cellStyle name="Normal 8 3 2 7 7" xfId="37432"/>
    <cellStyle name="Normal 8 3 2 7_Sheet1" xfId="37433"/>
    <cellStyle name="Normal 8 3 2 8" xfId="37434"/>
    <cellStyle name="Normal 8 3 2 9" xfId="37435"/>
    <cellStyle name="Normal 8 3 2_Sheet1" xfId="37436"/>
    <cellStyle name="Normal 8 3 20" xfId="37437"/>
    <cellStyle name="Normal 8 3 20 2" xfId="37438"/>
    <cellStyle name="Normal 8 3 20 3" xfId="37439"/>
    <cellStyle name="Normal 8 3 20 4" xfId="37440"/>
    <cellStyle name="Normal 8 3 20 5" xfId="37441"/>
    <cellStyle name="Normal 8 3 20 6" xfId="37442"/>
    <cellStyle name="Normal 8 3 20 7" xfId="37443"/>
    <cellStyle name="Normal 8 3 20_Sheet1" xfId="37444"/>
    <cellStyle name="Normal 8 3 21" xfId="37445"/>
    <cellStyle name="Normal 8 3 21 2" xfId="37446"/>
    <cellStyle name="Normal 8 3 21 3" xfId="37447"/>
    <cellStyle name="Normal 8 3 21 4" xfId="37448"/>
    <cellStyle name="Normal 8 3 21 5" xfId="37449"/>
    <cellStyle name="Normal 8 3 21 6" xfId="37450"/>
    <cellStyle name="Normal 8 3 21 7" xfId="37451"/>
    <cellStyle name="Normal 8 3 21_Sheet1" xfId="37452"/>
    <cellStyle name="Normal 8 3 22" xfId="37453"/>
    <cellStyle name="Normal 8 3 22 2" xfId="37454"/>
    <cellStyle name="Normal 8 3 22 3" xfId="37455"/>
    <cellStyle name="Normal 8 3 22 4" xfId="37456"/>
    <cellStyle name="Normal 8 3 22 5" xfId="37457"/>
    <cellStyle name="Normal 8 3 22 6" xfId="37458"/>
    <cellStyle name="Normal 8 3 22 7" xfId="37459"/>
    <cellStyle name="Normal 8 3 22_Sheet1" xfId="37460"/>
    <cellStyle name="Normal 8 3 23" xfId="37461"/>
    <cellStyle name="Normal 8 3 23 2" xfId="37462"/>
    <cellStyle name="Normal 8 3 23 3" xfId="37463"/>
    <cellStyle name="Normal 8 3 23 4" xfId="37464"/>
    <cellStyle name="Normal 8 3 23 5" xfId="37465"/>
    <cellStyle name="Normal 8 3 23 6" xfId="37466"/>
    <cellStyle name="Normal 8 3 23 7" xfId="37467"/>
    <cellStyle name="Normal 8 3 23_Sheet1" xfId="37468"/>
    <cellStyle name="Normal 8 3 24" xfId="37469"/>
    <cellStyle name="Normal 8 3 24 2" xfId="37470"/>
    <cellStyle name="Normal 8 3 24 3" xfId="37471"/>
    <cellStyle name="Normal 8 3 24 4" xfId="37472"/>
    <cellStyle name="Normal 8 3 24 5" xfId="37473"/>
    <cellStyle name="Normal 8 3 24 6" xfId="37474"/>
    <cellStyle name="Normal 8 3 24 7" xfId="37475"/>
    <cellStyle name="Normal 8 3 24_Sheet1" xfId="37476"/>
    <cellStyle name="Normal 8 3 25" xfId="37477"/>
    <cellStyle name="Normal 8 3 26" xfId="37478"/>
    <cellStyle name="Normal 8 3 27" xfId="37479"/>
    <cellStyle name="Normal 8 3 28" xfId="37480"/>
    <cellStyle name="Normal 8 3 29" xfId="37481"/>
    <cellStyle name="Normal 8 3 3" xfId="37482"/>
    <cellStyle name="Normal 8 3 3 2" xfId="37483"/>
    <cellStyle name="Normal 8 3 3 3" xfId="37484"/>
    <cellStyle name="Normal 8 3 3 4" xfId="37485"/>
    <cellStyle name="Normal 8 3 3 5" xfId="37486"/>
    <cellStyle name="Normal 8 3 3 6" xfId="37487"/>
    <cellStyle name="Normal 8 3 3 7" xfId="37488"/>
    <cellStyle name="Normal 8 3 3_Sheet1" xfId="37489"/>
    <cellStyle name="Normal 8 3 30" xfId="37490"/>
    <cellStyle name="Normal 8 3 4" xfId="37491"/>
    <cellStyle name="Normal 8 3 4 2" xfId="37492"/>
    <cellStyle name="Normal 8 3 4 3" xfId="37493"/>
    <cellStyle name="Normal 8 3 4 4" xfId="37494"/>
    <cellStyle name="Normal 8 3 4 5" xfId="37495"/>
    <cellStyle name="Normal 8 3 4 6" xfId="37496"/>
    <cellStyle name="Normal 8 3 4 7" xfId="37497"/>
    <cellStyle name="Normal 8 3 4_Sheet1" xfId="37498"/>
    <cellStyle name="Normal 8 3 5" xfId="37499"/>
    <cellStyle name="Normal 8 3 5 2" xfId="37500"/>
    <cellStyle name="Normal 8 3 5 3" xfId="37501"/>
    <cellStyle name="Normal 8 3 5 4" xfId="37502"/>
    <cellStyle name="Normal 8 3 5 5" xfId="37503"/>
    <cellStyle name="Normal 8 3 5 6" xfId="37504"/>
    <cellStyle name="Normal 8 3 5 7" xfId="37505"/>
    <cellStyle name="Normal 8 3 5_Sheet1" xfId="37506"/>
    <cellStyle name="Normal 8 3 6" xfId="37507"/>
    <cellStyle name="Normal 8 3 6 2" xfId="37508"/>
    <cellStyle name="Normal 8 3 6 3" xfId="37509"/>
    <cellStyle name="Normal 8 3 6 4" xfId="37510"/>
    <cellStyle name="Normal 8 3 6 5" xfId="37511"/>
    <cellStyle name="Normal 8 3 6 6" xfId="37512"/>
    <cellStyle name="Normal 8 3 6 7" xfId="37513"/>
    <cellStyle name="Normal 8 3 6_Sheet1" xfId="37514"/>
    <cellStyle name="Normal 8 3 7" xfId="37515"/>
    <cellStyle name="Normal 8 3 7 2" xfId="37516"/>
    <cellStyle name="Normal 8 3 7 3" xfId="37517"/>
    <cellStyle name="Normal 8 3 7 4" xfId="37518"/>
    <cellStyle name="Normal 8 3 7 5" xfId="37519"/>
    <cellStyle name="Normal 8 3 7 6" xfId="37520"/>
    <cellStyle name="Normal 8 3 7 7" xfId="37521"/>
    <cellStyle name="Normal 8 3 7_Sheet1" xfId="37522"/>
    <cellStyle name="Normal 8 3 8" xfId="37523"/>
    <cellStyle name="Normal 8 3 8 2" xfId="37524"/>
    <cellStyle name="Normal 8 3 8 3" xfId="37525"/>
    <cellStyle name="Normal 8 3 8 4" xfId="37526"/>
    <cellStyle name="Normal 8 3 8 5" xfId="37527"/>
    <cellStyle name="Normal 8 3 8 6" xfId="37528"/>
    <cellStyle name="Normal 8 3 8 7" xfId="37529"/>
    <cellStyle name="Normal 8 3 8_Sheet1" xfId="37530"/>
    <cellStyle name="Normal 8 3 9" xfId="37531"/>
    <cellStyle name="Normal 8 3 9 2" xfId="37532"/>
    <cellStyle name="Normal 8 3 9 3" xfId="37533"/>
    <cellStyle name="Normal 8 3 9 4" xfId="37534"/>
    <cellStyle name="Normal 8 3 9 5" xfId="37535"/>
    <cellStyle name="Normal 8 3 9 6" xfId="37536"/>
    <cellStyle name="Normal 8 3 9 7" xfId="37537"/>
    <cellStyle name="Normal 8 3 9_Sheet1" xfId="37538"/>
    <cellStyle name="Normal 8 30" xfId="37539"/>
    <cellStyle name="Normal 8 30 2" xfId="37540"/>
    <cellStyle name="Normal 8 4" xfId="37541"/>
    <cellStyle name="Normal 8 4 10" xfId="37542"/>
    <cellStyle name="Normal 8 4 11" xfId="37543"/>
    <cellStyle name="Normal 8 4 12" xfId="37544"/>
    <cellStyle name="Normal 8 4 13" xfId="37545"/>
    <cellStyle name="Normal 8 4 2" xfId="37546"/>
    <cellStyle name="Normal 8 4 2 2" xfId="37547"/>
    <cellStyle name="Normal 8 4 2 3" xfId="37548"/>
    <cellStyle name="Normal 8 4 2 4" xfId="37549"/>
    <cellStyle name="Normal 8 4 2 5" xfId="37550"/>
    <cellStyle name="Normal 8 4 2 6" xfId="37551"/>
    <cellStyle name="Normal 8 4 2 7" xfId="37552"/>
    <cellStyle name="Normal 8 4 2_Sheet1" xfId="37553"/>
    <cellStyle name="Normal 8 4 3" xfId="37554"/>
    <cellStyle name="Normal 8 4 3 2" xfId="37555"/>
    <cellStyle name="Normal 8 4 3 3" xfId="37556"/>
    <cellStyle name="Normal 8 4 3 4" xfId="37557"/>
    <cellStyle name="Normal 8 4 3 5" xfId="37558"/>
    <cellStyle name="Normal 8 4 3 6" xfId="37559"/>
    <cellStyle name="Normal 8 4 3 7" xfId="37560"/>
    <cellStyle name="Normal 8 4 3_Sheet1" xfId="37561"/>
    <cellStyle name="Normal 8 4 4" xfId="37562"/>
    <cellStyle name="Normal 8 4 4 2" xfId="37563"/>
    <cellStyle name="Normal 8 4 4 3" xfId="37564"/>
    <cellStyle name="Normal 8 4 4 4" xfId="37565"/>
    <cellStyle name="Normal 8 4 4 5" xfId="37566"/>
    <cellStyle name="Normal 8 4 4 6" xfId="37567"/>
    <cellStyle name="Normal 8 4 4 7" xfId="37568"/>
    <cellStyle name="Normal 8 4 4_Sheet1" xfId="37569"/>
    <cellStyle name="Normal 8 4 5" xfId="37570"/>
    <cellStyle name="Normal 8 4 5 2" xfId="37571"/>
    <cellStyle name="Normal 8 4 5 3" xfId="37572"/>
    <cellStyle name="Normal 8 4 5 4" xfId="37573"/>
    <cellStyle name="Normal 8 4 5 5" xfId="37574"/>
    <cellStyle name="Normal 8 4 5 6" xfId="37575"/>
    <cellStyle name="Normal 8 4 5 7" xfId="37576"/>
    <cellStyle name="Normal 8 4 5_Sheet1" xfId="37577"/>
    <cellStyle name="Normal 8 4 6" xfId="37578"/>
    <cellStyle name="Normal 8 4 6 2" xfId="37579"/>
    <cellStyle name="Normal 8 4 6 3" xfId="37580"/>
    <cellStyle name="Normal 8 4 6 4" xfId="37581"/>
    <cellStyle name="Normal 8 4 6 5" xfId="37582"/>
    <cellStyle name="Normal 8 4 6 6" xfId="37583"/>
    <cellStyle name="Normal 8 4 6 7" xfId="37584"/>
    <cellStyle name="Normal 8 4 6_Sheet1" xfId="37585"/>
    <cellStyle name="Normal 8 4 7" xfId="37586"/>
    <cellStyle name="Normal 8 4 7 2" xfId="37587"/>
    <cellStyle name="Normal 8 4 7 3" xfId="37588"/>
    <cellStyle name="Normal 8 4 7 4" xfId="37589"/>
    <cellStyle name="Normal 8 4 7 5" xfId="37590"/>
    <cellStyle name="Normal 8 4 7 6" xfId="37591"/>
    <cellStyle name="Normal 8 4 7 7" xfId="37592"/>
    <cellStyle name="Normal 8 4 7_Sheet1" xfId="37593"/>
    <cellStyle name="Normal 8 4 8" xfId="37594"/>
    <cellStyle name="Normal 8 4 9" xfId="37595"/>
    <cellStyle name="Normal 8 4_Sheet1" xfId="37596"/>
    <cellStyle name="Normal 8 5" xfId="37597"/>
    <cellStyle name="Normal 8 5 10" xfId="37598"/>
    <cellStyle name="Normal 8 5 11" xfId="37599"/>
    <cellStyle name="Normal 8 5 12" xfId="37600"/>
    <cellStyle name="Normal 8 5 13" xfId="37601"/>
    <cellStyle name="Normal 8 5 2" xfId="37602"/>
    <cellStyle name="Normal 8 5 2 2" xfId="37603"/>
    <cellStyle name="Normal 8 5 2 3" xfId="37604"/>
    <cellStyle name="Normal 8 5 2 4" xfId="37605"/>
    <cellStyle name="Normal 8 5 2 5" xfId="37606"/>
    <cellStyle name="Normal 8 5 2 6" xfId="37607"/>
    <cellStyle name="Normal 8 5 2 7" xfId="37608"/>
    <cellStyle name="Normal 8 5 2_Sheet1" xfId="37609"/>
    <cellStyle name="Normal 8 5 3" xfId="37610"/>
    <cellStyle name="Normal 8 5 3 2" xfId="37611"/>
    <cellStyle name="Normal 8 5 3 3" xfId="37612"/>
    <cellStyle name="Normal 8 5 3 4" xfId="37613"/>
    <cellStyle name="Normal 8 5 3 5" xfId="37614"/>
    <cellStyle name="Normal 8 5 3 6" xfId="37615"/>
    <cellStyle name="Normal 8 5 3 7" xfId="37616"/>
    <cellStyle name="Normal 8 5 3_Sheet1" xfId="37617"/>
    <cellStyle name="Normal 8 5 4" xfId="37618"/>
    <cellStyle name="Normal 8 5 4 2" xfId="37619"/>
    <cellStyle name="Normal 8 5 4 3" xfId="37620"/>
    <cellStyle name="Normal 8 5 4 4" xfId="37621"/>
    <cellStyle name="Normal 8 5 4 5" xfId="37622"/>
    <cellStyle name="Normal 8 5 4 6" xfId="37623"/>
    <cellStyle name="Normal 8 5 4 7" xfId="37624"/>
    <cellStyle name="Normal 8 5 4_Sheet1" xfId="37625"/>
    <cellStyle name="Normal 8 5 5" xfId="37626"/>
    <cellStyle name="Normal 8 5 5 2" xfId="37627"/>
    <cellStyle name="Normal 8 5 5 3" xfId="37628"/>
    <cellStyle name="Normal 8 5 5 4" xfId="37629"/>
    <cellStyle name="Normal 8 5 5 5" xfId="37630"/>
    <cellStyle name="Normal 8 5 5 6" xfId="37631"/>
    <cellStyle name="Normal 8 5 5 7" xfId="37632"/>
    <cellStyle name="Normal 8 5 5_Sheet1" xfId="37633"/>
    <cellStyle name="Normal 8 5 6" xfId="37634"/>
    <cellStyle name="Normal 8 5 6 2" xfId="37635"/>
    <cellStyle name="Normal 8 5 6 3" xfId="37636"/>
    <cellStyle name="Normal 8 5 6 4" xfId="37637"/>
    <cellStyle name="Normal 8 5 6 5" xfId="37638"/>
    <cellStyle name="Normal 8 5 6 6" xfId="37639"/>
    <cellStyle name="Normal 8 5 6 7" xfId="37640"/>
    <cellStyle name="Normal 8 5 6_Sheet1" xfId="37641"/>
    <cellStyle name="Normal 8 5 7" xfId="37642"/>
    <cellStyle name="Normal 8 5 7 2" xfId="37643"/>
    <cellStyle name="Normal 8 5 7 3" xfId="37644"/>
    <cellStyle name="Normal 8 5 7 4" xfId="37645"/>
    <cellStyle name="Normal 8 5 7 5" xfId="37646"/>
    <cellStyle name="Normal 8 5 7 6" xfId="37647"/>
    <cellStyle name="Normal 8 5 7 7" xfId="37648"/>
    <cellStyle name="Normal 8 5 7_Sheet1" xfId="37649"/>
    <cellStyle name="Normal 8 5 8" xfId="37650"/>
    <cellStyle name="Normal 8 5 9" xfId="37651"/>
    <cellStyle name="Normal 8 5_Sheet1" xfId="37652"/>
    <cellStyle name="Normal 8 6" xfId="37653"/>
    <cellStyle name="Normal 8 6 10" xfId="37654"/>
    <cellStyle name="Normal 8 6 11" xfId="37655"/>
    <cellStyle name="Normal 8 6 12" xfId="37656"/>
    <cellStyle name="Normal 8 6 13" xfId="37657"/>
    <cellStyle name="Normal 8 6 2" xfId="37658"/>
    <cellStyle name="Normal 8 6 2 2" xfId="37659"/>
    <cellStyle name="Normal 8 6 2 3" xfId="37660"/>
    <cellStyle name="Normal 8 6 2 4" xfId="37661"/>
    <cellStyle name="Normal 8 6 2 5" xfId="37662"/>
    <cellStyle name="Normal 8 6 2 6" xfId="37663"/>
    <cellStyle name="Normal 8 6 2 7" xfId="37664"/>
    <cellStyle name="Normal 8 6 2_Sheet1" xfId="37665"/>
    <cellStyle name="Normal 8 6 3" xfId="37666"/>
    <cellStyle name="Normal 8 6 3 2" xfId="37667"/>
    <cellStyle name="Normal 8 6 3 3" xfId="37668"/>
    <cellStyle name="Normal 8 6 3 4" xfId="37669"/>
    <cellStyle name="Normal 8 6 3 5" xfId="37670"/>
    <cellStyle name="Normal 8 6 3 6" xfId="37671"/>
    <cellStyle name="Normal 8 6 3 7" xfId="37672"/>
    <cellStyle name="Normal 8 6 3_Sheet1" xfId="37673"/>
    <cellStyle name="Normal 8 6 4" xfId="37674"/>
    <cellStyle name="Normal 8 6 4 2" xfId="37675"/>
    <cellStyle name="Normal 8 6 4 3" xfId="37676"/>
    <cellStyle name="Normal 8 6 4 4" xfId="37677"/>
    <cellStyle name="Normal 8 6 4 5" xfId="37678"/>
    <cellStyle name="Normal 8 6 4 6" xfId="37679"/>
    <cellStyle name="Normal 8 6 4 7" xfId="37680"/>
    <cellStyle name="Normal 8 6 4_Sheet1" xfId="37681"/>
    <cellStyle name="Normal 8 6 5" xfId="37682"/>
    <cellStyle name="Normal 8 6 5 2" xfId="37683"/>
    <cellStyle name="Normal 8 6 5 3" xfId="37684"/>
    <cellStyle name="Normal 8 6 5 4" xfId="37685"/>
    <cellStyle name="Normal 8 6 5 5" xfId="37686"/>
    <cellStyle name="Normal 8 6 5 6" xfId="37687"/>
    <cellStyle name="Normal 8 6 5 7" xfId="37688"/>
    <cellStyle name="Normal 8 6 5_Sheet1" xfId="37689"/>
    <cellStyle name="Normal 8 6 6" xfId="37690"/>
    <cellStyle name="Normal 8 6 6 2" xfId="37691"/>
    <cellStyle name="Normal 8 6 6 3" xfId="37692"/>
    <cellStyle name="Normal 8 6 6 4" xfId="37693"/>
    <cellStyle name="Normal 8 6 6 5" xfId="37694"/>
    <cellStyle name="Normal 8 6 6 6" xfId="37695"/>
    <cellStyle name="Normal 8 6 6 7" xfId="37696"/>
    <cellStyle name="Normal 8 6 6_Sheet1" xfId="37697"/>
    <cellStyle name="Normal 8 6 7" xfId="37698"/>
    <cellStyle name="Normal 8 6 7 2" xfId="37699"/>
    <cellStyle name="Normal 8 6 7 3" xfId="37700"/>
    <cellStyle name="Normal 8 6 7 4" xfId="37701"/>
    <cellStyle name="Normal 8 6 7 5" xfId="37702"/>
    <cellStyle name="Normal 8 6 7 6" xfId="37703"/>
    <cellStyle name="Normal 8 6 7 7" xfId="37704"/>
    <cellStyle name="Normal 8 6 7_Sheet1" xfId="37705"/>
    <cellStyle name="Normal 8 6 8" xfId="37706"/>
    <cellStyle name="Normal 8 6 9" xfId="37707"/>
    <cellStyle name="Normal 8 6_Sheet1" xfId="37708"/>
    <cellStyle name="Normal 8 7" xfId="37709"/>
    <cellStyle name="Normal 8 7 2" xfId="37710"/>
    <cellStyle name="Normal 8 7 3" xfId="37711"/>
    <cellStyle name="Normal 8 7 4" xfId="37712"/>
    <cellStyle name="Normal 8 7 5" xfId="37713"/>
    <cellStyle name="Normal 8 7 6" xfId="37714"/>
    <cellStyle name="Normal 8 7 7" xfId="37715"/>
    <cellStyle name="Normal 8 7_Sheet1" xfId="37716"/>
    <cellStyle name="Normal 8 8" xfId="37717"/>
    <cellStyle name="Normal 8 8 2" xfId="37718"/>
    <cellStyle name="Normal 8 8 3" xfId="37719"/>
    <cellStyle name="Normal 8 8 4" xfId="37720"/>
    <cellStyle name="Normal 8 8 5" xfId="37721"/>
    <cellStyle name="Normal 8 8 6" xfId="37722"/>
    <cellStyle name="Normal 8 8 7" xfId="37723"/>
    <cellStyle name="Normal 8 8_Sheet1" xfId="37724"/>
    <cellStyle name="Normal 8 9" xfId="37725"/>
    <cellStyle name="Normal 8 9 2" xfId="37726"/>
    <cellStyle name="Normal 8 9 3" xfId="37727"/>
    <cellStyle name="Normal 8 9 4" xfId="37728"/>
    <cellStyle name="Normal 8 9 5" xfId="37729"/>
    <cellStyle name="Normal 8 9 6" xfId="37730"/>
    <cellStyle name="Normal 8 9 7" xfId="37731"/>
    <cellStyle name="Normal 8 9_Sheet1" xfId="37732"/>
    <cellStyle name="Normal 8_BQ Novotel" xfId="37733"/>
    <cellStyle name="Normal 80" xfId="37734"/>
    <cellStyle name="Normal 81" xfId="37735"/>
    <cellStyle name="Normal 82" xfId="37736"/>
    <cellStyle name="Normal 83" xfId="37737"/>
    <cellStyle name="Normal 84" xfId="37738"/>
    <cellStyle name="Normal 85" xfId="37739"/>
    <cellStyle name="Normal 85 2" xfId="37740"/>
    <cellStyle name="Normal 85 3" xfId="37741"/>
    <cellStyle name="Normal 85 4" xfId="37742"/>
    <cellStyle name="Normal 85 5" xfId="37743"/>
    <cellStyle name="Normal 85 6" xfId="37744"/>
    <cellStyle name="Normal 85_Sheet1" xfId="37745"/>
    <cellStyle name="Normal 86" xfId="37746"/>
    <cellStyle name="Normal 87" xfId="37747"/>
    <cellStyle name="Normal 88" xfId="37748"/>
    <cellStyle name="Normal 89" xfId="37749"/>
    <cellStyle name="Normal 9" xfId="9"/>
    <cellStyle name="Normal 9 10" xfId="37750"/>
    <cellStyle name="Normal 9 10 2" xfId="37751"/>
    <cellStyle name="Normal 9 10 2 2" xfId="37752"/>
    <cellStyle name="Normal 9 10 2 2 2" xfId="37753"/>
    <cellStyle name="Normal 9 10 2 2 2 2" xfId="37754"/>
    <cellStyle name="Normal 9 10 2 2 2 2 2" xfId="37755"/>
    <cellStyle name="Normal 9 10 2 2 2 2 2 2" xfId="37756"/>
    <cellStyle name="Normal 9 10 2 2 2 2 2_Sheet1" xfId="37757"/>
    <cellStyle name="Normal 9 10 2 2 2 2_Sheet1" xfId="37758"/>
    <cellStyle name="Normal 9 10 2 2 2 3" xfId="37759"/>
    <cellStyle name="Normal 9 10 2 2 2 3 2" xfId="37760"/>
    <cellStyle name="Normal 9 10 2 2 2 3_Sheet1" xfId="37761"/>
    <cellStyle name="Normal 9 10 2 2 2_Sheet1" xfId="37762"/>
    <cellStyle name="Normal 9 10 2 2_Sheet1" xfId="37763"/>
    <cellStyle name="Normal 9 10 2_Sheet1" xfId="37764"/>
    <cellStyle name="Normal 9 10 3" xfId="37765"/>
    <cellStyle name="Normal 9 10 4" xfId="37766"/>
    <cellStyle name="Normal 9 10 5" xfId="37767"/>
    <cellStyle name="Normal 9 10 6" xfId="37768"/>
    <cellStyle name="Normal 9 10 7" xfId="37769"/>
    <cellStyle name="Normal 9 10_Sheet1" xfId="37770"/>
    <cellStyle name="Normal 9 11" xfId="37771"/>
    <cellStyle name="Normal 9 11 2" xfId="37772"/>
    <cellStyle name="Normal 9 11 3" xfId="37773"/>
    <cellStyle name="Normal 9 11 4" xfId="37774"/>
    <cellStyle name="Normal 9 11 5" xfId="37775"/>
    <cellStyle name="Normal 9 11 6" xfId="37776"/>
    <cellStyle name="Normal 9 11 7" xfId="37777"/>
    <cellStyle name="Normal 9 11_Sheet1" xfId="37778"/>
    <cellStyle name="Normal 9 12" xfId="37779"/>
    <cellStyle name="Normal 9 12 2" xfId="37780"/>
    <cellStyle name="Normal 9 12 3" xfId="37781"/>
    <cellStyle name="Normal 9 12 4" xfId="37782"/>
    <cellStyle name="Normal 9 12 5" xfId="37783"/>
    <cellStyle name="Normal 9 12 6" xfId="37784"/>
    <cellStyle name="Normal 9 12 7" xfId="37785"/>
    <cellStyle name="Normal 9 12_Sheet1" xfId="37786"/>
    <cellStyle name="Normal 9 13" xfId="37787"/>
    <cellStyle name="Normal 9 13 2" xfId="37788"/>
    <cellStyle name="Normal 9 13 3" xfId="37789"/>
    <cellStyle name="Normal 9 13 4" xfId="37790"/>
    <cellStyle name="Normal 9 13 5" xfId="37791"/>
    <cellStyle name="Normal 9 13 6" xfId="37792"/>
    <cellStyle name="Normal 9 13 7" xfId="37793"/>
    <cellStyle name="Normal 9 13_Sheet1" xfId="37794"/>
    <cellStyle name="Normal 9 14" xfId="37795"/>
    <cellStyle name="Normal 9 14 2" xfId="37796"/>
    <cellStyle name="Normal 9 14 3" xfId="37797"/>
    <cellStyle name="Normal 9 14 4" xfId="37798"/>
    <cellStyle name="Normal 9 14 5" xfId="37799"/>
    <cellStyle name="Normal 9 14 6" xfId="37800"/>
    <cellStyle name="Normal 9 14 7" xfId="37801"/>
    <cellStyle name="Normal 9 14_Sheet1" xfId="37802"/>
    <cellStyle name="Normal 9 15" xfId="37803"/>
    <cellStyle name="Normal 9 15 2" xfId="37804"/>
    <cellStyle name="Normal 9 15 3" xfId="37805"/>
    <cellStyle name="Normal 9 15 4" xfId="37806"/>
    <cellStyle name="Normal 9 15 5" xfId="37807"/>
    <cellStyle name="Normal 9 15 6" xfId="37808"/>
    <cellStyle name="Normal 9 15 7" xfId="37809"/>
    <cellStyle name="Normal 9 15_Sheet1" xfId="37810"/>
    <cellStyle name="Normal 9 16" xfId="37811"/>
    <cellStyle name="Normal 9 16 2" xfId="37812"/>
    <cellStyle name="Normal 9 16 3" xfId="37813"/>
    <cellStyle name="Normal 9 16 4" xfId="37814"/>
    <cellStyle name="Normal 9 16 5" xfId="37815"/>
    <cellStyle name="Normal 9 16 6" xfId="37816"/>
    <cellStyle name="Normal 9 16 7" xfId="37817"/>
    <cellStyle name="Normal 9 16_Sheet1" xfId="37818"/>
    <cellStyle name="Normal 9 17" xfId="37819"/>
    <cellStyle name="Normal 9 17 2" xfId="37820"/>
    <cellStyle name="Normal 9 17 3" xfId="37821"/>
    <cellStyle name="Normal 9 17 4" xfId="37822"/>
    <cellStyle name="Normal 9 17 5" xfId="37823"/>
    <cellStyle name="Normal 9 17 6" xfId="37824"/>
    <cellStyle name="Normal 9 17 7" xfId="37825"/>
    <cellStyle name="Normal 9 17_Sheet1" xfId="37826"/>
    <cellStyle name="Normal 9 18" xfId="37827"/>
    <cellStyle name="Normal 9 18 2" xfId="37828"/>
    <cellStyle name="Normal 9 18 3" xfId="37829"/>
    <cellStyle name="Normal 9 18 4" xfId="37830"/>
    <cellStyle name="Normal 9 18 5" xfId="37831"/>
    <cellStyle name="Normal 9 18 6" xfId="37832"/>
    <cellStyle name="Normal 9 18 7" xfId="37833"/>
    <cellStyle name="Normal 9 18_Sheet1" xfId="37834"/>
    <cellStyle name="Normal 9 19" xfId="37835"/>
    <cellStyle name="Normal 9 19 2" xfId="37836"/>
    <cellStyle name="Normal 9 19 3" xfId="37837"/>
    <cellStyle name="Normal 9 19 4" xfId="37838"/>
    <cellStyle name="Normal 9 19 5" xfId="37839"/>
    <cellStyle name="Normal 9 19 6" xfId="37840"/>
    <cellStyle name="Normal 9 19 7" xfId="37841"/>
    <cellStyle name="Normal 9 19_Sheet1" xfId="37842"/>
    <cellStyle name="Normal 9 2" xfId="37843"/>
    <cellStyle name="Normal 9 2 10" xfId="37844"/>
    <cellStyle name="Normal 9 2 10 10" xfId="37845"/>
    <cellStyle name="Normal 9 2 10 11" xfId="37846"/>
    <cellStyle name="Normal 9 2 10 12" xfId="37847"/>
    <cellStyle name="Normal 9 2 10 13" xfId="37848"/>
    <cellStyle name="Normal 9 2 10 2" xfId="37849"/>
    <cellStyle name="Normal 9 2 10 3" xfId="37850"/>
    <cellStyle name="Normal 9 2 10 4" xfId="37851"/>
    <cellStyle name="Normal 9 2 10 5" xfId="37852"/>
    <cellStyle name="Normal 9 2 10 6" xfId="37853"/>
    <cellStyle name="Normal 9 2 10 7" xfId="37854"/>
    <cellStyle name="Normal 9 2 10 8" xfId="37855"/>
    <cellStyle name="Normal 9 2 10 9" xfId="37856"/>
    <cellStyle name="Normal 9 2 10_Sheet1" xfId="37857"/>
    <cellStyle name="Normal 9 2 11" xfId="37858"/>
    <cellStyle name="Normal 9 2 11 10" xfId="37859"/>
    <cellStyle name="Normal 9 2 11 11" xfId="37860"/>
    <cellStyle name="Normal 9 2 11 12" xfId="37861"/>
    <cellStyle name="Normal 9 2 11 13" xfId="37862"/>
    <cellStyle name="Normal 9 2 11 2" xfId="37863"/>
    <cellStyle name="Normal 9 2 11 3" xfId="37864"/>
    <cellStyle name="Normal 9 2 11 4" xfId="37865"/>
    <cellStyle name="Normal 9 2 11 5" xfId="37866"/>
    <cellStyle name="Normal 9 2 11 6" xfId="37867"/>
    <cellStyle name="Normal 9 2 11 7" xfId="37868"/>
    <cellStyle name="Normal 9 2 11 8" xfId="37869"/>
    <cellStyle name="Normal 9 2 11 9" xfId="37870"/>
    <cellStyle name="Normal 9 2 11_Sheet1" xfId="37871"/>
    <cellStyle name="Normal 9 2 12" xfId="37872"/>
    <cellStyle name="Normal 9 2 12 10" xfId="37873"/>
    <cellStyle name="Normal 9 2 12 11" xfId="37874"/>
    <cellStyle name="Normal 9 2 12 12" xfId="37875"/>
    <cellStyle name="Normal 9 2 12 13" xfId="37876"/>
    <cellStyle name="Normal 9 2 12 2" xfId="37877"/>
    <cellStyle name="Normal 9 2 12 3" xfId="37878"/>
    <cellStyle name="Normal 9 2 12 4" xfId="37879"/>
    <cellStyle name="Normal 9 2 12 5" xfId="37880"/>
    <cellStyle name="Normal 9 2 12 6" xfId="37881"/>
    <cellStyle name="Normal 9 2 12 7" xfId="37882"/>
    <cellStyle name="Normal 9 2 12 8" xfId="37883"/>
    <cellStyle name="Normal 9 2 12 9" xfId="37884"/>
    <cellStyle name="Normal 9 2 12_Sheet1" xfId="37885"/>
    <cellStyle name="Normal 9 2 13" xfId="37886"/>
    <cellStyle name="Normal 9 2 13 10" xfId="37887"/>
    <cellStyle name="Normal 9 2 13 11" xfId="37888"/>
    <cellStyle name="Normal 9 2 13 12" xfId="37889"/>
    <cellStyle name="Normal 9 2 13 13" xfId="37890"/>
    <cellStyle name="Normal 9 2 13 2" xfId="37891"/>
    <cellStyle name="Normal 9 2 13 3" xfId="37892"/>
    <cellStyle name="Normal 9 2 13 4" xfId="37893"/>
    <cellStyle name="Normal 9 2 13 5" xfId="37894"/>
    <cellStyle name="Normal 9 2 13 6" xfId="37895"/>
    <cellStyle name="Normal 9 2 13 7" xfId="37896"/>
    <cellStyle name="Normal 9 2 13 8" xfId="37897"/>
    <cellStyle name="Normal 9 2 13 9" xfId="37898"/>
    <cellStyle name="Normal 9 2 13_Sheet1" xfId="37899"/>
    <cellStyle name="Normal 9 2 14" xfId="37900"/>
    <cellStyle name="Normal 9 2 14 10" xfId="37901"/>
    <cellStyle name="Normal 9 2 14 11" xfId="37902"/>
    <cellStyle name="Normal 9 2 14 12" xfId="37903"/>
    <cellStyle name="Normal 9 2 14 13" xfId="37904"/>
    <cellStyle name="Normal 9 2 14 2" xfId="37905"/>
    <cellStyle name="Normal 9 2 14 3" xfId="37906"/>
    <cellStyle name="Normal 9 2 14 4" xfId="37907"/>
    <cellStyle name="Normal 9 2 14 5" xfId="37908"/>
    <cellStyle name="Normal 9 2 14 6" xfId="37909"/>
    <cellStyle name="Normal 9 2 14 7" xfId="37910"/>
    <cellStyle name="Normal 9 2 14 8" xfId="37911"/>
    <cellStyle name="Normal 9 2 14 9" xfId="37912"/>
    <cellStyle name="Normal 9 2 14_Sheet1" xfId="37913"/>
    <cellStyle name="Normal 9 2 15" xfId="37914"/>
    <cellStyle name="Normal 9 2 15 10" xfId="37915"/>
    <cellStyle name="Normal 9 2 15 11" xfId="37916"/>
    <cellStyle name="Normal 9 2 15 12" xfId="37917"/>
    <cellStyle name="Normal 9 2 15 13" xfId="37918"/>
    <cellStyle name="Normal 9 2 15 2" xfId="37919"/>
    <cellStyle name="Normal 9 2 15 3" xfId="37920"/>
    <cellStyle name="Normal 9 2 15 4" xfId="37921"/>
    <cellStyle name="Normal 9 2 15 5" xfId="37922"/>
    <cellStyle name="Normal 9 2 15 6" xfId="37923"/>
    <cellStyle name="Normal 9 2 15 7" xfId="37924"/>
    <cellStyle name="Normal 9 2 15 8" xfId="37925"/>
    <cellStyle name="Normal 9 2 15 9" xfId="37926"/>
    <cellStyle name="Normal 9 2 15_Sheet1" xfId="37927"/>
    <cellStyle name="Normal 9 2 16" xfId="37928"/>
    <cellStyle name="Normal 9 2 17" xfId="37929"/>
    <cellStyle name="Normal 9 2 18" xfId="37930"/>
    <cellStyle name="Normal 9 2 19" xfId="37931"/>
    <cellStyle name="Normal 9 2 2" xfId="37932"/>
    <cellStyle name="Normal 9 2 2 10" xfId="37933"/>
    <cellStyle name="Normal 9 2 2 11" xfId="37934"/>
    <cellStyle name="Normal 9 2 2 12" xfId="37935"/>
    <cellStyle name="Normal 9 2 2 13" xfId="37936"/>
    <cellStyle name="Normal 9 2 2 2" xfId="37937"/>
    <cellStyle name="Normal 9 2 2 2 2" xfId="37938"/>
    <cellStyle name="Normal 9 2 2 2 2 2" xfId="37939"/>
    <cellStyle name="Normal 9 2 2 2 2 3" xfId="37940"/>
    <cellStyle name="Normal 9 2 2 2 2 4" xfId="37941"/>
    <cellStyle name="Normal 9 2 2 2 2 5" xfId="37942"/>
    <cellStyle name="Normal 9 2 2 2 2 6" xfId="37943"/>
    <cellStyle name="Normal 9 2 2 2 3" xfId="37944"/>
    <cellStyle name="Normal 9 2 2 2 4" xfId="37945"/>
    <cellStyle name="Normal 9 2 2 2 5" xfId="37946"/>
    <cellStyle name="Normal 9 2 2 2 6" xfId="37947"/>
    <cellStyle name="Normal 9 2 2 2 7" xfId="37948"/>
    <cellStyle name="Normal 9 2 2 3" xfId="37949"/>
    <cellStyle name="Normal 9 2 2 3 2" xfId="37950"/>
    <cellStyle name="Normal 9 2 2 3 2 2" xfId="37951"/>
    <cellStyle name="Normal 9 2 2 3 2 3" xfId="37952"/>
    <cellStyle name="Normal 9 2 2 3 2 4" xfId="37953"/>
    <cellStyle name="Normal 9 2 2 3 2 5" xfId="37954"/>
    <cellStyle name="Normal 9 2 2 3 2 6" xfId="37955"/>
    <cellStyle name="Normal 9 2 2 3 3" xfId="37956"/>
    <cellStyle name="Normal 9 2 2 3 4" xfId="37957"/>
    <cellStyle name="Normal 9 2 2 3 5" xfId="37958"/>
    <cellStyle name="Normal 9 2 2 3 6" xfId="37959"/>
    <cellStyle name="Normal 9 2 2 3 7" xfId="37960"/>
    <cellStyle name="Normal 9 2 2 4" xfId="37961"/>
    <cellStyle name="Normal 9 2 2 4 2" xfId="37962"/>
    <cellStyle name="Normal 9 2 2 4 2 2" xfId="37963"/>
    <cellStyle name="Normal 9 2 2 4 2 3" xfId="37964"/>
    <cellStyle name="Normal 9 2 2 4 2 4" xfId="37965"/>
    <cellStyle name="Normal 9 2 2 4 2 5" xfId="37966"/>
    <cellStyle name="Normal 9 2 2 4 2 6" xfId="37967"/>
    <cellStyle name="Normal 9 2 2 4 3" xfId="37968"/>
    <cellStyle name="Normal 9 2 2 4 4" xfId="37969"/>
    <cellStyle name="Normal 9 2 2 4 5" xfId="37970"/>
    <cellStyle name="Normal 9 2 2 4 6" xfId="37971"/>
    <cellStyle name="Normal 9 2 2 4 7" xfId="37972"/>
    <cellStyle name="Normal 9 2 2 5" xfId="37973"/>
    <cellStyle name="Normal 9 2 2 5 2" xfId="37974"/>
    <cellStyle name="Normal 9 2 2 5 2 2" xfId="37975"/>
    <cellStyle name="Normal 9 2 2 5 2 2 2" xfId="37976"/>
    <cellStyle name="Normal 9 2 2 5 2 2 2 2" xfId="37977"/>
    <cellStyle name="Normal 9 2 2 5 2 2 3" xfId="37978"/>
    <cellStyle name="Normal 9 2 2 5 2 3" xfId="37979"/>
    <cellStyle name="Normal 9 2 2 5 2 3 2" xfId="37980"/>
    <cellStyle name="Normal 9 2 2 5 2 4" xfId="37981"/>
    <cellStyle name="Normal 9 2 2 5 2 5" xfId="37982"/>
    <cellStyle name="Normal 9 2 2 5 2 6" xfId="37983"/>
    <cellStyle name="Normal 9 2 2 5 3" xfId="37984"/>
    <cellStyle name="Normal 9 2 2 5 3 2" xfId="37985"/>
    <cellStyle name="Normal 9 2 2 5 4" xfId="37986"/>
    <cellStyle name="Normal 9 2 2 5 5" xfId="37987"/>
    <cellStyle name="Normal 9 2 2 5 6" xfId="37988"/>
    <cellStyle name="Normal 9 2 2 5 7" xfId="37989"/>
    <cellStyle name="Normal 9 2 2 6" xfId="37990"/>
    <cellStyle name="Normal 9 2 2 6 2" xfId="37991"/>
    <cellStyle name="Normal 9 2 2 6 3" xfId="37992"/>
    <cellStyle name="Normal 9 2 2 6 4" xfId="37993"/>
    <cellStyle name="Normal 9 2 2 6 5" xfId="37994"/>
    <cellStyle name="Normal 9 2 2 6 6" xfId="37995"/>
    <cellStyle name="Normal 9 2 2 7" xfId="37996"/>
    <cellStyle name="Normal 9 2 2 8" xfId="37997"/>
    <cellStyle name="Normal 9 2 2 9" xfId="37998"/>
    <cellStyle name="Normal 9 2 20" xfId="37999"/>
    <cellStyle name="Normal 9 2 21" xfId="38000"/>
    <cellStyle name="Normal 9 2 22" xfId="38001"/>
    <cellStyle name="Normal 9 2 23" xfId="38002"/>
    <cellStyle name="Normal 9 2 24" xfId="38003"/>
    <cellStyle name="Normal 9 2 25" xfId="38004"/>
    <cellStyle name="Normal 9 2 26" xfId="38005"/>
    <cellStyle name="Normal 9 2 27" xfId="38006"/>
    <cellStyle name="Normal 9 2 28" xfId="38007"/>
    <cellStyle name="Normal 9 2 29" xfId="38008"/>
    <cellStyle name="Normal 9 2 3" xfId="38009"/>
    <cellStyle name="Normal 9 2 3 10" xfId="38010"/>
    <cellStyle name="Normal 9 2 3 11" xfId="38011"/>
    <cellStyle name="Normal 9 2 3 12" xfId="38012"/>
    <cellStyle name="Normal 9 2 3 13" xfId="38013"/>
    <cellStyle name="Normal 9 2 3 2" xfId="38014"/>
    <cellStyle name="Normal 9 2 3 2 2" xfId="38015"/>
    <cellStyle name="Normal 9 2 3 2 3" xfId="38016"/>
    <cellStyle name="Normal 9 2 3 2 4" xfId="38017"/>
    <cellStyle name="Normal 9 2 3 2 5" xfId="38018"/>
    <cellStyle name="Normal 9 2 3 2 6" xfId="38019"/>
    <cellStyle name="Normal 9 2 3 2_Sheet1" xfId="38020"/>
    <cellStyle name="Normal 9 2 3 3" xfId="38021"/>
    <cellStyle name="Normal 9 2 3 4" xfId="38022"/>
    <cellStyle name="Normal 9 2 3 5" xfId="38023"/>
    <cellStyle name="Normal 9 2 3 6" xfId="38024"/>
    <cellStyle name="Normal 9 2 3 7" xfId="38025"/>
    <cellStyle name="Normal 9 2 3 8" xfId="38026"/>
    <cellStyle name="Normal 9 2 3 9" xfId="38027"/>
    <cellStyle name="Normal 9 2 30" xfId="38028"/>
    <cellStyle name="Normal 9 2 31" xfId="10"/>
    <cellStyle name="Normal 9 2 4" xfId="38029"/>
    <cellStyle name="Normal 9 2 4 10" xfId="38030"/>
    <cellStyle name="Normal 9 2 4 11" xfId="38031"/>
    <cellStyle name="Normal 9 2 4 12" xfId="38032"/>
    <cellStyle name="Normal 9 2 4 13" xfId="38033"/>
    <cellStyle name="Normal 9 2 4 2" xfId="38034"/>
    <cellStyle name="Normal 9 2 4 3" xfId="38035"/>
    <cellStyle name="Normal 9 2 4 4" xfId="38036"/>
    <cellStyle name="Normal 9 2 4 5" xfId="38037"/>
    <cellStyle name="Normal 9 2 4 6" xfId="38038"/>
    <cellStyle name="Normal 9 2 4 7" xfId="38039"/>
    <cellStyle name="Normal 9 2 4 8" xfId="38040"/>
    <cellStyle name="Normal 9 2 4 9" xfId="38041"/>
    <cellStyle name="Normal 9 2 4_Sheet1" xfId="38042"/>
    <cellStyle name="Normal 9 2 5" xfId="38043"/>
    <cellStyle name="Normal 9 2 5 10" xfId="38044"/>
    <cellStyle name="Normal 9 2 5 11" xfId="38045"/>
    <cellStyle name="Normal 9 2 5 12" xfId="38046"/>
    <cellStyle name="Normal 9 2 5 13" xfId="38047"/>
    <cellStyle name="Normal 9 2 5 2" xfId="38048"/>
    <cellStyle name="Normal 9 2 5 3" xfId="38049"/>
    <cellStyle name="Normal 9 2 5 4" xfId="38050"/>
    <cellStyle name="Normal 9 2 5 5" xfId="38051"/>
    <cellStyle name="Normal 9 2 5 6" xfId="38052"/>
    <cellStyle name="Normal 9 2 5 7" xfId="38053"/>
    <cellStyle name="Normal 9 2 5 8" xfId="38054"/>
    <cellStyle name="Normal 9 2 5 9" xfId="38055"/>
    <cellStyle name="Normal 9 2 5_Sheet1" xfId="38056"/>
    <cellStyle name="Normal 9 2 6" xfId="38057"/>
    <cellStyle name="Normal 9 2 6 10" xfId="38058"/>
    <cellStyle name="Normal 9 2 6 11" xfId="38059"/>
    <cellStyle name="Normal 9 2 6 12" xfId="38060"/>
    <cellStyle name="Normal 9 2 6 13" xfId="38061"/>
    <cellStyle name="Normal 9 2 6 2" xfId="38062"/>
    <cellStyle name="Normal 9 2 6 3" xfId="38063"/>
    <cellStyle name="Normal 9 2 6 4" xfId="38064"/>
    <cellStyle name="Normal 9 2 6 5" xfId="38065"/>
    <cellStyle name="Normal 9 2 6 6" xfId="38066"/>
    <cellStyle name="Normal 9 2 6 7" xfId="38067"/>
    <cellStyle name="Normal 9 2 6 8" xfId="38068"/>
    <cellStyle name="Normal 9 2 6 9" xfId="38069"/>
    <cellStyle name="Normal 9 2 6_Sheet1" xfId="38070"/>
    <cellStyle name="Normal 9 2 7" xfId="38071"/>
    <cellStyle name="Normal 9 2 7 10" xfId="38072"/>
    <cellStyle name="Normal 9 2 7 11" xfId="38073"/>
    <cellStyle name="Normal 9 2 7 12" xfId="38074"/>
    <cellStyle name="Normal 9 2 7 13" xfId="38075"/>
    <cellStyle name="Normal 9 2 7 2" xfId="38076"/>
    <cellStyle name="Normal 9 2 7 3" xfId="38077"/>
    <cellStyle name="Normal 9 2 7 4" xfId="38078"/>
    <cellStyle name="Normal 9 2 7 5" xfId="38079"/>
    <cellStyle name="Normal 9 2 7 6" xfId="38080"/>
    <cellStyle name="Normal 9 2 7 7" xfId="38081"/>
    <cellStyle name="Normal 9 2 7 8" xfId="38082"/>
    <cellStyle name="Normal 9 2 7 9" xfId="38083"/>
    <cellStyle name="Normal 9 2 7_Sheet1" xfId="38084"/>
    <cellStyle name="Normal 9 2 8" xfId="38085"/>
    <cellStyle name="Normal 9 2 8 10" xfId="38086"/>
    <cellStyle name="Normal 9 2 8 11" xfId="38087"/>
    <cellStyle name="Normal 9 2 8 12" xfId="38088"/>
    <cellStyle name="Normal 9 2 8 13" xfId="38089"/>
    <cellStyle name="Normal 9 2 8 2" xfId="38090"/>
    <cellStyle name="Normal 9 2 8 3" xfId="38091"/>
    <cellStyle name="Normal 9 2 8 4" xfId="38092"/>
    <cellStyle name="Normal 9 2 8 5" xfId="38093"/>
    <cellStyle name="Normal 9 2 8 6" xfId="38094"/>
    <cellStyle name="Normal 9 2 8 7" xfId="38095"/>
    <cellStyle name="Normal 9 2 8 8" xfId="38096"/>
    <cellStyle name="Normal 9 2 8 9" xfId="38097"/>
    <cellStyle name="Normal 9 2 8_Sheet1" xfId="38098"/>
    <cellStyle name="Normal 9 2 9" xfId="38099"/>
    <cellStyle name="Normal 9 2 9 10" xfId="38100"/>
    <cellStyle name="Normal 9 2 9 11" xfId="38101"/>
    <cellStyle name="Normal 9 2 9 12" xfId="38102"/>
    <cellStyle name="Normal 9 2 9 13" xfId="38103"/>
    <cellStyle name="Normal 9 2 9 2" xfId="38104"/>
    <cellStyle name="Normal 9 2 9 3" xfId="38105"/>
    <cellStyle name="Normal 9 2 9 4" xfId="38106"/>
    <cellStyle name="Normal 9 2 9 5" xfId="38107"/>
    <cellStyle name="Normal 9 2 9 6" xfId="38108"/>
    <cellStyle name="Normal 9 2 9 7" xfId="38109"/>
    <cellStyle name="Normal 9 2 9 8" xfId="38110"/>
    <cellStyle name="Normal 9 2 9 9" xfId="38111"/>
    <cellStyle name="Normal 9 2 9_Sheet1" xfId="38112"/>
    <cellStyle name="Normal 9 20" xfId="38113"/>
    <cellStyle name="Normal 9 20 2" xfId="38114"/>
    <cellStyle name="Normal 9 20 3" xfId="38115"/>
    <cellStyle name="Normal 9 20 4" xfId="38116"/>
    <cellStyle name="Normal 9 20 5" xfId="38117"/>
    <cellStyle name="Normal 9 20 6" xfId="38118"/>
    <cellStyle name="Normal 9 20 7" xfId="38119"/>
    <cellStyle name="Normal 9 20_Sheet1" xfId="38120"/>
    <cellStyle name="Normal 9 21" xfId="38121"/>
    <cellStyle name="Normal 9 21 2" xfId="38122"/>
    <cellStyle name="Normal 9 21 3" xfId="38123"/>
    <cellStyle name="Normal 9 21 4" xfId="38124"/>
    <cellStyle name="Normal 9 21 5" xfId="38125"/>
    <cellStyle name="Normal 9 21 6" xfId="38126"/>
    <cellStyle name="Normal 9 21 7" xfId="38127"/>
    <cellStyle name="Normal 9 21_Sheet1" xfId="38128"/>
    <cellStyle name="Normal 9 22" xfId="38129"/>
    <cellStyle name="Normal 9 22 2" xfId="38130"/>
    <cellStyle name="Normal 9 22 3" xfId="38131"/>
    <cellStyle name="Normal 9 22 4" xfId="38132"/>
    <cellStyle name="Normal 9 22 5" xfId="38133"/>
    <cellStyle name="Normal 9 22 6" xfId="38134"/>
    <cellStyle name="Normal 9 22 7" xfId="38135"/>
    <cellStyle name="Normal 9 22_Sheet1" xfId="38136"/>
    <cellStyle name="Normal 9 23" xfId="38137"/>
    <cellStyle name="Normal 9 23 2" xfId="38138"/>
    <cellStyle name="Normal 9 23 3" xfId="38139"/>
    <cellStyle name="Normal 9 23 4" xfId="38140"/>
    <cellStyle name="Normal 9 23 5" xfId="38141"/>
    <cellStyle name="Normal 9 23 6" xfId="38142"/>
    <cellStyle name="Normal 9 23 7" xfId="38143"/>
    <cellStyle name="Normal 9 23_Sheet1" xfId="38144"/>
    <cellStyle name="Normal 9 24" xfId="38145"/>
    <cellStyle name="Normal 9 24 2" xfId="38146"/>
    <cellStyle name="Normal 9 24 3" xfId="38147"/>
    <cellStyle name="Normal 9 24 4" xfId="38148"/>
    <cellStyle name="Normal 9 24 5" xfId="38149"/>
    <cellStyle name="Normal 9 24 6" xfId="38150"/>
    <cellStyle name="Normal 9 24 7" xfId="38151"/>
    <cellStyle name="Normal 9 24_Sheet1" xfId="38152"/>
    <cellStyle name="Normal 9 25" xfId="38153"/>
    <cellStyle name="Normal 9 25 2" xfId="38154"/>
    <cellStyle name="Normal 9 25 3" xfId="38155"/>
    <cellStyle name="Normal 9 25 4" xfId="38156"/>
    <cellStyle name="Normal 9 25 5" xfId="38157"/>
    <cellStyle name="Normal 9 25 6" xfId="38158"/>
    <cellStyle name="Normal 9 25 7" xfId="38159"/>
    <cellStyle name="Normal 9 25_Sheet1" xfId="38160"/>
    <cellStyle name="Normal 9 26" xfId="38161"/>
    <cellStyle name="Normal 9 26 2" xfId="38162"/>
    <cellStyle name="Normal 9 26 3" xfId="38163"/>
    <cellStyle name="Normal 9 26 4" xfId="38164"/>
    <cellStyle name="Normal 9 26 5" xfId="38165"/>
    <cellStyle name="Normal 9 26 6" xfId="38166"/>
    <cellStyle name="Normal 9 26 7" xfId="38167"/>
    <cellStyle name="Normal 9 26_Sheet1" xfId="38168"/>
    <cellStyle name="Normal 9 27" xfId="38169"/>
    <cellStyle name="Normal 9 27 2" xfId="38170"/>
    <cellStyle name="Normal 9 27 3" xfId="38171"/>
    <cellStyle name="Normal 9 27 4" xfId="38172"/>
    <cellStyle name="Normal 9 27 5" xfId="38173"/>
    <cellStyle name="Normal 9 27 6" xfId="38174"/>
    <cellStyle name="Normal 9 27 7" xfId="38175"/>
    <cellStyle name="Normal 9 27_Sheet1" xfId="38176"/>
    <cellStyle name="Normal 9 28" xfId="38177"/>
    <cellStyle name="Normal 9 28 2" xfId="38178"/>
    <cellStyle name="Normal 9 28 3" xfId="38179"/>
    <cellStyle name="Normal 9 28 4" xfId="38180"/>
    <cellStyle name="Normal 9 28 5" xfId="38181"/>
    <cellStyle name="Normal 9 28 6" xfId="38182"/>
    <cellStyle name="Normal 9 28 7" xfId="38183"/>
    <cellStyle name="Normal 9 28_Sheet1" xfId="38184"/>
    <cellStyle name="Normal 9 29" xfId="38185"/>
    <cellStyle name="Normal 9 29 2" xfId="38186"/>
    <cellStyle name="Normal 9 29 2 2" xfId="38187"/>
    <cellStyle name="Normal 9 29 2 2 2" xfId="38188"/>
    <cellStyle name="Normal 9 29 2 2 3" xfId="38189"/>
    <cellStyle name="Normal 9 29 2 2 4" xfId="38190"/>
    <cellStyle name="Normal 9 29 2 2 5" xfId="38191"/>
    <cellStyle name="Normal 9 29 2 2 6" xfId="38192"/>
    <cellStyle name="Normal 9 29 2 2 7" xfId="38193"/>
    <cellStyle name="Normal 9 29 2 2 8" xfId="38194"/>
    <cellStyle name="Normal 9 29 2 2 8 2" xfId="38195"/>
    <cellStyle name="Normal 9 29 2 2 8 2 2" xfId="38196"/>
    <cellStyle name="Normal 9 29 2 2 8 2_Sheet1" xfId="38197"/>
    <cellStyle name="Normal 9 29 2 2 8_Sheet1" xfId="38198"/>
    <cellStyle name="Normal 9 29 2 2_Sheet1" xfId="38199"/>
    <cellStyle name="Normal 9 29 2 3" xfId="38200"/>
    <cellStyle name="Normal 9 29 2 4" xfId="38201"/>
    <cellStyle name="Normal 9 29 2 5" xfId="38202"/>
    <cellStyle name="Normal 9 29 2 6" xfId="38203"/>
    <cellStyle name="Normal 9 29 2 7" xfId="38204"/>
    <cellStyle name="Normal 9 29 2 8" xfId="38205"/>
    <cellStyle name="Normal 9 29 2_Sheet1" xfId="38206"/>
    <cellStyle name="Normal 9 29 3" xfId="38207"/>
    <cellStyle name="Normal 9 29 4" xfId="38208"/>
    <cellStyle name="Normal 9 29 5" xfId="38209"/>
    <cellStyle name="Normal 9 29 6" xfId="38210"/>
    <cellStyle name="Normal 9 29 7" xfId="38211"/>
    <cellStyle name="Normal 9 29 8" xfId="38212"/>
    <cellStyle name="Normal 9 29_Sheet1" xfId="38213"/>
    <cellStyle name="Normal 9 3" xfId="38214"/>
    <cellStyle name="Normal 9 3 2" xfId="38215"/>
    <cellStyle name="Normal 9 3 3" xfId="38216"/>
    <cellStyle name="Normal 9 3 4" xfId="38217"/>
    <cellStyle name="Normal 9 3 5" xfId="38218"/>
    <cellStyle name="Normal 9 3 6" xfId="38219"/>
    <cellStyle name="Normal 9 3 7" xfId="38220"/>
    <cellStyle name="Normal 9 3_Sheet1" xfId="38221"/>
    <cellStyle name="Normal 9 30" xfId="38222"/>
    <cellStyle name="Normal 9 31" xfId="38223"/>
    <cellStyle name="Normal 9 32" xfId="38224"/>
    <cellStyle name="Normal 9 33" xfId="38225"/>
    <cellStyle name="Normal 9 34" xfId="38226"/>
    <cellStyle name="Normal 9 35" xfId="38227"/>
    <cellStyle name="Normal 9 36" xfId="38228"/>
    <cellStyle name="Normal 9 37" xfId="38229"/>
    <cellStyle name="Normal 9 38" xfId="38230"/>
    <cellStyle name="Normal 9 39" xfId="38231"/>
    <cellStyle name="Normal 9 4" xfId="38232"/>
    <cellStyle name="Normal 9 4 2" xfId="38233"/>
    <cellStyle name="Normal 9 4 3" xfId="38234"/>
    <cellStyle name="Normal 9 4 4" xfId="38235"/>
    <cellStyle name="Normal 9 4 5" xfId="38236"/>
    <cellStyle name="Normal 9 4 6" xfId="38237"/>
    <cellStyle name="Normal 9 4 7" xfId="38238"/>
    <cellStyle name="Normal 9 4_Sheet1" xfId="38239"/>
    <cellStyle name="Normal 9 40" xfId="38240"/>
    <cellStyle name="Normal 9 41" xfId="38241"/>
    <cellStyle name="Normal 9 42" xfId="38242"/>
    <cellStyle name="Normal 9 42 2" xfId="38243"/>
    <cellStyle name="Normal 9 42 3" xfId="38244"/>
    <cellStyle name="Normal 9 42_Sheet1" xfId="38245"/>
    <cellStyle name="Normal 9 43" xfId="38246"/>
    <cellStyle name="Normal 9 43 2" xfId="38247"/>
    <cellStyle name="Normal 9 43 2 2" xfId="38248"/>
    <cellStyle name="Normal 9 43 2 2 2" xfId="38249"/>
    <cellStyle name="Normal 9 43 2 2_Sheet1" xfId="38250"/>
    <cellStyle name="Normal 9 43 2_Sheet1" xfId="38251"/>
    <cellStyle name="Normal 9 43_Sheet1" xfId="38252"/>
    <cellStyle name="Normal 9 44" xfId="38253"/>
    <cellStyle name="Normal 9 45" xfId="38254"/>
    <cellStyle name="Normal 9 46" xfId="38255"/>
    <cellStyle name="Normal 9 46 2" xfId="38256"/>
    <cellStyle name="Normal 9 5" xfId="38257"/>
    <cellStyle name="Normal 9 5 2" xfId="38258"/>
    <cellStyle name="Normal 9 5 3" xfId="38259"/>
    <cellStyle name="Normal 9 5 4" xfId="38260"/>
    <cellStyle name="Normal 9 5 5" xfId="38261"/>
    <cellStyle name="Normal 9 5 6" xfId="38262"/>
    <cellStyle name="Normal 9 5 7" xfId="38263"/>
    <cellStyle name="Normal 9 5_Sheet1" xfId="38264"/>
    <cellStyle name="Normal 9 6" xfId="38265"/>
    <cellStyle name="Normal 9 6 2" xfId="38266"/>
    <cellStyle name="Normal 9 6 3" xfId="38267"/>
    <cellStyle name="Normal 9 6 4" xfId="38268"/>
    <cellStyle name="Normal 9 6 5" xfId="38269"/>
    <cellStyle name="Normal 9 6 6" xfId="38270"/>
    <cellStyle name="Normal 9 6 7" xfId="38271"/>
    <cellStyle name="Normal 9 6_Sheet1" xfId="38272"/>
    <cellStyle name="Normal 9 7" xfId="38273"/>
    <cellStyle name="Normal 9 7 2" xfId="38274"/>
    <cellStyle name="Normal 9 7 3" xfId="38275"/>
    <cellStyle name="Normal 9 7 4" xfId="38276"/>
    <cellStyle name="Normal 9 7 5" xfId="38277"/>
    <cellStyle name="Normal 9 7 6" xfId="38278"/>
    <cellStyle name="Normal 9 7 7" xfId="38279"/>
    <cellStyle name="Normal 9 7_Sheet1" xfId="38280"/>
    <cellStyle name="Normal 9 8" xfId="38281"/>
    <cellStyle name="Normal 9 8 2" xfId="38282"/>
    <cellStyle name="Normal 9 8 3" xfId="38283"/>
    <cellStyle name="Normal 9 8 4" xfId="38284"/>
    <cellStyle name="Normal 9 8 5" xfId="38285"/>
    <cellStyle name="Normal 9 8 6" xfId="38286"/>
    <cellStyle name="Normal 9 8 7" xfId="38287"/>
    <cellStyle name="Normal 9 8_Sheet1" xfId="38288"/>
    <cellStyle name="Normal 9 9" xfId="38289"/>
    <cellStyle name="Normal 9 9 2" xfId="38290"/>
    <cellStyle name="Normal 9 9 3" xfId="38291"/>
    <cellStyle name="Normal 9 9 4" xfId="38292"/>
    <cellStyle name="Normal 9 9 5" xfId="38293"/>
    <cellStyle name="Normal 9 9 6" xfId="38294"/>
    <cellStyle name="Normal 9 9 7" xfId="38295"/>
    <cellStyle name="Normal 9 9_Sheet1" xfId="38296"/>
    <cellStyle name="Normal 9_Schedule MP (2)" xfId="38297"/>
    <cellStyle name="Normal 90" xfId="38298"/>
    <cellStyle name="Normal 91" xfId="38299"/>
    <cellStyle name="Normal 92" xfId="38300"/>
    <cellStyle name="Normal 93" xfId="38301"/>
    <cellStyle name="Normal 94" xfId="38302"/>
    <cellStyle name="Normal 95" xfId="38303"/>
    <cellStyle name="Normal 96" xfId="38304"/>
    <cellStyle name="Normal 97" xfId="38305"/>
    <cellStyle name="Normal 98" xfId="38306"/>
    <cellStyle name="Normal 99" xfId="38307"/>
    <cellStyle name="Normal Bold" xfId="38308"/>
    <cellStyle name="Normal Pct" xfId="38309"/>
    <cellStyle name="Normal U" xfId="38310"/>
    <cellStyle name="Normal U 2" xfId="38311"/>
    <cellStyle name="Normal U_Sheet1" xfId="38312"/>
    <cellStyle name="Normal1" xfId="38313"/>
    <cellStyle name="Note 10" xfId="38314"/>
    <cellStyle name="Note 11" xfId="38315"/>
    <cellStyle name="Note 2" xfId="38316"/>
    <cellStyle name="Note 2 10" xfId="38317"/>
    <cellStyle name="Note 2 10 2" xfId="38318"/>
    <cellStyle name="Note 2 10 2 2" xfId="38319"/>
    <cellStyle name="Note 2 10 2 2 2" xfId="38320"/>
    <cellStyle name="Note 2 10 2 2_Sheet1" xfId="38321"/>
    <cellStyle name="Note 2 10 2 3" xfId="38322"/>
    <cellStyle name="Note 2 10 2_Sheet1" xfId="38323"/>
    <cellStyle name="Note 2 10 3" xfId="38324"/>
    <cellStyle name="Note 2 10 3 2" xfId="38325"/>
    <cellStyle name="Note 2 10 3 2 2" xfId="38326"/>
    <cellStyle name="Note 2 10 3 2_Sheet1" xfId="38327"/>
    <cellStyle name="Note 2 10 3 3" xfId="38328"/>
    <cellStyle name="Note 2 10 3_Sheet1" xfId="38329"/>
    <cellStyle name="Note 2 10 4" xfId="38330"/>
    <cellStyle name="Note 2 10 4 2" xfId="38331"/>
    <cellStyle name="Note 2 10 4 2 2" xfId="38332"/>
    <cellStyle name="Note 2 10 4 2_Sheet1" xfId="38333"/>
    <cellStyle name="Note 2 10 4 3" xfId="38334"/>
    <cellStyle name="Note 2 10 4_Sheet1" xfId="38335"/>
    <cellStyle name="Note 2 10 5" xfId="38336"/>
    <cellStyle name="Note 2 10_Sheet1" xfId="38337"/>
    <cellStyle name="Note 2 11" xfId="38338"/>
    <cellStyle name="Note 2 11 2" xfId="38339"/>
    <cellStyle name="Note 2 11 2 2" xfId="38340"/>
    <cellStyle name="Note 2 11 2 2 2" xfId="38341"/>
    <cellStyle name="Note 2 11 2 2_Sheet1" xfId="38342"/>
    <cellStyle name="Note 2 11 2 3" xfId="38343"/>
    <cellStyle name="Note 2 11 2_Sheet1" xfId="38344"/>
    <cellStyle name="Note 2 11 3" xfId="38345"/>
    <cellStyle name="Note 2 11 3 2" xfId="38346"/>
    <cellStyle name="Note 2 11 3 2 2" xfId="38347"/>
    <cellStyle name="Note 2 11 3 2_Sheet1" xfId="38348"/>
    <cellStyle name="Note 2 11 3 3" xfId="38349"/>
    <cellStyle name="Note 2 11 3_Sheet1" xfId="38350"/>
    <cellStyle name="Note 2 11 4" xfId="38351"/>
    <cellStyle name="Note 2 11 4 2" xfId="38352"/>
    <cellStyle name="Note 2 11 4 2 2" xfId="38353"/>
    <cellStyle name="Note 2 11 4 2_Sheet1" xfId="38354"/>
    <cellStyle name="Note 2 11 4 3" xfId="38355"/>
    <cellStyle name="Note 2 11 4_Sheet1" xfId="38356"/>
    <cellStyle name="Note 2 11 5" xfId="38357"/>
    <cellStyle name="Note 2 11_Sheet1" xfId="38358"/>
    <cellStyle name="Note 2 12" xfId="38359"/>
    <cellStyle name="Note 2 12 2" xfId="38360"/>
    <cellStyle name="Note 2 12 2 2" xfId="38361"/>
    <cellStyle name="Note 2 12 2 2 2" xfId="38362"/>
    <cellStyle name="Note 2 12 2 2_Sheet1" xfId="38363"/>
    <cellStyle name="Note 2 12 2 3" xfId="38364"/>
    <cellStyle name="Note 2 12 2_Sheet1" xfId="38365"/>
    <cellStyle name="Note 2 12 3" xfId="38366"/>
    <cellStyle name="Note 2 12 3 2" xfId="38367"/>
    <cellStyle name="Note 2 12 3 2 2" xfId="38368"/>
    <cellStyle name="Note 2 12 3 2_Sheet1" xfId="38369"/>
    <cellStyle name="Note 2 12 3 3" xfId="38370"/>
    <cellStyle name="Note 2 12 3_Sheet1" xfId="38371"/>
    <cellStyle name="Note 2 12 4" xfId="38372"/>
    <cellStyle name="Note 2 12 4 2" xfId="38373"/>
    <cellStyle name="Note 2 12 4 2 2" xfId="38374"/>
    <cellStyle name="Note 2 12 4 2_Sheet1" xfId="38375"/>
    <cellStyle name="Note 2 12 4 3" xfId="38376"/>
    <cellStyle name="Note 2 12 4_Sheet1" xfId="38377"/>
    <cellStyle name="Note 2 12 5" xfId="38378"/>
    <cellStyle name="Note 2 12_Sheet1" xfId="38379"/>
    <cellStyle name="Note 2 13" xfId="38380"/>
    <cellStyle name="Note 2 13 2" xfId="38381"/>
    <cellStyle name="Note 2 13 2 2" xfId="38382"/>
    <cellStyle name="Note 2 13 2 2 2" xfId="38383"/>
    <cellStyle name="Note 2 13 2 2_Sheet1" xfId="38384"/>
    <cellStyle name="Note 2 13 2 3" xfId="38385"/>
    <cellStyle name="Note 2 13 2_Sheet1" xfId="38386"/>
    <cellStyle name="Note 2 13 3" xfId="38387"/>
    <cellStyle name="Note 2 13 3 2" xfId="38388"/>
    <cellStyle name="Note 2 13 3 2 2" xfId="38389"/>
    <cellStyle name="Note 2 13 3 2_Sheet1" xfId="38390"/>
    <cellStyle name="Note 2 13 3 3" xfId="38391"/>
    <cellStyle name="Note 2 13 3_Sheet1" xfId="38392"/>
    <cellStyle name="Note 2 13 4" xfId="38393"/>
    <cellStyle name="Note 2 13 4 2" xfId="38394"/>
    <cellStyle name="Note 2 13 4 2 2" xfId="38395"/>
    <cellStyle name="Note 2 13 4 2_Sheet1" xfId="38396"/>
    <cellStyle name="Note 2 13 4 3" xfId="38397"/>
    <cellStyle name="Note 2 13 4_Sheet1" xfId="38398"/>
    <cellStyle name="Note 2 13 5" xfId="38399"/>
    <cellStyle name="Note 2 13_Sheet1" xfId="38400"/>
    <cellStyle name="Note 2 14" xfId="38401"/>
    <cellStyle name="Note 2 14 2" xfId="38402"/>
    <cellStyle name="Note 2 14 2 2" xfId="38403"/>
    <cellStyle name="Note 2 14 2 2 2" xfId="38404"/>
    <cellStyle name="Note 2 14 2 2_Sheet1" xfId="38405"/>
    <cellStyle name="Note 2 14 2 3" xfId="38406"/>
    <cellStyle name="Note 2 14 2_Sheet1" xfId="38407"/>
    <cellStyle name="Note 2 14 3" xfId="38408"/>
    <cellStyle name="Note 2 14 3 2" xfId="38409"/>
    <cellStyle name="Note 2 14 3 2 2" xfId="38410"/>
    <cellStyle name="Note 2 14 3 2_Sheet1" xfId="38411"/>
    <cellStyle name="Note 2 14 3 3" xfId="38412"/>
    <cellStyle name="Note 2 14 3_Sheet1" xfId="38413"/>
    <cellStyle name="Note 2 14 4" xfId="38414"/>
    <cellStyle name="Note 2 14 4 2" xfId="38415"/>
    <cellStyle name="Note 2 14 4 2 2" xfId="38416"/>
    <cellStyle name="Note 2 14 4 2_Sheet1" xfId="38417"/>
    <cellStyle name="Note 2 14 4 3" xfId="38418"/>
    <cellStyle name="Note 2 14 4_Sheet1" xfId="38419"/>
    <cellStyle name="Note 2 14 5" xfId="38420"/>
    <cellStyle name="Note 2 14_Sheet1" xfId="38421"/>
    <cellStyle name="Note 2 15" xfId="38422"/>
    <cellStyle name="Note 2 15 2" xfId="38423"/>
    <cellStyle name="Note 2 15 2 2" xfId="38424"/>
    <cellStyle name="Note 2 15 2 2 2" xfId="38425"/>
    <cellStyle name="Note 2 15 2 2_Sheet1" xfId="38426"/>
    <cellStyle name="Note 2 15 2 3" xfId="38427"/>
    <cellStyle name="Note 2 15 2_Sheet1" xfId="38428"/>
    <cellStyle name="Note 2 15 3" xfId="38429"/>
    <cellStyle name="Note 2 15 3 2" xfId="38430"/>
    <cellStyle name="Note 2 15 3 2 2" xfId="38431"/>
    <cellStyle name="Note 2 15 3 2_Sheet1" xfId="38432"/>
    <cellStyle name="Note 2 15 3 3" xfId="38433"/>
    <cellStyle name="Note 2 15 3_Sheet1" xfId="38434"/>
    <cellStyle name="Note 2 15 4" xfId="38435"/>
    <cellStyle name="Note 2 15 4 2" xfId="38436"/>
    <cellStyle name="Note 2 15 4 2 2" xfId="38437"/>
    <cellStyle name="Note 2 15 4 2_Sheet1" xfId="38438"/>
    <cellStyle name="Note 2 15 4 3" xfId="38439"/>
    <cellStyle name="Note 2 15 4_Sheet1" xfId="38440"/>
    <cellStyle name="Note 2 15 5" xfId="38441"/>
    <cellStyle name="Note 2 15_Sheet1" xfId="38442"/>
    <cellStyle name="Note 2 16" xfId="38443"/>
    <cellStyle name="Note 2 16 2" xfId="38444"/>
    <cellStyle name="Note 2 16 2 2" xfId="38445"/>
    <cellStyle name="Note 2 16 2 2 2" xfId="38446"/>
    <cellStyle name="Note 2 16 2 2_Sheet1" xfId="38447"/>
    <cellStyle name="Note 2 16 2 3" xfId="38448"/>
    <cellStyle name="Note 2 16 2_Sheet1" xfId="38449"/>
    <cellStyle name="Note 2 16 3" xfId="38450"/>
    <cellStyle name="Note 2 16 3 2" xfId="38451"/>
    <cellStyle name="Note 2 16 3 2 2" xfId="38452"/>
    <cellStyle name="Note 2 16 3 2_Sheet1" xfId="38453"/>
    <cellStyle name="Note 2 16 3 3" xfId="38454"/>
    <cellStyle name="Note 2 16 3_Sheet1" xfId="38455"/>
    <cellStyle name="Note 2 16 4" xfId="38456"/>
    <cellStyle name="Note 2 16 4 2" xfId="38457"/>
    <cellStyle name="Note 2 16 4 2 2" xfId="38458"/>
    <cellStyle name="Note 2 16 4 2_Sheet1" xfId="38459"/>
    <cellStyle name="Note 2 16 4 3" xfId="38460"/>
    <cellStyle name="Note 2 16 4_Sheet1" xfId="38461"/>
    <cellStyle name="Note 2 16 5" xfId="38462"/>
    <cellStyle name="Note 2 16_Sheet1" xfId="38463"/>
    <cellStyle name="Note 2 17" xfId="38464"/>
    <cellStyle name="Note 2 17 2" xfId="38465"/>
    <cellStyle name="Note 2 17 2 2" xfId="38466"/>
    <cellStyle name="Note 2 17 2 2 2" xfId="38467"/>
    <cellStyle name="Note 2 17 2 2_Sheet1" xfId="38468"/>
    <cellStyle name="Note 2 17 2 3" xfId="38469"/>
    <cellStyle name="Note 2 17 2_Sheet1" xfId="38470"/>
    <cellStyle name="Note 2 17 3" xfId="38471"/>
    <cellStyle name="Note 2 17 3 2" xfId="38472"/>
    <cellStyle name="Note 2 17 3 2 2" xfId="38473"/>
    <cellStyle name="Note 2 17 3 2_Sheet1" xfId="38474"/>
    <cellStyle name="Note 2 17 3 3" xfId="38475"/>
    <cellStyle name="Note 2 17 3_Sheet1" xfId="38476"/>
    <cellStyle name="Note 2 17 4" xfId="38477"/>
    <cellStyle name="Note 2 17 4 2" xfId="38478"/>
    <cellStyle name="Note 2 17 4 2 2" xfId="38479"/>
    <cellStyle name="Note 2 17 4 2_Sheet1" xfId="38480"/>
    <cellStyle name="Note 2 17 4 3" xfId="38481"/>
    <cellStyle name="Note 2 17 4_Sheet1" xfId="38482"/>
    <cellStyle name="Note 2 17 5" xfId="38483"/>
    <cellStyle name="Note 2 17_Sheet1" xfId="38484"/>
    <cellStyle name="Note 2 18" xfId="38485"/>
    <cellStyle name="Note 2 18 2" xfId="38486"/>
    <cellStyle name="Note 2 18 2 2" xfId="38487"/>
    <cellStyle name="Note 2 18 2 2 2" xfId="38488"/>
    <cellStyle name="Note 2 18 2 2_Sheet1" xfId="38489"/>
    <cellStyle name="Note 2 18 2 3" xfId="38490"/>
    <cellStyle name="Note 2 18 2_Sheet1" xfId="38491"/>
    <cellStyle name="Note 2 18 3" xfId="38492"/>
    <cellStyle name="Note 2 18 3 2" xfId="38493"/>
    <cellStyle name="Note 2 18 3 2 2" xfId="38494"/>
    <cellStyle name="Note 2 18 3 2_Sheet1" xfId="38495"/>
    <cellStyle name="Note 2 18 3 3" xfId="38496"/>
    <cellStyle name="Note 2 18 3_Sheet1" xfId="38497"/>
    <cellStyle name="Note 2 18 4" xfId="38498"/>
    <cellStyle name="Note 2 18 4 2" xfId="38499"/>
    <cellStyle name="Note 2 18 4 2 2" xfId="38500"/>
    <cellStyle name="Note 2 18 4 2_Sheet1" xfId="38501"/>
    <cellStyle name="Note 2 18 4 3" xfId="38502"/>
    <cellStyle name="Note 2 18 4_Sheet1" xfId="38503"/>
    <cellStyle name="Note 2 18 5" xfId="38504"/>
    <cellStyle name="Note 2 18_Sheet1" xfId="38505"/>
    <cellStyle name="Note 2 19" xfId="38506"/>
    <cellStyle name="Note 2 19 2" xfId="38507"/>
    <cellStyle name="Note 2 19 2 2" xfId="38508"/>
    <cellStyle name="Note 2 19 2 2 2" xfId="38509"/>
    <cellStyle name="Note 2 19 2 2_Sheet1" xfId="38510"/>
    <cellStyle name="Note 2 19 2 3" xfId="38511"/>
    <cellStyle name="Note 2 19 2_Sheet1" xfId="38512"/>
    <cellStyle name="Note 2 19 3" xfId="38513"/>
    <cellStyle name="Note 2 19 3 2" xfId="38514"/>
    <cellStyle name="Note 2 19 3 2 2" xfId="38515"/>
    <cellStyle name="Note 2 19 3 2_Sheet1" xfId="38516"/>
    <cellStyle name="Note 2 19 3 3" xfId="38517"/>
    <cellStyle name="Note 2 19 3_Sheet1" xfId="38518"/>
    <cellStyle name="Note 2 19 4" xfId="38519"/>
    <cellStyle name="Note 2 19 4 2" xfId="38520"/>
    <cellStyle name="Note 2 19 4 2 2" xfId="38521"/>
    <cellStyle name="Note 2 19 4 2_Sheet1" xfId="38522"/>
    <cellStyle name="Note 2 19 4 3" xfId="38523"/>
    <cellStyle name="Note 2 19 4_Sheet1" xfId="38524"/>
    <cellStyle name="Note 2 19 5" xfId="38525"/>
    <cellStyle name="Note 2 19_Sheet1" xfId="38526"/>
    <cellStyle name="Note 2 2" xfId="38527"/>
    <cellStyle name="Note 2 2 10" xfId="38528"/>
    <cellStyle name="Note 2 2 10 2" xfId="38529"/>
    <cellStyle name="Note 2 2 10 2 2" xfId="38530"/>
    <cellStyle name="Note 2 2 10 2 2 2" xfId="38531"/>
    <cellStyle name="Note 2 2 10 2 2_Sheet1" xfId="38532"/>
    <cellStyle name="Note 2 2 10 2 3" xfId="38533"/>
    <cellStyle name="Note 2 2 10 2_Sheet1" xfId="38534"/>
    <cellStyle name="Note 2 2 10 3" xfId="38535"/>
    <cellStyle name="Note 2 2 10 3 2" xfId="38536"/>
    <cellStyle name="Note 2 2 10 3 2 2" xfId="38537"/>
    <cellStyle name="Note 2 2 10 3 2_Sheet1" xfId="38538"/>
    <cellStyle name="Note 2 2 10 3 3" xfId="38539"/>
    <cellStyle name="Note 2 2 10 3_Sheet1" xfId="38540"/>
    <cellStyle name="Note 2 2 10 4" xfId="38541"/>
    <cellStyle name="Note 2 2 10 4 2" xfId="38542"/>
    <cellStyle name="Note 2 2 10 4 2 2" xfId="38543"/>
    <cellStyle name="Note 2 2 10 4 2_Sheet1" xfId="38544"/>
    <cellStyle name="Note 2 2 10 4 3" xfId="38545"/>
    <cellStyle name="Note 2 2 10 4_Sheet1" xfId="38546"/>
    <cellStyle name="Note 2 2 10 5" xfId="38547"/>
    <cellStyle name="Note 2 2 10_Sheet1" xfId="38548"/>
    <cellStyle name="Note 2 2 11" xfId="38549"/>
    <cellStyle name="Note 2 2 11 2" xfId="38550"/>
    <cellStyle name="Note 2 2 11 2 2" xfId="38551"/>
    <cellStyle name="Note 2 2 11 2 2 2" xfId="38552"/>
    <cellStyle name="Note 2 2 11 2 2_Sheet1" xfId="38553"/>
    <cellStyle name="Note 2 2 11 2 3" xfId="38554"/>
    <cellStyle name="Note 2 2 11 2_Sheet1" xfId="38555"/>
    <cellStyle name="Note 2 2 11 3" xfId="38556"/>
    <cellStyle name="Note 2 2 11 3 2" xfId="38557"/>
    <cellStyle name="Note 2 2 11 3 2 2" xfId="38558"/>
    <cellStyle name="Note 2 2 11 3 2_Sheet1" xfId="38559"/>
    <cellStyle name="Note 2 2 11 3 3" xfId="38560"/>
    <cellStyle name="Note 2 2 11 3_Sheet1" xfId="38561"/>
    <cellStyle name="Note 2 2 11 4" xfId="38562"/>
    <cellStyle name="Note 2 2 11 4 2" xfId="38563"/>
    <cellStyle name="Note 2 2 11 4 2 2" xfId="38564"/>
    <cellStyle name="Note 2 2 11 4 2_Sheet1" xfId="38565"/>
    <cellStyle name="Note 2 2 11 4 3" xfId="38566"/>
    <cellStyle name="Note 2 2 11 4_Sheet1" xfId="38567"/>
    <cellStyle name="Note 2 2 11 5" xfId="38568"/>
    <cellStyle name="Note 2 2 11_Sheet1" xfId="38569"/>
    <cellStyle name="Note 2 2 12" xfId="38570"/>
    <cellStyle name="Note 2 2 12 2" xfId="38571"/>
    <cellStyle name="Note 2 2 12 2 2" xfId="38572"/>
    <cellStyle name="Note 2 2 12 2 2 2" xfId="38573"/>
    <cellStyle name="Note 2 2 12 2 2_Sheet1" xfId="38574"/>
    <cellStyle name="Note 2 2 12 2 3" xfId="38575"/>
    <cellStyle name="Note 2 2 12 2_Sheet1" xfId="38576"/>
    <cellStyle name="Note 2 2 12 3" xfId="38577"/>
    <cellStyle name="Note 2 2 12 3 2" xfId="38578"/>
    <cellStyle name="Note 2 2 12 3 2 2" xfId="38579"/>
    <cellStyle name="Note 2 2 12 3 2_Sheet1" xfId="38580"/>
    <cellStyle name="Note 2 2 12 3 3" xfId="38581"/>
    <cellStyle name="Note 2 2 12 3_Sheet1" xfId="38582"/>
    <cellStyle name="Note 2 2 12 4" xfId="38583"/>
    <cellStyle name="Note 2 2 12 4 2" xfId="38584"/>
    <cellStyle name="Note 2 2 12 4 2 2" xfId="38585"/>
    <cellStyle name="Note 2 2 12 4 2_Sheet1" xfId="38586"/>
    <cellStyle name="Note 2 2 12 4 3" xfId="38587"/>
    <cellStyle name="Note 2 2 12 4_Sheet1" xfId="38588"/>
    <cellStyle name="Note 2 2 12 5" xfId="38589"/>
    <cellStyle name="Note 2 2 12_Sheet1" xfId="38590"/>
    <cellStyle name="Note 2 2 13" xfId="38591"/>
    <cellStyle name="Note 2 2 13 2" xfId="38592"/>
    <cellStyle name="Note 2 2 13 2 2" xfId="38593"/>
    <cellStyle name="Note 2 2 13 2 2 2" xfId="38594"/>
    <cellStyle name="Note 2 2 13 2 2_Sheet1" xfId="38595"/>
    <cellStyle name="Note 2 2 13 2 3" xfId="38596"/>
    <cellStyle name="Note 2 2 13 2_Sheet1" xfId="38597"/>
    <cellStyle name="Note 2 2 13 3" xfId="38598"/>
    <cellStyle name="Note 2 2 13 3 2" xfId="38599"/>
    <cellStyle name="Note 2 2 13 3 2 2" xfId="38600"/>
    <cellStyle name="Note 2 2 13 3 2_Sheet1" xfId="38601"/>
    <cellStyle name="Note 2 2 13 3 3" xfId="38602"/>
    <cellStyle name="Note 2 2 13 3_Sheet1" xfId="38603"/>
    <cellStyle name="Note 2 2 13 4" xfId="38604"/>
    <cellStyle name="Note 2 2 13 4 2" xfId="38605"/>
    <cellStyle name="Note 2 2 13 4 2 2" xfId="38606"/>
    <cellStyle name="Note 2 2 13 4 2_Sheet1" xfId="38607"/>
    <cellStyle name="Note 2 2 13 4 3" xfId="38608"/>
    <cellStyle name="Note 2 2 13 4_Sheet1" xfId="38609"/>
    <cellStyle name="Note 2 2 13 5" xfId="38610"/>
    <cellStyle name="Note 2 2 13_Sheet1" xfId="38611"/>
    <cellStyle name="Note 2 2 14" xfId="38612"/>
    <cellStyle name="Note 2 2 14 2" xfId="38613"/>
    <cellStyle name="Note 2 2 14 2 2" xfId="38614"/>
    <cellStyle name="Note 2 2 14 2 2 2" xfId="38615"/>
    <cellStyle name="Note 2 2 14 2 2_Sheet1" xfId="38616"/>
    <cellStyle name="Note 2 2 14 2 3" xfId="38617"/>
    <cellStyle name="Note 2 2 14 2_Sheet1" xfId="38618"/>
    <cellStyle name="Note 2 2 14 3" xfId="38619"/>
    <cellStyle name="Note 2 2 14 3 2" xfId="38620"/>
    <cellStyle name="Note 2 2 14 3 2 2" xfId="38621"/>
    <cellStyle name="Note 2 2 14 3 2_Sheet1" xfId="38622"/>
    <cellStyle name="Note 2 2 14 3 3" xfId="38623"/>
    <cellStyle name="Note 2 2 14 3_Sheet1" xfId="38624"/>
    <cellStyle name="Note 2 2 14 4" xfId="38625"/>
    <cellStyle name="Note 2 2 14 4 2" xfId="38626"/>
    <cellStyle name="Note 2 2 14 4 2 2" xfId="38627"/>
    <cellStyle name="Note 2 2 14 4 2_Sheet1" xfId="38628"/>
    <cellStyle name="Note 2 2 14 4 3" xfId="38629"/>
    <cellStyle name="Note 2 2 14 4_Sheet1" xfId="38630"/>
    <cellStyle name="Note 2 2 14 5" xfId="38631"/>
    <cellStyle name="Note 2 2 14_Sheet1" xfId="38632"/>
    <cellStyle name="Note 2 2 15" xfId="38633"/>
    <cellStyle name="Note 2 2 15 2" xfId="38634"/>
    <cellStyle name="Note 2 2 15 2 2" xfId="38635"/>
    <cellStyle name="Note 2 2 15 2 2 2" xfId="38636"/>
    <cellStyle name="Note 2 2 15 2 2_Sheet1" xfId="38637"/>
    <cellStyle name="Note 2 2 15 2 3" xfId="38638"/>
    <cellStyle name="Note 2 2 15 2_Sheet1" xfId="38639"/>
    <cellStyle name="Note 2 2 15 3" xfId="38640"/>
    <cellStyle name="Note 2 2 15 3 2" xfId="38641"/>
    <cellStyle name="Note 2 2 15 3 2 2" xfId="38642"/>
    <cellStyle name="Note 2 2 15 3 2_Sheet1" xfId="38643"/>
    <cellStyle name="Note 2 2 15 3 3" xfId="38644"/>
    <cellStyle name="Note 2 2 15 3_Sheet1" xfId="38645"/>
    <cellStyle name="Note 2 2 15 4" xfId="38646"/>
    <cellStyle name="Note 2 2 15 4 2" xfId="38647"/>
    <cellStyle name="Note 2 2 15 4 2 2" xfId="38648"/>
    <cellStyle name="Note 2 2 15 4 2_Sheet1" xfId="38649"/>
    <cellStyle name="Note 2 2 15 4 3" xfId="38650"/>
    <cellStyle name="Note 2 2 15 4_Sheet1" xfId="38651"/>
    <cellStyle name="Note 2 2 15 5" xfId="38652"/>
    <cellStyle name="Note 2 2 15_Sheet1" xfId="38653"/>
    <cellStyle name="Note 2 2 16" xfId="38654"/>
    <cellStyle name="Note 2 2 16 2" xfId="38655"/>
    <cellStyle name="Note 2 2 16 2 2" xfId="38656"/>
    <cellStyle name="Note 2 2 16 2 2 2" xfId="38657"/>
    <cellStyle name="Note 2 2 16 2 2_Sheet1" xfId="38658"/>
    <cellStyle name="Note 2 2 16 2 3" xfId="38659"/>
    <cellStyle name="Note 2 2 16 2_Sheet1" xfId="38660"/>
    <cellStyle name="Note 2 2 16 3" xfId="38661"/>
    <cellStyle name="Note 2 2 16 3 2" xfId="38662"/>
    <cellStyle name="Note 2 2 16 3 2 2" xfId="38663"/>
    <cellStyle name="Note 2 2 16 3 2_Sheet1" xfId="38664"/>
    <cellStyle name="Note 2 2 16 3 3" xfId="38665"/>
    <cellStyle name="Note 2 2 16 3_Sheet1" xfId="38666"/>
    <cellStyle name="Note 2 2 16 4" xfId="38667"/>
    <cellStyle name="Note 2 2 16 4 2" xfId="38668"/>
    <cellStyle name="Note 2 2 16 4 2 2" xfId="38669"/>
    <cellStyle name="Note 2 2 16 4 2_Sheet1" xfId="38670"/>
    <cellStyle name="Note 2 2 16 4 3" xfId="38671"/>
    <cellStyle name="Note 2 2 16 4_Sheet1" xfId="38672"/>
    <cellStyle name="Note 2 2 16 5" xfId="38673"/>
    <cellStyle name="Note 2 2 16_Sheet1" xfId="38674"/>
    <cellStyle name="Note 2 2 17" xfId="38675"/>
    <cellStyle name="Note 2 2 17 2" xfId="38676"/>
    <cellStyle name="Note 2 2 17 2 2" xfId="38677"/>
    <cellStyle name="Note 2 2 17 2 2 2" xfId="38678"/>
    <cellStyle name="Note 2 2 17 2 2_Sheet1" xfId="38679"/>
    <cellStyle name="Note 2 2 17 2 3" xfId="38680"/>
    <cellStyle name="Note 2 2 17 2_Sheet1" xfId="38681"/>
    <cellStyle name="Note 2 2 17 3" xfId="38682"/>
    <cellStyle name="Note 2 2 17 3 2" xfId="38683"/>
    <cellStyle name="Note 2 2 17 3 2 2" xfId="38684"/>
    <cellStyle name="Note 2 2 17 3 2_Sheet1" xfId="38685"/>
    <cellStyle name="Note 2 2 17 3 3" xfId="38686"/>
    <cellStyle name="Note 2 2 17 3_Sheet1" xfId="38687"/>
    <cellStyle name="Note 2 2 17 4" xfId="38688"/>
    <cellStyle name="Note 2 2 17 4 2" xfId="38689"/>
    <cellStyle name="Note 2 2 17 4 2 2" xfId="38690"/>
    <cellStyle name="Note 2 2 17 4 2_Sheet1" xfId="38691"/>
    <cellStyle name="Note 2 2 17 4 3" xfId="38692"/>
    <cellStyle name="Note 2 2 17 4_Sheet1" xfId="38693"/>
    <cellStyle name="Note 2 2 17 5" xfId="38694"/>
    <cellStyle name="Note 2 2 17_Sheet1" xfId="38695"/>
    <cellStyle name="Note 2 2 18" xfId="38696"/>
    <cellStyle name="Note 2 2 18 2" xfId="38697"/>
    <cellStyle name="Note 2 2 18 2 2" xfId="38698"/>
    <cellStyle name="Note 2 2 18 2 2 2" xfId="38699"/>
    <cellStyle name="Note 2 2 18 2 2_Sheet1" xfId="38700"/>
    <cellStyle name="Note 2 2 18 2 3" xfId="38701"/>
    <cellStyle name="Note 2 2 18 2_Sheet1" xfId="38702"/>
    <cellStyle name="Note 2 2 18 3" xfId="38703"/>
    <cellStyle name="Note 2 2 18 3 2" xfId="38704"/>
    <cellStyle name="Note 2 2 18 3 2 2" xfId="38705"/>
    <cellStyle name="Note 2 2 18 3 2_Sheet1" xfId="38706"/>
    <cellStyle name="Note 2 2 18 3 3" xfId="38707"/>
    <cellStyle name="Note 2 2 18 3_Sheet1" xfId="38708"/>
    <cellStyle name="Note 2 2 18 4" xfId="38709"/>
    <cellStyle name="Note 2 2 18 4 2" xfId="38710"/>
    <cellStyle name="Note 2 2 18 4 2 2" xfId="38711"/>
    <cellStyle name="Note 2 2 18 4 2_Sheet1" xfId="38712"/>
    <cellStyle name="Note 2 2 18 4 3" xfId="38713"/>
    <cellStyle name="Note 2 2 18 4_Sheet1" xfId="38714"/>
    <cellStyle name="Note 2 2 18 5" xfId="38715"/>
    <cellStyle name="Note 2 2 18_Sheet1" xfId="38716"/>
    <cellStyle name="Note 2 2 19" xfId="38717"/>
    <cellStyle name="Note 2 2 19 2" xfId="38718"/>
    <cellStyle name="Note 2 2 19 2 2" xfId="38719"/>
    <cellStyle name="Note 2 2 19 2_Sheet1" xfId="38720"/>
    <cellStyle name="Note 2 2 19 3" xfId="38721"/>
    <cellStyle name="Note 2 2 19_Sheet1" xfId="38722"/>
    <cellStyle name="Note 2 2 2" xfId="38723"/>
    <cellStyle name="Note 2 2 2 2" xfId="38724"/>
    <cellStyle name="Note 2 2 2 2 2" xfId="38725"/>
    <cellStyle name="Note 2 2 2 2 2 2" xfId="38726"/>
    <cellStyle name="Note 2 2 2 2 2_Sheet1" xfId="38727"/>
    <cellStyle name="Note 2 2 2 2 3" xfId="38728"/>
    <cellStyle name="Note 2 2 2 2_Sheet1" xfId="38729"/>
    <cellStyle name="Note 2 2 2 3" xfId="38730"/>
    <cellStyle name="Note 2 2 2 3 2" xfId="38731"/>
    <cellStyle name="Note 2 2 2 3 2 2" xfId="38732"/>
    <cellStyle name="Note 2 2 2 3 2_Sheet1" xfId="38733"/>
    <cellStyle name="Note 2 2 2 3 3" xfId="38734"/>
    <cellStyle name="Note 2 2 2 3_Sheet1" xfId="38735"/>
    <cellStyle name="Note 2 2 2 4" xfId="38736"/>
    <cellStyle name="Note 2 2 2 4 2" xfId="38737"/>
    <cellStyle name="Note 2 2 2 4 2 2" xfId="38738"/>
    <cellStyle name="Note 2 2 2 4 2_Sheet1" xfId="38739"/>
    <cellStyle name="Note 2 2 2 4 3" xfId="38740"/>
    <cellStyle name="Note 2 2 2 4_Sheet1" xfId="38741"/>
    <cellStyle name="Note 2 2 2 5" xfId="38742"/>
    <cellStyle name="Note 2 2 2_Sheet1" xfId="38743"/>
    <cellStyle name="Note 2 2 20" xfId="38744"/>
    <cellStyle name="Note 2 2 20 2" xfId="38745"/>
    <cellStyle name="Note 2 2 20 2 2" xfId="38746"/>
    <cellStyle name="Note 2 2 20 2_Sheet1" xfId="38747"/>
    <cellStyle name="Note 2 2 20 3" xfId="38748"/>
    <cellStyle name="Note 2 2 20_Sheet1" xfId="38749"/>
    <cellStyle name="Note 2 2 21" xfId="38750"/>
    <cellStyle name="Note 2 2 21 2" xfId="38751"/>
    <cellStyle name="Note 2 2 21 2 2" xfId="38752"/>
    <cellStyle name="Note 2 2 21 2_Sheet1" xfId="38753"/>
    <cellStyle name="Note 2 2 21 3" xfId="38754"/>
    <cellStyle name="Note 2 2 21_Sheet1" xfId="38755"/>
    <cellStyle name="Note 2 2 22" xfId="38756"/>
    <cellStyle name="Note 2 2 3" xfId="38757"/>
    <cellStyle name="Note 2 2 3 2" xfId="38758"/>
    <cellStyle name="Note 2 2 3 2 2" xfId="38759"/>
    <cellStyle name="Note 2 2 3 2 2 2" xfId="38760"/>
    <cellStyle name="Note 2 2 3 2 2_Sheet1" xfId="38761"/>
    <cellStyle name="Note 2 2 3 2 3" xfId="38762"/>
    <cellStyle name="Note 2 2 3 2_Sheet1" xfId="38763"/>
    <cellStyle name="Note 2 2 3 3" xfId="38764"/>
    <cellStyle name="Note 2 2 3 3 2" xfId="38765"/>
    <cellStyle name="Note 2 2 3 3 2 2" xfId="38766"/>
    <cellStyle name="Note 2 2 3 3 2_Sheet1" xfId="38767"/>
    <cellStyle name="Note 2 2 3 3 3" xfId="38768"/>
    <cellStyle name="Note 2 2 3 3_Sheet1" xfId="38769"/>
    <cellStyle name="Note 2 2 3 4" xfId="38770"/>
    <cellStyle name="Note 2 2 3 4 2" xfId="38771"/>
    <cellStyle name="Note 2 2 3 4 2 2" xfId="38772"/>
    <cellStyle name="Note 2 2 3 4 2_Sheet1" xfId="38773"/>
    <cellStyle name="Note 2 2 3 4 3" xfId="38774"/>
    <cellStyle name="Note 2 2 3 4_Sheet1" xfId="38775"/>
    <cellStyle name="Note 2 2 3 5" xfId="38776"/>
    <cellStyle name="Note 2 2 3_Sheet1" xfId="38777"/>
    <cellStyle name="Note 2 2 4" xfId="38778"/>
    <cellStyle name="Note 2 2 4 2" xfId="38779"/>
    <cellStyle name="Note 2 2 4 2 2" xfId="38780"/>
    <cellStyle name="Note 2 2 4 2 2 2" xfId="38781"/>
    <cellStyle name="Note 2 2 4 2 2_Sheet1" xfId="38782"/>
    <cellStyle name="Note 2 2 4 2 3" xfId="38783"/>
    <cellStyle name="Note 2 2 4 2_Sheet1" xfId="38784"/>
    <cellStyle name="Note 2 2 4 3" xfId="38785"/>
    <cellStyle name="Note 2 2 4 3 2" xfId="38786"/>
    <cellStyle name="Note 2 2 4 3 2 2" xfId="38787"/>
    <cellStyle name="Note 2 2 4 3 2_Sheet1" xfId="38788"/>
    <cellStyle name="Note 2 2 4 3 3" xfId="38789"/>
    <cellStyle name="Note 2 2 4 3_Sheet1" xfId="38790"/>
    <cellStyle name="Note 2 2 4 4" xfId="38791"/>
    <cellStyle name="Note 2 2 4 4 2" xfId="38792"/>
    <cellStyle name="Note 2 2 4 4 2 2" xfId="38793"/>
    <cellStyle name="Note 2 2 4 4 2_Sheet1" xfId="38794"/>
    <cellStyle name="Note 2 2 4 4 3" xfId="38795"/>
    <cellStyle name="Note 2 2 4 4_Sheet1" xfId="38796"/>
    <cellStyle name="Note 2 2 4 5" xfId="38797"/>
    <cellStyle name="Note 2 2 4_Sheet1" xfId="38798"/>
    <cellStyle name="Note 2 2 5" xfId="38799"/>
    <cellStyle name="Note 2 2 5 2" xfId="38800"/>
    <cellStyle name="Note 2 2 5 2 2" xfId="38801"/>
    <cellStyle name="Note 2 2 5 2 2 2" xfId="38802"/>
    <cellStyle name="Note 2 2 5 2 2_Sheet1" xfId="38803"/>
    <cellStyle name="Note 2 2 5 2 3" xfId="38804"/>
    <cellStyle name="Note 2 2 5 2_Sheet1" xfId="38805"/>
    <cellStyle name="Note 2 2 5 3" xfId="38806"/>
    <cellStyle name="Note 2 2 5 3 2" xfId="38807"/>
    <cellStyle name="Note 2 2 5 3 2 2" xfId="38808"/>
    <cellStyle name="Note 2 2 5 3 2_Sheet1" xfId="38809"/>
    <cellStyle name="Note 2 2 5 3 3" xfId="38810"/>
    <cellStyle name="Note 2 2 5 3_Sheet1" xfId="38811"/>
    <cellStyle name="Note 2 2 5 4" xfId="38812"/>
    <cellStyle name="Note 2 2 5 4 2" xfId="38813"/>
    <cellStyle name="Note 2 2 5 4 2 2" xfId="38814"/>
    <cellStyle name="Note 2 2 5 4 2_Sheet1" xfId="38815"/>
    <cellStyle name="Note 2 2 5 4 3" xfId="38816"/>
    <cellStyle name="Note 2 2 5 4_Sheet1" xfId="38817"/>
    <cellStyle name="Note 2 2 5 5" xfId="38818"/>
    <cellStyle name="Note 2 2 5_Sheet1" xfId="38819"/>
    <cellStyle name="Note 2 2 6" xfId="38820"/>
    <cellStyle name="Note 2 2 6 2" xfId="38821"/>
    <cellStyle name="Note 2 2 6 2 2" xfId="38822"/>
    <cellStyle name="Note 2 2 6 2 2 2" xfId="38823"/>
    <cellStyle name="Note 2 2 6 2 2_Sheet1" xfId="38824"/>
    <cellStyle name="Note 2 2 6 2 3" xfId="38825"/>
    <cellStyle name="Note 2 2 6 2_Sheet1" xfId="38826"/>
    <cellStyle name="Note 2 2 6 3" xfId="38827"/>
    <cellStyle name="Note 2 2 6 3 2" xfId="38828"/>
    <cellStyle name="Note 2 2 6 3 2 2" xfId="38829"/>
    <cellStyle name="Note 2 2 6 3 2_Sheet1" xfId="38830"/>
    <cellStyle name="Note 2 2 6 3 3" xfId="38831"/>
    <cellStyle name="Note 2 2 6 3_Sheet1" xfId="38832"/>
    <cellStyle name="Note 2 2 6 4" xfId="38833"/>
    <cellStyle name="Note 2 2 6 4 2" xfId="38834"/>
    <cellStyle name="Note 2 2 6 4 2 2" xfId="38835"/>
    <cellStyle name="Note 2 2 6 4 2_Sheet1" xfId="38836"/>
    <cellStyle name="Note 2 2 6 4 3" xfId="38837"/>
    <cellStyle name="Note 2 2 6 4_Sheet1" xfId="38838"/>
    <cellStyle name="Note 2 2 6 5" xfId="38839"/>
    <cellStyle name="Note 2 2 6_Sheet1" xfId="38840"/>
    <cellStyle name="Note 2 2 7" xfId="38841"/>
    <cellStyle name="Note 2 2 7 2" xfId="38842"/>
    <cellStyle name="Note 2 2 7 2 2" xfId="38843"/>
    <cellStyle name="Note 2 2 7 2 2 2" xfId="38844"/>
    <cellStyle name="Note 2 2 7 2 2_Sheet1" xfId="38845"/>
    <cellStyle name="Note 2 2 7 2 3" xfId="38846"/>
    <cellStyle name="Note 2 2 7 2_Sheet1" xfId="38847"/>
    <cellStyle name="Note 2 2 7 3" xfId="38848"/>
    <cellStyle name="Note 2 2 7 3 2" xfId="38849"/>
    <cellStyle name="Note 2 2 7 3 2 2" xfId="38850"/>
    <cellStyle name="Note 2 2 7 3 2_Sheet1" xfId="38851"/>
    <cellStyle name="Note 2 2 7 3 3" xfId="38852"/>
    <cellStyle name="Note 2 2 7 3_Sheet1" xfId="38853"/>
    <cellStyle name="Note 2 2 7 4" xfId="38854"/>
    <cellStyle name="Note 2 2 7 4 2" xfId="38855"/>
    <cellStyle name="Note 2 2 7 4 2 2" xfId="38856"/>
    <cellStyle name="Note 2 2 7 4 2_Sheet1" xfId="38857"/>
    <cellStyle name="Note 2 2 7 4 3" xfId="38858"/>
    <cellStyle name="Note 2 2 7 4_Sheet1" xfId="38859"/>
    <cellStyle name="Note 2 2 7 5" xfId="38860"/>
    <cellStyle name="Note 2 2 7_Sheet1" xfId="38861"/>
    <cellStyle name="Note 2 2 8" xfId="38862"/>
    <cellStyle name="Note 2 2 8 2" xfId="38863"/>
    <cellStyle name="Note 2 2 8 2 2" xfId="38864"/>
    <cellStyle name="Note 2 2 8 2 2 2" xfId="38865"/>
    <cellStyle name="Note 2 2 8 2 2_Sheet1" xfId="38866"/>
    <cellStyle name="Note 2 2 8 2 3" xfId="38867"/>
    <cellStyle name="Note 2 2 8 2_Sheet1" xfId="38868"/>
    <cellStyle name="Note 2 2 8 3" xfId="38869"/>
    <cellStyle name="Note 2 2 8 3 2" xfId="38870"/>
    <cellStyle name="Note 2 2 8 3 2 2" xfId="38871"/>
    <cellStyle name="Note 2 2 8 3 2_Sheet1" xfId="38872"/>
    <cellStyle name="Note 2 2 8 3 3" xfId="38873"/>
    <cellStyle name="Note 2 2 8 3_Sheet1" xfId="38874"/>
    <cellStyle name="Note 2 2 8 4" xfId="38875"/>
    <cellStyle name="Note 2 2 8 4 2" xfId="38876"/>
    <cellStyle name="Note 2 2 8 4 2 2" xfId="38877"/>
    <cellStyle name="Note 2 2 8 4 2_Sheet1" xfId="38878"/>
    <cellStyle name="Note 2 2 8 4 3" xfId="38879"/>
    <cellStyle name="Note 2 2 8 4_Sheet1" xfId="38880"/>
    <cellStyle name="Note 2 2 8 5" xfId="38881"/>
    <cellStyle name="Note 2 2 8_Sheet1" xfId="38882"/>
    <cellStyle name="Note 2 2 9" xfId="38883"/>
    <cellStyle name="Note 2 2 9 2" xfId="38884"/>
    <cellStyle name="Note 2 2 9 2 2" xfId="38885"/>
    <cellStyle name="Note 2 2 9 2 2 2" xfId="38886"/>
    <cellStyle name="Note 2 2 9 2 2_Sheet1" xfId="38887"/>
    <cellStyle name="Note 2 2 9 2 3" xfId="38888"/>
    <cellStyle name="Note 2 2 9 2_Sheet1" xfId="38889"/>
    <cellStyle name="Note 2 2 9 3" xfId="38890"/>
    <cellStyle name="Note 2 2 9 3 2" xfId="38891"/>
    <cellStyle name="Note 2 2 9 3 2 2" xfId="38892"/>
    <cellStyle name="Note 2 2 9 3 2_Sheet1" xfId="38893"/>
    <cellStyle name="Note 2 2 9 3 3" xfId="38894"/>
    <cellStyle name="Note 2 2 9 3_Sheet1" xfId="38895"/>
    <cellStyle name="Note 2 2 9 4" xfId="38896"/>
    <cellStyle name="Note 2 2 9 4 2" xfId="38897"/>
    <cellStyle name="Note 2 2 9 4 2 2" xfId="38898"/>
    <cellStyle name="Note 2 2 9 4 2_Sheet1" xfId="38899"/>
    <cellStyle name="Note 2 2 9 4 3" xfId="38900"/>
    <cellStyle name="Note 2 2 9 4_Sheet1" xfId="38901"/>
    <cellStyle name="Note 2 2 9 5" xfId="38902"/>
    <cellStyle name="Note 2 2 9_Sheet1" xfId="38903"/>
    <cellStyle name="Note 2 2_Sheet1" xfId="38904"/>
    <cellStyle name="Note 2 20" xfId="38905"/>
    <cellStyle name="Note 2 20 2" xfId="38906"/>
    <cellStyle name="Note 2 20 2 2" xfId="38907"/>
    <cellStyle name="Note 2 20 2 2 2" xfId="38908"/>
    <cellStyle name="Note 2 20 2 2_Sheet1" xfId="38909"/>
    <cellStyle name="Note 2 20 2 3" xfId="38910"/>
    <cellStyle name="Note 2 20 2_Sheet1" xfId="38911"/>
    <cellStyle name="Note 2 20 3" xfId="38912"/>
    <cellStyle name="Note 2 20 3 2" xfId="38913"/>
    <cellStyle name="Note 2 20 3 2 2" xfId="38914"/>
    <cellStyle name="Note 2 20 3 2_Sheet1" xfId="38915"/>
    <cellStyle name="Note 2 20 3 3" xfId="38916"/>
    <cellStyle name="Note 2 20 3_Sheet1" xfId="38917"/>
    <cellStyle name="Note 2 20 4" xfId="38918"/>
    <cellStyle name="Note 2 20 4 2" xfId="38919"/>
    <cellStyle name="Note 2 20 4 2 2" xfId="38920"/>
    <cellStyle name="Note 2 20 4 2_Sheet1" xfId="38921"/>
    <cellStyle name="Note 2 20 4 3" xfId="38922"/>
    <cellStyle name="Note 2 20 4_Sheet1" xfId="38923"/>
    <cellStyle name="Note 2 20 5" xfId="38924"/>
    <cellStyle name="Note 2 20_Sheet1" xfId="38925"/>
    <cellStyle name="Note 2 21" xfId="38926"/>
    <cellStyle name="Note 2 21 2" xfId="38927"/>
    <cellStyle name="Note 2 21 2 2" xfId="38928"/>
    <cellStyle name="Note 2 21 2 2 2" xfId="38929"/>
    <cellStyle name="Note 2 21 2 2_Sheet1" xfId="38930"/>
    <cellStyle name="Note 2 21 2 3" xfId="38931"/>
    <cellStyle name="Note 2 21 2_Sheet1" xfId="38932"/>
    <cellStyle name="Note 2 21 3" xfId="38933"/>
    <cellStyle name="Note 2 21 3 2" xfId="38934"/>
    <cellStyle name="Note 2 21 3 2 2" xfId="38935"/>
    <cellStyle name="Note 2 21 3 2_Sheet1" xfId="38936"/>
    <cellStyle name="Note 2 21 3 3" xfId="38937"/>
    <cellStyle name="Note 2 21 3_Sheet1" xfId="38938"/>
    <cellStyle name="Note 2 21 4" xfId="38939"/>
    <cellStyle name="Note 2 21 4 2" xfId="38940"/>
    <cellStyle name="Note 2 21 4 2 2" xfId="38941"/>
    <cellStyle name="Note 2 21 4 2_Sheet1" xfId="38942"/>
    <cellStyle name="Note 2 21 4 3" xfId="38943"/>
    <cellStyle name="Note 2 21 4_Sheet1" xfId="38944"/>
    <cellStyle name="Note 2 21 5" xfId="38945"/>
    <cellStyle name="Note 2 21_Sheet1" xfId="38946"/>
    <cellStyle name="Note 2 22" xfId="38947"/>
    <cellStyle name="Note 2 22 2" xfId="38948"/>
    <cellStyle name="Note 2 22 2 2" xfId="38949"/>
    <cellStyle name="Note 2 22 2 2 2" xfId="38950"/>
    <cellStyle name="Note 2 22 2 2_Sheet1" xfId="38951"/>
    <cellStyle name="Note 2 22 2 3" xfId="38952"/>
    <cellStyle name="Note 2 22 2_Sheet1" xfId="38953"/>
    <cellStyle name="Note 2 22 3" xfId="38954"/>
    <cellStyle name="Note 2 22 3 2" xfId="38955"/>
    <cellStyle name="Note 2 22 3 2 2" xfId="38956"/>
    <cellStyle name="Note 2 22 3 2_Sheet1" xfId="38957"/>
    <cellStyle name="Note 2 22 3 3" xfId="38958"/>
    <cellStyle name="Note 2 22 3_Sheet1" xfId="38959"/>
    <cellStyle name="Note 2 22 4" xfId="38960"/>
    <cellStyle name="Note 2 22 4 2" xfId="38961"/>
    <cellStyle name="Note 2 22 4 2 2" xfId="38962"/>
    <cellStyle name="Note 2 22 4 2_Sheet1" xfId="38963"/>
    <cellStyle name="Note 2 22 4 3" xfId="38964"/>
    <cellStyle name="Note 2 22 4_Sheet1" xfId="38965"/>
    <cellStyle name="Note 2 22 5" xfId="38966"/>
    <cellStyle name="Note 2 22_Sheet1" xfId="38967"/>
    <cellStyle name="Note 2 23" xfId="38968"/>
    <cellStyle name="Note 2 23 2" xfId="38969"/>
    <cellStyle name="Note 2 23 2 2" xfId="38970"/>
    <cellStyle name="Note 2 23 2 2 2" xfId="38971"/>
    <cellStyle name="Note 2 23 2 2_Sheet1" xfId="38972"/>
    <cellStyle name="Note 2 23 2 3" xfId="38973"/>
    <cellStyle name="Note 2 23 2_Sheet1" xfId="38974"/>
    <cellStyle name="Note 2 23 3" xfId="38975"/>
    <cellStyle name="Note 2 23 3 2" xfId="38976"/>
    <cellStyle name="Note 2 23 3 2 2" xfId="38977"/>
    <cellStyle name="Note 2 23 3 2_Sheet1" xfId="38978"/>
    <cellStyle name="Note 2 23 3 3" xfId="38979"/>
    <cellStyle name="Note 2 23 3_Sheet1" xfId="38980"/>
    <cellStyle name="Note 2 23 4" xfId="38981"/>
    <cellStyle name="Note 2 23 4 2" xfId="38982"/>
    <cellStyle name="Note 2 23 4 2 2" xfId="38983"/>
    <cellStyle name="Note 2 23 4 2_Sheet1" xfId="38984"/>
    <cellStyle name="Note 2 23 4 3" xfId="38985"/>
    <cellStyle name="Note 2 23 4_Sheet1" xfId="38986"/>
    <cellStyle name="Note 2 23 5" xfId="38987"/>
    <cellStyle name="Note 2 23_Sheet1" xfId="38988"/>
    <cellStyle name="Note 2 24" xfId="38989"/>
    <cellStyle name="Note 2 24 2" xfId="38990"/>
    <cellStyle name="Note 2 24 2 2" xfId="38991"/>
    <cellStyle name="Note 2 24 2 2 2" xfId="38992"/>
    <cellStyle name="Note 2 24 2 2_Sheet1" xfId="38993"/>
    <cellStyle name="Note 2 24 2_Sheet1" xfId="38994"/>
    <cellStyle name="Note 2 24 3" xfId="38995"/>
    <cellStyle name="Note 2 24 3 2" xfId="38996"/>
    <cellStyle name="Note 2 24 3 2 2" xfId="38997"/>
    <cellStyle name="Note 2 24 3 2_Sheet1" xfId="38998"/>
    <cellStyle name="Note 2 24 3_Sheet1" xfId="38999"/>
    <cellStyle name="Note 2 24 4" xfId="39000"/>
    <cellStyle name="Note 2 24 4 2" xfId="39001"/>
    <cellStyle name="Note 2 24 4 2 2" xfId="39002"/>
    <cellStyle name="Note 2 24 4 2_Sheet1" xfId="39003"/>
    <cellStyle name="Note 2 24 4_Sheet1" xfId="39004"/>
    <cellStyle name="Note 2 24 5" xfId="39005"/>
    <cellStyle name="Note 2 24 6" xfId="39006"/>
    <cellStyle name="Note 2 24_Sheet1" xfId="39007"/>
    <cellStyle name="Note 2 25" xfId="39008"/>
    <cellStyle name="Note 2 25 2" xfId="39009"/>
    <cellStyle name="Note 2 25 2 2" xfId="39010"/>
    <cellStyle name="Note 2 25 2 2 2" xfId="39011"/>
    <cellStyle name="Note 2 25 2 2_Sheet1" xfId="39012"/>
    <cellStyle name="Note 2 25 2 3" xfId="39013"/>
    <cellStyle name="Note 2 25 2_Sheet1" xfId="39014"/>
    <cellStyle name="Note 2 25 3" xfId="39015"/>
    <cellStyle name="Note 2 25 3 2" xfId="39016"/>
    <cellStyle name="Note 2 25 3 2 2" xfId="39017"/>
    <cellStyle name="Note 2 25 3 2_Sheet1" xfId="39018"/>
    <cellStyle name="Note 2 25 3 3" xfId="39019"/>
    <cellStyle name="Note 2 25 3_Sheet1" xfId="39020"/>
    <cellStyle name="Note 2 25 4" xfId="39021"/>
    <cellStyle name="Note 2 25 4 2" xfId="39022"/>
    <cellStyle name="Note 2 25 4 2 2" xfId="39023"/>
    <cellStyle name="Note 2 25 4 2_Sheet1" xfId="39024"/>
    <cellStyle name="Note 2 25 4 3" xfId="39025"/>
    <cellStyle name="Note 2 25 4_Sheet1" xfId="39026"/>
    <cellStyle name="Note 2 25 5" xfId="39027"/>
    <cellStyle name="Note 2 25_Sheet1" xfId="39028"/>
    <cellStyle name="Note 2 26" xfId="39029"/>
    <cellStyle name="Note 2 26 2" xfId="39030"/>
    <cellStyle name="Note 2 26 2 2" xfId="39031"/>
    <cellStyle name="Note 2 26 2 2 2" xfId="39032"/>
    <cellStyle name="Note 2 26 2 2_Sheet1" xfId="39033"/>
    <cellStyle name="Note 2 26 2 3" xfId="39034"/>
    <cellStyle name="Note 2 26 2_Sheet1" xfId="39035"/>
    <cellStyle name="Note 2 26 3" xfId="39036"/>
    <cellStyle name="Note 2 26 3 2" xfId="39037"/>
    <cellStyle name="Note 2 26 3 2 2" xfId="39038"/>
    <cellStyle name="Note 2 26 3 2_Sheet1" xfId="39039"/>
    <cellStyle name="Note 2 26 3 3" xfId="39040"/>
    <cellStyle name="Note 2 26 3_Sheet1" xfId="39041"/>
    <cellStyle name="Note 2 26 4" xfId="39042"/>
    <cellStyle name="Note 2 26 4 2" xfId="39043"/>
    <cellStyle name="Note 2 26 4 2 2" xfId="39044"/>
    <cellStyle name="Note 2 26 4 2_Sheet1" xfId="39045"/>
    <cellStyle name="Note 2 26 4 3" xfId="39046"/>
    <cellStyle name="Note 2 26 4_Sheet1" xfId="39047"/>
    <cellStyle name="Note 2 26 5" xfId="39048"/>
    <cellStyle name="Note 2 26_Sheet1" xfId="39049"/>
    <cellStyle name="Note 2 27" xfId="39050"/>
    <cellStyle name="Note 2 27 2" xfId="39051"/>
    <cellStyle name="Note 2 27 2 2" xfId="39052"/>
    <cellStyle name="Note 2 27 2 2 2" xfId="39053"/>
    <cellStyle name="Note 2 27 2 2_Sheet1" xfId="39054"/>
    <cellStyle name="Note 2 27 2 3" xfId="39055"/>
    <cellStyle name="Note 2 27 2_Sheet1" xfId="39056"/>
    <cellStyle name="Note 2 27 3" xfId="39057"/>
    <cellStyle name="Note 2 27 3 2" xfId="39058"/>
    <cellStyle name="Note 2 27 3 2 2" xfId="39059"/>
    <cellStyle name="Note 2 27 3 2_Sheet1" xfId="39060"/>
    <cellStyle name="Note 2 27 3 3" xfId="39061"/>
    <cellStyle name="Note 2 27 3_Sheet1" xfId="39062"/>
    <cellStyle name="Note 2 27 4" xfId="39063"/>
    <cellStyle name="Note 2 27 4 2" xfId="39064"/>
    <cellStyle name="Note 2 27 4 2 2" xfId="39065"/>
    <cellStyle name="Note 2 27 4 2_Sheet1" xfId="39066"/>
    <cellStyle name="Note 2 27 4 3" xfId="39067"/>
    <cellStyle name="Note 2 27 4_Sheet1" xfId="39068"/>
    <cellStyle name="Note 2 27 5" xfId="39069"/>
    <cellStyle name="Note 2 27_Sheet1" xfId="39070"/>
    <cellStyle name="Note 2 28" xfId="39071"/>
    <cellStyle name="Note 2 28 2" xfId="39072"/>
    <cellStyle name="Note 2 28 2 2" xfId="39073"/>
    <cellStyle name="Note 2 28 2 2 2" xfId="39074"/>
    <cellStyle name="Note 2 28 2 2_Sheet1" xfId="39075"/>
    <cellStyle name="Note 2 28 2 3" xfId="39076"/>
    <cellStyle name="Note 2 28 2_Sheet1" xfId="39077"/>
    <cellStyle name="Note 2 28 3" xfId="39078"/>
    <cellStyle name="Note 2 28 3 2" xfId="39079"/>
    <cellStyle name="Note 2 28 3 2 2" xfId="39080"/>
    <cellStyle name="Note 2 28 3 2_Sheet1" xfId="39081"/>
    <cellStyle name="Note 2 28 3 3" xfId="39082"/>
    <cellStyle name="Note 2 28 3_Sheet1" xfId="39083"/>
    <cellStyle name="Note 2 28 4" xfId="39084"/>
    <cellStyle name="Note 2 28 4 2" xfId="39085"/>
    <cellStyle name="Note 2 28 4 2 2" xfId="39086"/>
    <cellStyle name="Note 2 28 4 2_Sheet1" xfId="39087"/>
    <cellStyle name="Note 2 28 4 3" xfId="39088"/>
    <cellStyle name="Note 2 28 4_Sheet1" xfId="39089"/>
    <cellStyle name="Note 2 28 5" xfId="39090"/>
    <cellStyle name="Note 2 28_Sheet1" xfId="39091"/>
    <cellStyle name="Note 2 29" xfId="39092"/>
    <cellStyle name="Note 2 29 2" xfId="39093"/>
    <cellStyle name="Note 2 29 2 2" xfId="39094"/>
    <cellStyle name="Note 2 29 2_Sheet1" xfId="39095"/>
    <cellStyle name="Note 2 29 3" xfId="39096"/>
    <cellStyle name="Note 2 29_Sheet1" xfId="39097"/>
    <cellStyle name="Note 2 3" xfId="39098"/>
    <cellStyle name="Note 2 3 10" xfId="39099"/>
    <cellStyle name="Note 2 3 10 2" xfId="39100"/>
    <cellStyle name="Note 2 3 10 2 2" xfId="39101"/>
    <cellStyle name="Note 2 3 10 2 2 2" xfId="39102"/>
    <cellStyle name="Note 2 3 10 2 2_Sheet1" xfId="39103"/>
    <cellStyle name="Note 2 3 10 2 3" xfId="39104"/>
    <cellStyle name="Note 2 3 10 2_Sheet1" xfId="39105"/>
    <cellStyle name="Note 2 3 10 3" xfId="39106"/>
    <cellStyle name="Note 2 3 10 3 2" xfId="39107"/>
    <cellStyle name="Note 2 3 10 3 2 2" xfId="39108"/>
    <cellStyle name="Note 2 3 10 3 2_Sheet1" xfId="39109"/>
    <cellStyle name="Note 2 3 10 3 3" xfId="39110"/>
    <cellStyle name="Note 2 3 10 3_Sheet1" xfId="39111"/>
    <cellStyle name="Note 2 3 10 4" xfId="39112"/>
    <cellStyle name="Note 2 3 10 4 2" xfId="39113"/>
    <cellStyle name="Note 2 3 10 4 2 2" xfId="39114"/>
    <cellStyle name="Note 2 3 10 4 2_Sheet1" xfId="39115"/>
    <cellStyle name="Note 2 3 10 4 3" xfId="39116"/>
    <cellStyle name="Note 2 3 10 4_Sheet1" xfId="39117"/>
    <cellStyle name="Note 2 3 10 5" xfId="39118"/>
    <cellStyle name="Note 2 3 10_Sheet1" xfId="39119"/>
    <cellStyle name="Note 2 3 11" xfId="39120"/>
    <cellStyle name="Note 2 3 11 2" xfId="39121"/>
    <cellStyle name="Note 2 3 11 2 2" xfId="39122"/>
    <cellStyle name="Note 2 3 11 2 2 2" xfId="39123"/>
    <cellStyle name="Note 2 3 11 2 2_Sheet1" xfId="39124"/>
    <cellStyle name="Note 2 3 11 2 3" xfId="39125"/>
    <cellStyle name="Note 2 3 11 2_Sheet1" xfId="39126"/>
    <cellStyle name="Note 2 3 11 3" xfId="39127"/>
    <cellStyle name="Note 2 3 11 3 2" xfId="39128"/>
    <cellStyle name="Note 2 3 11 3 2 2" xfId="39129"/>
    <cellStyle name="Note 2 3 11 3 2_Sheet1" xfId="39130"/>
    <cellStyle name="Note 2 3 11 3 3" xfId="39131"/>
    <cellStyle name="Note 2 3 11 3_Sheet1" xfId="39132"/>
    <cellStyle name="Note 2 3 11 4" xfId="39133"/>
    <cellStyle name="Note 2 3 11 4 2" xfId="39134"/>
    <cellStyle name="Note 2 3 11 4 2 2" xfId="39135"/>
    <cellStyle name="Note 2 3 11 4 2_Sheet1" xfId="39136"/>
    <cellStyle name="Note 2 3 11 4 3" xfId="39137"/>
    <cellStyle name="Note 2 3 11 4_Sheet1" xfId="39138"/>
    <cellStyle name="Note 2 3 11 5" xfId="39139"/>
    <cellStyle name="Note 2 3 11_Sheet1" xfId="39140"/>
    <cellStyle name="Note 2 3 12" xfId="39141"/>
    <cellStyle name="Note 2 3 12 2" xfId="39142"/>
    <cellStyle name="Note 2 3 12 2 2" xfId="39143"/>
    <cellStyle name="Note 2 3 12 2 2 2" xfId="39144"/>
    <cellStyle name="Note 2 3 12 2 2_Sheet1" xfId="39145"/>
    <cellStyle name="Note 2 3 12 2 3" xfId="39146"/>
    <cellStyle name="Note 2 3 12 2_Sheet1" xfId="39147"/>
    <cellStyle name="Note 2 3 12 3" xfId="39148"/>
    <cellStyle name="Note 2 3 12 3 2" xfId="39149"/>
    <cellStyle name="Note 2 3 12 3 2 2" xfId="39150"/>
    <cellStyle name="Note 2 3 12 3 2_Sheet1" xfId="39151"/>
    <cellStyle name="Note 2 3 12 3 3" xfId="39152"/>
    <cellStyle name="Note 2 3 12 3_Sheet1" xfId="39153"/>
    <cellStyle name="Note 2 3 12 4" xfId="39154"/>
    <cellStyle name="Note 2 3 12 4 2" xfId="39155"/>
    <cellStyle name="Note 2 3 12 4 2 2" xfId="39156"/>
    <cellStyle name="Note 2 3 12 4 2_Sheet1" xfId="39157"/>
    <cellStyle name="Note 2 3 12 4 3" xfId="39158"/>
    <cellStyle name="Note 2 3 12 4_Sheet1" xfId="39159"/>
    <cellStyle name="Note 2 3 12 5" xfId="39160"/>
    <cellStyle name="Note 2 3 12_Sheet1" xfId="39161"/>
    <cellStyle name="Note 2 3 13" xfId="39162"/>
    <cellStyle name="Note 2 3 13 2" xfId="39163"/>
    <cellStyle name="Note 2 3 13 2 2" xfId="39164"/>
    <cellStyle name="Note 2 3 13 2 2 2" xfId="39165"/>
    <cellStyle name="Note 2 3 13 2 2_Sheet1" xfId="39166"/>
    <cellStyle name="Note 2 3 13 2 3" xfId="39167"/>
    <cellStyle name="Note 2 3 13 2_Sheet1" xfId="39168"/>
    <cellStyle name="Note 2 3 13 3" xfId="39169"/>
    <cellStyle name="Note 2 3 13 3 2" xfId="39170"/>
    <cellStyle name="Note 2 3 13 3 2 2" xfId="39171"/>
    <cellStyle name="Note 2 3 13 3 2_Sheet1" xfId="39172"/>
    <cellStyle name="Note 2 3 13 3 3" xfId="39173"/>
    <cellStyle name="Note 2 3 13 3_Sheet1" xfId="39174"/>
    <cellStyle name="Note 2 3 13 4" xfId="39175"/>
    <cellStyle name="Note 2 3 13 4 2" xfId="39176"/>
    <cellStyle name="Note 2 3 13 4 2 2" xfId="39177"/>
    <cellStyle name="Note 2 3 13 4 2_Sheet1" xfId="39178"/>
    <cellStyle name="Note 2 3 13 4 3" xfId="39179"/>
    <cellStyle name="Note 2 3 13 4_Sheet1" xfId="39180"/>
    <cellStyle name="Note 2 3 13 5" xfId="39181"/>
    <cellStyle name="Note 2 3 13_Sheet1" xfId="39182"/>
    <cellStyle name="Note 2 3 14" xfId="39183"/>
    <cellStyle name="Note 2 3 14 2" xfId="39184"/>
    <cellStyle name="Note 2 3 14 2 2" xfId="39185"/>
    <cellStyle name="Note 2 3 14 2 2 2" xfId="39186"/>
    <cellStyle name="Note 2 3 14 2 2_Sheet1" xfId="39187"/>
    <cellStyle name="Note 2 3 14 2 3" xfId="39188"/>
    <cellStyle name="Note 2 3 14 2_Sheet1" xfId="39189"/>
    <cellStyle name="Note 2 3 14 3" xfId="39190"/>
    <cellStyle name="Note 2 3 14 3 2" xfId="39191"/>
    <cellStyle name="Note 2 3 14 3 2 2" xfId="39192"/>
    <cellStyle name="Note 2 3 14 3 2_Sheet1" xfId="39193"/>
    <cellStyle name="Note 2 3 14 3 3" xfId="39194"/>
    <cellStyle name="Note 2 3 14 3_Sheet1" xfId="39195"/>
    <cellStyle name="Note 2 3 14 4" xfId="39196"/>
    <cellStyle name="Note 2 3 14 4 2" xfId="39197"/>
    <cellStyle name="Note 2 3 14 4 2 2" xfId="39198"/>
    <cellStyle name="Note 2 3 14 4 2_Sheet1" xfId="39199"/>
    <cellStyle name="Note 2 3 14 4 3" xfId="39200"/>
    <cellStyle name="Note 2 3 14 4_Sheet1" xfId="39201"/>
    <cellStyle name="Note 2 3 14 5" xfId="39202"/>
    <cellStyle name="Note 2 3 14_Sheet1" xfId="39203"/>
    <cellStyle name="Note 2 3 15" xfId="39204"/>
    <cellStyle name="Note 2 3 15 2" xfId="39205"/>
    <cellStyle name="Note 2 3 15 2 2" xfId="39206"/>
    <cellStyle name="Note 2 3 15 2 2 2" xfId="39207"/>
    <cellStyle name="Note 2 3 15 2 2_Sheet1" xfId="39208"/>
    <cellStyle name="Note 2 3 15 2 3" xfId="39209"/>
    <cellStyle name="Note 2 3 15 2_Sheet1" xfId="39210"/>
    <cellStyle name="Note 2 3 15 3" xfId="39211"/>
    <cellStyle name="Note 2 3 15 3 2" xfId="39212"/>
    <cellStyle name="Note 2 3 15 3 2 2" xfId="39213"/>
    <cellStyle name="Note 2 3 15 3 2_Sheet1" xfId="39214"/>
    <cellStyle name="Note 2 3 15 3 3" xfId="39215"/>
    <cellStyle name="Note 2 3 15 3_Sheet1" xfId="39216"/>
    <cellStyle name="Note 2 3 15 4" xfId="39217"/>
    <cellStyle name="Note 2 3 15 4 2" xfId="39218"/>
    <cellStyle name="Note 2 3 15 4 2 2" xfId="39219"/>
    <cellStyle name="Note 2 3 15 4 2_Sheet1" xfId="39220"/>
    <cellStyle name="Note 2 3 15 4 3" xfId="39221"/>
    <cellStyle name="Note 2 3 15 4_Sheet1" xfId="39222"/>
    <cellStyle name="Note 2 3 15 5" xfId="39223"/>
    <cellStyle name="Note 2 3 15_Sheet1" xfId="39224"/>
    <cellStyle name="Note 2 3 16" xfId="39225"/>
    <cellStyle name="Note 2 3 16 2" xfId="39226"/>
    <cellStyle name="Note 2 3 16 2 2" xfId="39227"/>
    <cellStyle name="Note 2 3 16 2 2 2" xfId="39228"/>
    <cellStyle name="Note 2 3 16 2 2_Sheet1" xfId="39229"/>
    <cellStyle name="Note 2 3 16 2 3" xfId="39230"/>
    <cellStyle name="Note 2 3 16 2_Sheet1" xfId="39231"/>
    <cellStyle name="Note 2 3 16 3" xfId="39232"/>
    <cellStyle name="Note 2 3 16 3 2" xfId="39233"/>
    <cellStyle name="Note 2 3 16 3 2 2" xfId="39234"/>
    <cellStyle name="Note 2 3 16 3 2_Sheet1" xfId="39235"/>
    <cellStyle name="Note 2 3 16 3 3" xfId="39236"/>
    <cellStyle name="Note 2 3 16 3_Sheet1" xfId="39237"/>
    <cellStyle name="Note 2 3 16 4" xfId="39238"/>
    <cellStyle name="Note 2 3 16 4 2" xfId="39239"/>
    <cellStyle name="Note 2 3 16 4 2 2" xfId="39240"/>
    <cellStyle name="Note 2 3 16 4 2_Sheet1" xfId="39241"/>
    <cellStyle name="Note 2 3 16 4 3" xfId="39242"/>
    <cellStyle name="Note 2 3 16 4_Sheet1" xfId="39243"/>
    <cellStyle name="Note 2 3 16 5" xfId="39244"/>
    <cellStyle name="Note 2 3 16_Sheet1" xfId="39245"/>
    <cellStyle name="Note 2 3 17" xfId="39246"/>
    <cellStyle name="Note 2 3 17 2" xfId="39247"/>
    <cellStyle name="Note 2 3 17 2 2" xfId="39248"/>
    <cellStyle name="Note 2 3 17 2 2 2" xfId="39249"/>
    <cellStyle name="Note 2 3 17 2 2_Sheet1" xfId="39250"/>
    <cellStyle name="Note 2 3 17 2 3" xfId="39251"/>
    <cellStyle name="Note 2 3 17 2_Sheet1" xfId="39252"/>
    <cellStyle name="Note 2 3 17 3" xfId="39253"/>
    <cellStyle name="Note 2 3 17 3 2" xfId="39254"/>
    <cellStyle name="Note 2 3 17 3 2 2" xfId="39255"/>
    <cellStyle name="Note 2 3 17 3 2_Sheet1" xfId="39256"/>
    <cellStyle name="Note 2 3 17 3 3" xfId="39257"/>
    <cellStyle name="Note 2 3 17 3_Sheet1" xfId="39258"/>
    <cellStyle name="Note 2 3 17 4" xfId="39259"/>
    <cellStyle name="Note 2 3 17 4 2" xfId="39260"/>
    <cellStyle name="Note 2 3 17 4 2 2" xfId="39261"/>
    <cellStyle name="Note 2 3 17 4 2_Sheet1" xfId="39262"/>
    <cellStyle name="Note 2 3 17 4 3" xfId="39263"/>
    <cellStyle name="Note 2 3 17 4_Sheet1" xfId="39264"/>
    <cellStyle name="Note 2 3 17 5" xfId="39265"/>
    <cellStyle name="Note 2 3 17_Sheet1" xfId="39266"/>
    <cellStyle name="Note 2 3 18" xfId="39267"/>
    <cellStyle name="Note 2 3 18 2" xfId="39268"/>
    <cellStyle name="Note 2 3 18 2 2" xfId="39269"/>
    <cellStyle name="Note 2 3 18 2 2 2" xfId="39270"/>
    <cellStyle name="Note 2 3 18 2 2_Sheet1" xfId="39271"/>
    <cellStyle name="Note 2 3 18 2 3" xfId="39272"/>
    <cellStyle name="Note 2 3 18 2_Sheet1" xfId="39273"/>
    <cellStyle name="Note 2 3 18 3" xfId="39274"/>
    <cellStyle name="Note 2 3 18 3 2" xfId="39275"/>
    <cellStyle name="Note 2 3 18 3 2 2" xfId="39276"/>
    <cellStyle name="Note 2 3 18 3 2_Sheet1" xfId="39277"/>
    <cellStyle name="Note 2 3 18 3 3" xfId="39278"/>
    <cellStyle name="Note 2 3 18 3_Sheet1" xfId="39279"/>
    <cellStyle name="Note 2 3 18 4" xfId="39280"/>
    <cellStyle name="Note 2 3 18 4 2" xfId="39281"/>
    <cellStyle name="Note 2 3 18 4 2 2" xfId="39282"/>
    <cellStyle name="Note 2 3 18 4 2_Sheet1" xfId="39283"/>
    <cellStyle name="Note 2 3 18 4 3" xfId="39284"/>
    <cellStyle name="Note 2 3 18 4_Sheet1" xfId="39285"/>
    <cellStyle name="Note 2 3 18 5" xfId="39286"/>
    <cellStyle name="Note 2 3 18_Sheet1" xfId="39287"/>
    <cellStyle name="Note 2 3 19" xfId="39288"/>
    <cellStyle name="Note 2 3 19 2" xfId="39289"/>
    <cellStyle name="Note 2 3 19 2 2" xfId="39290"/>
    <cellStyle name="Note 2 3 19 2_Sheet1" xfId="39291"/>
    <cellStyle name="Note 2 3 19 3" xfId="39292"/>
    <cellStyle name="Note 2 3 19_Sheet1" xfId="39293"/>
    <cellStyle name="Note 2 3 2" xfId="39294"/>
    <cellStyle name="Note 2 3 2 2" xfId="39295"/>
    <cellStyle name="Note 2 3 2 2 2" xfId="39296"/>
    <cellStyle name="Note 2 3 2 2 2 2" xfId="39297"/>
    <cellStyle name="Note 2 3 2 2 2_Sheet1" xfId="39298"/>
    <cellStyle name="Note 2 3 2 2 3" xfId="39299"/>
    <cellStyle name="Note 2 3 2 2_Sheet1" xfId="39300"/>
    <cellStyle name="Note 2 3 2 3" xfId="39301"/>
    <cellStyle name="Note 2 3 2 3 2" xfId="39302"/>
    <cellStyle name="Note 2 3 2 3 2 2" xfId="39303"/>
    <cellStyle name="Note 2 3 2 3 2_Sheet1" xfId="39304"/>
    <cellStyle name="Note 2 3 2 3 3" xfId="39305"/>
    <cellStyle name="Note 2 3 2 3_Sheet1" xfId="39306"/>
    <cellStyle name="Note 2 3 2 4" xfId="39307"/>
    <cellStyle name="Note 2 3 2 4 2" xfId="39308"/>
    <cellStyle name="Note 2 3 2 4 2 2" xfId="39309"/>
    <cellStyle name="Note 2 3 2 4 2_Sheet1" xfId="39310"/>
    <cellStyle name="Note 2 3 2 4 3" xfId="39311"/>
    <cellStyle name="Note 2 3 2 4_Sheet1" xfId="39312"/>
    <cellStyle name="Note 2 3 2 5" xfId="39313"/>
    <cellStyle name="Note 2 3 2_Sheet1" xfId="39314"/>
    <cellStyle name="Note 2 3 20" xfId="39315"/>
    <cellStyle name="Note 2 3 20 2" xfId="39316"/>
    <cellStyle name="Note 2 3 20 2 2" xfId="39317"/>
    <cellStyle name="Note 2 3 20 2_Sheet1" xfId="39318"/>
    <cellStyle name="Note 2 3 20 3" xfId="39319"/>
    <cellStyle name="Note 2 3 20_Sheet1" xfId="39320"/>
    <cellStyle name="Note 2 3 21" xfId="39321"/>
    <cellStyle name="Note 2 3 21 2" xfId="39322"/>
    <cellStyle name="Note 2 3 21 2 2" xfId="39323"/>
    <cellStyle name="Note 2 3 21 2_Sheet1" xfId="39324"/>
    <cellStyle name="Note 2 3 21 3" xfId="39325"/>
    <cellStyle name="Note 2 3 21_Sheet1" xfId="39326"/>
    <cellStyle name="Note 2 3 22" xfId="39327"/>
    <cellStyle name="Note 2 3 3" xfId="39328"/>
    <cellStyle name="Note 2 3 3 2" xfId="39329"/>
    <cellStyle name="Note 2 3 3 2 2" xfId="39330"/>
    <cellStyle name="Note 2 3 3 2 2 2" xfId="39331"/>
    <cellStyle name="Note 2 3 3 2 2_Sheet1" xfId="39332"/>
    <cellStyle name="Note 2 3 3 2 3" xfId="39333"/>
    <cellStyle name="Note 2 3 3 2_Sheet1" xfId="39334"/>
    <cellStyle name="Note 2 3 3 3" xfId="39335"/>
    <cellStyle name="Note 2 3 3 3 2" xfId="39336"/>
    <cellStyle name="Note 2 3 3 3 2 2" xfId="39337"/>
    <cellStyle name="Note 2 3 3 3 2_Sheet1" xfId="39338"/>
    <cellStyle name="Note 2 3 3 3 3" xfId="39339"/>
    <cellStyle name="Note 2 3 3 3_Sheet1" xfId="39340"/>
    <cellStyle name="Note 2 3 3 4" xfId="39341"/>
    <cellStyle name="Note 2 3 3 4 2" xfId="39342"/>
    <cellStyle name="Note 2 3 3 4 2 2" xfId="39343"/>
    <cellStyle name="Note 2 3 3 4 2_Sheet1" xfId="39344"/>
    <cellStyle name="Note 2 3 3 4 3" xfId="39345"/>
    <cellStyle name="Note 2 3 3 4_Sheet1" xfId="39346"/>
    <cellStyle name="Note 2 3 3 5" xfId="39347"/>
    <cellStyle name="Note 2 3 3_Sheet1" xfId="39348"/>
    <cellStyle name="Note 2 3 4" xfId="39349"/>
    <cellStyle name="Note 2 3 4 2" xfId="39350"/>
    <cellStyle name="Note 2 3 4 2 2" xfId="39351"/>
    <cellStyle name="Note 2 3 4 2 2 2" xfId="39352"/>
    <cellStyle name="Note 2 3 4 2 2_Sheet1" xfId="39353"/>
    <cellStyle name="Note 2 3 4 2 3" xfId="39354"/>
    <cellStyle name="Note 2 3 4 2_Sheet1" xfId="39355"/>
    <cellStyle name="Note 2 3 4 3" xfId="39356"/>
    <cellStyle name="Note 2 3 4 3 2" xfId="39357"/>
    <cellStyle name="Note 2 3 4 3 2 2" xfId="39358"/>
    <cellStyle name="Note 2 3 4 3 2_Sheet1" xfId="39359"/>
    <cellStyle name="Note 2 3 4 3 3" xfId="39360"/>
    <cellStyle name="Note 2 3 4 3_Sheet1" xfId="39361"/>
    <cellStyle name="Note 2 3 4 4" xfId="39362"/>
    <cellStyle name="Note 2 3 4 4 2" xfId="39363"/>
    <cellStyle name="Note 2 3 4 4 2 2" xfId="39364"/>
    <cellStyle name="Note 2 3 4 4 2_Sheet1" xfId="39365"/>
    <cellStyle name="Note 2 3 4 4 3" xfId="39366"/>
    <cellStyle name="Note 2 3 4 4_Sheet1" xfId="39367"/>
    <cellStyle name="Note 2 3 4 5" xfId="39368"/>
    <cellStyle name="Note 2 3 4_Sheet1" xfId="39369"/>
    <cellStyle name="Note 2 3 5" xfId="39370"/>
    <cellStyle name="Note 2 3 5 2" xfId="39371"/>
    <cellStyle name="Note 2 3 5 2 2" xfId="39372"/>
    <cellStyle name="Note 2 3 5 2 2 2" xfId="39373"/>
    <cellStyle name="Note 2 3 5 2 2_Sheet1" xfId="39374"/>
    <cellStyle name="Note 2 3 5 2 3" xfId="39375"/>
    <cellStyle name="Note 2 3 5 2_Sheet1" xfId="39376"/>
    <cellStyle name="Note 2 3 5 3" xfId="39377"/>
    <cellStyle name="Note 2 3 5 3 2" xfId="39378"/>
    <cellStyle name="Note 2 3 5 3 2 2" xfId="39379"/>
    <cellStyle name="Note 2 3 5 3 2_Sheet1" xfId="39380"/>
    <cellStyle name="Note 2 3 5 3 3" xfId="39381"/>
    <cellStyle name="Note 2 3 5 3_Sheet1" xfId="39382"/>
    <cellStyle name="Note 2 3 5 4" xfId="39383"/>
    <cellStyle name="Note 2 3 5 4 2" xfId="39384"/>
    <cellStyle name="Note 2 3 5 4 2 2" xfId="39385"/>
    <cellStyle name="Note 2 3 5 4 2_Sheet1" xfId="39386"/>
    <cellStyle name="Note 2 3 5 4 3" xfId="39387"/>
    <cellStyle name="Note 2 3 5 4_Sheet1" xfId="39388"/>
    <cellStyle name="Note 2 3 5 5" xfId="39389"/>
    <cellStyle name="Note 2 3 5_Sheet1" xfId="39390"/>
    <cellStyle name="Note 2 3 6" xfId="39391"/>
    <cellStyle name="Note 2 3 6 2" xfId="39392"/>
    <cellStyle name="Note 2 3 6 2 2" xfId="39393"/>
    <cellStyle name="Note 2 3 6 2 2 2" xfId="39394"/>
    <cellStyle name="Note 2 3 6 2 2_Sheet1" xfId="39395"/>
    <cellStyle name="Note 2 3 6 2 3" xfId="39396"/>
    <cellStyle name="Note 2 3 6 2_Sheet1" xfId="39397"/>
    <cellStyle name="Note 2 3 6 3" xfId="39398"/>
    <cellStyle name="Note 2 3 6 3 2" xfId="39399"/>
    <cellStyle name="Note 2 3 6 3 2 2" xfId="39400"/>
    <cellStyle name="Note 2 3 6 3 2_Sheet1" xfId="39401"/>
    <cellStyle name="Note 2 3 6 3 3" xfId="39402"/>
    <cellStyle name="Note 2 3 6 3_Sheet1" xfId="39403"/>
    <cellStyle name="Note 2 3 6 4" xfId="39404"/>
    <cellStyle name="Note 2 3 6 4 2" xfId="39405"/>
    <cellStyle name="Note 2 3 6 4 2 2" xfId="39406"/>
    <cellStyle name="Note 2 3 6 4 2_Sheet1" xfId="39407"/>
    <cellStyle name="Note 2 3 6 4 3" xfId="39408"/>
    <cellStyle name="Note 2 3 6 4_Sheet1" xfId="39409"/>
    <cellStyle name="Note 2 3 6 5" xfId="39410"/>
    <cellStyle name="Note 2 3 6_Sheet1" xfId="39411"/>
    <cellStyle name="Note 2 3 7" xfId="39412"/>
    <cellStyle name="Note 2 3 7 2" xfId="39413"/>
    <cellStyle name="Note 2 3 7 2 2" xfId="39414"/>
    <cellStyle name="Note 2 3 7 2 2 2" xfId="39415"/>
    <cellStyle name="Note 2 3 7 2 2_Sheet1" xfId="39416"/>
    <cellStyle name="Note 2 3 7 2 3" xfId="39417"/>
    <cellStyle name="Note 2 3 7 2_Sheet1" xfId="39418"/>
    <cellStyle name="Note 2 3 7 3" xfId="39419"/>
    <cellStyle name="Note 2 3 7 3 2" xfId="39420"/>
    <cellStyle name="Note 2 3 7 3 2 2" xfId="39421"/>
    <cellStyle name="Note 2 3 7 3 2_Sheet1" xfId="39422"/>
    <cellStyle name="Note 2 3 7 3 3" xfId="39423"/>
    <cellStyle name="Note 2 3 7 3_Sheet1" xfId="39424"/>
    <cellStyle name="Note 2 3 7 4" xfId="39425"/>
    <cellStyle name="Note 2 3 7 4 2" xfId="39426"/>
    <cellStyle name="Note 2 3 7 4 2 2" xfId="39427"/>
    <cellStyle name="Note 2 3 7 4 2_Sheet1" xfId="39428"/>
    <cellStyle name="Note 2 3 7 4 3" xfId="39429"/>
    <cellStyle name="Note 2 3 7 4_Sheet1" xfId="39430"/>
    <cellStyle name="Note 2 3 7 5" xfId="39431"/>
    <cellStyle name="Note 2 3 7_Sheet1" xfId="39432"/>
    <cellStyle name="Note 2 3 8" xfId="39433"/>
    <cellStyle name="Note 2 3 8 2" xfId="39434"/>
    <cellStyle name="Note 2 3 8 2 2" xfId="39435"/>
    <cellStyle name="Note 2 3 8 2 2 2" xfId="39436"/>
    <cellStyle name="Note 2 3 8 2 2_Sheet1" xfId="39437"/>
    <cellStyle name="Note 2 3 8 2 3" xfId="39438"/>
    <cellStyle name="Note 2 3 8 2_Sheet1" xfId="39439"/>
    <cellStyle name="Note 2 3 8 3" xfId="39440"/>
    <cellStyle name="Note 2 3 8 3 2" xfId="39441"/>
    <cellStyle name="Note 2 3 8 3 2 2" xfId="39442"/>
    <cellStyle name="Note 2 3 8 3 2_Sheet1" xfId="39443"/>
    <cellStyle name="Note 2 3 8 3 3" xfId="39444"/>
    <cellStyle name="Note 2 3 8 3_Sheet1" xfId="39445"/>
    <cellStyle name="Note 2 3 8 4" xfId="39446"/>
    <cellStyle name="Note 2 3 8 4 2" xfId="39447"/>
    <cellStyle name="Note 2 3 8 4 2 2" xfId="39448"/>
    <cellStyle name="Note 2 3 8 4 2_Sheet1" xfId="39449"/>
    <cellStyle name="Note 2 3 8 4 3" xfId="39450"/>
    <cellStyle name="Note 2 3 8 4_Sheet1" xfId="39451"/>
    <cellStyle name="Note 2 3 8 5" xfId="39452"/>
    <cellStyle name="Note 2 3 8_Sheet1" xfId="39453"/>
    <cellStyle name="Note 2 3 9" xfId="39454"/>
    <cellStyle name="Note 2 3 9 2" xfId="39455"/>
    <cellStyle name="Note 2 3 9 2 2" xfId="39456"/>
    <cellStyle name="Note 2 3 9 2 2 2" xfId="39457"/>
    <cellStyle name="Note 2 3 9 2 2_Sheet1" xfId="39458"/>
    <cellStyle name="Note 2 3 9 2 3" xfId="39459"/>
    <cellStyle name="Note 2 3 9 2_Sheet1" xfId="39460"/>
    <cellStyle name="Note 2 3 9 3" xfId="39461"/>
    <cellStyle name="Note 2 3 9 3 2" xfId="39462"/>
    <cellStyle name="Note 2 3 9 3 2 2" xfId="39463"/>
    <cellStyle name="Note 2 3 9 3 2_Sheet1" xfId="39464"/>
    <cellStyle name="Note 2 3 9 3 3" xfId="39465"/>
    <cellStyle name="Note 2 3 9 3_Sheet1" xfId="39466"/>
    <cellStyle name="Note 2 3 9 4" xfId="39467"/>
    <cellStyle name="Note 2 3 9 4 2" xfId="39468"/>
    <cellStyle name="Note 2 3 9 4 2 2" xfId="39469"/>
    <cellStyle name="Note 2 3 9 4 2_Sheet1" xfId="39470"/>
    <cellStyle name="Note 2 3 9 4 3" xfId="39471"/>
    <cellStyle name="Note 2 3 9 4_Sheet1" xfId="39472"/>
    <cellStyle name="Note 2 3 9 5" xfId="39473"/>
    <cellStyle name="Note 2 3 9_Sheet1" xfId="39474"/>
    <cellStyle name="Note 2 3_Sheet1" xfId="39475"/>
    <cellStyle name="Note 2 30" xfId="39476"/>
    <cellStyle name="Note 2 30 2" xfId="39477"/>
    <cellStyle name="Note 2 30 2 2" xfId="39478"/>
    <cellStyle name="Note 2 30 2_Sheet1" xfId="39479"/>
    <cellStyle name="Note 2 30 3" xfId="39480"/>
    <cellStyle name="Note 2 30_Sheet1" xfId="39481"/>
    <cellStyle name="Note 2 31" xfId="39482"/>
    <cellStyle name="Note 2 31 2" xfId="39483"/>
    <cellStyle name="Note 2 31 2 2" xfId="39484"/>
    <cellStyle name="Note 2 31 2_Sheet1" xfId="39485"/>
    <cellStyle name="Note 2 31 3" xfId="39486"/>
    <cellStyle name="Note 2 31_Sheet1" xfId="39487"/>
    <cellStyle name="Note 2 32" xfId="39488"/>
    <cellStyle name="Note 2 4" xfId="39489"/>
    <cellStyle name="Note 2 4 10" xfId="39490"/>
    <cellStyle name="Note 2 4 10 2" xfId="39491"/>
    <cellStyle name="Note 2 4 10 2 2" xfId="39492"/>
    <cellStyle name="Note 2 4 10 2 2 2" xfId="39493"/>
    <cellStyle name="Note 2 4 10 2 2_Sheet1" xfId="39494"/>
    <cellStyle name="Note 2 4 10 2 3" xfId="39495"/>
    <cellStyle name="Note 2 4 10 2_Sheet1" xfId="39496"/>
    <cellStyle name="Note 2 4 10 3" xfId="39497"/>
    <cellStyle name="Note 2 4 10 3 2" xfId="39498"/>
    <cellStyle name="Note 2 4 10 3 2 2" xfId="39499"/>
    <cellStyle name="Note 2 4 10 3 2_Sheet1" xfId="39500"/>
    <cellStyle name="Note 2 4 10 3 3" xfId="39501"/>
    <cellStyle name="Note 2 4 10 3_Sheet1" xfId="39502"/>
    <cellStyle name="Note 2 4 10 4" xfId="39503"/>
    <cellStyle name="Note 2 4 10 4 2" xfId="39504"/>
    <cellStyle name="Note 2 4 10 4 2 2" xfId="39505"/>
    <cellStyle name="Note 2 4 10 4 2_Sheet1" xfId="39506"/>
    <cellStyle name="Note 2 4 10 4 3" xfId="39507"/>
    <cellStyle name="Note 2 4 10 4_Sheet1" xfId="39508"/>
    <cellStyle name="Note 2 4 10 5" xfId="39509"/>
    <cellStyle name="Note 2 4 10_Sheet1" xfId="39510"/>
    <cellStyle name="Note 2 4 11" xfId="39511"/>
    <cellStyle name="Note 2 4 11 2" xfId="39512"/>
    <cellStyle name="Note 2 4 11 2 2" xfId="39513"/>
    <cellStyle name="Note 2 4 11 2 2 2" xfId="39514"/>
    <cellStyle name="Note 2 4 11 2 2_Sheet1" xfId="39515"/>
    <cellStyle name="Note 2 4 11 2 3" xfId="39516"/>
    <cellStyle name="Note 2 4 11 2_Sheet1" xfId="39517"/>
    <cellStyle name="Note 2 4 11 3" xfId="39518"/>
    <cellStyle name="Note 2 4 11 3 2" xfId="39519"/>
    <cellStyle name="Note 2 4 11 3 2 2" xfId="39520"/>
    <cellStyle name="Note 2 4 11 3 2_Sheet1" xfId="39521"/>
    <cellStyle name="Note 2 4 11 3 3" xfId="39522"/>
    <cellStyle name="Note 2 4 11 3_Sheet1" xfId="39523"/>
    <cellStyle name="Note 2 4 11 4" xfId="39524"/>
    <cellStyle name="Note 2 4 11 4 2" xfId="39525"/>
    <cellStyle name="Note 2 4 11 4 2 2" xfId="39526"/>
    <cellStyle name="Note 2 4 11 4 2_Sheet1" xfId="39527"/>
    <cellStyle name="Note 2 4 11 4 3" xfId="39528"/>
    <cellStyle name="Note 2 4 11 4_Sheet1" xfId="39529"/>
    <cellStyle name="Note 2 4 11 5" xfId="39530"/>
    <cellStyle name="Note 2 4 11_Sheet1" xfId="39531"/>
    <cellStyle name="Note 2 4 12" xfId="39532"/>
    <cellStyle name="Note 2 4 12 2" xfId="39533"/>
    <cellStyle name="Note 2 4 12 2 2" xfId="39534"/>
    <cellStyle name="Note 2 4 12 2 2 2" xfId="39535"/>
    <cellStyle name="Note 2 4 12 2 2_Sheet1" xfId="39536"/>
    <cellStyle name="Note 2 4 12 2 3" xfId="39537"/>
    <cellStyle name="Note 2 4 12 2_Sheet1" xfId="39538"/>
    <cellStyle name="Note 2 4 12 3" xfId="39539"/>
    <cellStyle name="Note 2 4 12 3 2" xfId="39540"/>
    <cellStyle name="Note 2 4 12 3 2 2" xfId="39541"/>
    <cellStyle name="Note 2 4 12 3 2_Sheet1" xfId="39542"/>
    <cellStyle name="Note 2 4 12 3 3" xfId="39543"/>
    <cellStyle name="Note 2 4 12 3_Sheet1" xfId="39544"/>
    <cellStyle name="Note 2 4 12 4" xfId="39545"/>
    <cellStyle name="Note 2 4 12 4 2" xfId="39546"/>
    <cellStyle name="Note 2 4 12 4 2 2" xfId="39547"/>
    <cellStyle name="Note 2 4 12 4 2_Sheet1" xfId="39548"/>
    <cellStyle name="Note 2 4 12 4 3" xfId="39549"/>
    <cellStyle name="Note 2 4 12 4_Sheet1" xfId="39550"/>
    <cellStyle name="Note 2 4 12 5" xfId="39551"/>
    <cellStyle name="Note 2 4 12_Sheet1" xfId="39552"/>
    <cellStyle name="Note 2 4 13" xfId="39553"/>
    <cellStyle name="Note 2 4 13 2" xfId="39554"/>
    <cellStyle name="Note 2 4 13 2 2" xfId="39555"/>
    <cellStyle name="Note 2 4 13 2 2 2" xfId="39556"/>
    <cellStyle name="Note 2 4 13 2 2_Sheet1" xfId="39557"/>
    <cellStyle name="Note 2 4 13 2 3" xfId="39558"/>
    <cellStyle name="Note 2 4 13 2_Sheet1" xfId="39559"/>
    <cellStyle name="Note 2 4 13 3" xfId="39560"/>
    <cellStyle name="Note 2 4 13 3 2" xfId="39561"/>
    <cellStyle name="Note 2 4 13 3 2 2" xfId="39562"/>
    <cellStyle name="Note 2 4 13 3 2_Sheet1" xfId="39563"/>
    <cellStyle name="Note 2 4 13 3 3" xfId="39564"/>
    <cellStyle name="Note 2 4 13 3_Sheet1" xfId="39565"/>
    <cellStyle name="Note 2 4 13 4" xfId="39566"/>
    <cellStyle name="Note 2 4 13 4 2" xfId="39567"/>
    <cellStyle name="Note 2 4 13 4 2 2" xfId="39568"/>
    <cellStyle name="Note 2 4 13 4 2_Sheet1" xfId="39569"/>
    <cellStyle name="Note 2 4 13 4 3" xfId="39570"/>
    <cellStyle name="Note 2 4 13 4_Sheet1" xfId="39571"/>
    <cellStyle name="Note 2 4 13 5" xfId="39572"/>
    <cellStyle name="Note 2 4 13_Sheet1" xfId="39573"/>
    <cellStyle name="Note 2 4 14" xfId="39574"/>
    <cellStyle name="Note 2 4 14 2" xfId="39575"/>
    <cellStyle name="Note 2 4 14 2 2" xfId="39576"/>
    <cellStyle name="Note 2 4 14 2 2 2" xfId="39577"/>
    <cellStyle name="Note 2 4 14 2 2_Sheet1" xfId="39578"/>
    <cellStyle name="Note 2 4 14 2 3" xfId="39579"/>
    <cellStyle name="Note 2 4 14 2_Sheet1" xfId="39580"/>
    <cellStyle name="Note 2 4 14 3" xfId="39581"/>
    <cellStyle name="Note 2 4 14 3 2" xfId="39582"/>
    <cellStyle name="Note 2 4 14 3 2 2" xfId="39583"/>
    <cellStyle name="Note 2 4 14 3 2_Sheet1" xfId="39584"/>
    <cellStyle name="Note 2 4 14 3 3" xfId="39585"/>
    <cellStyle name="Note 2 4 14 3_Sheet1" xfId="39586"/>
    <cellStyle name="Note 2 4 14 4" xfId="39587"/>
    <cellStyle name="Note 2 4 14 4 2" xfId="39588"/>
    <cellStyle name="Note 2 4 14 4 2 2" xfId="39589"/>
    <cellStyle name="Note 2 4 14 4 2_Sheet1" xfId="39590"/>
    <cellStyle name="Note 2 4 14 4 3" xfId="39591"/>
    <cellStyle name="Note 2 4 14 4_Sheet1" xfId="39592"/>
    <cellStyle name="Note 2 4 14 5" xfId="39593"/>
    <cellStyle name="Note 2 4 14_Sheet1" xfId="39594"/>
    <cellStyle name="Note 2 4 15" xfId="39595"/>
    <cellStyle name="Note 2 4 15 2" xfId="39596"/>
    <cellStyle name="Note 2 4 15 2 2" xfId="39597"/>
    <cellStyle name="Note 2 4 15 2 2 2" xfId="39598"/>
    <cellStyle name="Note 2 4 15 2 2_Sheet1" xfId="39599"/>
    <cellStyle name="Note 2 4 15 2 3" xfId="39600"/>
    <cellStyle name="Note 2 4 15 2_Sheet1" xfId="39601"/>
    <cellStyle name="Note 2 4 15 3" xfId="39602"/>
    <cellStyle name="Note 2 4 15 3 2" xfId="39603"/>
    <cellStyle name="Note 2 4 15 3 2 2" xfId="39604"/>
    <cellStyle name="Note 2 4 15 3 2_Sheet1" xfId="39605"/>
    <cellStyle name="Note 2 4 15 3 3" xfId="39606"/>
    <cellStyle name="Note 2 4 15 3_Sheet1" xfId="39607"/>
    <cellStyle name="Note 2 4 15 4" xfId="39608"/>
    <cellStyle name="Note 2 4 15 4 2" xfId="39609"/>
    <cellStyle name="Note 2 4 15 4 2 2" xfId="39610"/>
    <cellStyle name="Note 2 4 15 4 2_Sheet1" xfId="39611"/>
    <cellStyle name="Note 2 4 15 4 3" xfId="39612"/>
    <cellStyle name="Note 2 4 15 4_Sheet1" xfId="39613"/>
    <cellStyle name="Note 2 4 15 5" xfId="39614"/>
    <cellStyle name="Note 2 4 15_Sheet1" xfId="39615"/>
    <cellStyle name="Note 2 4 16" xfId="39616"/>
    <cellStyle name="Note 2 4 16 2" xfId="39617"/>
    <cellStyle name="Note 2 4 16 2 2" xfId="39618"/>
    <cellStyle name="Note 2 4 16 2 2 2" xfId="39619"/>
    <cellStyle name="Note 2 4 16 2 2_Sheet1" xfId="39620"/>
    <cellStyle name="Note 2 4 16 2 3" xfId="39621"/>
    <cellStyle name="Note 2 4 16 2_Sheet1" xfId="39622"/>
    <cellStyle name="Note 2 4 16 3" xfId="39623"/>
    <cellStyle name="Note 2 4 16 3 2" xfId="39624"/>
    <cellStyle name="Note 2 4 16 3 2 2" xfId="39625"/>
    <cellStyle name="Note 2 4 16 3 2_Sheet1" xfId="39626"/>
    <cellStyle name="Note 2 4 16 3 3" xfId="39627"/>
    <cellStyle name="Note 2 4 16 3_Sheet1" xfId="39628"/>
    <cellStyle name="Note 2 4 16 4" xfId="39629"/>
    <cellStyle name="Note 2 4 16 4 2" xfId="39630"/>
    <cellStyle name="Note 2 4 16 4 2 2" xfId="39631"/>
    <cellStyle name="Note 2 4 16 4 2_Sheet1" xfId="39632"/>
    <cellStyle name="Note 2 4 16 4 3" xfId="39633"/>
    <cellStyle name="Note 2 4 16 4_Sheet1" xfId="39634"/>
    <cellStyle name="Note 2 4 16 5" xfId="39635"/>
    <cellStyle name="Note 2 4 16_Sheet1" xfId="39636"/>
    <cellStyle name="Note 2 4 17" xfId="39637"/>
    <cellStyle name="Note 2 4 17 2" xfId="39638"/>
    <cellStyle name="Note 2 4 17 2 2" xfId="39639"/>
    <cellStyle name="Note 2 4 17 2 2 2" xfId="39640"/>
    <cellStyle name="Note 2 4 17 2 2_Sheet1" xfId="39641"/>
    <cellStyle name="Note 2 4 17 2 3" xfId="39642"/>
    <cellStyle name="Note 2 4 17 2_Sheet1" xfId="39643"/>
    <cellStyle name="Note 2 4 17 3" xfId="39644"/>
    <cellStyle name="Note 2 4 17 3 2" xfId="39645"/>
    <cellStyle name="Note 2 4 17 3 2 2" xfId="39646"/>
    <cellStyle name="Note 2 4 17 3 2_Sheet1" xfId="39647"/>
    <cellStyle name="Note 2 4 17 3 3" xfId="39648"/>
    <cellStyle name="Note 2 4 17 3_Sheet1" xfId="39649"/>
    <cellStyle name="Note 2 4 17 4" xfId="39650"/>
    <cellStyle name="Note 2 4 17 4 2" xfId="39651"/>
    <cellStyle name="Note 2 4 17 4 2 2" xfId="39652"/>
    <cellStyle name="Note 2 4 17 4 2_Sheet1" xfId="39653"/>
    <cellStyle name="Note 2 4 17 4 3" xfId="39654"/>
    <cellStyle name="Note 2 4 17 4_Sheet1" xfId="39655"/>
    <cellStyle name="Note 2 4 17 5" xfId="39656"/>
    <cellStyle name="Note 2 4 17_Sheet1" xfId="39657"/>
    <cellStyle name="Note 2 4 18" xfId="39658"/>
    <cellStyle name="Note 2 4 18 2" xfId="39659"/>
    <cellStyle name="Note 2 4 18 2 2" xfId="39660"/>
    <cellStyle name="Note 2 4 18 2 2 2" xfId="39661"/>
    <cellStyle name="Note 2 4 18 2 2_Sheet1" xfId="39662"/>
    <cellStyle name="Note 2 4 18 2 3" xfId="39663"/>
    <cellStyle name="Note 2 4 18 2_Sheet1" xfId="39664"/>
    <cellStyle name="Note 2 4 18 3" xfId="39665"/>
    <cellStyle name="Note 2 4 18 3 2" xfId="39666"/>
    <cellStyle name="Note 2 4 18 3 2 2" xfId="39667"/>
    <cellStyle name="Note 2 4 18 3 2_Sheet1" xfId="39668"/>
    <cellStyle name="Note 2 4 18 3 3" xfId="39669"/>
    <cellStyle name="Note 2 4 18 3_Sheet1" xfId="39670"/>
    <cellStyle name="Note 2 4 18 4" xfId="39671"/>
    <cellStyle name="Note 2 4 18 4 2" xfId="39672"/>
    <cellStyle name="Note 2 4 18 4 2 2" xfId="39673"/>
    <cellStyle name="Note 2 4 18 4 2_Sheet1" xfId="39674"/>
    <cellStyle name="Note 2 4 18 4 3" xfId="39675"/>
    <cellStyle name="Note 2 4 18 4_Sheet1" xfId="39676"/>
    <cellStyle name="Note 2 4 18 5" xfId="39677"/>
    <cellStyle name="Note 2 4 18_Sheet1" xfId="39678"/>
    <cellStyle name="Note 2 4 19" xfId="39679"/>
    <cellStyle name="Note 2 4 19 2" xfId="39680"/>
    <cellStyle name="Note 2 4 19 2 2" xfId="39681"/>
    <cellStyle name="Note 2 4 19 2_Sheet1" xfId="39682"/>
    <cellStyle name="Note 2 4 19 3" xfId="39683"/>
    <cellStyle name="Note 2 4 19_Sheet1" xfId="39684"/>
    <cellStyle name="Note 2 4 2" xfId="39685"/>
    <cellStyle name="Note 2 4 2 2" xfId="39686"/>
    <cellStyle name="Note 2 4 2 2 2" xfId="39687"/>
    <cellStyle name="Note 2 4 2 2 2 2" xfId="39688"/>
    <cellStyle name="Note 2 4 2 2 2_Sheet1" xfId="39689"/>
    <cellStyle name="Note 2 4 2 2 3" xfId="39690"/>
    <cellStyle name="Note 2 4 2 2_Sheet1" xfId="39691"/>
    <cellStyle name="Note 2 4 2 3" xfId="39692"/>
    <cellStyle name="Note 2 4 2 3 2" xfId="39693"/>
    <cellStyle name="Note 2 4 2 3 2 2" xfId="39694"/>
    <cellStyle name="Note 2 4 2 3 2_Sheet1" xfId="39695"/>
    <cellStyle name="Note 2 4 2 3 3" xfId="39696"/>
    <cellStyle name="Note 2 4 2 3_Sheet1" xfId="39697"/>
    <cellStyle name="Note 2 4 2 4" xfId="39698"/>
    <cellStyle name="Note 2 4 2 4 2" xfId="39699"/>
    <cellStyle name="Note 2 4 2 4 2 2" xfId="39700"/>
    <cellStyle name="Note 2 4 2 4 2_Sheet1" xfId="39701"/>
    <cellStyle name="Note 2 4 2 4 3" xfId="39702"/>
    <cellStyle name="Note 2 4 2 4_Sheet1" xfId="39703"/>
    <cellStyle name="Note 2 4 2 5" xfId="39704"/>
    <cellStyle name="Note 2 4 2_Sheet1" xfId="39705"/>
    <cellStyle name="Note 2 4 20" xfId="39706"/>
    <cellStyle name="Note 2 4 20 2" xfId="39707"/>
    <cellStyle name="Note 2 4 20 2 2" xfId="39708"/>
    <cellStyle name="Note 2 4 20 2_Sheet1" xfId="39709"/>
    <cellStyle name="Note 2 4 20 3" xfId="39710"/>
    <cellStyle name="Note 2 4 20_Sheet1" xfId="39711"/>
    <cellStyle name="Note 2 4 21" xfId="39712"/>
    <cellStyle name="Note 2 4 21 2" xfId="39713"/>
    <cellStyle name="Note 2 4 21 2 2" xfId="39714"/>
    <cellStyle name="Note 2 4 21 2_Sheet1" xfId="39715"/>
    <cellStyle name="Note 2 4 21 3" xfId="39716"/>
    <cellStyle name="Note 2 4 21_Sheet1" xfId="39717"/>
    <cellStyle name="Note 2 4 22" xfId="39718"/>
    <cellStyle name="Note 2 4 3" xfId="39719"/>
    <cellStyle name="Note 2 4 3 2" xfId="39720"/>
    <cellStyle name="Note 2 4 3 2 2" xfId="39721"/>
    <cellStyle name="Note 2 4 3 2 2 2" xfId="39722"/>
    <cellStyle name="Note 2 4 3 2 2_Sheet1" xfId="39723"/>
    <cellStyle name="Note 2 4 3 2 3" xfId="39724"/>
    <cellStyle name="Note 2 4 3 2_Sheet1" xfId="39725"/>
    <cellStyle name="Note 2 4 3 3" xfId="39726"/>
    <cellStyle name="Note 2 4 3 3 2" xfId="39727"/>
    <cellStyle name="Note 2 4 3 3 2 2" xfId="39728"/>
    <cellStyle name="Note 2 4 3 3 2_Sheet1" xfId="39729"/>
    <cellStyle name="Note 2 4 3 3 3" xfId="39730"/>
    <cellStyle name="Note 2 4 3 3_Sheet1" xfId="39731"/>
    <cellStyle name="Note 2 4 3 4" xfId="39732"/>
    <cellStyle name="Note 2 4 3 4 2" xfId="39733"/>
    <cellStyle name="Note 2 4 3 4 2 2" xfId="39734"/>
    <cellStyle name="Note 2 4 3 4 2_Sheet1" xfId="39735"/>
    <cellStyle name="Note 2 4 3 4 3" xfId="39736"/>
    <cellStyle name="Note 2 4 3 4_Sheet1" xfId="39737"/>
    <cellStyle name="Note 2 4 3 5" xfId="39738"/>
    <cellStyle name="Note 2 4 3_Sheet1" xfId="39739"/>
    <cellStyle name="Note 2 4 4" xfId="39740"/>
    <cellStyle name="Note 2 4 4 2" xfId="39741"/>
    <cellStyle name="Note 2 4 4 2 2" xfId="39742"/>
    <cellStyle name="Note 2 4 4 2 2 2" xfId="39743"/>
    <cellStyle name="Note 2 4 4 2 2_Sheet1" xfId="39744"/>
    <cellStyle name="Note 2 4 4 2 3" xfId="39745"/>
    <cellStyle name="Note 2 4 4 2_Sheet1" xfId="39746"/>
    <cellStyle name="Note 2 4 4 3" xfId="39747"/>
    <cellStyle name="Note 2 4 4 3 2" xfId="39748"/>
    <cellStyle name="Note 2 4 4 3 2 2" xfId="39749"/>
    <cellStyle name="Note 2 4 4 3 2_Sheet1" xfId="39750"/>
    <cellStyle name="Note 2 4 4 3 3" xfId="39751"/>
    <cellStyle name="Note 2 4 4 3_Sheet1" xfId="39752"/>
    <cellStyle name="Note 2 4 4 4" xfId="39753"/>
    <cellStyle name="Note 2 4 4 4 2" xfId="39754"/>
    <cellStyle name="Note 2 4 4 4 2 2" xfId="39755"/>
    <cellStyle name="Note 2 4 4 4 2_Sheet1" xfId="39756"/>
    <cellStyle name="Note 2 4 4 4 3" xfId="39757"/>
    <cellStyle name="Note 2 4 4 4_Sheet1" xfId="39758"/>
    <cellStyle name="Note 2 4 4 5" xfId="39759"/>
    <cellStyle name="Note 2 4 4_Sheet1" xfId="39760"/>
    <cellStyle name="Note 2 4 5" xfId="39761"/>
    <cellStyle name="Note 2 4 5 2" xfId="39762"/>
    <cellStyle name="Note 2 4 5 2 2" xfId="39763"/>
    <cellStyle name="Note 2 4 5 2 2 2" xfId="39764"/>
    <cellStyle name="Note 2 4 5 2 2_Sheet1" xfId="39765"/>
    <cellStyle name="Note 2 4 5 2 3" xfId="39766"/>
    <cellStyle name="Note 2 4 5 2_Sheet1" xfId="39767"/>
    <cellStyle name="Note 2 4 5 3" xfId="39768"/>
    <cellStyle name="Note 2 4 5 3 2" xfId="39769"/>
    <cellStyle name="Note 2 4 5 3 2 2" xfId="39770"/>
    <cellStyle name="Note 2 4 5 3 2_Sheet1" xfId="39771"/>
    <cellStyle name="Note 2 4 5 3 3" xfId="39772"/>
    <cellStyle name="Note 2 4 5 3_Sheet1" xfId="39773"/>
    <cellStyle name="Note 2 4 5 4" xfId="39774"/>
    <cellStyle name="Note 2 4 5 4 2" xfId="39775"/>
    <cellStyle name="Note 2 4 5 4 2 2" xfId="39776"/>
    <cellStyle name="Note 2 4 5 4 2_Sheet1" xfId="39777"/>
    <cellStyle name="Note 2 4 5 4 3" xfId="39778"/>
    <cellStyle name="Note 2 4 5 4_Sheet1" xfId="39779"/>
    <cellStyle name="Note 2 4 5 5" xfId="39780"/>
    <cellStyle name="Note 2 4 5_Sheet1" xfId="39781"/>
    <cellStyle name="Note 2 4 6" xfId="39782"/>
    <cellStyle name="Note 2 4 6 2" xfId="39783"/>
    <cellStyle name="Note 2 4 6 2 2" xfId="39784"/>
    <cellStyle name="Note 2 4 6 2 2 2" xfId="39785"/>
    <cellStyle name="Note 2 4 6 2 2_Sheet1" xfId="39786"/>
    <cellStyle name="Note 2 4 6 2 3" xfId="39787"/>
    <cellStyle name="Note 2 4 6 2_Sheet1" xfId="39788"/>
    <cellStyle name="Note 2 4 6 3" xfId="39789"/>
    <cellStyle name="Note 2 4 6 3 2" xfId="39790"/>
    <cellStyle name="Note 2 4 6 3 2 2" xfId="39791"/>
    <cellStyle name="Note 2 4 6 3 2_Sheet1" xfId="39792"/>
    <cellStyle name="Note 2 4 6 3 3" xfId="39793"/>
    <cellStyle name="Note 2 4 6 3_Sheet1" xfId="39794"/>
    <cellStyle name="Note 2 4 6 4" xfId="39795"/>
    <cellStyle name="Note 2 4 6 4 2" xfId="39796"/>
    <cellStyle name="Note 2 4 6 4 2 2" xfId="39797"/>
    <cellStyle name="Note 2 4 6 4 2_Sheet1" xfId="39798"/>
    <cellStyle name="Note 2 4 6 4 3" xfId="39799"/>
    <cellStyle name="Note 2 4 6 4_Sheet1" xfId="39800"/>
    <cellStyle name="Note 2 4 6 5" xfId="39801"/>
    <cellStyle name="Note 2 4 6_Sheet1" xfId="39802"/>
    <cellStyle name="Note 2 4 7" xfId="39803"/>
    <cellStyle name="Note 2 4 7 2" xfId="39804"/>
    <cellStyle name="Note 2 4 7 2 2" xfId="39805"/>
    <cellStyle name="Note 2 4 7 2 2 2" xfId="39806"/>
    <cellStyle name="Note 2 4 7 2 2_Sheet1" xfId="39807"/>
    <cellStyle name="Note 2 4 7 2 3" xfId="39808"/>
    <cellStyle name="Note 2 4 7 2_Sheet1" xfId="39809"/>
    <cellStyle name="Note 2 4 7 3" xfId="39810"/>
    <cellStyle name="Note 2 4 7 3 2" xfId="39811"/>
    <cellStyle name="Note 2 4 7 3 2 2" xfId="39812"/>
    <cellStyle name="Note 2 4 7 3 2_Sheet1" xfId="39813"/>
    <cellStyle name="Note 2 4 7 3 3" xfId="39814"/>
    <cellStyle name="Note 2 4 7 3_Sheet1" xfId="39815"/>
    <cellStyle name="Note 2 4 7 4" xfId="39816"/>
    <cellStyle name="Note 2 4 7 4 2" xfId="39817"/>
    <cellStyle name="Note 2 4 7 4 2 2" xfId="39818"/>
    <cellStyle name="Note 2 4 7 4 2_Sheet1" xfId="39819"/>
    <cellStyle name="Note 2 4 7 4 3" xfId="39820"/>
    <cellStyle name="Note 2 4 7 4_Sheet1" xfId="39821"/>
    <cellStyle name="Note 2 4 7 5" xfId="39822"/>
    <cellStyle name="Note 2 4 7_Sheet1" xfId="39823"/>
    <cellStyle name="Note 2 4 8" xfId="39824"/>
    <cellStyle name="Note 2 4 8 2" xfId="39825"/>
    <cellStyle name="Note 2 4 8 2 2" xfId="39826"/>
    <cellStyle name="Note 2 4 8 2 2 2" xfId="39827"/>
    <cellStyle name="Note 2 4 8 2 2_Sheet1" xfId="39828"/>
    <cellStyle name="Note 2 4 8 2 3" xfId="39829"/>
    <cellStyle name="Note 2 4 8 2_Sheet1" xfId="39830"/>
    <cellStyle name="Note 2 4 8 3" xfId="39831"/>
    <cellStyle name="Note 2 4 8 3 2" xfId="39832"/>
    <cellStyle name="Note 2 4 8 3 2 2" xfId="39833"/>
    <cellStyle name="Note 2 4 8 3 2_Sheet1" xfId="39834"/>
    <cellStyle name="Note 2 4 8 3 3" xfId="39835"/>
    <cellStyle name="Note 2 4 8 3_Sheet1" xfId="39836"/>
    <cellStyle name="Note 2 4 8 4" xfId="39837"/>
    <cellStyle name="Note 2 4 8 4 2" xfId="39838"/>
    <cellStyle name="Note 2 4 8 4 2 2" xfId="39839"/>
    <cellStyle name="Note 2 4 8 4 2_Sheet1" xfId="39840"/>
    <cellStyle name="Note 2 4 8 4 3" xfId="39841"/>
    <cellStyle name="Note 2 4 8 4_Sheet1" xfId="39842"/>
    <cellStyle name="Note 2 4 8 5" xfId="39843"/>
    <cellStyle name="Note 2 4 8_Sheet1" xfId="39844"/>
    <cellStyle name="Note 2 4 9" xfId="39845"/>
    <cellStyle name="Note 2 4 9 2" xfId="39846"/>
    <cellStyle name="Note 2 4 9 2 2" xfId="39847"/>
    <cellStyle name="Note 2 4 9 2 2 2" xfId="39848"/>
    <cellStyle name="Note 2 4 9 2 2_Sheet1" xfId="39849"/>
    <cellStyle name="Note 2 4 9 2 3" xfId="39850"/>
    <cellStyle name="Note 2 4 9 2_Sheet1" xfId="39851"/>
    <cellStyle name="Note 2 4 9 3" xfId="39852"/>
    <cellStyle name="Note 2 4 9 3 2" xfId="39853"/>
    <cellStyle name="Note 2 4 9 3 2 2" xfId="39854"/>
    <cellStyle name="Note 2 4 9 3 2_Sheet1" xfId="39855"/>
    <cellStyle name="Note 2 4 9 3 3" xfId="39856"/>
    <cellStyle name="Note 2 4 9 3_Sheet1" xfId="39857"/>
    <cellStyle name="Note 2 4 9 4" xfId="39858"/>
    <cellStyle name="Note 2 4 9 4 2" xfId="39859"/>
    <cellStyle name="Note 2 4 9 4 2 2" xfId="39860"/>
    <cellStyle name="Note 2 4 9 4 2_Sheet1" xfId="39861"/>
    <cellStyle name="Note 2 4 9 4 3" xfId="39862"/>
    <cellStyle name="Note 2 4 9 4_Sheet1" xfId="39863"/>
    <cellStyle name="Note 2 4 9 5" xfId="39864"/>
    <cellStyle name="Note 2 4 9_Sheet1" xfId="39865"/>
    <cellStyle name="Note 2 4_Sheet1" xfId="39866"/>
    <cellStyle name="Note 2 5" xfId="39867"/>
    <cellStyle name="Note 2 5 10" xfId="39868"/>
    <cellStyle name="Note 2 5 10 2" xfId="39869"/>
    <cellStyle name="Note 2 5 10 2 2" xfId="39870"/>
    <cellStyle name="Note 2 5 10 2 2 2" xfId="39871"/>
    <cellStyle name="Note 2 5 10 2 2_Sheet1" xfId="39872"/>
    <cellStyle name="Note 2 5 10 2 3" xfId="39873"/>
    <cellStyle name="Note 2 5 10 2_Sheet1" xfId="39874"/>
    <cellStyle name="Note 2 5 10 3" xfId="39875"/>
    <cellStyle name="Note 2 5 10 3 2" xfId="39876"/>
    <cellStyle name="Note 2 5 10 3 2 2" xfId="39877"/>
    <cellStyle name="Note 2 5 10 3 2_Sheet1" xfId="39878"/>
    <cellStyle name="Note 2 5 10 3 3" xfId="39879"/>
    <cellStyle name="Note 2 5 10 3_Sheet1" xfId="39880"/>
    <cellStyle name="Note 2 5 10 4" xfId="39881"/>
    <cellStyle name="Note 2 5 10 4 2" xfId="39882"/>
    <cellStyle name="Note 2 5 10 4 2 2" xfId="39883"/>
    <cellStyle name="Note 2 5 10 4 2_Sheet1" xfId="39884"/>
    <cellStyle name="Note 2 5 10 4 3" xfId="39885"/>
    <cellStyle name="Note 2 5 10 4_Sheet1" xfId="39886"/>
    <cellStyle name="Note 2 5 10 5" xfId="39887"/>
    <cellStyle name="Note 2 5 10_Sheet1" xfId="39888"/>
    <cellStyle name="Note 2 5 11" xfId="39889"/>
    <cellStyle name="Note 2 5 11 2" xfId="39890"/>
    <cellStyle name="Note 2 5 11 2 2" xfId="39891"/>
    <cellStyle name="Note 2 5 11 2 2 2" xfId="39892"/>
    <cellStyle name="Note 2 5 11 2 2_Sheet1" xfId="39893"/>
    <cellStyle name="Note 2 5 11 2 3" xfId="39894"/>
    <cellStyle name="Note 2 5 11 2_Sheet1" xfId="39895"/>
    <cellStyle name="Note 2 5 11 3" xfId="39896"/>
    <cellStyle name="Note 2 5 11 3 2" xfId="39897"/>
    <cellStyle name="Note 2 5 11 3 2 2" xfId="39898"/>
    <cellStyle name="Note 2 5 11 3 2_Sheet1" xfId="39899"/>
    <cellStyle name="Note 2 5 11 3 3" xfId="39900"/>
    <cellStyle name="Note 2 5 11 3_Sheet1" xfId="39901"/>
    <cellStyle name="Note 2 5 11 4" xfId="39902"/>
    <cellStyle name="Note 2 5 11 4 2" xfId="39903"/>
    <cellStyle name="Note 2 5 11 4 2 2" xfId="39904"/>
    <cellStyle name="Note 2 5 11 4 2_Sheet1" xfId="39905"/>
    <cellStyle name="Note 2 5 11 4 3" xfId="39906"/>
    <cellStyle name="Note 2 5 11 4_Sheet1" xfId="39907"/>
    <cellStyle name="Note 2 5 11 5" xfId="39908"/>
    <cellStyle name="Note 2 5 11_Sheet1" xfId="39909"/>
    <cellStyle name="Note 2 5 12" xfId="39910"/>
    <cellStyle name="Note 2 5 12 2" xfId="39911"/>
    <cellStyle name="Note 2 5 12 2 2" xfId="39912"/>
    <cellStyle name="Note 2 5 12 2 2 2" xfId="39913"/>
    <cellStyle name="Note 2 5 12 2 2_Sheet1" xfId="39914"/>
    <cellStyle name="Note 2 5 12 2 3" xfId="39915"/>
    <cellStyle name="Note 2 5 12 2_Sheet1" xfId="39916"/>
    <cellStyle name="Note 2 5 12 3" xfId="39917"/>
    <cellStyle name="Note 2 5 12 3 2" xfId="39918"/>
    <cellStyle name="Note 2 5 12 3 2 2" xfId="39919"/>
    <cellStyle name="Note 2 5 12 3 2_Sheet1" xfId="39920"/>
    <cellStyle name="Note 2 5 12 3 3" xfId="39921"/>
    <cellStyle name="Note 2 5 12 3_Sheet1" xfId="39922"/>
    <cellStyle name="Note 2 5 12 4" xfId="39923"/>
    <cellStyle name="Note 2 5 12 4 2" xfId="39924"/>
    <cellStyle name="Note 2 5 12 4 2 2" xfId="39925"/>
    <cellStyle name="Note 2 5 12 4 2_Sheet1" xfId="39926"/>
    <cellStyle name="Note 2 5 12 4 3" xfId="39927"/>
    <cellStyle name="Note 2 5 12 4_Sheet1" xfId="39928"/>
    <cellStyle name="Note 2 5 12 5" xfId="39929"/>
    <cellStyle name="Note 2 5 12_Sheet1" xfId="39930"/>
    <cellStyle name="Note 2 5 13" xfId="39931"/>
    <cellStyle name="Note 2 5 13 2" xfId="39932"/>
    <cellStyle name="Note 2 5 13 2 2" xfId="39933"/>
    <cellStyle name="Note 2 5 13 2 2 2" xfId="39934"/>
    <cellStyle name="Note 2 5 13 2 2_Sheet1" xfId="39935"/>
    <cellStyle name="Note 2 5 13 2 3" xfId="39936"/>
    <cellStyle name="Note 2 5 13 2_Sheet1" xfId="39937"/>
    <cellStyle name="Note 2 5 13 3" xfId="39938"/>
    <cellStyle name="Note 2 5 13 3 2" xfId="39939"/>
    <cellStyle name="Note 2 5 13 3 2 2" xfId="39940"/>
    <cellStyle name="Note 2 5 13 3 2_Sheet1" xfId="39941"/>
    <cellStyle name="Note 2 5 13 3 3" xfId="39942"/>
    <cellStyle name="Note 2 5 13 3_Sheet1" xfId="39943"/>
    <cellStyle name="Note 2 5 13 4" xfId="39944"/>
    <cellStyle name="Note 2 5 13 4 2" xfId="39945"/>
    <cellStyle name="Note 2 5 13 4 2 2" xfId="39946"/>
    <cellStyle name="Note 2 5 13 4 2_Sheet1" xfId="39947"/>
    <cellStyle name="Note 2 5 13 4 3" xfId="39948"/>
    <cellStyle name="Note 2 5 13 4_Sheet1" xfId="39949"/>
    <cellStyle name="Note 2 5 13 5" xfId="39950"/>
    <cellStyle name="Note 2 5 13_Sheet1" xfId="39951"/>
    <cellStyle name="Note 2 5 14" xfId="39952"/>
    <cellStyle name="Note 2 5 14 2" xfId="39953"/>
    <cellStyle name="Note 2 5 14 2 2" xfId="39954"/>
    <cellStyle name="Note 2 5 14 2 2 2" xfId="39955"/>
    <cellStyle name="Note 2 5 14 2 2_Sheet1" xfId="39956"/>
    <cellStyle name="Note 2 5 14 2 3" xfId="39957"/>
    <cellStyle name="Note 2 5 14 2_Sheet1" xfId="39958"/>
    <cellStyle name="Note 2 5 14 3" xfId="39959"/>
    <cellStyle name="Note 2 5 14 3 2" xfId="39960"/>
    <cellStyle name="Note 2 5 14 3 2 2" xfId="39961"/>
    <cellStyle name="Note 2 5 14 3 2_Sheet1" xfId="39962"/>
    <cellStyle name="Note 2 5 14 3 3" xfId="39963"/>
    <cellStyle name="Note 2 5 14 3_Sheet1" xfId="39964"/>
    <cellStyle name="Note 2 5 14 4" xfId="39965"/>
    <cellStyle name="Note 2 5 14 4 2" xfId="39966"/>
    <cellStyle name="Note 2 5 14 4 2 2" xfId="39967"/>
    <cellStyle name="Note 2 5 14 4 2_Sheet1" xfId="39968"/>
    <cellStyle name="Note 2 5 14 4 3" xfId="39969"/>
    <cellStyle name="Note 2 5 14 4_Sheet1" xfId="39970"/>
    <cellStyle name="Note 2 5 14 5" xfId="39971"/>
    <cellStyle name="Note 2 5 14_Sheet1" xfId="39972"/>
    <cellStyle name="Note 2 5 15" xfId="39973"/>
    <cellStyle name="Note 2 5 15 2" xfId="39974"/>
    <cellStyle name="Note 2 5 15 2 2" xfId="39975"/>
    <cellStyle name="Note 2 5 15 2 2 2" xfId="39976"/>
    <cellStyle name="Note 2 5 15 2 2_Sheet1" xfId="39977"/>
    <cellStyle name="Note 2 5 15 2 3" xfId="39978"/>
    <cellStyle name="Note 2 5 15 2_Sheet1" xfId="39979"/>
    <cellStyle name="Note 2 5 15 3" xfId="39980"/>
    <cellStyle name="Note 2 5 15 3 2" xfId="39981"/>
    <cellStyle name="Note 2 5 15 3 2 2" xfId="39982"/>
    <cellStyle name="Note 2 5 15 3 2_Sheet1" xfId="39983"/>
    <cellStyle name="Note 2 5 15 3 3" xfId="39984"/>
    <cellStyle name="Note 2 5 15 3_Sheet1" xfId="39985"/>
    <cellStyle name="Note 2 5 15 4" xfId="39986"/>
    <cellStyle name="Note 2 5 15 4 2" xfId="39987"/>
    <cellStyle name="Note 2 5 15 4 2 2" xfId="39988"/>
    <cellStyle name="Note 2 5 15 4 2_Sheet1" xfId="39989"/>
    <cellStyle name="Note 2 5 15 4 3" xfId="39990"/>
    <cellStyle name="Note 2 5 15 4_Sheet1" xfId="39991"/>
    <cellStyle name="Note 2 5 15 5" xfId="39992"/>
    <cellStyle name="Note 2 5 15_Sheet1" xfId="39993"/>
    <cellStyle name="Note 2 5 16" xfId="39994"/>
    <cellStyle name="Note 2 5 16 2" xfId="39995"/>
    <cellStyle name="Note 2 5 16 2 2" xfId="39996"/>
    <cellStyle name="Note 2 5 16 2 2 2" xfId="39997"/>
    <cellStyle name="Note 2 5 16 2 2_Sheet1" xfId="39998"/>
    <cellStyle name="Note 2 5 16 2 3" xfId="39999"/>
    <cellStyle name="Note 2 5 16 2_Sheet1" xfId="40000"/>
    <cellStyle name="Note 2 5 16 3" xfId="40001"/>
    <cellStyle name="Note 2 5 16 3 2" xfId="40002"/>
    <cellStyle name="Note 2 5 16 3 2 2" xfId="40003"/>
    <cellStyle name="Note 2 5 16 3 2_Sheet1" xfId="40004"/>
    <cellStyle name="Note 2 5 16 3 3" xfId="40005"/>
    <cellStyle name="Note 2 5 16 3_Sheet1" xfId="40006"/>
    <cellStyle name="Note 2 5 16 4" xfId="40007"/>
    <cellStyle name="Note 2 5 16 4 2" xfId="40008"/>
    <cellStyle name="Note 2 5 16 4 2 2" xfId="40009"/>
    <cellStyle name="Note 2 5 16 4 2_Sheet1" xfId="40010"/>
    <cellStyle name="Note 2 5 16 4 3" xfId="40011"/>
    <cellStyle name="Note 2 5 16 4_Sheet1" xfId="40012"/>
    <cellStyle name="Note 2 5 16 5" xfId="40013"/>
    <cellStyle name="Note 2 5 16_Sheet1" xfId="40014"/>
    <cellStyle name="Note 2 5 17" xfId="40015"/>
    <cellStyle name="Note 2 5 17 2" xfId="40016"/>
    <cellStyle name="Note 2 5 17 2 2" xfId="40017"/>
    <cellStyle name="Note 2 5 17 2 2 2" xfId="40018"/>
    <cellStyle name="Note 2 5 17 2 2_Sheet1" xfId="40019"/>
    <cellStyle name="Note 2 5 17 2 3" xfId="40020"/>
    <cellStyle name="Note 2 5 17 2_Sheet1" xfId="40021"/>
    <cellStyle name="Note 2 5 17 3" xfId="40022"/>
    <cellStyle name="Note 2 5 17 3 2" xfId="40023"/>
    <cellStyle name="Note 2 5 17 3 2 2" xfId="40024"/>
    <cellStyle name="Note 2 5 17 3 2_Sheet1" xfId="40025"/>
    <cellStyle name="Note 2 5 17 3 3" xfId="40026"/>
    <cellStyle name="Note 2 5 17 3_Sheet1" xfId="40027"/>
    <cellStyle name="Note 2 5 17 4" xfId="40028"/>
    <cellStyle name="Note 2 5 17 4 2" xfId="40029"/>
    <cellStyle name="Note 2 5 17 4 2 2" xfId="40030"/>
    <cellStyle name="Note 2 5 17 4 2_Sheet1" xfId="40031"/>
    <cellStyle name="Note 2 5 17 4 3" xfId="40032"/>
    <cellStyle name="Note 2 5 17 4_Sheet1" xfId="40033"/>
    <cellStyle name="Note 2 5 17 5" xfId="40034"/>
    <cellStyle name="Note 2 5 17_Sheet1" xfId="40035"/>
    <cellStyle name="Note 2 5 18" xfId="40036"/>
    <cellStyle name="Note 2 5 18 2" xfId="40037"/>
    <cellStyle name="Note 2 5 18 2 2" xfId="40038"/>
    <cellStyle name="Note 2 5 18 2 2 2" xfId="40039"/>
    <cellStyle name="Note 2 5 18 2 2_Sheet1" xfId="40040"/>
    <cellStyle name="Note 2 5 18 2 3" xfId="40041"/>
    <cellStyle name="Note 2 5 18 2_Sheet1" xfId="40042"/>
    <cellStyle name="Note 2 5 18 3" xfId="40043"/>
    <cellStyle name="Note 2 5 18 3 2" xfId="40044"/>
    <cellStyle name="Note 2 5 18 3 2 2" xfId="40045"/>
    <cellStyle name="Note 2 5 18 3 2_Sheet1" xfId="40046"/>
    <cellStyle name="Note 2 5 18 3 3" xfId="40047"/>
    <cellStyle name="Note 2 5 18 3_Sheet1" xfId="40048"/>
    <cellStyle name="Note 2 5 18 4" xfId="40049"/>
    <cellStyle name="Note 2 5 18 4 2" xfId="40050"/>
    <cellStyle name="Note 2 5 18 4 2 2" xfId="40051"/>
    <cellStyle name="Note 2 5 18 4 2_Sheet1" xfId="40052"/>
    <cellStyle name="Note 2 5 18 4 3" xfId="40053"/>
    <cellStyle name="Note 2 5 18 4_Sheet1" xfId="40054"/>
    <cellStyle name="Note 2 5 18 5" xfId="40055"/>
    <cellStyle name="Note 2 5 18_Sheet1" xfId="40056"/>
    <cellStyle name="Note 2 5 19" xfId="40057"/>
    <cellStyle name="Note 2 5 19 2" xfId="40058"/>
    <cellStyle name="Note 2 5 19 2 2" xfId="40059"/>
    <cellStyle name="Note 2 5 19 2_Sheet1" xfId="40060"/>
    <cellStyle name="Note 2 5 19 3" xfId="40061"/>
    <cellStyle name="Note 2 5 19_Sheet1" xfId="40062"/>
    <cellStyle name="Note 2 5 2" xfId="40063"/>
    <cellStyle name="Note 2 5 2 2" xfId="40064"/>
    <cellStyle name="Note 2 5 2 2 2" xfId="40065"/>
    <cellStyle name="Note 2 5 2 2 2 2" xfId="40066"/>
    <cellStyle name="Note 2 5 2 2 2_Sheet1" xfId="40067"/>
    <cellStyle name="Note 2 5 2 2 3" xfId="40068"/>
    <cellStyle name="Note 2 5 2 2_Sheet1" xfId="40069"/>
    <cellStyle name="Note 2 5 2 3" xfId="40070"/>
    <cellStyle name="Note 2 5 2 3 2" xfId="40071"/>
    <cellStyle name="Note 2 5 2 3 2 2" xfId="40072"/>
    <cellStyle name="Note 2 5 2 3 2_Sheet1" xfId="40073"/>
    <cellStyle name="Note 2 5 2 3 3" xfId="40074"/>
    <cellStyle name="Note 2 5 2 3_Sheet1" xfId="40075"/>
    <cellStyle name="Note 2 5 2 4" xfId="40076"/>
    <cellStyle name="Note 2 5 2 4 2" xfId="40077"/>
    <cellStyle name="Note 2 5 2 4 2 2" xfId="40078"/>
    <cellStyle name="Note 2 5 2 4 2_Sheet1" xfId="40079"/>
    <cellStyle name="Note 2 5 2 4 3" xfId="40080"/>
    <cellStyle name="Note 2 5 2 4_Sheet1" xfId="40081"/>
    <cellStyle name="Note 2 5 2 5" xfId="40082"/>
    <cellStyle name="Note 2 5 2_Sheet1" xfId="40083"/>
    <cellStyle name="Note 2 5 20" xfId="40084"/>
    <cellStyle name="Note 2 5 20 2" xfId="40085"/>
    <cellStyle name="Note 2 5 20 2 2" xfId="40086"/>
    <cellStyle name="Note 2 5 20 2_Sheet1" xfId="40087"/>
    <cellStyle name="Note 2 5 20 3" xfId="40088"/>
    <cellStyle name="Note 2 5 20_Sheet1" xfId="40089"/>
    <cellStyle name="Note 2 5 21" xfId="40090"/>
    <cellStyle name="Note 2 5 21 2" xfId="40091"/>
    <cellStyle name="Note 2 5 21 2 2" xfId="40092"/>
    <cellStyle name="Note 2 5 21 2_Sheet1" xfId="40093"/>
    <cellStyle name="Note 2 5 21 3" xfId="40094"/>
    <cellStyle name="Note 2 5 21_Sheet1" xfId="40095"/>
    <cellStyle name="Note 2 5 22" xfId="40096"/>
    <cellStyle name="Note 2 5 3" xfId="40097"/>
    <cellStyle name="Note 2 5 3 2" xfId="40098"/>
    <cellStyle name="Note 2 5 3 2 2" xfId="40099"/>
    <cellStyle name="Note 2 5 3 2 2 2" xfId="40100"/>
    <cellStyle name="Note 2 5 3 2 2_Sheet1" xfId="40101"/>
    <cellStyle name="Note 2 5 3 2 3" xfId="40102"/>
    <cellStyle name="Note 2 5 3 2_Sheet1" xfId="40103"/>
    <cellStyle name="Note 2 5 3 3" xfId="40104"/>
    <cellStyle name="Note 2 5 3 3 2" xfId="40105"/>
    <cellStyle name="Note 2 5 3 3 2 2" xfId="40106"/>
    <cellStyle name="Note 2 5 3 3 2_Sheet1" xfId="40107"/>
    <cellStyle name="Note 2 5 3 3 3" xfId="40108"/>
    <cellStyle name="Note 2 5 3 3_Sheet1" xfId="40109"/>
    <cellStyle name="Note 2 5 3 4" xfId="40110"/>
    <cellStyle name="Note 2 5 3 4 2" xfId="40111"/>
    <cellStyle name="Note 2 5 3 4 2 2" xfId="40112"/>
    <cellStyle name="Note 2 5 3 4 2_Sheet1" xfId="40113"/>
    <cellStyle name="Note 2 5 3 4 3" xfId="40114"/>
    <cellStyle name="Note 2 5 3 4_Sheet1" xfId="40115"/>
    <cellStyle name="Note 2 5 3 5" xfId="40116"/>
    <cellStyle name="Note 2 5 3_Sheet1" xfId="40117"/>
    <cellStyle name="Note 2 5 4" xfId="40118"/>
    <cellStyle name="Note 2 5 4 2" xfId="40119"/>
    <cellStyle name="Note 2 5 4 2 2" xfId="40120"/>
    <cellStyle name="Note 2 5 4 2 2 2" xfId="40121"/>
    <cellStyle name="Note 2 5 4 2 2_Sheet1" xfId="40122"/>
    <cellStyle name="Note 2 5 4 2 3" xfId="40123"/>
    <cellStyle name="Note 2 5 4 2_Sheet1" xfId="40124"/>
    <cellStyle name="Note 2 5 4 3" xfId="40125"/>
    <cellStyle name="Note 2 5 4 3 2" xfId="40126"/>
    <cellStyle name="Note 2 5 4 3 2 2" xfId="40127"/>
    <cellStyle name="Note 2 5 4 3 2_Sheet1" xfId="40128"/>
    <cellStyle name="Note 2 5 4 3 3" xfId="40129"/>
    <cellStyle name="Note 2 5 4 3_Sheet1" xfId="40130"/>
    <cellStyle name="Note 2 5 4 4" xfId="40131"/>
    <cellStyle name="Note 2 5 4 4 2" xfId="40132"/>
    <cellStyle name="Note 2 5 4 4 2 2" xfId="40133"/>
    <cellStyle name="Note 2 5 4 4 2_Sheet1" xfId="40134"/>
    <cellStyle name="Note 2 5 4 4 3" xfId="40135"/>
    <cellStyle name="Note 2 5 4 4_Sheet1" xfId="40136"/>
    <cellStyle name="Note 2 5 4 5" xfId="40137"/>
    <cellStyle name="Note 2 5 4_Sheet1" xfId="40138"/>
    <cellStyle name="Note 2 5 5" xfId="40139"/>
    <cellStyle name="Note 2 5 5 2" xfId="40140"/>
    <cellStyle name="Note 2 5 5 2 2" xfId="40141"/>
    <cellStyle name="Note 2 5 5 2 2 2" xfId="40142"/>
    <cellStyle name="Note 2 5 5 2 2_Sheet1" xfId="40143"/>
    <cellStyle name="Note 2 5 5 2 3" xfId="40144"/>
    <cellStyle name="Note 2 5 5 2_Sheet1" xfId="40145"/>
    <cellStyle name="Note 2 5 5 3" xfId="40146"/>
    <cellStyle name="Note 2 5 5 3 2" xfId="40147"/>
    <cellStyle name="Note 2 5 5 3 2 2" xfId="40148"/>
    <cellStyle name="Note 2 5 5 3 2_Sheet1" xfId="40149"/>
    <cellStyle name="Note 2 5 5 3 3" xfId="40150"/>
    <cellStyle name="Note 2 5 5 3_Sheet1" xfId="40151"/>
    <cellStyle name="Note 2 5 5 4" xfId="40152"/>
    <cellStyle name="Note 2 5 5 4 2" xfId="40153"/>
    <cellStyle name="Note 2 5 5 4 2 2" xfId="40154"/>
    <cellStyle name="Note 2 5 5 4 2_Sheet1" xfId="40155"/>
    <cellStyle name="Note 2 5 5 4 3" xfId="40156"/>
    <cellStyle name="Note 2 5 5 4_Sheet1" xfId="40157"/>
    <cellStyle name="Note 2 5 5 5" xfId="40158"/>
    <cellStyle name="Note 2 5 5_Sheet1" xfId="40159"/>
    <cellStyle name="Note 2 5 6" xfId="40160"/>
    <cellStyle name="Note 2 5 6 2" xfId="40161"/>
    <cellStyle name="Note 2 5 6 2 2" xfId="40162"/>
    <cellStyle name="Note 2 5 6 2 2 2" xfId="40163"/>
    <cellStyle name="Note 2 5 6 2 2_Sheet1" xfId="40164"/>
    <cellStyle name="Note 2 5 6 2 3" xfId="40165"/>
    <cellStyle name="Note 2 5 6 2_Sheet1" xfId="40166"/>
    <cellStyle name="Note 2 5 6 3" xfId="40167"/>
    <cellStyle name="Note 2 5 6 3 2" xfId="40168"/>
    <cellStyle name="Note 2 5 6 3 2 2" xfId="40169"/>
    <cellStyle name="Note 2 5 6 3 2_Sheet1" xfId="40170"/>
    <cellStyle name="Note 2 5 6 3 3" xfId="40171"/>
    <cellStyle name="Note 2 5 6 3_Sheet1" xfId="40172"/>
    <cellStyle name="Note 2 5 6 4" xfId="40173"/>
    <cellStyle name="Note 2 5 6 4 2" xfId="40174"/>
    <cellStyle name="Note 2 5 6 4 2 2" xfId="40175"/>
    <cellStyle name="Note 2 5 6 4 2_Sheet1" xfId="40176"/>
    <cellStyle name="Note 2 5 6 4 3" xfId="40177"/>
    <cellStyle name="Note 2 5 6 4_Sheet1" xfId="40178"/>
    <cellStyle name="Note 2 5 6 5" xfId="40179"/>
    <cellStyle name="Note 2 5 6_Sheet1" xfId="40180"/>
    <cellStyle name="Note 2 5 7" xfId="40181"/>
    <cellStyle name="Note 2 5 7 2" xfId="40182"/>
    <cellStyle name="Note 2 5 7 2 2" xfId="40183"/>
    <cellStyle name="Note 2 5 7 2 2 2" xfId="40184"/>
    <cellStyle name="Note 2 5 7 2 2_Sheet1" xfId="40185"/>
    <cellStyle name="Note 2 5 7 2 3" xfId="40186"/>
    <cellStyle name="Note 2 5 7 2_Sheet1" xfId="40187"/>
    <cellStyle name="Note 2 5 7 3" xfId="40188"/>
    <cellStyle name="Note 2 5 7 3 2" xfId="40189"/>
    <cellStyle name="Note 2 5 7 3 2 2" xfId="40190"/>
    <cellStyle name="Note 2 5 7 3 2_Sheet1" xfId="40191"/>
    <cellStyle name="Note 2 5 7 3 3" xfId="40192"/>
    <cellStyle name="Note 2 5 7 3_Sheet1" xfId="40193"/>
    <cellStyle name="Note 2 5 7 4" xfId="40194"/>
    <cellStyle name="Note 2 5 7 4 2" xfId="40195"/>
    <cellStyle name="Note 2 5 7 4 2 2" xfId="40196"/>
    <cellStyle name="Note 2 5 7 4 2_Sheet1" xfId="40197"/>
    <cellStyle name="Note 2 5 7 4 3" xfId="40198"/>
    <cellStyle name="Note 2 5 7 4_Sheet1" xfId="40199"/>
    <cellStyle name="Note 2 5 7 5" xfId="40200"/>
    <cellStyle name="Note 2 5 7_Sheet1" xfId="40201"/>
    <cellStyle name="Note 2 5 8" xfId="40202"/>
    <cellStyle name="Note 2 5 8 2" xfId="40203"/>
    <cellStyle name="Note 2 5 8 2 2" xfId="40204"/>
    <cellStyle name="Note 2 5 8 2 2 2" xfId="40205"/>
    <cellStyle name="Note 2 5 8 2 2_Sheet1" xfId="40206"/>
    <cellStyle name="Note 2 5 8 2 3" xfId="40207"/>
    <cellStyle name="Note 2 5 8 2_Sheet1" xfId="40208"/>
    <cellStyle name="Note 2 5 8 3" xfId="40209"/>
    <cellStyle name="Note 2 5 8 3 2" xfId="40210"/>
    <cellStyle name="Note 2 5 8 3 2 2" xfId="40211"/>
    <cellStyle name="Note 2 5 8 3 2_Sheet1" xfId="40212"/>
    <cellStyle name="Note 2 5 8 3 3" xfId="40213"/>
    <cellStyle name="Note 2 5 8 3_Sheet1" xfId="40214"/>
    <cellStyle name="Note 2 5 8 4" xfId="40215"/>
    <cellStyle name="Note 2 5 8 4 2" xfId="40216"/>
    <cellStyle name="Note 2 5 8 4 2 2" xfId="40217"/>
    <cellStyle name="Note 2 5 8 4 2_Sheet1" xfId="40218"/>
    <cellStyle name="Note 2 5 8 4 3" xfId="40219"/>
    <cellStyle name="Note 2 5 8 4_Sheet1" xfId="40220"/>
    <cellStyle name="Note 2 5 8 5" xfId="40221"/>
    <cellStyle name="Note 2 5 8_Sheet1" xfId="40222"/>
    <cellStyle name="Note 2 5 9" xfId="40223"/>
    <cellStyle name="Note 2 5 9 2" xfId="40224"/>
    <cellStyle name="Note 2 5 9 2 2" xfId="40225"/>
    <cellStyle name="Note 2 5 9 2 2 2" xfId="40226"/>
    <cellStyle name="Note 2 5 9 2 2_Sheet1" xfId="40227"/>
    <cellStyle name="Note 2 5 9 2 3" xfId="40228"/>
    <cellStyle name="Note 2 5 9 2_Sheet1" xfId="40229"/>
    <cellStyle name="Note 2 5 9 3" xfId="40230"/>
    <cellStyle name="Note 2 5 9 3 2" xfId="40231"/>
    <cellStyle name="Note 2 5 9 3 2 2" xfId="40232"/>
    <cellStyle name="Note 2 5 9 3 2_Sheet1" xfId="40233"/>
    <cellStyle name="Note 2 5 9 3 3" xfId="40234"/>
    <cellStyle name="Note 2 5 9 3_Sheet1" xfId="40235"/>
    <cellStyle name="Note 2 5 9 4" xfId="40236"/>
    <cellStyle name="Note 2 5 9 4 2" xfId="40237"/>
    <cellStyle name="Note 2 5 9 4 2 2" xfId="40238"/>
    <cellStyle name="Note 2 5 9 4 2_Sheet1" xfId="40239"/>
    <cellStyle name="Note 2 5 9 4 3" xfId="40240"/>
    <cellStyle name="Note 2 5 9 4_Sheet1" xfId="40241"/>
    <cellStyle name="Note 2 5 9 5" xfId="40242"/>
    <cellStyle name="Note 2 5 9_Sheet1" xfId="40243"/>
    <cellStyle name="Note 2 5_Sheet1" xfId="40244"/>
    <cellStyle name="Note 2 6" xfId="40245"/>
    <cellStyle name="Note 2 6 10" xfId="40246"/>
    <cellStyle name="Note 2 6 10 2" xfId="40247"/>
    <cellStyle name="Note 2 6 10 2 2" xfId="40248"/>
    <cellStyle name="Note 2 6 10 2 2 2" xfId="40249"/>
    <cellStyle name="Note 2 6 10 2 2_Sheet1" xfId="40250"/>
    <cellStyle name="Note 2 6 10 2 3" xfId="40251"/>
    <cellStyle name="Note 2 6 10 2_Sheet1" xfId="40252"/>
    <cellStyle name="Note 2 6 10 3" xfId="40253"/>
    <cellStyle name="Note 2 6 10 3 2" xfId="40254"/>
    <cellStyle name="Note 2 6 10 3 2 2" xfId="40255"/>
    <cellStyle name="Note 2 6 10 3 2_Sheet1" xfId="40256"/>
    <cellStyle name="Note 2 6 10 3 3" xfId="40257"/>
    <cellStyle name="Note 2 6 10 3_Sheet1" xfId="40258"/>
    <cellStyle name="Note 2 6 10 4" xfId="40259"/>
    <cellStyle name="Note 2 6 10 4 2" xfId="40260"/>
    <cellStyle name="Note 2 6 10 4 2 2" xfId="40261"/>
    <cellStyle name="Note 2 6 10 4 2_Sheet1" xfId="40262"/>
    <cellStyle name="Note 2 6 10 4 3" xfId="40263"/>
    <cellStyle name="Note 2 6 10 4_Sheet1" xfId="40264"/>
    <cellStyle name="Note 2 6 10 5" xfId="40265"/>
    <cellStyle name="Note 2 6 10_Sheet1" xfId="40266"/>
    <cellStyle name="Note 2 6 11" xfId="40267"/>
    <cellStyle name="Note 2 6 11 2" xfId="40268"/>
    <cellStyle name="Note 2 6 11 2 2" xfId="40269"/>
    <cellStyle name="Note 2 6 11 2 2 2" xfId="40270"/>
    <cellStyle name="Note 2 6 11 2 2_Sheet1" xfId="40271"/>
    <cellStyle name="Note 2 6 11 2 3" xfId="40272"/>
    <cellStyle name="Note 2 6 11 2_Sheet1" xfId="40273"/>
    <cellStyle name="Note 2 6 11 3" xfId="40274"/>
    <cellStyle name="Note 2 6 11 3 2" xfId="40275"/>
    <cellStyle name="Note 2 6 11 3 2 2" xfId="40276"/>
    <cellStyle name="Note 2 6 11 3 2_Sheet1" xfId="40277"/>
    <cellStyle name="Note 2 6 11 3 3" xfId="40278"/>
    <cellStyle name="Note 2 6 11 3_Sheet1" xfId="40279"/>
    <cellStyle name="Note 2 6 11 4" xfId="40280"/>
    <cellStyle name="Note 2 6 11 4 2" xfId="40281"/>
    <cellStyle name="Note 2 6 11 4 2 2" xfId="40282"/>
    <cellStyle name="Note 2 6 11 4 2_Sheet1" xfId="40283"/>
    <cellStyle name="Note 2 6 11 4 3" xfId="40284"/>
    <cellStyle name="Note 2 6 11 4_Sheet1" xfId="40285"/>
    <cellStyle name="Note 2 6 11 5" xfId="40286"/>
    <cellStyle name="Note 2 6 11_Sheet1" xfId="40287"/>
    <cellStyle name="Note 2 6 12" xfId="40288"/>
    <cellStyle name="Note 2 6 12 2" xfId="40289"/>
    <cellStyle name="Note 2 6 12 2 2" xfId="40290"/>
    <cellStyle name="Note 2 6 12 2 2 2" xfId="40291"/>
    <cellStyle name="Note 2 6 12 2 2_Sheet1" xfId="40292"/>
    <cellStyle name="Note 2 6 12 2 3" xfId="40293"/>
    <cellStyle name="Note 2 6 12 2_Sheet1" xfId="40294"/>
    <cellStyle name="Note 2 6 12 3" xfId="40295"/>
    <cellStyle name="Note 2 6 12 3 2" xfId="40296"/>
    <cellStyle name="Note 2 6 12 3 2 2" xfId="40297"/>
    <cellStyle name="Note 2 6 12 3 2_Sheet1" xfId="40298"/>
    <cellStyle name="Note 2 6 12 3 3" xfId="40299"/>
    <cellStyle name="Note 2 6 12 3_Sheet1" xfId="40300"/>
    <cellStyle name="Note 2 6 12 4" xfId="40301"/>
    <cellStyle name="Note 2 6 12 4 2" xfId="40302"/>
    <cellStyle name="Note 2 6 12 4 2 2" xfId="40303"/>
    <cellStyle name="Note 2 6 12 4 2_Sheet1" xfId="40304"/>
    <cellStyle name="Note 2 6 12 4 3" xfId="40305"/>
    <cellStyle name="Note 2 6 12 4_Sheet1" xfId="40306"/>
    <cellStyle name="Note 2 6 12 5" xfId="40307"/>
    <cellStyle name="Note 2 6 12_Sheet1" xfId="40308"/>
    <cellStyle name="Note 2 6 13" xfId="40309"/>
    <cellStyle name="Note 2 6 13 2" xfId="40310"/>
    <cellStyle name="Note 2 6 13 2 2" xfId="40311"/>
    <cellStyle name="Note 2 6 13 2 2 2" xfId="40312"/>
    <cellStyle name="Note 2 6 13 2 2_Sheet1" xfId="40313"/>
    <cellStyle name="Note 2 6 13 2 3" xfId="40314"/>
    <cellStyle name="Note 2 6 13 2_Sheet1" xfId="40315"/>
    <cellStyle name="Note 2 6 13 3" xfId="40316"/>
    <cellStyle name="Note 2 6 13 3 2" xfId="40317"/>
    <cellStyle name="Note 2 6 13 3 2 2" xfId="40318"/>
    <cellStyle name="Note 2 6 13 3 2_Sheet1" xfId="40319"/>
    <cellStyle name="Note 2 6 13 3 3" xfId="40320"/>
    <cellStyle name="Note 2 6 13 3_Sheet1" xfId="40321"/>
    <cellStyle name="Note 2 6 13 4" xfId="40322"/>
    <cellStyle name="Note 2 6 13 4 2" xfId="40323"/>
    <cellStyle name="Note 2 6 13 4 2 2" xfId="40324"/>
    <cellStyle name="Note 2 6 13 4 2_Sheet1" xfId="40325"/>
    <cellStyle name="Note 2 6 13 4 3" xfId="40326"/>
    <cellStyle name="Note 2 6 13 4_Sheet1" xfId="40327"/>
    <cellStyle name="Note 2 6 13 5" xfId="40328"/>
    <cellStyle name="Note 2 6 13_Sheet1" xfId="40329"/>
    <cellStyle name="Note 2 6 14" xfId="40330"/>
    <cellStyle name="Note 2 6 14 2" xfId="40331"/>
    <cellStyle name="Note 2 6 14 2 2" xfId="40332"/>
    <cellStyle name="Note 2 6 14 2 2 2" xfId="40333"/>
    <cellStyle name="Note 2 6 14 2 2_Sheet1" xfId="40334"/>
    <cellStyle name="Note 2 6 14 2 3" xfId="40335"/>
    <cellStyle name="Note 2 6 14 2_Sheet1" xfId="40336"/>
    <cellStyle name="Note 2 6 14 3" xfId="40337"/>
    <cellStyle name="Note 2 6 14 3 2" xfId="40338"/>
    <cellStyle name="Note 2 6 14 3 2 2" xfId="40339"/>
    <cellStyle name="Note 2 6 14 3 2_Sheet1" xfId="40340"/>
    <cellStyle name="Note 2 6 14 3 3" xfId="40341"/>
    <cellStyle name="Note 2 6 14 3_Sheet1" xfId="40342"/>
    <cellStyle name="Note 2 6 14 4" xfId="40343"/>
    <cellStyle name="Note 2 6 14 4 2" xfId="40344"/>
    <cellStyle name="Note 2 6 14 4 2 2" xfId="40345"/>
    <cellStyle name="Note 2 6 14 4 2_Sheet1" xfId="40346"/>
    <cellStyle name="Note 2 6 14 4 3" xfId="40347"/>
    <cellStyle name="Note 2 6 14 4_Sheet1" xfId="40348"/>
    <cellStyle name="Note 2 6 14 5" xfId="40349"/>
    <cellStyle name="Note 2 6 14_Sheet1" xfId="40350"/>
    <cellStyle name="Note 2 6 15" xfId="40351"/>
    <cellStyle name="Note 2 6 15 2" xfId="40352"/>
    <cellStyle name="Note 2 6 15 2 2" xfId="40353"/>
    <cellStyle name="Note 2 6 15 2 2 2" xfId="40354"/>
    <cellStyle name="Note 2 6 15 2 2_Sheet1" xfId="40355"/>
    <cellStyle name="Note 2 6 15 2 3" xfId="40356"/>
    <cellStyle name="Note 2 6 15 2_Sheet1" xfId="40357"/>
    <cellStyle name="Note 2 6 15 3" xfId="40358"/>
    <cellStyle name="Note 2 6 15 3 2" xfId="40359"/>
    <cellStyle name="Note 2 6 15 3 2 2" xfId="40360"/>
    <cellStyle name="Note 2 6 15 3 2_Sheet1" xfId="40361"/>
    <cellStyle name="Note 2 6 15 3 3" xfId="40362"/>
    <cellStyle name="Note 2 6 15 3_Sheet1" xfId="40363"/>
    <cellStyle name="Note 2 6 15 4" xfId="40364"/>
    <cellStyle name="Note 2 6 15 4 2" xfId="40365"/>
    <cellStyle name="Note 2 6 15 4 2 2" xfId="40366"/>
    <cellStyle name="Note 2 6 15 4 2_Sheet1" xfId="40367"/>
    <cellStyle name="Note 2 6 15 4 3" xfId="40368"/>
    <cellStyle name="Note 2 6 15 4_Sheet1" xfId="40369"/>
    <cellStyle name="Note 2 6 15 5" xfId="40370"/>
    <cellStyle name="Note 2 6 15_Sheet1" xfId="40371"/>
    <cellStyle name="Note 2 6 16" xfId="40372"/>
    <cellStyle name="Note 2 6 16 2" xfId="40373"/>
    <cellStyle name="Note 2 6 16 2 2" xfId="40374"/>
    <cellStyle name="Note 2 6 16 2 2 2" xfId="40375"/>
    <cellStyle name="Note 2 6 16 2 2_Sheet1" xfId="40376"/>
    <cellStyle name="Note 2 6 16 2 3" xfId="40377"/>
    <cellStyle name="Note 2 6 16 2_Sheet1" xfId="40378"/>
    <cellStyle name="Note 2 6 16 3" xfId="40379"/>
    <cellStyle name="Note 2 6 16 3 2" xfId="40380"/>
    <cellStyle name="Note 2 6 16 3 2 2" xfId="40381"/>
    <cellStyle name="Note 2 6 16 3 2_Sheet1" xfId="40382"/>
    <cellStyle name="Note 2 6 16 3 3" xfId="40383"/>
    <cellStyle name="Note 2 6 16 3_Sheet1" xfId="40384"/>
    <cellStyle name="Note 2 6 16 4" xfId="40385"/>
    <cellStyle name="Note 2 6 16 4 2" xfId="40386"/>
    <cellStyle name="Note 2 6 16 4 2 2" xfId="40387"/>
    <cellStyle name="Note 2 6 16 4 2_Sheet1" xfId="40388"/>
    <cellStyle name="Note 2 6 16 4 3" xfId="40389"/>
    <cellStyle name="Note 2 6 16 4_Sheet1" xfId="40390"/>
    <cellStyle name="Note 2 6 16 5" xfId="40391"/>
    <cellStyle name="Note 2 6 16_Sheet1" xfId="40392"/>
    <cellStyle name="Note 2 6 17" xfId="40393"/>
    <cellStyle name="Note 2 6 17 2" xfId="40394"/>
    <cellStyle name="Note 2 6 17 2 2" xfId="40395"/>
    <cellStyle name="Note 2 6 17 2 2 2" xfId="40396"/>
    <cellStyle name="Note 2 6 17 2 2_Sheet1" xfId="40397"/>
    <cellStyle name="Note 2 6 17 2 3" xfId="40398"/>
    <cellStyle name="Note 2 6 17 2_Sheet1" xfId="40399"/>
    <cellStyle name="Note 2 6 17 3" xfId="40400"/>
    <cellStyle name="Note 2 6 17 3 2" xfId="40401"/>
    <cellStyle name="Note 2 6 17 3 2 2" xfId="40402"/>
    <cellStyle name="Note 2 6 17 3 2_Sheet1" xfId="40403"/>
    <cellStyle name="Note 2 6 17 3 3" xfId="40404"/>
    <cellStyle name="Note 2 6 17 3_Sheet1" xfId="40405"/>
    <cellStyle name="Note 2 6 17 4" xfId="40406"/>
    <cellStyle name="Note 2 6 17 4 2" xfId="40407"/>
    <cellStyle name="Note 2 6 17 4 2 2" xfId="40408"/>
    <cellStyle name="Note 2 6 17 4 2_Sheet1" xfId="40409"/>
    <cellStyle name="Note 2 6 17 4 3" xfId="40410"/>
    <cellStyle name="Note 2 6 17 4_Sheet1" xfId="40411"/>
    <cellStyle name="Note 2 6 17 5" xfId="40412"/>
    <cellStyle name="Note 2 6 17_Sheet1" xfId="40413"/>
    <cellStyle name="Note 2 6 18" xfId="40414"/>
    <cellStyle name="Note 2 6 18 2" xfId="40415"/>
    <cellStyle name="Note 2 6 18 2 2" xfId="40416"/>
    <cellStyle name="Note 2 6 18 2 2 2" xfId="40417"/>
    <cellStyle name="Note 2 6 18 2 2_Sheet1" xfId="40418"/>
    <cellStyle name="Note 2 6 18 2 3" xfId="40419"/>
    <cellStyle name="Note 2 6 18 2_Sheet1" xfId="40420"/>
    <cellStyle name="Note 2 6 18 3" xfId="40421"/>
    <cellStyle name="Note 2 6 18 3 2" xfId="40422"/>
    <cellStyle name="Note 2 6 18 3 2 2" xfId="40423"/>
    <cellStyle name="Note 2 6 18 3 2_Sheet1" xfId="40424"/>
    <cellStyle name="Note 2 6 18 3 3" xfId="40425"/>
    <cellStyle name="Note 2 6 18 3_Sheet1" xfId="40426"/>
    <cellStyle name="Note 2 6 18 4" xfId="40427"/>
    <cellStyle name="Note 2 6 18 4 2" xfId="40428"/>
    <cellStyle name="Note 2 6 18 4 2 2" xfId="40429"/>
    <cellStyle name="Note 2 6 18 4 2_Sheet1" xfId="40430"/>
    <cellStyle name="Note 2 6 18 4 3" xfId="40431"/>
    <cellStyle name="Note 2 6 18 4_Sheet1" xfId="40432"/>
    <cellStyle name="Note 2 6 18 5" xfId="40433"/>
    <cellStyle name="Note 2 6 18_Sheet1" xfId="40434"/>
    <cellStyle name="Note 2 6 19" xfId="40435"/>
    <cellStyle name="Note 2 6 19 2" xfId="40436"/>
    <cellStyle name="Note 2 6 19 2 2" xfId="40437"/>
    <cellStyle name="Note 2 6 19 2_Sheet1" xfId="40438"/>
    <cellStyle name="Note 2 6 19_Sheet1" xfId="40439"/>
    <cellStyle name="Note 2 6 2" xfId="40440"/>
    <cellStyle name="Note 2 6 2 2" xfId="40441"/>
    <cellStyle name="Note 2 6 2 2 2" xfId="40442"/>
    <cellStyle name="Note 2 6 2 2 2 2" xfId="40443"/>
    <cellStyle name="Note 2 6 2 2 2_Sheet1" xfId="40444"/>
    <cellStyle name="Note 2 6 2 2 3" xfId="40445"/>
    <cellStyle name="Note 2 6 2 2_Sheet1" xfId="40446"/>
    <cellStyle name="Note 2 6 2 3" xfId="40447"/>
    <cellStyle name="Note 2 6 2 3 2" xfId="40448"/>
    <cellStyle name="Note 2 6 2 3 2 2" xfId="40449"/>
    <cellStyle name="Note 2 6 2 3 2_Sheet1" xfId="40450"/>
    <cellStyle name="Note 2 6 2 3 3" xfId="40451"/>
    <cellStyle name="Note 2 6 2 3_Sheet1" xfId="40452"/>
    <cellStyle name="Note 2 6 2 4" xfId="40453"/>
    <cellStyle name="Note 2 6 2 4 2" xfId="40454"/>
    <cellStyle name="Note 2 6 2 4 2 2" xfId="40455"/>
    <cellStyle name="Note 2 6 2 4 2_Sheet1" xfId="40456"/>
    <cellStyle name="Note 2 6 2 4 3" xfId="40457"/>
    <cellStyle name="Note 2 6 2 4_Sheet1" xfId="40458"/>
    <cellStyle name="Note 2 6 2 5" xfId="40459"/>
    <cellStyle name="Note 2 6 2_Sheet1" xfId="40460"/>
    <cellStyle name="Note 2 6 20" xfId="40461"/>
    <cellStyle name="Note 2 6 20 2" xfId="40462"/>
    <cellStyle name="Note 2 6 20 2 2" xfId="40463"/>
    <cellStyle name="Note 2 6 20 2_Sheet1" xfId="40464"/>
    <cellStyle name="Note 2 6 20_Sheet1" xfId="40465"/>
    <cellStyle name="Note 2 6 21" xfId="40466"/>
    <cellStyle name="Note 2 6 21 2" xfId="40467"/>
    <cellStyle name="Note 2 6 21 2 2" xfId="40468"/>
    <cellStyle name="Note 2 6 21 2_Sheet1" xfId="40469"/>
    <cellStyle name="Note 2 6 21_Sheet1" xfId="40470"/>
    <cellStyle name="Note 2 6 22" xfId="40471"/>
    <cellStyle name="Note 2 6 23" xfId="40472"/>
    <cellStyle name="Note 2 6 3" xfId="40473"/>
    <cellStyle name="Note 2 6 3 2" xfId="40474"/>
    <cellStyle name="Note 2 6 3 2 2" xfId="40475"/>
    <cellStyle name="Note 2 6 3 2 2 2" xfId="40476"/>
    <cellStyle name="Note 2 6 3 2 2_Sheet1" xfId="40477"/>
    <cellStyle name="Note 2 6 3 2 3" xfId="40478"/>
    <cellStyle name="Note 2 6 3 2_Sheet1" xfId="40479"/>
    <cellStyle name="Note 2 6 3 3" xfId="40480"/>
    <cellStyle name="Note 2 6 3 3 2" xfId="40481"/>
    <cellStyle name="Note 2 6 3 3 2 2" xfId="40482"/>
    <cellStyle name="Note 2 6 3 3 2_Sheet1" xfId="40483"/>
    <cellStyle name="Note 2 6 3 3 3" xfId="40484"/>
    <cellStyle name="Note 2 6 3 3_Sheet1" xfId="40485"/>
    <cellStyle name="Note 2 6 3 4" xfId="40486"/>
    <cellStyle name="Note 2 6 3 4 2" xfId="40487"/>
    <cellStyle name="Note 2 6 3 4 2 2" xfId="40488"/>
    <cellStyle name="Note 2 6 3 4 2_Sheet1" xfId="40489"/>
    <cellStyle name="Note 2 6 3 4 3" xfId="40490"/>
    <cellStyle name="Note 2 6 3 4_Sheet1" xfId="40491"/>
    <cellStyle name="Note 2 6 3 5" xfId="40492"/>
    <cellStyle name="Note 2 6 3_Sheet1" xfId="40493"/>
    <cellStyle name="Note 2 6 4" xfId="40494"/>
    <cellStyle name="Note 2 6 4 2" xfId="40495"/>
    <cellStyle name="Note 2 6 4 2 2" xfId="40496"/>
    <cellStyle name="Note 2 6 4 2 2 2" xfId="40497"/>
    <cellStyle name="Note 2 6 4 2 2_Sheet1" xfId="40498"/>
    <cellStyle name="Note 2 6 4 2 3" xfId="40499"/>
    <cellStyle name="Note 2 6 4 2_Sheet1" xfId="40500"/>
    <cellStyle name="Note 2 6 4 3" xfId="40501"/>
    <cellStyle name="Note 2 6 4 3 2" xfId="40502"/>
    <cellStyle name="Note 2 6 4 3 2 2" xfId="40503"/>
    <cellStyle name="Note 2 6 4 3 2_Sheet1" xfId="40504"/>
    <cellStyle name="Note 2 6 4 3 3" xfId="40505"/>
    <cellStyle name="Note 2 6 4 3_Sheet1" xfId="40506"/>
    <cellStyle name="Note 2 6 4 4" xfId="40507"/>
    <cellStyle name="Note 2 6 4 4 2" xfId="40508"/>
    <cellStyle name="Note 2 6 4 4 2 2" xfId="40509"/>
    <cellStyle name="Note 2 6 4 4 2_Sheet1" xfId="40510"/>
    <cellStyle name="Note 2 6 4 4 3" xfId="40511"/>
    <cellStyle name="Note 2 6 4 4_Sheet1" xfId="40512"/>
    <cellStyle name="Note 2 6 4 5" xfId="40513"/>
    <cellStyle name="Note 2 6 4_Sheet1" xfId="40514"/>
    <cellStyle name="Note 2 6 5" xfId="40515"/>
    <cellStyle name="Note 2 6 5 2" xfId="40516"/>
    <cellStyle name="Note 2 6 5 2 2" xfId="40517"/>
    <cellStyle name="Note 2 6 5 2 2 2" xfId="40518"/>
    <cellStyle name="Note 2 6 5 2 2_Sheet1" xfId="40519"/>
    <cellStyle name="Note 2 6 5 2 3" xfId="40520"/>
    <cellStyle name="Note 2 6 5 2_Sheet1" xfId="40521"/>
    <cellStyle name="Note 2 6 5 3" xfId="40522"/>
    <cellStyle name="Note 2 6 5 3 2" xfId="40523"/>
    <cellStyle name="Note 2 6 5 3 2 2" xfId="40524"/>
    <cellStyle name="Note 2 6 5 3 2_Sheet1" xfId="40525"/>
    <cellStyle name="Note 2 6 5 3 3" xfId="40526"/>
    <cellStyle name="Note 2 6 5 3_Sheet1" xfId="40527"/>
    <cellStyle name="Note 2 6 5 4" xfId="40528"/>
    <cellStyle name="Note 2 6 5 4 2" xfId="40529"/>
    <cellStyle name="Note 2 6 5 4 2 2" xfId="40530"/>
    <cellStyle name="Note 2 6 5 4 2_Sheet1" xfId="40531"/>
    <cellStyle name="Note 2 6 5 4 3" xfId="40532"/>
    <cellStyle name="Note 2 6 5 4_Sheet1" xfId="40533"/>
    <cellStyle name="Note 2 6 5 5" xfId="40534"/>
    <cellStyle name="Note 2 6 5_Sheet1" xfId="40535"/>
    <cellStyle name="Note 2 6 6" xfId="40536"/>
    <cellStyle name="Note 2 6 6 2" xfId="40537"/>
    <cellStyle name="Note 2 6 6 2 2" xfId="40538"/>
    <cellStyle name="Note 2 6 6 2 2 2" xfId="40539"/>
    <cellStyle name="Note 2 6 6 2 2_Sheet1" xfId="40540"/>
    <cellStyle name="Note 2 6 6 2 3" xfId="40541"/>
    <cellStyle name="Note 2 6 6 2_Sheet1" xfId="40542"/>
    <cellStyle name="Note 2 6 6 3" xfId="40543"/>
    <cellStyle name="Note 2 6 6 3 2" xfId="40544"/>
    <cellStyle name="Note 2 6 6 3 2 2" xfId="40545"/>
    <cellStyle name="Note 2 6 6 3 2_Sheet1" xfId="40546"/>
    <cellStyle name="Note 2 6 6 3 3" xfId="40547"/>
    <cellStyle name="Note 2 6 6 3_Sheet1" xfId="40548"/>
    <cellStyle name="Note 2 6 6 4" xfId="40549"/>
    <cellStyle name="Note 2 6 6 4 2" xfId="40550"/>
    <cellStyle name="Note 2 6 6 4 2 2" xfId="40551"/>
    <cellStyle name="Note 2 6 6 4 2_Sheet1" xfId="40552"/>
    <cellStyle name="Note 2 6 6 4 3" xfId="40553"/>
    <cellStyle name="Note 2 6 6 4_Sheet1" xfId="40554"/>
    <cellStyle name="Note 2 6 6 5" xfId="40555"/>
    <cellStyle name="Note 2 6 6_Sheet1" xfId="40556"/>
    <cellStyle name="Note 2 6 7" xfId="40557"/>
    <cellStyle name="Note 2 6 7 2" xfId="40558"/>
    <cellStyle name="Note 2 6 7 2 2" xfId="40559"/>
    <cellStyle name="Note 2 6 7 2 2 2" xfId="40560"/>
    <cellStyle name="Note 2 6 7 2 2_Sheet1" xfId="40561"/>
    <cellStyle name="Note 2 6 7 2 3" xfId="40562"/>
    <cellStyle name="Note 2 6 7 2_Sheet1" xfId="40563"/>
    <cellStyle name="Note 2 6 7 3" xfId="40564"/>
    <cellStyle name="Note 2 6 7 3 2" xfId="40565"/>
    <cellStyle name="Note 2 6 7 3 2 2" xfId="40566"/>
    <cellStyle name="Note 2 6 7 3 2_Sheet1" xfId="40567"/>
    <cellStyle name="Note 2 6 7 3 3" xfId="40568"/>
    <cellStyle name="Note 2 6 7 3_Sheet1" xfId="40569"/>
    <cellStyle name="Note 2 6 7 4" xfId="40570"/>
    <cellStyle name="Note 2 6 7 4 2" xfId="40571"/>
    <cellStyle name="Note 2 6 7 4 2 2" xfId="40572"/>
    <cellStyle name="Note 2 6 7 4 2_Sheet1" xfId="40573"/>
    <cellStyle name="Note 2 6 7 4 3" xfId="40574"/>
    <cellStyle name="Note 2 6 7 4_Sheet1" xfId="40575"/>
    <cellStyle name="Note 2 6 7 5" xfId="40576"/>
    <cellStyle name="Note 2 6 7_Sheet1" xfId="40577"/>
    <cellStyle name="Note 2 6 8" xfId="40578"/>
    <cellStyle name="Note 2 6 8 2" xfId="40579"/>
    <cellStyle name="Note 2 6 8 2 2" xfId="40580"/>
    <cellStyle name="Note 2 6 8 2 2 2" xfId="40581"/>
    <cellStyle name="Note 2 6 8 2 2_Sheet1" xfId="40582"/>
    <cellStyle name="Note 2 6 8 2 3" xfId="40583"/>
    <cellStyle name="Note 2 6 8 2_Sheet1" xfId="40584"/>
    <cellStyle name="Note 2 6 8 3" xfId="40585"/>
    <cellStyle name="Note 2 6 8 3 2" xfId="40586"/>
    <cellStyle name="Note 2 6 8 3 2 2" xfId="40587"/>
    <cellStyle name="Note 2 6 8 3 2_Sheet1" xfId="40588"/>
    <cellStyle name="Note 2 6 8 3 3" xfId="40589"/>
    <cellStyle name="Note 2 6 8 3_Sheet1" xfId="40590"/>
    <cellStyle name="Note 2 6 8 4" xfId="40591"/>
    <cellStyle name="Note 2 6 8 4 2" xfId="40592"/>
    <cellStyle name="Note 2 6 8 4 2 2" xfId="40593"/>
    <cellStyle name="Note 2 6 8 4 2_Sheet1" xfId="40594"/>
    <cellStyle name="Note 2 6 8 4 3" xfId="40595"/>
    <cellStyle name="Note 2 6 8 4_Sheet1" xfId="40596"/>
    <cellStyle name="Note 2 6 8 5" xfId="40597"/>
    <cellStyle name="Note 2 6 8_Sheet1" xfId="40598"/>
    <cellStyle name="Note 2 6 9" xfId="40599"/>
    <cellStyle name="Note 2 6 9 2" xfId="40600"/>
    <cellStyle name="Note 2 6 9 2 2" xfId="40601"/>
    <cellStyle name="Note 2 6 9 2 2 2" xfId="40602"/>
    <cellStyle name="Note 2 6 9 2 2_Sheet1" xfId="40603"/>
    <cellStyle name="Note 2 6 9 2 3" xfId="40604"/>
    <cellStyle name="Note 2 6 9 2_Sheet1" xfId="40605"/>
    <cellStyle name="Note 2 6 9 3" xfId="40606"/>
    <cellStyle name="Note 2 6 9 3 2" xfId="40607"/>
    <cellStyle name="Note 2 6 9 3 2 2" xfId="40608"/>
    <cellStyle name="Note 2 6 9 3 2_Sheet1" xfId="40609"/>
    <cellStyle name="Note 2 6 9 3 3" xfId="40610"/>
    <cellStyle name="Note 2 6 9 3_Sheet1" xfId="40611"/>
    <cellStyle name="Note 2 6 9 4" xfId="40612"/>
    <cellStyle name="Note 2 6 9 4 2" xfId="40613"/>
    <cellStyle name="Note 2 6 9 4 2 2" xfId="40614"/>
    <cellStyle name="Note 2 6 9 4 2_Sheet1" xfId="40615"/>
    <cellStyle name="Note 2 6 9 4 3" xfId="40616"/>
    <cellStyle name="Note 2 6 9 4_Sheet1" xfId="40617"/>
    <cellStyle name="Note 2 6 9 5" xfId="40618"/>
    <cellStyle name="Note 2 6 9_Sheet1" xfId="40619"/>
    <cellStyle name="Note 2 6_Sheet1" xfId="40620"/>
    <cellStyle name="Note 2 7" xfId="40621"/>
    <cellStyle name="Note 2 7 2" xfId="40622"/>
    <cellStyle name="Note 2 7 2 2" xfId="40623"/>
    <cellStyle name="Note 2 7 2 2 2" xfId="40624"/>
    <cellStyle name="Note 2 7 2 2_Sheet1" xfId="40625"/>
    <cellStyle name="Note 2 7 2_Sheet1" xfId="40626"/>
    <cellStyle name="Note 2 7 3" xfId="40627"/>
    <cellStyle name="Note 2 7 3 2" xfId="40628"/>
    <cellStyle name="Note 2 7 3 2 2" xfId="40629"/>
    <cellStyle name="Note 2 7 3 2_Sheet1" xfId="40630"/>
    <cellStyle name="Note 2 7 3_Sheet1" xfId="40631"/>
    <cellStyle name="Note 2 7 4" xfId="40632"/>
    <cellStyle name="Note 2 7 4 2" xfId="40633"/>
    <cellStyle name="Note 2 7 4 2 2" xfId="40634"/>
    <cellStyle name="Note 2 7 4 2_Sheet1" xfId="40635"/>
    <cellStyle name="Note 2 7 4_Sheet1" xfId="40636"/>
    <cellStyle name="Note 2 7 5" xfId="40637"/>
    <cellStyle name="Note 2 7 6" xfId="40638"/>
    <cellStyle name="Note 2 7_Sheet1" xfId="40639"/>
    <cellStyle name="Note 2 8" xfId="40640"/>
    <cellStyle name="Note 2 8 2" xfId="40641"/>
    <cellStyle name="Note 2 8 2 2" xfId="40642"/>
    <cellStyle name="Note 2 8 2 2 2" xfId="40643"/>
    <cellStyle name="Note 2 8 2 2_Sheet1" xfId="40644"/>
    <cellStyle name="Note 2 8 2 3" xfId="40645"/>
    <cellStyle name="Note 2 8 2_Sheet1" xfId="40646"/>
    <cellStyle name="Note 2 8 3" xfId="40647"/>
    <cellStyle name="Note 2 8 3 2" xfId="40648"/>
    <cellStyle name="Note 2 8 3 2 2" xfId="40649"/>
    <cellStyle name="Note 2 8 3 2_Sheet1" xfId="40650"/>
    <cellStyle name="Note 2 8 3 3" xfId="40651"/>
    <cellStyle name="Note 2 8 3_Sheet1" xfId="40652"/>
    <cellStyle name="Note 2 8 4" xfId="40653"/>
    <cellStyle name="Note 2 8 4 2" xfId="40654"/>
    <cellStyle name="Note 2 8 4 2 2" xfId="40655"/>
    <cellStyle name="Note 2 8 4 2_Sheet1" xfId="40656"/>
    <cellStyle name="Note 2 8 4 3" xfId="40657"/>
    <cellStyle name="Note 2 8 4_Sheet1" xfId="40658"/>
    <cellStyle name="Note 2 8 5" xfId="40659"/>
    <cellStyle name="Note 2 8_Sheet1" xfId="40660"/>
    <cellStyle name="Note 2 9" xfId="40661"/>
    <cellStyle name="Note 2 9 2" xfId="40662"/>
    <cellStyle name="Note 2 9 2 2" xfId="40663"/>
    <cellStyle name="Note 2 9 2 2 2" xfId="40664"/>
    <cellStyle name="Note 2 9 2 2_Sheet1" xfId="40665"/>
    <cellStyle name="Note 2 9 2 3" xfId="40666"/>
    <cellStyle name="Note 2 9 2_Sheet1" xfId="40667"/>
    <cellStyle name="Note 2 9 3" xfId="40668"/>
    <cellStyle name="Note 2 9 3 2" xfId="40669"/>
    <cellStyle name="Note 2 9 3 2 2" xfId="40670"/>
    <cellStyle name="Note 2 9 3 2_Sheet1" xfId="40671"/>
    <cellStyle name="Note 2 9 3 3" xfId="40672"/>
    <cellStyle name="Note 2 9 3_Sheet1" xfId="40673"/>
    <cellStyle name="Note 2 9 4" xfId="40674"/>
    <cellStyle name="Note 2 9 4 2" xfId="40675"/>
    <cellStyle name="Note 2 9 4 2 2" xfId="40676"/>
    <cellStyle name="Note 2 9 4 2_Sheet1" xfId="40677"/>
    <cellStyle name="Note 2 9 4 3" xfId="40678"/>
    <cellStyle name="Note 2 9 4_Sheet1" xfId="40679"/>
    <cellStyle name="Note 2 9 5" xfId="40680"/>
    <cellStyle name="Note 2 9_Sheet1" xfId="40681"/>
    <cellStyle name="Note 2_Laporan Aspal Per Bulan 2009" xfId="40682"/>
    <cellStyle name="Note 3" xfId="40683"/>
    <cellStyle name="Note 3 10" xfId="40684"/>
    <cellStyle name="Note 3 10 2" xfId="40685"/>
    <cellStyle name="Note 3 10 2 2" xfId="40686"/>
    <cellStyle name="Note 3 10 2 2 2" xfId="40687"/>
    <cellStyle name="Note 3 10 2 2_Sheet1" xfId="40688"/>
    <cellStyle name="Note 3 10 2 3" xfId="40689"/>
    <cellStyle name="Note 3 10 2_Sheet1" xfId="40690"/>
    <cellStyle name="Note 3 10 3" xfId="40691"/>
    <cellStyle name="Note 3 10 3 2" xfId="40692"/>
    <cellStyle name="Note 3 10 3 2 2" xfId="40693"/>
    <cellStyle name="Note 3 10 3 2_Sheet1" xfId="40694"/>
    <cellStyle name="Note 3 10 3 3" xfId="40695"/>
    <cellStyle name="Note 3 10 3_Sheet1" xfId="40696"/>
    <cellStyle name="Note 3 10 4" xfId="40697"/>
    <cellStyle name="Note 3 10 4 2" xfId="40698"/>
    <cellStyle name="Note 3 10 4 2 2" xfId="40699"/>
    <cellStyle name="Note 3 10 4 2_Sheet1" xfId="40700"/>
    <cellStyle name="Note 3 10 4 3" xfId="40701"/>
    <cellStyle name="Note 3 10 4_Sheet1" xfId="40702"/>
    <cellStyle name="Note 3 10 5" xfId="40703"/>
    <cellStyle name="Note 3 10_Sheet1" xfId="40704"/>
    <cellStyle name="Note 3 11" xfId="40705"/>
    <cellStyle name="Note 3 11 2" xfId="40706"/>
    <cellStyle name="Note 3 11 2 2" xfId="40707"/>
    <cellStyle name="Note 3 11 2 2 2" xfId="40708"/>
    <cellStyle name="Note 3 11 2 2_Sheet1" xfId="40709"/>
    <cellStyle name="Note 3 11 2 3" xfId="40710"/>
    <cellStyle name="Note 3 11 2_Sheet1" xfId="40711"/>
    <cellStyle name="Note 3 11 3" xfId="40712"/>
    <cellStyle name="Note 3 11 3 2" xfId="40713"/>
    <cellStyle name="Note 3 11 3 2 2" xfId="40714"/>
    <cellStyle name="Note 3 11 3 2_Sheet1" xfId="40715"/>
    <cellStyle name="Note 3 11 3 3" xfId="40716"/>
    <cellStyle name="Note 3 11 3_Sheet1" xfId="40717"/>
    <cellStyle name="Note 3 11 4" xfId="40718"/>
    <cellStyle name="Note 3 11 4 2" xfId="40719"/>
    <cellStyle name="Note 3 11 4 2 2" xfId="40720"/>
    <cellStyle name="Note 3 11 4 2_Sheet1" xfId="40721"/>
    <cellStyle name="Note 3 11 4 3" xfId="40722"/>
    <cellStyle name="Note 3 11 4_Sheet1" xfId="40723"/>
    <cellStyle name="Note 3 11 5" xfId="40724"/>
    <cellStyle name="Note 3 11_Sheet1" xfId="40725"/>
    <cellStyle name="Note 3 12" xfId="40726"/>
    <cellStyle name="Note 3 12 2" xfId="40727"/>
    <cellStyle name="Note 3 12 2 2" xfId="40728"/>
    <cellStyle name="Note 3 12 2 2 2" xfId="40729"/>
    <cellStyle name="Note 3 12 2 2_Sheet1" xfId="40730"/>
    <cellStyle name="Note 3 12 2 3" xfId="40731"/>
    <cellStyle name="Note 3 12 2_Sheet1" xfId="40732"/>
    <cellStyle name="Note 3 12 3" xfId="40733"/>
    <cellStyle name="Note 3 12 3 2" xfId="40734"/>
    <cellStyle name="Note 3 12 3 2 2" xfId="40735"/>
    <cellStyle name="Note 3 12 3 2_Sheet1" xfId="40736"/>
    <cellStyle name="Note 3 12 3 3" xfId="40737"/>
    <cellStyle name="Note 3 12 3_Sheet1" xfId="40738"/>
    <cellStyle name="Note 3 12 4" xfId="40739"/>
    <cellStyle name="Note 3 12 4 2" xfId="40740"/>
    <cellStyle name="Note 3 12 4 2 2" xfId="40741"/>
    <cellStyle name="Note 3 12 4 2_Sheet1" xfId="40742"/>
    <cellStyle name="Note 3 12 4 3" xfId="40743"/>
    <cellStyle name="Note 3 12 4_Sheet1" xfId="40744"/>
    <cellStyle name="Note 3 12 5" xfId="40745"/>
    <cellStyle name="Note 3 12_Sheet1" xfId="40746"/>
    <cellStyle name="Note 3 13" xfId="40747"/>
    <cellStyle name="Note 3 13 2" xfId="40748"/>
    <cellStyle name="Note 3 13 2 2" xfId="40749"/>
    <cellStyle name="Note 3 13 2 2 2" xfId="40750"/>
    <cellStyle name="Note 3 13 2 2_Sheet1" xfId="40751"/>
    <cellStyle name="Note 3 13 2 3" xfId="40752"/>
    <cellStyle name="Note 3 13 2_Sheet1" xfId="40753"/>
    <cellStyle name="Note 3 13 3" xfId="40754"/>
    <cellStyle name="Note 3 13 3 2" xfId="40755"/>
    <cellStyle name="Note 3 13 3 2 2" xfId="40756"/>
    <cellStyle name="Note 3 13 3 2_Sheet1" xfId="40757"/>
    <cellStyle name="Note 3 13 3 3" xfId="40758"/>
    <cellStyle name="Note 3 13 3_Sheet1" xfId="40759"/>
    <cellStyle name="Note 3 13 4" xfId="40760"/>
    <cellStyle name="Note 3 13 4 2" xfId="40761"/>
    <cellStyle name="Note 3 13 4 2 2" xfId="40762"/>
    <cellStyle name="Note 3 13 4 2_Sheet1" xfId="40763"/>
    <cellStyle name="Note 3 13 4 3" xfId="40764"/>
    <cellStyle name="Note 3 13 4_Sheet1" xfId="40765"/>
    <cellStyle name="Note 3 13 5" xfId="40766"/>
    <cellStyle name="Note 3 13_Sheet1" xfId="40767"/>
    <cellStyle name="Note 3 14" xfId="40768"/>
    <cellStyle name="Note 3 14 2" xfId="40769"/>
    <cellStyle name="Note 3 14 2 2" xfId="40770"/>
    <cellStyle name="Note 3 14 2 2 2" xfId="40771"/>
    <cellStyle name="Note 3 14 2 2_Sheet1" xfId="40772"/>
    <cellStyle name="Note 3 14 2 3" xfId="40773"/>
    <cellStyle name="Note 3 14 2_Sheet1" xfId="40774"/>
    <cellStyle name="Note 3 14 3" xfId="40775"/>
    <cellStyle name="Note 3 14 3 2" xfId="40776"/>
    <cellStyle name="Note 3 14 3 2 2" xfId="40777"/>
    <cellStyle name="Note 3 14 3 2_Sheet1" xfId="40778"/>
    <cellStyle name="Note 3 14 3 3" xfId="40779"/>
    <cellStyle name="Note 3 14 3_Sheet1" xfId="40780"/>
    <cellStyle name="Note 3 14 4" xfId="40781"/>
    <cellStyle name="Note 3 14 4 2" xfId="40782"/>
    <cellStyle name="Note 3 14 4 2 2" xfId="40783"/>
    <cellStyle name="Note 3 14 4 2_Sheet1" xfId="40784"/>
    <cellStyle name="Note 3 14 4 3" xfId="40785"/>
    <cellStyle name="Note 3 14 4_Sheet1" xfId="40786"/>
    <cellStyle name="Note 3 14 5" xfId="40787"/>
    <cellStyle name="Note 3 14_Sheet1" xfId="40788"/>
    <cellStyle name="Note 3 15" xfId="40789"/>
    <cellStyle name="Note 3 15 2" xfId="40790"/>
    <cellStyle name="Note 3 15 2 2" xfId="40791"/>
    <cellStyle name="Note 3 15 2 2 2" xfId="40792"/>
    <cellStyle name="Note 3 15 2 2_Sheet1" xfId="40793"/>
    <cellStyle name="Note 3 15 2 3" xfId="40794"/>
    <cellStyle name="Note 3 15 2_Sheet1" xfId="40795"/>
    <cellStyle name="Note 3 15 3" xfId="40796"/>
    <cellStyle name="Note 3 15 3 2" xfId="40797"/>
    <cellStyle name="Note 3 15 3 2 2" xfId="40798"/>
    <cellStyle name="Note 3 15 3 2_Sheet1" xfId="40799"/>
    <cellStyle name="Note 3 15 3 3" xfId="40800"/>
    <cellStyle name="Note 3 15 3_Sheet1" xfId="40801"/>
    <cellStyle name="Note 3 15 4" xfId="40802"/>
    <cellStyle name="Note 3 15 4 2" xfId="40803"/>
    <cellStyle name="Note 3 15 4 2 2" xfId="40804"/>
    <cellStyle name="Note 3 15 4 2_Sheet1" xfId="40805"/>
    <cellStyle name="Note 3 15 4 3" xfId="40806"/>
    <cellStyle name="Note 3 15 4_Sheet1" xfId="40807"/>
    <cellStyle name="Note 3 15 5" xfId="40808"/>
    <cellStyle name="Note 3 15_Sheet1" xfId="40809"/>
    <cellStyle name="Note 3 16" xfId="40810"/>
    <cellStyle name="Note 3 16 2" xfId="40811"/>
    <cellStyle name="Note 3 16 2 2" xfId="40812"/>
    <cellStyle name="Note 3 16 2 2 2" xfId="40813"/>
    <cellStyle name="Note 3 16 2 2_Sheet1" xfId="40814"/>
    <cellStyle name="Note 3 16 2 3" xfId="40815"/>
    <cellStyle name="Note 3 16 2_Sheet1" xfId="40816"/>
    <cellStyle name="Note 3 16 3" xfId="40817"/>
    <cellStyle name="Note 3 16 3 2" xfId="40818"/>
    <cellStyle name="Note 3 16 3 2 2" xfId="40819"/>
    <cellStyle name="Note 3 16 3 2_Sheet1" xfId="40820"/>
    <cellStyle name="Note 3 16 3 3" xfId="40821"/>
    <cellStyle name="Note 3 16 3_Sheet1" xfId="40822"/>
    <cellStyle name="Note 3 16 4" xfId="40823"/>
    <cellStyle name="Note 3 16 4 2" xfId="40824"/>
    <cellStyle name="Note 3 16 4 2 2" xfId="40825"/>
    <cellStyle name="Note 3 16 4 2_Sheet1" xfId="40826"/>
    <cellStyle name="Note 3 16 4 3" xfId="40827"/>
    <cellStyle name="Note 3 16 4_Sheet1" xfId="40828"/>
    <cellStyle name="Note 3 16 5" xfId="40829"/>
    <cellStyle name="Note 3 16_Sheet1" xfId="40830"/>
    <cellStyle name="Note 3 17" xfId="40831"/>
    <cellStyle name="Note 3 17 2" xfId="40832"/>
    <cellStyle name="Note 3 17 2 2" xfId="40833"/>
    <cellStyle name="Note 3 17 2 2 2" xfId="40834"/>
    <cellStyle name="Note 3 17 2 2_Sheet1" xfId="40835"/>
    <cellStyle name="Note 3 17 2 3" xfId="40836"/>
    <cellStyle name="Note 3 17 2_Sheet1" xfId="40837"/>
    <cellStyle name="Note 3 17 3" xfId="40838"/>
    <cellStyle name="Note 3 17 3 2" xfId="40839"/>
    <cellStyle name="Note 3 17 3 2 2" xfId="40840"/>
    <cellStyle name="Note 3 17 3 2_Sheet1" xfId="40841"/>
    <cellStyle name="Note 3 17 3 3" xfId="40842"/>
    <cellStyle name="Note 3 17 3_Sheet1" xfId="40843"/>
    <cellStyle name="Note 3 17 4" xfId="40844"/>
    <cellStyle name="Note 3 17 4 2" xfId="40845"/>
    <cellStyle name="Note 3 17 4 2 2" xfId="40846"/>
    <cellStyle name="Note 3 17 4 2_Sheet1" xfId="40847"/>
    <cellStyle name="Note 3 17 4 3" xfId="40848"/>
    <cellStyle name="Note 3 17 4_Sheet1" xfId="40849"/>
    <cellStyle name="Note 3 17 5" xfId="40850"/>
    <cellStyle name="Note 3 17_Sheet1" xfId="40851"/>
    <cellStyle name="Note 3 18" xfId="40852"/>
    <cellStyle name="Note 3 18 2" xfId="40853"/>
    <cellStyle name="Note 3 18 2 2" xfId="40854"/>
    <cellStyle name="Note 3 18 2 2 2" xfId="40855"/>
    <cellStyle name="Note 3 18 2 2_Sheet1" xfId="40856"/>
    <cellStyle name="Note 3 18 2 3" xfId="40857"/>
    <cellStyle name="Note 3 18 2_Sheet1" xfId="40858"/>
    <cellStyle name="Note 3 18 3" xfId="40859"/>
    <cellStyle name="Note 3 18 3 2" xfId="40860"/>
    <cellStyle name="Note 3 18 3 2 2" xfId="40861"/>
    <cellStyle name="Note 3 18 3 2_Sheet1" xfId="40862"/>
    <cellStyle name="Note 3 18 3 3" xfId="40863"/>
    <cellStyle name="Note 3 18 3_Sheet1" xfId="40864"/>
    <cellStyle name="Note 3 18 4" xfId="40865"/>
    <cellStyle name="Note 3 18 4 2" xfId="40866"/>
    <cellStyle name="Note 3 18 4 2 2" xfId="40867"/>
    <cellStyle name="Note 3 18 4 2_Sheet1" xfId="40868"/>
    <cellStyle name="Note 3 18 4 3" xfId="40869"/>
    <cellStyle name="Note 3 18 4_Sheet1" xfId="40870"/>
    <cellStyle name="Note 3 18 5" xfId="40871"/>
    <cellStyle name="Note 3 18_Sheet1" xfId="40872"/>
    <cellStyle name="Note 3 19" xfId="40873"/>
    <cellStyle name="Note 3 19 2" xfId="40874"/>
    <cellStyle name="Note 3 19 2 2" xfId="40875"/>
    <cellStyle name="Note 3 19 2 2 2" xfId="40876"/>
    <cellStyle name="Note 3 19 2 2_Sheet1" xfId="40877"/>
    <cellStyle name="Note 3 19 2 3" xfId="40878"/>
    <cellStyle name="Note 3 19 2_Sheet1" xfId="40879"/>
    <cellStyle name="Note 3 19 3" xfId="40880"/>
    <cellStyle name="Note 3 19 3 2" xfId="40881"/>
    <cellStyle name="Note 3 19 3 2 2" xfId="40882"/>
    <cellStyle name="Note 3 19 3 2_Sheet1" xfId="40883"/>
    <cellStyle name="Note 3 19 3 3" xfId="40884"/>
    <cellStyle name="Note 3 19 3_Sheet1" xfId="40885"/>
    <cellStyle name="Note 3 19 4" xfId="40886"/>
    <cellStyle name="Note 3 19 4 2" xfId="40887"/>
    <cellStyle name="Note 3 19 4 2 2" xfId="40888"/>
    <cellStyle name="Note 3 19 4 2_Sheet1" xfId="40889"/>
    <cellStyle name="Note 3 19 4 3" xfId="40890"/>
    <cellStyle name="Note 3 19 4_Sheet1" xfId="40891"/>
    <cellStyle name="Note 3 19 5" xfId="40892"/>
    <cellStyle name="Note 3 19_Sheet1" xfId="40893"/>
    <cellStyle name="Note 3 2" xfId="40894"/>
    <cellStyle name="Note 3 2 10" xfId="40895"/>
    <cellStyle name="Note 3 2 10 2" xfId="40896"/>
    <cellStyle name="Note 3 2 10 2 2" xfId="40897"/>
    <cellStyle name="Note 3 2 10 2 2 2" xfId="40898"/>
    <cellStyle name="Note 3 2 10 2 2_Sheet1" xfId="40899"/>
    <cellStyle name="Note 3 2 10 2 3" xfId="40900"/>
    <cellStyle name="Note 3 2 10 2_Sheet1" xfId="40901"/>
    <cellStyle name="Note 3 2 10 3" xfId="40902"/>
    <cellStyle name="Note 3 2 10 3 2" xfId="40903"/>
    <cellStyle name="Note 3 2 10 3 2 2" xfId="40904"/>
    <cellStyle name="Note 3 2 10 3 2_Sheet1" xfId="40905"/>
    <cellStyle name="Note 3 2 10 3 3" xfId="40906"/>
    <cellStyle name="Note 3 2 10 3_Sheet1" xfId="40907"/>
    <cellStyle name="Note 3 2 10 4" xfId="40908"/>
    <cellStyle name="Note 3 2 10 4 2" xfId="40909"/>
    <cellStyle name="Note 3 2 10 4 2 2" xfId="40910"/>
    <cellStyle name="Note 3 2 10 4 2_Sheet1" xfId="40911"/>
    <cellStyle name="Note 3 2 10 4 3" xfId="40912"/>
    <cellStyle name="Note 3 2 10 4_Sheet1" xfId="40913"/>
    <cellStyle name="Note 3 2 10 5" xfId="40914"/>
    <cellStyle name="Note 3 2 10_Sheet1" xfId="40915"/>
    <cellStyle name="Note 3 2 11" xfId="40916"/>
    <cellStyle name="Note 3 2 11 2" xfId="40917"/>
    <cellStyle name="Note 3 2 11 2 2" xfId="40918"/>
    <cellStyle name="Note 3 2 11 2 2 2" xfId="40919"/>
    <cellStyle name="Note 3 2 11 2 2_Sheet1" xfId="40920"/>
    <cellStyle name="Note 3 2 11 2 3" xfId="40921"/>
    <cellStyle name="Note 3 2 11 2_Sheet1" xfId="40922"/>
    <cellStyle name="Note 3 2 11 3" xfId="40923"/>
    <cellStyle name="Note 3 2 11 3 2" xfId="40924"/>
    <cellStyle name="Note 3 2 11 3 2 2" xfId="40925"/>
    <cellStyle name="Note 3 2 11 3 2_Sheet1" xfId="40926"/>
    <cellStyle name="Note 3 2 11 3 3" xfId="40927"/>
    <cellStyle name="Note 3 2 11 3_Sheet1" xfId="40928"/>
    <cellStyle name="Note 3 2 11 4" xfId="40929"/>
    <cellStyle name="Note 3 2 11 4 2" xfId="40930"/>
    <cellStyle name="Note 3 2 11 4 2 2" xfId="40931"/>
    <cellStyle name="Note 3 2 11 4 2_Sheet1" xfId="40932"/>
    <cellStyle name="Note 3 2 11 4 3" xfId="40933"/>
    <cellStyle name="Note 3 2 11 4_Sheet1" xfId="40934"/>
    <cellStyle name="Note 3 2 11 5" xfId="40935"/>
    <cellStyle name="Note 3 2 11_Sheet1" xfId="40936"/>
    <cellStyle name="Note 3 2 12" xfId="40937"/>
    <cellStyle name="Note 3 2 12 2" xfId="40938"/>
    <cellStyle name="Note 3 2 12 2 2" xfId="40939"/>
    <cellStyle name="Note 3 2 12 2 2 2" xfId="40940"/>
    <cellStyle name="Note 3 2 12 2 2_Sheet1" xfId="40941"/>
    <cellStyle name="Note 3 2 12 2 3" xfId="40942"/>
    <cellStyle name="Note 3 2 12 2_Sheet1" xfId="40943"/>
    <cellStyle name="Note 3 2 12 3" xfId="40944"/>
    <cellStyle name="Note 3 2 12 3 2" xfId="40945"/>
    <cellStyle name="Note 3 2 12 3 2 2" xfId="40946"/>
    <cellStyle name="Note 3 2 12 3 2_Sheet1" xfId="40947"/>
    <cellStyle name="Note 3 2 12 3 3" xfId="40948"/>
    <cellStyle name="Note 3 2 12 3_Sheet1" xfId="40949"/>
    <cellStyle name="Note 3 2 12 4" xfId="40950"/>
    <cellStyle name="Note 3 2 12 4 2" xfId="40951"/>
    <cellStyle name="Note 3 2 12 4 2 2" xfId="40952"/>
    <cellStyle name="Note 3 2 12 4 2_Sheet1" xfId="40953"/>
    <cellStyle name="Note 3 2 12 4 3" xfId="40954"/>
    <cellStyle name="Note 3 2 12 4_Sheet1" xfId="40955"/>
    <cellStyle name="Note 3 2 12 5" xfId="40956"/>
    <cellStyle name="Note 3 2 12_Sheet1" xfId="40957"/>
    <cellStyle name="Note 3 2 13" xfId="40958"/>
    <cellStyle name="Note 3 2 13 2" xfId="40959"/>
    <cellStyle name="Note 3 2 13 2 2" xfId="40960"/>
    <cellStyle name="Note 3 2 13 2 2 2" xfId="40961"/>
    <cellStyle name="Note 3 2 13 2 2_Sheet1" xfId="40962"/>
    <cellStyle name="Note 3 2 13 2 3" xfId="40963"/>
    <cellStyle name="Note 3 2 13 2_Sheet1" xfId="40964"/>
    <cellStyle name="Note 3 2 13 3" xfId="40965"/>
    <cellStyle name="Note 3 2 13 3 2" xfId="40966"/>
    <cellStyle name="Note 3 2 13 3 2 2" xfId="40967"/>
    <cellStyle name="Note 3 2 13 3 2_Sheet1" xfId="40968"/>
    <cellStyle name="Note 3 2 13 3 3" xfId="40969"/>
    <cellStyle name="Note 3 2 13 3_Sheet1" xfId="40970"/>
    <cellStyle name="Note 3 2 13 4" xfId="40971"/>
    <cellStyle name="Note 3 2 13 4 2" xfId="40972"/>
    <cellStyle name="Note 3 2 13 4 2 2" xfId="40973"/>
    <cellStyle name="Note 3 2 13 4 2_Sheet1" xfId="40974"/>
    <cellStyle name="Note 3 2 13 4 3" xfId="40975"/>
    <cellStyle name="Note 3 2 13 4_Sheet1" xfId="40976"/>
    <cellStyle name="Note 3 2 13 5" xfId="40977"/>
    <cellStyle name="Note 3 2 13_Sheet1" xfId="40978"/>
    <cellStyle name="Note 3 2 14" xfId="40979"/>
    <cellStyle name="Note 3 2 14 2" xfId="40980"/>
    <cellStyle name="Note 3 2 14 2 2" xfId="40981"/>
    <cellStyle name="Note 3 2 14 2 2 2" xfId="40982"/>
    <cellStyle name="Note 3 2 14 2 2_Sheet1" xfId="40983"/>
    <cellStyle name="Note 3 2 14 2 3" xfId="40984"/>
    <cellStyle name="Note 3 2 14 2_Sheet1" xfId="40985"/>
    <cellStyle name="Note 3 2 14 3" xfId="40986"/>
    <cellStyle name="Note 3 2 14 3 2" xfId="40987"/>
    <cellStyle name="Note 3 2 14 3 2 2" xfId="40988"/>
    <cellStyle name="Note 3 2 14 3 2_Sheet1" xfId="40989"/>
    <cellStyle name="Note 3 2 14 3 3" xfId="40990"/>
    <cellStyle name="Note 3 2 14 3_Sheet1" xfId="40991"/>
    <cellStyle name="Note 3 2 14 4" xfId="40992"/>
    <cellStyle name="Note 3 2 14 4 2" xfId="40993"/>
    <cellStyle name="Note 3 2 14 4 2 2" xfId="40994"/>
    <cellStyle name="Note 3 2 14 4 2_Sheet1" xfId="40995"/>
    <cellStyle name="Note 3 2 14 4 3" xfId="40996"/>
    <cellStyle name="Note 3 2 14 4_Sheet1" xfId="40997"/>
    <cellStyle name="Note 3 2 14 5" xfId="40998"/>
    <cellStyle name="Note 3 2 14_Sheet1" xfId="40999"/>
    <cellStyle name="Note 3 2 15" xfId="41000"/>
    <cellStyle name="Note 3 2 15 2" xfId="41001"/>
    <cellStyle name="Note 3 2 15 2 2" xfId="41002"/>
    <cellStyle name="Note 3 2 15 2 2 2" xfId="41003"/>
    <cellStyle name="Note 3 2 15 2 2_Sheet1" xfId="41004"/>
    <cellStyle name="Note 3 2 15 2 3" xfId="41005"/>
    <cellStyle name="Note 3 2 15 2_Sheet1" xfId="41006"/>
    <cellStyle name="Note 3 2 15 3" xfId="41007"/>
    <cellStyle name="Note 3 2 15 3 2" xfId="41008"/>
    <cellStyle name="Note 3 2 15 3 2 2" xfId="41009"/>
    <cellStyle name="Note 3 2 15 3 2_Sheet1" xfId="41010"/>
    <cellStyle name="Note 3 2 15 3 3" xfId="41011"/>
    <cellStyle name="Note 3 2 15 3_Sheet1" xfId="41012"/>
    <cellStyle name="Note 3 2 15 4" xfId="41013"/>
    <cellStyle name="Note 3 2 15 4 2" xfId="41014"/>
    <cellStyle name="Note 3 2 15 4 2 2" xfId="41015"/>
    <cellStyle name="Note 3 2 15 4 2_Sheet1" xfId="41016"/>
    <cellStyle name="Note 3 2 15 4 3" xfId="41017"/>
    <cellStyle name="Note 3 2 15 4_Sheet1" xfId="41018"/>
    <cellStyle name="Note 3 2 15 5" xfId="41019"/>
    <cellStyle name="Note 3 2 15_Sheet1" xfId="41020"/>
    <cellStyle name="Note 3 2 16" xfId="41021"/>
    <cellStyle name="Note 3 2 16 2" xfId="41022"/>
    <cellStyle name="Note 3 2 16 2 2" xfId="41023"/>
    <cellStyle name="Note 3 2 16 2 2 2" xfId="41024"/>
    <cellStyle name="Note 3 2 16 2 2_Sheet1" xfId="41025"/>
    <cellStyle name="Note 3 2 16 2 3" xfId="41026"/>
    <cellStyle name="Note 3 2 16 2_Sheet1" xfId="41027"/>
    <cellStyle name="Note 3 2 16 3" xfId="41028"/>
    <cellStyle name="Note 3 2 16 3 2" xfId="41029"/>
    <cellStyle name="Note 3 2 16 3 2 2" xfId="41030"/>
    <cellStyle name="Note 3 2 16 3 2_Sheet1" xfId="41031"/>
    <cellStyle name="Note 3 2 16 3 3" xfId="41032"/>
    <cellStyle name="Note 3 2 16 3_Sheet1" xfId="41033"/>
    <cellStyle name="Note 3 2 16 4" xfId="41034"/>
    <cellStyle name="Note 3 2 16 4 2" xfId="41035"/>
    <cellStyle name="Note 3 2 16 4 2 2" xfId="41036"/>
    <cellStyle name="Note 3 2 16 4 2_Sheet1" xfId="41037"/>
    <cellStyle name="Note 3 2 16 4 3" xfId="41038"/>
    <cellStyle name="Note 3 2 16 4_Sheet1" xfId="41039"/>
    <cellStyle name="Note 3 2 16 5" xfId="41040"/>
    <cellStyle name="Note 3 2 16_Sheet1" xfId="41041"/>
    <cellStyle name="Note 3 2 17" xfId="41042"/>
    <cellStyle name="Note 3 2 17 2" xfId="41043"/>
    <cellStyle name="Note 3 2 17 2 2" xfId="41044"/>
    <cellStyle name="Note 3 2 17 2 2 2" xfId="41045"/>
    <cellStyle name="Note 3 2 17 2 2_Sheet1" xfId="41046"/>
    <cellStyle name="Note 3 2 17 2 3" xfId="41047"/>
    <cellStyle name="Note 3 2 17 2_Sheet1" xfId="41048"/>
    <cellStyle name="Note 3 2 17 3" xfId="41049"/>
    <cellStyle name="Note 3 2 17 3 2" xfId="41050"/>
    <cellStyle name="Note 3 2 17 3 2 2" xfId="41051"/>
    <cellStyle name="Note 3 2 17 3 2_Sheet1" xfId="41052"/>
    <cellStyle name="Note 3 2 17 3 3" xfId="41053"/>
    <cellStyle name="Note 3 2 17 3_Sheet1" xfId="41054"/>
    <cellStyle name="Note 3 2 17 4" xfId="41055"/>
    <cellStyle name="Note 3 2 17 4 2" xfId="41056"/>
    <cellStyle name="Note 3 2 17 4 2 2" xfId="41057"/>
    <cellStyle name="Note 3 2 17 4 2_Sheet1" xfId="41058"/>
    <cellStyle name="Note 3 2 17 4 3" xfId="41059"/>
    <cellStyle name="Note 3 2 17 4_Sheet1" xfId="41060"/>
    <cellStyle name="Note 3 2 17 5" xfId="41061"/>
    <cellStyle name="Note 3 2 17_Sheet1" xfId="41062"/>
    <cellStyle name="Note 3 2 18" xfId="41063"/>
    <cellStyle name="Note 3 2 18 2" xfId="41064"/>
    <cellStyle name="Note 3 2 18 2 2" xfId="41065"/>
    <cellStyle name="Note 3 2 18 2 2 2" xfId="41066"/>
    <cellStyle name="Note 3 2 18 2 2_Sheet1" xfId="41067"/>
    <cellStyle name="Note 3 2 18 2 3" xfId="41068"/>
    <cellStyle name="Note 3 2 18 2_Sheet1" xfId="41069"/>
    <cellStyle name="Note 3 2 18 3" xfId="41070"/>
    <cellStyle name="Note 3 2 18 3 2" xfId="41071"/>
    <cellStyle name="Note 3 2 18 3 2 2" xfId="41072"/>
    <cellStyle name="Note 3 2 18 3 2_Sheet1" xfId="41073"/>
    <cellStyle name="Note 3 2 18 3 3" xfId="41074"/>
    <cellStyle name="Note 3 2 18 3_Sheet1" xfId="41075"/>
    <cellStyle name="Note 3 2 18 4" xfId="41076"/>
    <cellStyle name="Note 3 2 18 4 2" xfId="41077"/>
    <cellStyle name="Note 3 2 18 4 2 2" xfId="41078"/>
    <cellStyle name="Note 3 2 18 4 2_Sheet1" xfId="41079"/>
    <cellStyle name="Note 3 2 18 4 3" xfId="41080"/>
    <cellStyle name="Note 3 2 18 4_Sheet1" xfId="41081"/>
    <cellStyle name="Note 3 2 18 5" xfId="41082"/>
    <cellStyle name="Note 3 2 18_Sheet1" xfId="41083"/>
    <cellStyle name="Note 3 2 19" xfId="41084"/>
    <cellStyle name="Note 3 2 19 2" xfId="41085"/>
    <cellStyle name="Note 3 2 19 2 2" xfId="41086"/>
    <cellStyle name="Note 3 2 19 2_Sheet1" xfId="41087"/>
    <cellStyle name="Note 3 2 19 3" xfId="41088"/>
    <cellStyle name="Note 3 2 19_Sheet1" xfId="41089"/>
    <cellStyle name="Note 3 2 2" xfId="41090"/>
    <cellStyle name="Note 3 2 2 2" xfId="41091"/>
    <cellStyle name="Note 3 2 2 2 2" xfId="41092"/>
    <cellStyle name="Note 3 2 2 2 2 2" xfId="41093"/>
    <cellStyle name="Note 3 2 2 2 2_Sheet1" xfId="41094"/>
    <cellStyle name="Note 3 2 2 2 3" xfId="41095"/>
    <cellStyle name="Note 3 2 2 2_Sheet1" xfId="41096"/>
    <cellStyle name="Note 3 2 2 3" xfId="41097"/>
    <cellStyle name="Note 3 2 2 3 2" xfId="41098"/>
    <cellStyle name="Note 3 2 2 3 2 2" xfId="41099"/>
    <cellStyle name="Note 3 2 2 3 2_Sheet1" xfId="41100"/>
    <cellStyle name="Note 3 2 2 3 3" xfId="41101"/>
    <cellStyle name="Note 3 2 2 3_Sheet1" xfId="41102"/>
    <cellStyle name="Note 3 2 2 4" xfId="41103"/>
    <cellStyle name="Note 3 2 2 4 2" xfId="41104"/>
    <cellStyle name="Note 3 2 2 4 2 2" xfId="41105"/>
    <cellStyle name="Note 3 2 2 4 2_Sheet1" xfId="41106"/>
    <cellStyle name="Note 3 2 2 4 3" xfId="41107"/>
    <cellStyle name="Note 3 2 2 4_Sheet1" xfId="41108"/>
    <cellStyle name="Note 3 2 2 5" xfId="41109"/>
    <cellStyle name="Note 3 2 2_Sheet1" xfId="41110"/>
    <cellStyle name="Note 3 2 20" xfId="41111"/>
    <cellStyle name="Note 3 2 20 2" xfId="41112"/>
    <cellStyle name="Note 3 2 20 2 2" xfId="41113"/>
    <cellStyle name="Note 3 2 20 2_Sheet1" xfId="41114"/>
    <cellStyle name="Note 3 2 20 3" xfId="41115"/>
    <cellStyle name="Note 3 2 20_Sheet1" xfId="41116"/>
    <cellStyle name="Note 3 2 21" xfId="41117"/>
    <cellStyle name="Note 3 2 21 2" xfId="41118"/>
    <cellStyle name="Note 3 2 21 2 2" xfId="41119"/>
    <cellStyle name="Note 3 2 21 2_Sheet1" xfId="41120"/>
    <cellStyle name="Note 3 2 21 3" xfId="41121"/>
    <cellStyle name="Note 3 2 21_Sheet1" xfId="41122"/>
    <cellStyle name="Note 3 2 22" xfId="41123"/>
    <cellStyle name="Note 3 2 3" xfId="41124"/>
    <cellStyle name="Note 3 2 3 2" xfId="41125"/>
    <cellStyle name="Note 3 2 3 2 2" xfId="41126"/>
    <cellStyle name="Note 3 2 3 2 2 2" xfId="41127"/>
    <cellStyle name="Note 3 2 3 2 2_Sheet1" xfId="41128"/>
    <cellStyle name="Note 3 2 3 2 3" xfId="41129"/>
    <cellStyle name="Note 3 2 3 2_Sheet1" xfId="41130"/>
    <cellStyle name="Note 3 2 3 3" xfId="41131"/>
    <cellStyle name="Note 3 2 3 3 2" xfId="41132"/>
    <cellStyle name="Note 3 2 3 3 2 2" xfId="41133"/>
    <cellStyle name="Note 3 2 3 3 2_Sheet1" xfId="41134"/>
    <cellStyle name="Note 3 2 3 3 3" xfId="41135"/>
    <cellStyle name="Note 3 2 3 3_Sheet1" xfId="41136"/>
    <cellStyle name="Note 3 2 3 4" xfId="41137"/>
    <cellStyle name="Note 3 2 3 4 2" xfId="41138"/>
    <cellStyle name="Note 3 2 3 4 2 2" xfId="41139"/>
    <cellStyle name="Note 3 2 3 4 2_Sheet1" xfId="41140"/>
    <cellStyle name="Note 3 2 3 4 3" xfId="41141"/>
    <cellStyle name="Note 3 2 3 4_Sheet1" xfId="41142"/>
    <cellStyle name="Note 3 2 3 5" xfId="41143"/>
    <cellStyle name="Note 3 2 3_Sheet1" xfId="41144"/>
    <cellStyle name="Note 3 2 4" xfId="41145"/>
    <cellStyle name="Note 3 2 4 2" xfId="41146"/>
    <cellStyle name="Note 3 2 4 2 2" xfId="41147"/>
    <cellStyle name="Note 3 2 4 2 2 2" xfId="41148"/>
    <cellStyle name="Note 3 2 4 2 2_Sheet1" xfId="41149"/>
    <cellStyle name="Note 3 2 4 2 3" xfId="41150"/>
    <cellStyle name="Note 3 2 4 2_Sheet1" xfId="41151"/>
    <cellStyle name="Note 3 2 4 3" xfId="41152"/>
    <cellStyle name="Note 3 2 4 3 2" xfId="41153"/>
    <cellStyle name="Note 3 2 4 3 2 2" xfId="41154"/>
    <cellStyle name="Note 3 2 4 3 2_Sheet1" xfId="41155"/>
    <cellStyle name="Note 3 2 4 3 3" xfId="41156"/>
    <cellStyle name="Note 3 2 4 3_Sheet1" xfId="41157"/>
    <cellStyle name="Note 3 2 4 4" xfId="41158"/>
    <cellStyle name="Note 3 2 4 4 2" xfId="41159"/>
    <cellStyle name="Note 3 2 4 4 2 2" xfId="41160"/>
    <cellStyle name="Note 3 2 4 4 2_Sheet1" xfId="41161"/>
    <cellStyle name="Note 3 2 4 4 3" xfId="41162"/>
    <cellStyle name="Note 3 2 4 4_Sheet1" xfId="41163"/>
    <cellStyle name="Note 3 2 4 5" xfId="41164"/>
    <cellStyle name="Note 3 2 4_Sheet1" xfId="41165"/>
    <cellStyle name="Note 3 2 5" xfId="41166"/>
    <cellStyle name="Note 3 2 5 2" xfId="41167"/>
    <cellStyle name="Note 3 2 5 2 2" xfId="41168"/>
    <cellStyle name="Note 3 2 5 2 2 2" xfId="41169"/>
    <cellStyle name="Note 3 2 5 2 2_Sheet1" xfId="41170"/>
    <cellStyle name="Note 3 2 5 2 3" xfId="41171"/>
    <cellStyle name="Note 3 2 5 2_Sheet1" xfId="41172"/>
    <cellStyle name="Note 3 2 5 3" xfId="41173"/>
    <cellStyle name="Note 3 2 5 3 2" xfId="41174"/>
    <cellStyle name="Note 3 2 5 3 2 2" xfId="41175"/>
    <cellStyle name="Note 3 2 5 3 2_Sheet1" xfId="41176"/>
    <cellStyle name="Note 3 2 5 3 3" xfId="41177"/>
    <cellStyle name="Note 3 2 5 3_Sheet1" xfId="41178"/>
    <cellStyle name="Note 3 2 5 4" xfId="41179"/>
    <cellStyle name="Note 3 2 5 4 2" xfId="41180"/>
    <cellStyle name="Note 3 2 5 4 2 2" xfId="41181"/>
    <cellStyle name="Note 3 2 5 4 2_Sheet1" xfId="41182"/>
    <cellStyle name="Note 3 2 5 4 3" xfId="41183"/>
    <cellStyle name="Note 3 2 5 4_Sheet1" xfId="41184"/>
    <cellStyle name="Note 3 2 5 5" xfId="41185"/>
    <cellStyle name="Note 3 2 5_Sheet1" xfId="41186"/>
    <cellStyle name="Note 3 2 6" xfId="41187"/>
    <cellStyle name="Note 3 2 6 2" xfId="41188"/>
    <cellStyle name="Note 3 2 6 2 2" xfId="41189"/>
    <cellStyle name="Note 3 2 6 2 2 2" xfId="41190"/>
    <cellStyle name="Note 3 2 6 2 2_Sheet1" xfId="41191"/>
    <cellStyle name="Note 3 2 6 2 3" xfId="41192"/>
    <cellStyle name="Note 3 2 6 2_Sheet1" xfId="41193"/>
    <cellStyle name="Note 3 2 6 3" xfId="41194"/>
    <cellStyle name="Note 3 2 6 3 2" xfId="41195"/>
    <cellStyle name="Note 3 2 6 3 2 2" xfId="41196"/>
    <cellStyle name="Note 3 2 6 3 2_Sheet1" xfId="41197"/>
    <cellStyle name="Note 3 2 6 3 3" xfId="41198"/>
    <cellStyle name="Note 3 2 6 3_Sheet1" xfId="41199"/>
    <cellStyle name="Note 3 2 6 4" xfId="41200"/>
    <cellStyle name="Note 3 2 6 4 2" xfId="41201"/>
    <cellStyle name="Note 3 2 6 4 2 2" xfId="41202"/>
    <cellStyle name="Note 3 2 6 4 2_Sheet1" xfId="41203"/>
    <cellStyle name="Note 3 2 6 4 3" xfId="41204"/>
    <cellStyle name="Note 3 2 6 4_Sheet1" xfId="41205"/>
    <cellStyle name="Note 3 2 6 5" xfId="41206"/>
    <cellStyle name="Note 3 2 6_Sheet1" xfId="41207"/>
    <cellStyle name="Note 3 2 7" xfId="41208"/>
    <cellStyle name="Note 3 2 7 2" xfId="41209"/>
    <cellStyle name="Note 3 2 7 2 2" xfId="41210"/>
    <cellStyle name="Note 3 2 7 2 2 2" xfId="41211"/>
    <cellStyle name="Note 3 2 7 2 2_Sheet1" xfId="41212"/>
    <cellStyle name="Note 3 2 7 2 3" xfId="41213"/>
    <cellStyle name="Note 3 2 7 2_Sheet1" xfId="41214"/>
    <cellStyle name="Note 3 2 7 3" xfId="41215"/>
    <cellStyle name="Note 3 2 7 3 2" xfId="41216"/>
    <cellStyle name="Note 3 2 7 3 2 2" xfId="41217"/>
    <cellStyle name="Note 3 2 7 3 2_Sheet1" xfId="41218"/>
    <cellStyle name="Note 3 2 7 3 3" xfId="41219"/>
    <cellStyle name="Note 3 2 7 3_Sheet1" xfId="41220"/>
    <cellStyle name="Note 3 2 7 4" xfId="41221"/>
    <cellStyle name="Note 3 2 7 4 2" xfId="41222"/>
    <cellStyle name="Note 3 2 7 4 2 2" xfId="41223"/>
    <cellStyle name="Note 3 2 7 4 2_Sheet1" xfId="41224"/>
    <cellStyle name="Note 3 2 7 4 3" xfId="41225"/>
    <cellStyle name="Note 3 2 7 4_Sheet1" xfId="41226"/>
    <cellStyle name="Note 3 2 7 5" xfId="41227"/>
    <cellStyle name="Note 3 2 7_Sheet1" xfId="41228"/>
    <cellStyle name="Note 3 2 8" xfId="41229"/>
    <cellStyle name="Note 3 2 8 2" xfId="41230"/>
    <cellStyle name="Note 3 2 8 2 2" xfId="41231"/>
    <cellStyle name="Note 3 2 8 2 2 2" xfId="41232"/>
    <cellStyle name="Note 3 2 8 2 2_Sheet1" xfId="41233"/>
    <cellStyle name="Note 3 2 8 2 3" xfId="41234"/>
    <cellStyle name="Note 3 2 8 2_Sheet1" xfId="41235"/>
    <cellStyle name="Note 3 2 8 3" xfId="41236"/>
    <cellStyle name="Note 3 2 8 3 2" xfId="41237"/>
    <cellStyle name="Note 3 2 8 3 2 2" xfId="41238"/>
    <cellStyle name="Note 3 2 8 3 2_Sheet1" xfId="41239"/>
    <cellStyle name="Note 3 2 8 3 3" xfId="41240"/>
    <cellStyle name="Note 3 2 8 3_Sheet1" xfId="41241"/>
    <cellStyle name="Note 3 2 8 4" xfId="41242"/>
    <cellStyle name="Note 3 2 8 4 2" xfId="41243"/>
    <cellStyle name="Note 3 2 8 4 2 2" xfId="41244"/>
    <cellStyle name="Note 3 2 8 4 2_Sheet1" xfId="41245"/>
    <cellStyle name="Note 3 2 8 4 3" xfId="41246"/>
    <cellStyle name="Note 3 2 8 4_Sheet1" xfId="41247"/>
    <cellStyle name="Note 3 2 8 5" xfId="41248"/>
    <cellStyle name="Note 3 2 8_Sheet1" xfId="41249"/>
    <cellStyle name="Note 3 2 9" xfId="41250"/>
    <cellStyle name="Note 3 2 9 2" xfId="41251"/>
    <cellStyle name="Note 3 2 9 2 2" xfId="41252"/>
    <cellStyle name="Note 3 2 9 2 2 2" xfId="41253"/>
    <cellStyle name="Note 3 2 9 2 2_Sheet1" xfId="41254"/>
    <cellStyle name="Note 3 2 9 2 3" xfId="41255"/>
    <cellStyle name="Note 3 2 9 2_Sheet1" xfId="41256"/>
    <cellStyle name="Note 3 2 9 3" xfId="41257"/>
    <cellStyle name="Note 3 2 9 3 2" xfId="41258"/>
    <cellStyle name="Note 3 2 9 3 2 2" xfId="41259"/>
    <cellStyle name="Note 3 2 9 3 2_Sheet1" xfId="41260"/>
    <cellStyle name="Note 3 2 9 3 3" xfId="41261"/>
    <cellStyle name="Note 3 2 9 3_Sheet1" xfId="41262"/>
    <cellStyle name="Note 3 2 9 4" xfId="41263"/>
    <cellStyle name="Note 3 2 9 4 2" xfId="41264"/>
    <cellStyle name="Note 3 2 9 4 2 2" xfId="41265"/>
    <cellStyle name="Note 3 2 9 4 2_Sheet1" xfId="41266"/>
    <cellStyle name="Note 3 2 9 4 3" xfId="41267"/>
    <cellStyle name="Note 3 2 9 4_Sheet1" xfId="41268"/>
    <cellStyle name="Note 3 2 9 5" xfId="41269"/>
    <cellStyle name="Note 3 2 9_Sheet1" xfId="41270"/>
    <cellStyle name="Note 3 2_Sheet1" xfId="41271"/>
    <cellStyle name="Note 3 20" xfId="41272"/>
    <cellStyle name="Note 3 20 2" xfId="41273"/>
    <cellStyle name="Note 3 20 2 2" xfId="41274"/>
    <cellStyle name="Note 3 20 2 2 2" xfId="41275"/>
    <cellStyle name="Note 3 20 2 2_Sheet1" xfId="41276"/>
    <cellStyle name="Note 3 20 2 3" xfId="41277"/>
    <cellStyle name="Note 3 20 2_Sheet1" xfId="41278"/>
    <cellStyle name="Note 3 20 3" xfId="41279"/>
    <cellStyle name="Note 3 20 3 2" xfId="41280"/>
    <cellStyle name="Note 3 20 3 2 2" xfId="41281"/>
    <cellStyle name="Note 3 20 3 2_Sheet1" xfId="41282"/>
    <cellStyle name="Note 3 20 3 3" xfId="41283"/>
    <cellStyle name="Note 3 20 3_Sheet1" xfId="41284"/>
    <cellStyle name="Note 3 20 4" xfId="41285"/>
    <cellStyle name="Note 3 20 4 2" xfId="41286"/>
    <cellStyle name="Note 3 20 4 2 2" xfId="41287"/>
    <cellStyle name="Note 3 20 4 2_Sheet1" xfId="41288"/>
    <cellStyle name="Note 3 20 4 3" xfId="41289"/>
    <cellStyle name="Note 3 20 4_Sheet1" xfId="41290"/>
    <cellStyle name="Note 3 20 5" xfId="41291"/>
    <cellStyle name="Note 3 20_Sheet1" xfId="41292"/>
    <cellStyle name="Note 3 21" xfId="41293"/>
    <cellStyle name="Note 3 21 2" xfId="41294"/>
    <cellStyle name="Note 3 21 2 2" xfId="41295"/>
    <cellStyle name="Note 3 21 2 2 2" xfId="41296"/>
    <cellStyle name="Note 3 21 2 2_Sheet1" xfId="41297"/>
    <cellStyle name="Note 3 21 2 3" xfId="41298"/>
    <cellStyle name="Note 3 21 2_Sheet1" xfId="41299"/>
    <cellStyle name="Note 3 21 3" xfId="41300"/>
    <cellStyle name="Note 3 21 3 2" xfId="41301"/>
    <cellStyle name="Note 3 21 3 2 2" xfId="41302"/>
    <cellStyle name="Note 3 21 3 2_Sheet1" xfId="41303"/>
    <cellStyle name="Note 3 21 3 3" xfId="41304"/>
    <cellStyle name="Note 3 21 3_Sheet1" xfId="41305"/>
    <cellStyle name="Note 3 21 4" xfId="41306"/>
    <cellStyle name="Note 3 21 4 2" xfId="41307"/>
    <cellStyle name="Note 3 21 4 2 2" xfId="41308"/>
    <cellStyle name="Note 3 21 4 2_Sheet1" xfId="41309"/>
    <cellStyle name="Note 3 21 4 3" xfId="41310"/>
    <cellStyle name="Note 3 21 4_Sheet1" xfId="41311"/>
    <cellStyle name="Note 3 21 5" xfId="41312"/>
    <cellStyle name="Note 3 21_Sheet1" xfId="41313"/>
    <cellStyle name="Note 3 22" xfId="41314"/>
    <cellStyle name="Note 3 22 2" xfId="41315"/>
    <cellStyle name="Note 3 22 2 2" xfId="41316"/>
    <cellStyle name="Note 3 22 2 2 2" xfId="41317"/>
    <cellStyle name="Note 3 22 2 2_Sheet1" xfId="41318"/>
    <cellStyle name="Note 3 22 2 3" xfId="41319"/>
    <cellStyle name="Note 3 22 2_Sheet1" xfId="41320"/>
    <cellStyle name="Note 3 22 3" xfId="41321"/>
    <cellStyle name="Note 3 22 3 2" xfId="41322"/>
    <cellStyle name="Note 3 22 3 2 2" xfId="41323"/>
    <cellStyle name="Note 3 22 3 2_Sheet1" xfId="41324"/>
    <cellStyle name="Note 3 22 3 3" xfId="41325"/>
    <cellStyle name="Note 3 22 3_Sheet1" xfId="41326"/>
    <cellStyle name="Note 3 22 4" xfId="41327"/>
    <cellStyle name="Note 3 22 4 2" xfId="41328"/>
    <cellStyle name="Note 3 22 4 2 2" xfId="41329"/>
    <cellStyle name="Note 3 22 4 2_Sheet1" xfId="41330"/>
    <cellStyle name="Note 3 22 4 3" xfId="41331"/>
    <cellStyle name="Note 3 22 4_Sheet1" xfId="41332"/>
    <cellStyle name="Note 3 22 5" xfId="41333"/>
    <cellStyle name="Note 3 22_Sheet1" xfId="41334"/>
    <cellStyle name="Note 3 23" xfId="41335"/>
    <cellStyle name="Note 3 23 2" xfId="41336"/>
    <cellStyle name="Note 3 23 2 2" xfId="41337"/>
    <cellStyle name="Note 3 23 2_Sheet1" xfId="41338"/>
    <cellStyle name="Note 3 23 3" xfId="41339"/>
    <cellStyle name="Note 3 23_Sheet1" xfId="41340"/>
    <cellStyle name="Note 3 24" xfId="41341"/>
    <cellStyle name="Note 3 24 2" xfId="41342"/>
    <cellStyle name="Note 3 24 2 2" xfId="41343"/>
    <cellStyle name="Note 3 24 2_Sheet1" xfId="41344"/>
    <cellStyle name="Note 3 24 3" xfId="41345"/>
    <cellStyle name="Note 3 24_Sheet1" xfId="41346"/>
    <cellStyle name="Note 3 25" xfId="41347"/>
    <cellStyle name="Note 3 25 2" xfId="41348"/>
    <cellStyle name="Note 3 25 2 2" xfId="41349"/>
    <cellStyle name="Note 3 25 2_Sheet1" xfId="41350"/>
    <cellStyle name="Note 3 25 3" xfId="41351"/>
    <cellStyle name="Note 3 25_Sheet1" xfId="41352"/>
    <cellStyle name="Note 3 26" xfId="41353"/>
    <cellStyle name="Note 3 3" xfId="41354"/>
    <cellStyle name="Note 3 3 10" xfId="41355"/>
    <cellStyle name="Note 3 3 10 2" xfId="41356"/>
    <cellStyle name="Note 3 3 10 2 2" xfId="41357"/>
    <cellStyle name="Note 3 3 10 2 2 2" xfId="41358"/>
    <cellStyle name="Note 3 3 10 2 2_Sheet1" xfId="41359"/>
    <cellStyle name="Note 3 3 10 2 3" xfId="41360"/>
    <cellStyle name="Note 3 3 10 2_Sheet1" xfId="41361"/>
    <cellStyle name="Note 3 3 10 3" xfId="41362"/>
    <cellStyle name="Note 3 3 10 3 2" xfId="41363"/>
    <cellStyle name="Note 3 3 10 3 2 2" xfId="41364"/>
    <cellStyle name="Note 3 3 10 3 2_Sheet1" xfId="41365"/>
    <cellStyle name="Note 3 3 10 3 3" xfId="41366"/>
    <cellStyle name="Note 3 3 10 3_Sheet1" xfId="41367"/>
    <cellStyle name="Note 3 3 10 4" xfId="41368"/>
    <cellStyle name="Note 3 3 10 4 2" xfId="41369"/>
    <cellStyle name="Note 3 3 10 4 2 2" xfId="41370"/>
    <cellStyle name="Note 3 3 10 4 2_Sheet1" xfId="41371"/>
    <cellStyle name="Note 3 3 10 4 3" xfId="41372"/>
    <cellStyle name="Note 3 3 10 4_Sheet1" xfId="41373"/>
    <cellStyle name="Note 3 3 10 5" xfId="41374"/>
    <cellStyle name="Note 3 3 10_Sheet1" xfId="41375"/>
    <cellStyle name="Note 3 3 11" xfId="41376"/>
    <cellStyle name="Note 3 3 11 2" xfId="41377"/>
    <cellStyle name="Note 3 3 11 2 2" xfId="41378"/>
    <cellStyle name="Note 3 3 11 2 2 2" xfId="41379"/>
    <cellStyle name="Note 3 3 11 2 2_Sheet1" xfId="41380"/>
    <cellStyle name="Note 3 3 11 2 3" xfId="41381"/>
    <cellStyle name="Note 3 3 11 2_Sheet1" xfId="41382"/>
    <cellStyle name="Note 3 3 11 3" xfId="41383"/>
    <cellStyle name="Note 3 3 11 3 2" xfId="41384"/>
    <cellStyle name="Note 3 3 11 3 2 2" xfId="41385"/>
    <cellStyle name="Note 3 3 11 3 2_Sheet1" xfId="41386"/>
    <cellStyle name="Note 3 3 11 3 3" xfId="41387"/>
    <cellStyle name="Note 3 3 11 3_Sheet1" xfId="41388"/>
    <cellStyle name="Note 3 3 11 4" xfId="41389"/>
    <cellStyle name="Note 3 3 11 4 2" xfId="41390"/>
    <cellStyle name="Note 3 3 11 4 2 2" xfId="41391"/>
    <cellStyle name="Note 3 3 11 4 2_Sheet1" xfId="41392"/>
    <cellStyle name="Note 3 3 11 4 3" xfId="41393"/>
    <cellStyle name="Note 3 3 11 4_Sheet1" xfId="41394"/>
    <cellStyle name="Note 3 3 11 5" xfId="41395"/>
    <cellStyle name="Note 3 3 11_Sheet1" xfId="41396"/>
    <cellStyle name="Note 3 3 12" xfId="41397"/>
    <cellStyle name="Note 3 3 12 2" xfId="41398"/>
    <cellStyle name="Note 3 3 12 2 2" xfId="41399"/>
    <cellStyle name="Note 3 3 12 2 2 2" xfId="41400"/>
    <cellStyle name="Note 3 3 12 2 2_Sheet1" xfId="41401"/>
    <cellStyle name="Note 3 3 12 2 3" xfId="41402"/>
    <cellStyle name="Note 3 3 12 2_Sheet1" xfId="41403"/>
    <cellStyle name="Note 3 3 12 3" xfId="41404"/>
    <cellStyle name="Note 3 3 12 3 2" xfId="41405"/>
    <cellStyle name="Note 3 3 12 3 2 2" xfId="41406"/>
    <cellStyle name="Note 3 3 12 3 2_Sheet1" xfId="41407"/>
    <cellStyle name="Note 3 3 12 3 3" xfId="41408"/>
    <cellStyle name="Note 3 3 12 3_Sheet1" xfId="41409"/>
    <cellStyle name="Note 3 3 12 4" xfId="41410"/>
    <cellStyle name="Note 3 3 12 4 2" xfId="41411"/>
    <cellStyle name="Note 3 3 12 4 2 2" xfId="41412"/>
    <cellStyle name="Note 3 3 12 4 2_Sheet1" xfId="41413"/>
    <cellStyle name="Note 3 3 12 4 3" xfId="41414"/>
    <cellStyle name="Note 3 3 12 4_Sheet1" xfId="41415"/>
    <cellStyle name="Note 3 3 12 5" xfId="41416"/>
    <cellStyle name="Note 3 3 12_Sheet1" xfId="41417"/>
    <cellStyle name="Note 3 3 13" xfId="41418"/>
    <cellStyle name="Note 3 3 13 2" xfId="41419"/>
    <cellStyle name="Note 3 3 13 2 2" xfId="41420"/>
    <cellStyle name="Note 3 3 13 2 2 2" xfId="41421"/>
    <cellStyle name="Note 3 3 13 2 2_Sheet1" xfId="41422"/>
    <cellStyle name="Note 3 3 13 2 3" xfId="41423"/>
    <cellStyle name="Note 3 3 13 2_Sheet1" xfId="41424"/>
    <cellStyle name="Note 3 3 13 3" xfId="41425"/>
    <cellStyle name="Note 3 3 13 3 2" xfId="41426"/>
    <cellStyle name="Note 3 3 13 3 2 2" xfId="41427"/>
    <cellStyle name="Note 3 3 13 3 2_Sheet1" xfId="41428"/>
    <cellStyle name="Note 3 3 13 3 3" xfId="41429"/>
    <cellStyle name="Note 3 3 13 3_Sheet1" xfId="41430"/>
    <cellStyle name="Note 3 3 13 4" xfId="41431"/>
    <cellStyle name="Note 3 3 13 4 2" xfId="41432"/>
    <cellStyle name="Note 3 3 13 4 2 2" xfId="41433"/>
    <cellStyle name="Note 3 3 13 4 2_Sheet1" xfId="41434"/>
    <cellStyle name="Note 3 3 13 4 3" xfId="41435"/>
    <cellStyle name="Note 3 3 13 4_Sheet1" xfId="41436"/>
    <cellStyle name="Note 3 3 13 5" xfId="41437"/>
    <cellStyle name="Note 3 3 13_Sheet1" xfId="41438"/>
    <cellStyle name="Note 3 3 14" xfId="41439"/>
    <cellStyle name="Note 3 3 14 2" xfId="41440"/>
    <cellStyle name="Note 3 3 14 2 2" xfId="41441"/>
    <cellStyle name="Note 3 3 14 2 2 2" xfId="41442"/>
    <cellStyle name="Note 3 3 14 2 2_Sheet1" xfId="41443"/>
    <cellStyle name="Note 3 3 14 2 3" xfId="41444"/>
    <cellStyle name="Note 3 3 14 2_Sheet1" xfId="41445"/>
    <cellStyle name="Note 3 3 14 3" xfId="41446"/>
    <cellStyle name="Note 3 3 14 3 2" xfId="41447"/>
    <cellStyle name="Note 3 3 14 3 2 2" xfId="41448"/>
    <cellStyle name="Note 3 3 14 3 2_Sheet1" xfId="41449"/>
    <cellStyle name="Note 3 3 14 3 3" xfId="41450"/>
    <cellStyle name="Note 3 3 14 3_Sheet1" xfId="41451"/>
    <cellStyle name="Note 3 3 14 4" xfId="41452"/>
    <cellStyle name="Note 3 3 14 4 2" xfId="41453"/>
    <cellStyle name="Note 3 3 14 4 2 2" xfId="41454"/>
    <cellStyle name="Note 3 3 14 4 2_Sheet1" xfId="41455"/>
    <cellStyle name="Note 3 3 14 4 3" xfId="41456"/>
    <cellStyle name="Note 3 3 14 4_Sheet1" xfId="41457"/>
    <cellStyle name="Note 3 3 14 5" xfId="41458"/>
    <cellStyle name="Note 3 3 14_Sheet1" xfId="41459"/>
    <cellStyle name="Note 3 3 15" xfId="41460"/>
    <cellStyle name="Note 3 3 15 2" xfId="41461"/>
    <cellStyle name="Note 3 3 15 2 2" xfId="41462"/>
    <cellStyle name="Note 3 3 15 2 2 2" xfId="41463"/>
    <cellStyle name="Note 3 3 15 2 2_Sheet1" xfId="41464"/>
    <cellStyle name="Note 3 3 15 2 3" xfId="41465"/>
    <cellStyle name="Note 3 3 15 2_Sheet1" xfId="41466"/>
    <cellStyle name="Note 3 3 15 3" xfId="41467"/>
    <cellStyle name="Note 3 3 15 3 2" xfId="41468"/>
    <cellStyle name="Note 3 3 15 3 2 2" xfId="41469"/>
    <cellStyle name="Note 3 3 15 3 2_Sheet1" xfId="41470"/>
    <cellStyle name="Note 3 3 15 3 3" xfId="41471"/>
    <cellStyle name="Note 3 3 15 3_Sheet1" xfId="41472"/>
    <cellStyle name="Note 3 3 15 4" xfId="41473"/>
    <cellStyle name="Note 3 3 15 4 2" xfId="41474"/>
    <cellStyle name="Note 3 3 15 4 2 2" xfId="41475"/>
    <cellStyle name="Note 3 3 15 4 2_Sheet1" xfId="41476"/>
    <cellStyle name="Note 3 3 15 4 3" xfId="41477"/>
    <cellStyle name="Note 3 3 15 4_Sheet1" xfId="41478"/>
    <cellStyle name="Note 3 3 15 5" xfId="41479"/>
    <cellStyle name="Note 3 3 15_Sheet1" xfId="41480"/>
    <cellStyle name="Note 3 3 16" xfId="41481"/>
    <cellStyle name="Note 3 3 16 2" xfId="41482"/>
    <cellStyle name="Note 3 3 16 2 2" xfId="41483"/>
    <cellStyle name="Note 3 3 16 2 2 2" xfId="41484"/>
    <cellStyle name="Note 3 3 16 2 2_Sheet1" xfId="41485"/>
    <cellStyle name="Note 3 3 16 2 3" xfId="41486"/>
    <cellStyle name="Note 3 3 16 2_Sheet1" xfId="41487"/>
    <cellStyle name="Note 3 3 16 3" xfId="41488"/>
    <cellStyle name="Note 3 3 16 3 2" xfId="41489"/>
    <cellStyle name="Note 3 3 16 3 2 2" xfId="41490"/>
    <cellStyle name="Note 3 3 16 3 2_Sheet1" xfId="41491"/>
    <cellStyle name="Note 3 3 16 3 3" xfId="41492"/>
    <cellStyle name="Note 3 3 16 3_Sheet1" xfId="41493"/>
    <cellStyle name="Note 3 3 16 4" xfId="41494"/>
    <cellStyle name="Note 3 3 16 4 2" xfId="41495"/>
    <cellStyle name="Note 3 3 16 4 2 2" xfId="41496"/>
    <cellStyle name="Note 3 3 16 4 2_Sheet1" xfId="41497"/>
    <cellStyle name="Note 3 3 16 4 3" xfId="41498"/>
    <cellStyle name="Note 3 3 16 4_Sheet1" xfId="41499"/>
    <cellStyle name="Note 3 3 16 5" xfId="41500"/>
    <cellStyle name="Note 3 3 16_Sheet1" xfId="41501"/>
    <cellStyle name="Note 3 3 17" xfId="41502"/>
    <cellStyle name="Note 3 3 17 2" xfId="41503"/>
    <cellStyle name="Note 3 3 17 2 2" xfId="41504"/>
    <cellStyle name="Note 3 3 17 2 2 2" xfId="41505"/>
    <cellStyle name="Note 3 3 17 2 2_Sheet1" xfId="41506"/>
    <cellStyle name="Note 3 3 17 2 3" xfId="41507"/>
    <cellStyle name="Note 3 3 17 2_Sheet1" xfId="41508"/>
    <cellStyle name="Note 3 3 17 3" xfId="41509"/>
    <cellStyle name="Note 3 3 17 3 2" xfId="41510"/>
    <cellStyle name="Note 3 3 17 3 2 2" xfId="41511"/>
    <cellStyle name="Note 3 3 17 3 2_Sheet1" xfId="41512"/>
    <cellStyle name="Note 3 3 17 3 3" xfId="41513"/>
    <cellStyle name="Note 3 3 17 3_Sheet1" xfId="41514"/>
    <cellStyle name="Note 3 3 17 4" xfId="41515"/>
    <cellStyle name="Note 3 3 17 4 2" xfId="41516"/>
    <cellStyle name="Note 3 3 17 4 2 2" xfId="41517"/>
    <cellStyle name="Note 3 3 17 4 2_Sheet1" xfId="41518"/>
    <cellStyle name="Note 3 3 17 4 3" xfId="41519"/>
    <cellStyle name="Note 3 3 17 4_Sheet1" xfId="41520"/>
    <cellStyle name="Note 3 3 17 5" xfId="41521"/>
    <cellStyle name="Note 3 3 17_Sheet1" xfId="41522"/>
    <cellStyle name="Note 3 3 18" xfId="41523"/>
    <cellStyle name="Note 3 3 18 2" xfId="41524"/>
    <cellStyle name="Note 3 3 18 2 2" xfId="41525"/>
    <cellStyle name="Note 3 3 18 2 2 2" xfId="41526"/>
    <cellStyle name="Note 3 3 18 2 2_Sheet1" xfId="41527"/>
    <cellStyle name="Note 3 3 18 2 3" xfId="41528"/>
    <cellStyle name="Note 3 3 18 2_Sheet1" xfId="41529"/>
    <cellStyle name="Note 3 3 18 3" xfId="41530"/>
    <cellStyle name="Note 3 3 18 3 2" xfId="41531"/>
    <cellStyle name="Note 3 3 18 3 2 2" xfId="41532"/>
    <cellStyle name="Note 3 3 18 3 2_Sheet1" xfId="41533"/>
    <cellStyle name="Note 3 3 18 3 3" xfId="41534"/>
    <cellStyle name="Note 3 3 18 3_Sheet1" xfId="41535"/>
    <cellStyle name="Note 3 3 18 4" xfId="41536"/>
    <cellStyle name="Note 3 3 18 4 2" xfId="41537"/>
    <cellStyle name="Note 3 3 18 4 2 2" xfId="41538"/>
    <cellStyle name="Note 3 3 18 4 2_Sheet1" xfId="41539"/>
    <cellStyle name="Note 3 3 18 4 3" xfId="41540"/>
    <cellStyle name="Note 3 3 18 4_Sheet1" xfId="41541"/>
    <cellStyle name="Note 3 3 18 5" xfId="41542"/>
    <cellStyle name="Note 3 3 18_Sheet1" xfId="41543"/>
    <cellStyle name="Note 3 3 19" xfId="41544"/>
    <cellStyle name="Note 3 3 19 2" xfId="41545"/>
    <cellStyle name="Note 3 3 19 2 2" xfId="41546"/>
    <cellStyle name="Note 3 3 19 2_Sheet1" xfId="41547"/>
    <cellStyle name="Note 3 3 19 3" xfId="41548"/>
    <cellStyle name="Note 3 3 19_Sheet1" xfId="41549"/>
    <cellStyle name="Note 3 3 2" xfId="41550"/>
    <cellStyle name="Note 3 3 2 2" xfId="41551"/>
    <cellStyle name="Note 3 3 2 2 2" xfId="41552"/>
    <cellStyle name="Note 3 3 2 2 2 2" xfId="41553"/>
    <cellStyle name="Note 3 3 2 2 2_Sheet1" xfId="41554"/>
    <cellStyle name="Note 3 3 2 2 3" xfId="41555"/>
    <cellStyle name="Note 3 3 2 2_Sheet1" xfId="41556"/>
    <cellStyle name="Note 3 3 2 3" xfId="41557"/>
    <cellStyle name="Note 3 3 2 3 2" xfId="41558"/>
    <cellStyle name="Note 3 3 2 3 2 2" xfId="41559"/>
    <cellStyle name="Note 3 3 2 3 2_Sheet1" xfId="41560"/>
    <cellStyle name="Note 3 3 2 3 3" xfId="41561"/>
    <cellStyle name="Note 3 3 2 3_Sheet1" xfId="41562"/>
    <cellStyle name="Note 3 3 2 4" xfId="41563"/>
    <cellStyle name="Note 3 3 2 4 2" xfId="41564"/>
    <cellStyle name="Note 3 3 2 4 2 2" xfId="41565"/>
    <cellStyle name="Note 3 3 2 4 2_Sheet1" xfId="41566"/>
    <cellStyle name="Note 3 3 2 4 3" xfId="41567"/>
    <cellStyle name="Note 3 3 2 4_Sheet1" xfId="41568"/>
    <cellStyle name="Note 3 3 2 5" xfId="41569"/>
    <cellStyle name="Note 3 3 2_Sheet1" xfId="41570"/>
    <cellStyle name="Note 3 3 20" xfId="41571"/>
    <cellStyle name="Note 3 3 20 2" xfId="41572"/>
    <cellStyle name="Note 3 3 20 2 2" xfId="41573"/>
    <cellStyle name="Note 3 3 20 2_Sheet1" xfId="41574"/>
    <cellStyle name="Note 3 3 20 3" xfId="41575"/>
    <cellStyle name="Note 3 3 20_Sheet1" xfId="41576"/>
    <cellStyle name="Note 3 3 21" xfId="41577"/>
    <cellStyle name="Note 3 3 21 2" xfId="41578"/>
    <cellStyle name="Note 3 3 21 2 2" xfId="41579"/>
    <cellStyle name="Note 3 3 21 2_Sheet1" xfId="41580"/>
    <cellStyle name="Note 3 3 21 3" xfId="41581"/>
    <cellStyle name="Note 3 3 21_Sheet1" xfId="41582"/>
    <cellStyle name="Note 3 3 22" xfId="41583"/>
    <cellStyle name="Note 3 3 3" xfId="41584"/>
    <cellStyle name="Note 3 3 3 2" xfId="41585"/>
    <cellStyle name="Note 3 3 3 2 2" xfId="41586"/>
    <cellStyle name="Note 3 3 3 2 2 2" xfId="41587"/>
    <cellStyle name="Note 3 3 3 2 2_Sheet1" xfId="41588"/>
    <cellStyle name="Note 3 3 3 2 3" xfId="41589"/>
    <cellStyle name="Note 3 3 3 2_Sheet1" xfId="41590"/>
    <cellStyle name="Note 3 3 3 3" xfId="41591"/>
    <cellStyle name="Note 3 3 3 3 2" xfId="41592"/>
    <cellStyle name="Note 3 3 3 3 2 2" xfId="41593"/>
    <cellStyle name="Note 3 3 3 3 2_Sheet1" xfId="41594"/>
    <cellStyle name="Note 3 3 3 3 3" xfId="41595"/>
    <cellStyle name="Note 3 3 3 3_Sheet1" xfId="41596"/>
    <cellStyle name="Note 3 3 3 4" xfId="41597"/>
    <cellStyle name="Note 3 3 3 4 2" xfId="41598"/>
    <cellStyle name="Note 3 3 3 4 2 2" xfId="41599"/>
    <cellStyle name="Note 3 3 3 4 2_Sheet1" xfId="41600"/>
    <cellStyle name="Note 3 3 3 4 3" xfId="41601"/>
    <cellStyle name="Note 3 3 3 4_Sheet1" xfId="41602"/>
    <cellStyle name="Note 3 3 3 5" xfId="41603"/>
    <cellStyle name="Note 3 3 3_Sheet1" xfId="41604"/>
    <cellStyle name="Note 3 3 4" xfId="41605"/>
    <cellStyle name="Note 3 3 4 2" xfId="41606"/>
    <cellStyle name="Note 3 3 4 2 2" xfId="41607"/>
    <cellStyle name="Note 3 3 4 2 2 2" xfId="41608"/>
    <cellStyle name="Note 3 3 4 2 2_Sheet1" xfId="41609"/>
    <cellStyle name="Note 3 3 4 2 3" xfId="41610"/>
    <cellStyle name="Note 3 3 4 2_Sheet1" xfId="41611"/>
    <cellStyle name="Note 3 3 4 3" xfId="41612"/>
    <cellStyle name="Note 3 3 4 3 2" xfId="41613"/>
    <cellStyle name="Note 3 3 4 3 2 2" xfId="41614"/>
    <cellStyle name="Note 3 3 4 3 2_Sheet1" xfId="41615"/>
    <cellStyle name="Note 3 3 4 3 3" xfId="41616"/>
    <cellStyle name="Note 3 3 4 3_Sheet1" xfId="41617"/>
    <cellStyle name="Note 3 3 4 4" xfId="41618"/>
    <cellStyle name="Note 3 3 4 4 2" xfId="41619"/>
    <cellStyle name="Note 3 3 4 4 2 2" xfId="41620"/>
    <cellStyle name="Note 3 3 4 4 2_Sheet1" xfId="41621"/>
    <cellStyle name="Note 3 3 4 4 3" xfId="41622"/>
    <cellStyle name="Note 3 3 4 4_Sheet1" xfId="41623"/>
    <cellStyle name="Note 3 3 4 5" xfId="41624"/>
    <cellStyle name="Note 3 3 4_Sheet1" xfId="41625"/>
    <cellStyle name="Note 3 3 5" xfId="41626"/>
    <cellStyle name="Note 3 3 5 2" xfId="41627"/>
    <cellStyle name="Note 3 3 5 2 2" xfId="41628"/>
    <cellStyle name="Note 3 3 5 2 2 2" xfId="41629"/>
    <cellStyle name="Note 3 3 5 2 2_Sheet1" xfId="41630"/>
    <cellStyle name="Note 3 3 5 2 3" xfId="41631"/>
    <cellStyle name="Note 3 3 5 2_Sheet1" xfId="41632"/>
    <cellStyle name="Note 3 3 5 3" xfId="41633"/>
    <cellStyle name="Note 3 3 5 3 2" xfId="41634"/>
    <cellStyle name="Note 3 3 5 3 2 2" xfId="41635"/>
    <cellStyle name="Note 3 3 5 3 2_Sheet1" xfId="41636"/>
    <cellStyle name="Note 3 3 5 3 3" xfId="41637"/>
    <cellStyle name="Note 3 3 5 3_Sheet1" xfId="41638"/>
    <cellStyle name="Note 3 3 5 4" xfId="41639"/>
    <cellStyle name="Note 3 3 5 4 2" xfId="41640"/>
    <cellStyle name="Note 3 3 5 4 2 2" xfId="41641"/>
    <cellStyle name="Note 3 3 5 4 2_Sheet1" xfId="41642"/>
    <cellStyle name="Note 3 3 5 4 3" xfId="41643"/>
    <cellStyle name="Note 3 3 5 4_Sheet1" xfId="41644"/>
    <cellStyle name="Note 3 3 5 5" xfId="41645"/>
    <cellStyle name="Note 3 3 5_Sheet1" xfId="41646"/>
    <cellStyle name="Note 3 3 6" xfId="41647"/>
    <cellStyle name="Note 3 3 6 2" xfId="41648"/>
    <cellStyle name="Note 3 3 6 2 2" xfId="41649"/>
    <cellStyle name="Note 3 3 6 2 2 2" xfId="41650"/>
    <cellStyle name="Note 3 3 6 2 2_Sheet1" xfId="41651"/>
    <cellStyle name="Note 3 3 6 2 3" xfId="41652"/>
    <cellStyle name="Note 3 3 6 2_Sheet1" xfId="41653"/>
    <cellStyle name="Note 3 3 6 3" xfId="41654"/>
    <cellStyle name="Note 3 3 6 3 2" xfId="41655"/>
    <cellStyle name="Note 3 3 6 3 2 2" xfId="41656"/>
    <cellStyle name="Note 3 3 6 3 2_Sheet1" xfId="41657"/>
    <cellStyle name="Note 3 3 6 3 3" xfId="41658"/>
    <cellStyle name="Note 3 3 6 3_Sheet1" xfId="41659"/>
    <cellStyle name="Note 3 3 6 4" xfId="41660"/>
    <cellStyle name="Note 3 3 6 4 2" xfId="41661"/>
    <cellStyle name="Note 3 3 6 4 2 2" xfId="41662"/>
    <cellStyle name="Note 3 3 6 4 2_Sheet1" xfId="41663"/>
    <cellStyle name="Note 3 3 6 4 3" xfId="41664"/>
    <cellStyle name="Note 3 3 6 4_Sheet1" xfId="41665"/>
    <cellStyle name="Note 3 3 6 5" xfId="41666"/>
    <cellStyle name="Note 3 3 6_Sheet1" xfId="41667"/>
    <cellStyle name="Note 3 3 7" xfId="41668"/>
    <cellStyle name="Note 3 3 7 2" xfId="41669"/>
    <cellStyle name="Note 3 3 7 2 2" xfId="41670"/>
    <cellStyle name="Note 3 3 7 2 2 2" xfId="41671"/>
    <cellStyle name="Note 3 3 7 2 2_Sheet1" xfId="41672"/>
    <cellStyle name="Note 3 3 7 2 3" xfId="41673"/>
    <cellStyle name="Note 3 3 7 2_Sheet1" xfId="41674"/>
    <cellStyle name="Note 3 3 7 3" xfId="41675"/>
    <cellStyle name="Note 3 3 7 3 2" xfId="41676"/>
    <cellStyle name="Note 3 3 7 3 2 2" xfId="41677"/>
    <cellStyle name="Note 3 3 7 3 2_Sheet1" xfId="41678"/>
    <cellStyle name="Note 3 3 7 3 3" xfId="41679"/>
    <cellStyle name="Note 3 3 7 3_Sheet1" xfId="41680"/>
    <cellStyle name="Note 3 3 7 4" xfId="41681"/>
    <cellStyle name="Note 3 3 7 4 2" xfId="41682"/>
    <cellStyle name="Note 3 3 7 4 2 2" xfId="41683"/>
    <cellStyle name="Note 3 3 7 4 2_Sheet1" xfId="41684"/>
    <cellStyle name="Note 3 3 7 4 3" xfId="41685"/>
    <cellStyle name="Note 3 3 7 4_Sheet1" xfId="41686"/>
    <cellStyle name="Note 3 3 7 5" xfId="41687"/>
    <cellStyle name="Note 3 3 7_Sheet1" xfId="41688"/>
    <cellStyle name="Note 3 3 8" xfId="41689"/>
    <cellStyle name="Note 3 3 8 2" xfId="41690"/>
    <cellStyle name="Note 3 3 8 2 2" xfId="41691"/>
    <cellStyle name="Note 3 3 8 2 2 2" xfId="41692"/>
    <cellStyle name="Note 3 3 8 2 2_Sheet1" xfId="41693"/>
    <cellStyle name="Note 3 3 8 2 3" xfId="41694"/>
    <cellStyle name="Note 3 3 8 2_Sheet1" xfId="41695"/>
    <cellStyle name="Note 3 3 8 3" xfId="41696"/>
    <cellStyle name="Note 3 3 8 3 2" xfId="41697"/>
    <cellStyle name="Note 3 3 8 3 2 2" xfId="41698"/>
    <cellStyle name="Note 3 3 8 3 2_Sheet1" xfId="41699"/>
    <cellStyle name="Note 3 3 8 3 3" xfId="41700"/>
    <cellStyle name="Note 3 3 8 3_Sheet1" xfId="41701"/>
    <cellStyle name="Note 3 3 8 4" xfId="41702"/>
    <cellStyle name="Note 3 3 8 4 2" xfId="41703"/>
    <cellStyle name="Note 3 3 8 4 2 2" xfId="41704"/>
    <cellStyle name="Note 3 3 8 4 2_Sheet1" xfId="41705"/>
    <cellStyle name="Note 3 3 8 4 3" xfId="41706"/>
    <cellStyle name="Note 3 3 8 4_Sheet1" xfId="41707"/>
    <cellStyle name="Note 3 3 8 5" xfId="41708"/>
    <cellStyle name="Note 3 3 8_Sheet1" xfId="41709"/>
    <cellStyle name="Note 3 3 9" xfId="41710"/>
    <cellStyle name="Note 3 3 9 2" xfId="41711"/>
    <cellStyle name="Note 3 3 9 2 2" xfId="41712"/>
    <cellStyle name="Note 3 3 9 2 2 2" xfId="41713"/>
    <cellStyle name="Note 3 3 9 2 2_Sheet1" xfId="41714"/>
    <cellStyle name="Note 3 3 9 2 3" xfId="41715"/>
    <cellStyle name="Note 3 3 9 2_Sheet1" xfId="41716"/>
    <cellStyle name="Note 3 3 9 3" xfId="41717"/>
    <cellStyle name="Note 3 3 9 3 2" xfId="41718"/>
    <cellStyle name="Note 3 3 9 3 2 2" xfId="41719"/>
    <cellStyle name="Note 3 3 9 3 2_Sheet1" xfId="41720"/>
    <cellStyle name="Note 3 3 9 3 3" xfId="41721"/>
    <cellStyle name="Note 3 3 9 3_Sheet1" xfId="41722"/>
    <cellStyle name="Note 3 3 9 4" xfId="41723"/>
    <cellStyle name="Note 3 3 9 4 2" xfId="41724"/>
    <cellStyle name="Note 3 3 9 4 2 2" xfId="41725"/>
    <cellStyle name="Note 3 3 9 4 2_Sheet1" xfId="41726"/>
    <cellStyle name="Note 3 3 9 4 3" xfId="41727"/>
    <cellStyle name="Note 3 3 9 4_Sheet1" xfId="41728"/>
    <cellStyle name="Note 3 3 9 5" xfId="41729"/>
    <cellStyle name="Note 3 3 9_Sheet1" xfId="41730"/>
    <cellStyle name="Note 3 3_Sheet1" xfId="41731"/>
    <cellStyle name="Note 3 4" xfId="41732"/>
    <cellStyle name="Note 3 4 10" xfId="41733"/>
    <cellStyle name="Note 3 4 10 2" xfId="41734"/>
    <cellStyle name="Note 3 4 10 2 2" xfId="41735"/>
    <cellStyle name="Note 3 4 10 2 2 2" xfId="41736"/>
    <cellStyle name="Note 3 4 10 2 2_Sheet1" xfId="41737"/>
    <cellStyle name="Note 3 4 10 2 3" xfId="41738"/>
    <cellStyle name="Note 3 4 10 2_Sheet1" xfId="41739"/>
    <cellStyle name="Note 3 4 10 3" xfId="41740"/>
    <cellStyle name="Note 3 4 10 3 2" xfId="41741"/>
    <cellStyle name="Note 3 4 10 3 2 2" xfId="41742"/>
    <cellStyle name="Note 3 4 10 3 2_Sheet1" xfId="41743"/>
    <cellStyle name="Note 3 4 10 3 3" xfId="41744"/>
    <cellStyle name="Note 3 4 10 3_Sheet1" xfId="41745"/>
    <cellStyle name="Note 3 4 10 4" xfId="41746"/>
    <cellStyle name="Note 3 4 10 4 2" xfId="41747"/>
    <cellStyle name="Note 3 4 10 4 2 2" xfId="41748"/>
    <cellStyle name="Note 3 4 10 4 2_Sheet1" xfId="41749"/>
    <cellStyle name="Note 3 4 10 4 3" xfId="41750"/>
    <cellStyle name="Note 3 4 10 4_Sheet1" xfId="41751"/>
    <cellStyle name="Note 3 4 10 5" xfId="41752"/>
    <cellStyle name="Note 3 4 10_Sheet1" xfId="41753"/>
    <cellStyle name="Note 3 4 11" xfId="41754"/>
    <cellStyle name="Note 3 4 11 2" xfId="41755"/>
    <cellStyle name="Note 3 4 11 2 2" xfId="41756"/>
    <cellStyle name="Note 3 4 11 2 2 2" xfId="41757"/>
    <cellStyle name="Note 3 4 11 2 2_Sheet1" xfId="41758"/>
    <cellStyle name="Note 3 4 11 2 3" xfId="41759"/>
    <cellStyle name="Note 3 4 11 2_Sheet1" xfId="41760"/>
    <cellStyle name="Note 3 4 11 3" xfId="41761"/>
    <cellStyle name="Note 3 4 11 3 2" xfId="41762"/>
    <cellStyle name="Note 3 4 11 3 2 2" xfId="41763"/>
    <cellStyle name="Note 3 4 11 3 2_Sheet1" xfId="41764"/>
    <cellStyle name="Note 3 4 11 3 3" xfId="41765"/>
    <cellStyle name="Note 3 4 11 3_Sheet1" xfId="41766"/>
    <cellStyle name="Note 3 4 11 4" xfId="41767"/>
    <cellStyle name="Note 3 4 11 4 2" xfId="41768"/>
    <cellStyle name="Note 3 4 11 4 2 2" xfId="41769"/>
    <cellStyle name="Note 3 4 11 4 2_Sheet1" xfId="41770"/>
    <cellStyle name="Note 3 4 11 4 3" xfId="41771"/>
    <cellStyle name="Note 3 4 11 4_Sheet1" xfId="41772"/>
    <cellStyle name="Note 3 4 11 5" xfId="41773"/>
    <cellStyle name="Note 3 4 11_Sheet1" xfId="41774"/>
    <cellStyle name="Note 3 4 12" xfId="41775"/>
    <cellStyle name="Note 3 4 12 2" xfId="41776"/>
    <cellStyle name="Note 3 4 12 2 2" xfId="41777"/>
    <cellStyle name="Note 3 4 12 2 2 2" xfId="41778"/>
    <cellStyle name="Note 3 4 12 2 2_Sheet1" xfId="41779"/>
    <cellStyle name="Note 3 4 12 2 3" xfId="41780"/>
    <cellStyle name="Note 3 4 12 2_Sheet1" xfId="41781"/>
    <cellStyle name="Note 3 4 12 3" xfId="41782"/>
    <cellStyle name="Note 3 4 12 3 2" xfId="41783"/>
    <cellStyle name="Note 3 4 12 3 2 2" xfId="41784"/>
    <cellStyle name="Note 3 4 12 3 2_Sheet1" xfId="41785"/>
    <cellStyle name="Note 3 4 12 3 3" xfId="41786"/>
    <cellStyle name="Note 3 4 12 3_Sheet1" xfId="41787"/>
    <cellStyle name="Note 3 4 12 4" xfId="41788"/>
    <cellStyle name="Note 3 4 12 4 2" xfId="41789"/>
    <cellStyle name="Note 3 4 12 4 2 2" xfId="41790"/>
    <cellStyle name="Note 3 4 12 4 2_Sheet1" xfId="41791"/>
    <cellStyle name="Note 3 4 12 4 3" xfId="41792"/>
    <cellStyle name="Note 3 4 12 4_Sheet1" xfId="41793"/>
    <cellStyle name="Note 3 4 12 5" xfId="41794"/>
    <cellStyle name="Note 3 4 12_Sheet1" xfId="41795"/>
    <cellStyle name="Note 3 4 13" xfId="41796"/>
    <cellStyle name="Note 3 4 13 2" xfId="41797"/>
    <cellStyle name="Note 3 4 13 2 2" xfId="41798"/>
    <cellStyle name="Note 3 4 13 2 2 2" xfId="41799"/>
    <cellStyle name="Note 3 4 13 2 2_Sheet1" xfId="41800"/>
    <cellStyle name="Note 3 4 13 2 3" xfId="41801"/>
    <cellStyle name="Note 3 4 13 2_Sheet1" xfId="41802"/>
    <cellStyle name="Note 3 4 13 3" xfId="41803"/>
    <cellStyle name="Note 3 4 13 3 2" xfId="41804"/>
    <cellStyle name="Note 3 4 13 3 2 2" xfId="41805"/>
    <cellStyle name="Note 3 4 13 3 2_Sheet1" xfId="41806"/>
    <cellStyle name="Note 3 4 13 3 3" xfId="41807"/>
    <cellStyle name="Note 3 4 13 3_Sheet1" xfId="41808"/>
    <cellStyle name="Note 3 4 13 4" xfId="41809"/>
    <cellStyle name="Note 3 4 13 4 2" xfId="41810"/>
    <cellStyle name="Note 3 4 13 4 2 2" xfId="41811"/>
    <cellStyle name="Note 3 4 13 4 2_Sheet1" xfId="41812"/>
    <cellStyle name="Note 3 4 13 4 3" xfId="41813"/>
    <cellStyle name="Note 3 4 13 4_Sheet1" xfId="41814"/>
    <cellStyle name="Note 3 4 13 5" xfId="41815"/>
    <cellStyle name="Note 3 4 13_Sheet1" xfId="41816"/>
    <cellStyle name="Note 3 4 14" xfId="41817"/>
    <cellStyle name="Note 3 4 14 2" xfId="41818"/>
    <cellStyle name="Note 3 4 14 2 2" xfId="41819"/>
    <cellStyle name="Note 3 4 14 2 2 2" xfId="41820"/>
    <cellStyle name="Note 3 4 14 2 2_Sheet1" xfId="41821"/>
    <cellStyle name="Note 3 4 14 2 3" xfId="41822"/>
    <cellStyle name="Note 3 4 14 2_Sheet1" xfId="41823"/>
    <cellStyle name="Note 3 4 14 3" xfId="41824"/>
    <cellStyle name="Note 3 4 14 3 2" xfId="41825"/>
    <cellStyle name="Note 3 4 14 3 2 2" xfId="41826"/>
    <cellStyle name="Note 3 4 14 3 2_Sheet1" xfId="41827"/>
    <cellStyle name="Note 3 4 14 3 3" xfId="41828"/>
    <cellStyle name="Note 3 4 14 3_Sheet1" xfId="41829"/>
    <cellStyle name="Note 3 4 14 4" xfId="41830"/>
    <cellStyle name="Note 3 4 14 4 2" xfId="41831"/>
    <cellStyle name="Note 3 4 14 4 2 2" xfId="41832"/>
    <cellStyle name="Note 3 4 14 4 2_Sheet1" xfId="41833"/>
    <cellStyle name="Note 3 4 14 4 3" xfId="41834"/>
    <cellStyle name="Note 3 4 14 4_Sheet1" xfId="41835"/>
    <cellStyle name="Note 3 4 14 5" xfId="41836"/>
    <cellStyle name="Note 3 4 14_Sheet1" xfId="41837"/>
    <cellStyle name="Note 3 4 15" xfId="41838"/>
    <cellStyle name="Note 3 4 15 2" xfId="41839"/>
    <cellStyle name="Note 3 4 15 2 2" xfId="41840"/>
    <cellStyle name="Note 3 4 15 2 2 2" xfId="41841"/>
    <cellStyle name="Note 3 4 15 2 2_Sheet1" xfId="41842"/>
    <cellStyle name="Note 3 4 15 2 3" xfId="41843"/>
    <cellStyle name="Note 3 4 15 2_Sheet1" xfId="41844"/>
    <cellStyle name="Note 3 4 15 3" xfId="41845"/>
    <cellStyle name="Note 3 4 15 3 2" xfId="41846"/>
    <cellStyle name="Note 3 4 15 3 2 2" xfId="41847"/>
    <cellStyle name="Note 3 4 15 3 2_Sheet1" xfId="41848"/>
    <cellStyle name="Note 3 4 15 3 3" xfId="41849"/>
    <cellStyle name="Note 3 4 15 3_Sheet1" xfId="41850"/>
    <cellStyle name="Note 3 4 15 4" xfId="41851"/>
    <cellStyle name="Note 3 4 15 4 2" xfId="41852"/>
    <cellStyle name="Note 3 4 15 4 2 2" xfId="41853"/>
    <cellStyle name="Note 3 4 15 4 2_Sheet1" xfId="41854"/>
    <cellStyle name="Note 3 4 15 4 3" xfId="41855"/>
    <cellStyle name="Note 3 4 15 4_Sheet1" xfId="41856"/>
    <cellStyle name="Note 3 4 15 5" xfId="41857"/>
    <cellStyle name="Note 3 4 15_Sheet1" xfId="41858"/>
    <cellStyle name="Note 3 4 16" xfId="41859"/>
    <cellStyle name="Note 3 4 16 2" xfId="41860"/>
    <cellStyle name="Note 3 4 16 2 2" xfId="41861"/>
    <cellStyle name="Note 3 4 16 2 2 2" xfId="41862"/>
    <cellStyle name="Note 3 4 16 2 2_Sheet1" xfId="41863"/>
    <cellStyle name="Note 3 4 16 2 3" xfId="41864"/>
    <cellStyle name="Note 3 4 16 2_Sheet1" xfId="41865"/>
    <cellStyle name="Note 3 4 16 3" xfId="41866"/>
    <cellStyle name="Note 3 4 16 3 2" xfId="41867"/>
    <cellStyle name="Note 3 4 16 3 2 2" xfId="41868"/>
    <cellStyle name="Note 3 4 16 3 2_Sheet1" xfId="41869"/>
    <cellStyle name="Note 3 4 16 3 3" xfId="41870"/>
    <cellStyle name="Note 3 4 16 3_Sheet1" xfId="41871"/>
    <cellStyle name="Note 3 4 16 4" xfId="41872"/>
    <cellStyle name="Note 3 4 16 4 2" xfId="41873"/>
    <cellStyle name="Note 3 4 16 4 2 2" xfId="41874"/>
    <cellStyle name="Note 3 4 16 4 2_Sheet1" xfId="41875"/>
    <cellStyle name="Note 3 4 16 4 3" xfId="41876"/>
    <cellStyle name="Note 3 4 16 4_Sheet1" xfId="41877"/>
    <cellStyle name="Note 3 4 16 5" xfId="41878"/>
    <cellStyle name="Note 3 4 16_Sheet1" xfId="41879"/>
    <cellStyle name="Note 3 4 17" xfId="41880"/>
    <cellStyle name="Note 3 4 17 2" xfId="41881"/>
    <cellStyle name="Note 3 4 17 2 2" xfId="41882"/>
    <cellStyle name="Note 3 4 17 2 2 2" xfId="41883"/>
    <cellStyle name="Note 3 4 17 2 2_Sheet1" xfId="41884"/>
    <cellStyle name="Note 3 4 17 2 3" xfId="41885"/>
    <cellStyle name="Note 3 4 17 2_Sheet1" xfId="41886"/>
    <cellStyle name="Note 3 4 17 3" xfId="41887"/>
    <cellStyle name="Note 3 4 17 3 2" xfId="41888"/>
    <cellStyle name="Note 3 4 17 3 2 2" xfId="41889"/>
    <cellStyle name="Note 3 4 17 3 2_Sheet1" xfId="41890"/>
    <cellStyle name="Note 3 4 17 3 3" xfId="41891"/>
    <cellStyle name="Note 3 4 17 3_Sheet1" xfId="41892"/>
    <cellStyle name="Note 3 4 17 4" xfId="41893"/>
    <cellStyle name="Note 3 4 17 4 2" xfId="41894"/>
    <cellStyle name="Note 3 4 17 4 2 2" xfId="41895"/>
    <cellStyle name="Note 3 4 17 4 2_Sheet1" xfId="41896"/>
    <cellStyle name="Note 3 4 17 4 3" xfId="41897"/>
    <cellStyle name="Note 3 4 17 4_Sheet1" xfId="41898"/>
    <cellStyle name="Note 3 4 17 5" xfId="41899"/>
    <cellStyle name="Note 3 4 17_Sheet1" xfId="41900"/>
    <cellStyle name="Note 3 4 18" xfId="41901"/>
    <cellStyle name="Note 3 4 18 2" xfId="41902"/>
    <cellStyle name="Note 3 4 18 2 2" xfId="41903"/>
    <cellStyle name="Note 3 4 18 2 2 2" xfId="41904"/>
    <cellStyle name="Note 3 4 18 2 2_Sheet1" xfId="41905"/>
    <cellStyle name="Note 3 4 18 2 3" xfId="41906"/>
    <cellStyle name="Note 3 4 18 2_Sheet1" xfId="41907"/>
    <cellStyle name="Note 3 4 18 3" xfId="41908"/>
    <cellStyle name="Note 3 4 18 3 2" xfId="41909"/>
    <cellStyle name="Note 3 4 18 3 2 2" xfId="41910"/>
    <cellStyle name="Note 3 4 18 3 2_Sheet1" xfId="41911"/>
    <cellStyle name="Note 3 4 18 3 3" xfId="41912"/>
    <cellStyle name="Note 3 4 18 3_Sheet1" xfId="41913"/>
    <cellStyle name="Note 3 4 18 4" xfId="41914"/>
    <cellStyle name="Note 3 4 18 4 2" xfId="41915"/>
    <cellStyle name="Note 3 4 18 4 2 2" xfId="41916"/>
    <cellStyle name="Note 3 4 18 4 2_Sheet1" xfId="41917"/>
    <cellStyle name="Note 3 4 18 4 3" xfId="41918"/>
    <cellStyle name="Note 3 4 18 4_Sheet1" xfId="41919"/>
    <cellStyle name="Note 3 4 18 5" xfId="41920"/>
    <cellStyle name="Note 3 4 18_Sheet1" xfId="41921"/>
    <cellStyle name="Note 3 4 19" xfId="41922"/>
    <cellStyle name="Note 3 4 19 2" xfId="41923"/>
    <cellStyle name="Note 3 4 19 2 2" xfId="41924"/>
    <cellStyle name="Note 3 4 19 2_Sheet1" xfId="41925"/>
    <cellStyle name="Note 3 4 19 3" xfId="41926"/>
    <cellStyle name="Note 3 4 19_Sheet1" xfId="41927"/>
    <cellStyle name="Note 3 4 2" xfId="41928"/>
    <cellStyle name="Note 3 4 2 2" xfId="41929"/>
    <cellStyle name="Note 3 4 2 2 2" xfId="41930"/>
    <cellStyle name="Note 3 4 2 2 2 2" xfId="41931"/>
    <cellStyle name="Note 3 4 2 2 2_Sheet1" xfId="41932"/>
    <cellStyle name="Note 3 4 2 2 3" xfId="41933"/>
    <cellStyle name="Note 3 4 2 2_Sheet1" xfId="41934"/>
    <cellStyle name="Note 3 4 2 3" xfId="41935"/>
    <cellStyle name="Note 3 4 2 3 2" xfId="41936"/>
    <cellStyle name="Note 3 4 2 3 2 2" xfId="41937"/>
    <cellStyle name="Note 3 4 2 3 2_Sheet1" xfId="41938"/>
    <cellStyle name="Note 3 4 2 3 3" xfId="41939"/>
    <cellStyle name="Note 3 4 2 3_Sheet1" xfId="41940"/>
    <cellStyle name="Note 3 4 2 4" xfId="41941"/>
    <cellStyle name="Note 3 4 2 4 2" xfId="41942"/>
    <cellStyle name="Note 3 4 2 4 2 2" xfId="41943"/>
    <cellStyle name="Note 3 4 2 4 2_Sheet1" xfId="41944"/>
    <cellStyle name="Note 3 4 2 4 3" xfId="41945"/>
    <cellStyle name="Note 3 4 2 4_Sheet1" xfId="41946"/>
    <cellStyle name="Note 3 4 2 5" xfId="41947"/>
    <cellStyle name="Note 3 4 2_Sheet1" xfId="41948"/>
    <cellStyle name="Note 3 4 20" xfId="41949"/>
    <cellStyle name="Note 3 4 20 2" xfId="41950"/>
    <cellStyle name="Note 3 4 20 2 2" xfId="41951"/>
    <cellStyle name="Note 3 4 20 2_Sheet1" xfId="41952"/>
    <cellStyle name="Note 3 4 20 3" xfId="41953"/>
    <cellStyle name="Note 3 4 20_Sheet1" xfId="41954"/>
    <cellStyle name="Note 3 4 21" xfId="41955"/>
    <cellStyle name="Note 3 4 21 2" xfId="41956"/>
    <cellStyle name="Note 3 4 21 2 2" xfId="41957"/>
    <cellStyle name="Note 3 4 21 2_Sheet1" xfId="41958"/>
    <cellStyle name="Note 3 4 21 3" xfId="41959"/>
    <cellStyle name="Note 3 4 21_Sheet1" xfId="41960"/>
    <cellStyle name="Note 3 4 22" xfId="41961"/>
    <cellStyle name="Note 3 4 3" xfId="41962"/>
    <cellStyle name="Note 3 4 3 2" xfId="41963"/>
    <cellStyle name="Note 3 4 3 2 2" xfId="41964"/>
    <cellStyle name="Note 3 4 3 2 2 2" xfId="41965"/>
    <cellStyle name="Note 3 4 3 2 2_Sheet1" xfId="41966"/>
    <cellStyle name="Note 3 4 3 2 3" xfId="41967"/>
    <cellStyle name="Note 3 4 3 2_Sheet1" xfId="41968"/>
    <cellStyle name="Note 3 4 3 3" xfId="41969"/>
    <cellStyle name="Note 3 4 3 3 2" xfId="41970"/>
    <cellStyle name="Note 3 4 3 3 2 2" xfId="41971"/>
    <cellStyle name="Note 3 4 3 3 2_Sheet1" xfId="41972"/>
    <cellStyle name="Note 3 4 3 3 3" xfId="41973"/>
    <cellStyle name="Note 3 4 3 3_Sheet1" xfId="41974"/>
    <cellStyle name="Note 3 4 3 4" xfId="41975"/>
    <cellStyle name="Note 3 4 3 4 2" xfId="41976"/>
    <cellStyle name="Note 3 4 3 4 2 2" xfId="41977"/>
    <cellStyle name="Note 3 4 3 4 2_Sheet1" xfId="41978"/>
    <cellStyle name="Note 3 4 3 4 3" xfId="41979"/>
    <cellStyle name="Note 3 4 3 4_Sheet1" xfId="41980"/>
    <cellStyle name="Note 3 4 3 5" xfId="41981"/>
    <cellStyle name="Note 3 4 3_Sheet1" xfId="41982"/>
    <cellStyle name="Note 3 4 4" xfId="41983"/>
    <cellStyle name="Note 3 4 4 2" xfId="41984"/>
    <cellStyle name="Note 3 4 4 2 2" xfId="41985"/>
    <cellStyle name="Note 3 4 4 2 2 2" xfId="41986"/>
    <cellStyle name="Note 3 4 4 2 2_Sheet1" xfId="41987"/>
    <cellStyle name="Note 3 4 4 2 3" xfId="41988"/>
    <cellStyle name="Note 3 4 4 2_Sheet1" xfId="41989"/>
    <cellStyle name="Note 3 4 4 3" xfId="41990"/>
    <cellStyle name="Note 3 4 4 3 2" xfId="41991"/>
    <cellStyle name="Note 3 4 4 3 2 2" xfId="41992"/>
    <cellStyle name="Note 3 4 4 3 2_Sheet1" xfId="41993"/>
    <cellStyle name="Note 3 4 4 3 3" xfId="41994"/>
    <cellStyle name="Note 3 4 4 3_Sheet1" xfId="41995"/>
    <cellStyle name="Note 3 4 4 4" xfId="41996"/>
    <cellStyle name="Note 3 4 4 4 2" xfId="41997"/>
    <cellStyle name="Note 3 4 4 4 2 2" xfId="41998"/>
    <cellStyle name="Note 3 4 4 4 2_Sheet1" xfId="41999"/>
    <cellStyle name="Note 3 4 4 4 3" xfId="42000"/>
    <cellStyle name="Note 3 4 4 4_Sheet1" xfId="42001"/>
    <cellStyle name="Note 3 4 4 5" xfId="42002"/>
    <cellStyle name="Note 3 4 4_Sheet1" xfId="42003"/>
    <cellStyle name="Note 3 4 5" xfId="42004"/>
    <cellStyle name="Note 3 4 5 2" xfId="42005"/>
    <cellStyle name="Note 3 4 5 2 2" xfId="42006"/>
    <cellStyle name="Note 3 4 5 2 2 2" xfId="42007"/>
    <cellStyle name="Note 3 4 5 2 2_Sheet1" xfId="42008"/>
    <cellStyle name="Note 3 4 5 2 3" xfId="42009"/>
    <cellStyle name="Note 3 4 5 2_Sheet1" xfId="42010"/>
    <cellStyle name="Note 3 4 5 3" xfId="42011"/>
    <cellStyle name="Note 3 4 5 3 2" xfId="42012"/>
    <cellStyle name="Note 3 4 5 3 2 2" xfId="42013"/>
    <cellStyle name="Note 3 4 5 3 2_Sheet1" xfId="42014"/>
    <cellStyle name="Note 3 4 5 3 3" xfId="42015"/>
    <cellStyle name="Note 3 4 5 3_Sheet1" xfId="42016"/>
    <cellStyle name="Note 3 4 5 4" xfId="42017"/>
    <cellStyle name="Note 3 4 5 4 2" xfId="42018"/>
    <cellStyle name="Note 3 4 5 4 2 2" xfId="42019"/>
    <cellStyle name="Note 3 4 5 4 2_Sheet1" xfId="42020"/>
    <cellStyle name="Note 3 4 5 4 3" xfId="42021"/>
    <cellStyle name="Note 3 4 5 4_Sheet1" xfId="42022"/>
    <cellStyle name="Note 3 4 5 5" xfId="42023"/>
    <cellStyle name="Note 3 4 5_Sheet1" xfId="42024"/>
    <cellStyle name="Note 3 4 6" xfId="42025"/>
    <cellStyle name="Note 3 4 6 2" xfId="42026"/>
    <cellStyle name="Note 3 4 6 2 2" xfId="42027"/>
    <cellStyle name="Note 3 4 6 2 2 2" xfId="42028"/>
    <cellStyle name="Note 3 4 6 2 2_Sheet1" xfId="42029"/>
    <cellStyle name="Note 3 4 6 2 3" xfId="42030"/>
    <cellStyle name="Note 3 4 6 2_Sheet1" xfId="42031"/>
    <cellStyle name="Note 3 4 6 3" xfId="42032"/>
    <cellStyle name="Note 3 4 6 3 2" xfId="42033"/>
    <cellStyle name="Note 3 4 6 3 2 2" xfId="42034"/>
    <cellStyle name="Note 3 4 6 3 2_Sheet1" xfId="42035"/>
    <cellStyle name="Note 3 4 6 3 3" xfId="42036"/>
    <cellStyle name="Note 3 4 6 3_Sheet1" xfId="42037"/>
    <cellStyle name="Note 3 4 6 4" xfId="42038"/>
    <cellStyle name="Note 3 4 6 4 2" xfId="42039"/>
    <cellStyle name="Note 3 4 6 4 2 2" xfId="42040"/>
    <cellStyle name="Note 3 4 6 4 2_Sheet1" xfId="42041"/>
    <cellStyle name="Note 3 4 6 4 3" xfId="42042"/>
    <cellStyle name="Note 3 4 6 4_Sheet1" xfId="42043"/>
    <cellStyle name="Note 3 4 6 5" xfId="42044"/>
    <cellStyle name="Note 3 4 6_Sheet1" xfId="42045"/>
    <cellStyle name="Note 3 4 7" xfId="42046"/>
    <cellStyle name="Note 3 4 7 2" xfId="42047"/>
    <cellStyle name="Note 3 4 7 2 2" xfId="42048"/>
    <cellStyle name="Note 3 4 7 2 2 2" xfId="42049"/>
    <cellStyle name="Note 3 4 7 2 2_Sheet1" xfId="42050"/>
    <cellStyle name="Note 3 4 7 2 3" xfId="42051"/>
    <cellStyle name="Note 3 4 7 2_Sheet1" xfId="42052"/>
    <cellStyle name="Note 3 4 7 3" xfId="42053"/>
    <cellStyle name="Note 3 4 7 3 2" xfId="42054"/>
    <cellStyle name="Note 3 4 7 3 2 2" xfId="42055"/>
    <cellStyle name="Note 3 4 7 3 2_Sheet1" xfId="42056"/>
    <cellStyle name="Note 3 4 7 3 3" xfId="42057"/>
    <cellStyle name="Note 3 4 7 3_Sheet1" xfId="42058"/>
    <cellStyle name="Note 3 4 7 4" xfId="42059"/>
    <cellStyle name="Note 3 4 7 4 2" xfId="42060"/>
    <cellStyle name="Note 3 4 7 4 2 2" xfId="42061"/>
    <cellStyle name="Note 3 4 7 4 2_Sheet1" xfId="42062"/>
    <cellStyle name="Note 3 4 7 4 3" xfId="42063"/>
    <cellStyle name="Note 3 4 7 4_Sheet1" xfId="42064"/>
    <cellStyle name="Note 3 4 7 5" xfId="42065"/>
    <cellStyle name="Note 3 4 7_Sheet1" xfId="42066"/>
    <cellStyle name="Note 3 4 8" xfId="42067"/>
    <cellStyle name="Note 3 4 8 2" xfId="42068"/>
    <cellStyle name="Note 3 4 8 2 2" xfId="42069"/>
    <cellStyle name="Note 3 4 8 2 2 2" xfId="42070"/>
    <cellStyle name="Note 3 4 8 2 2_Sheet1" xfId="42071"/>
    <cellStyle name="Note 3 4 8 2 3" xfId="42072"/>
    <cellStyle name="Note 3 4 8 2_Sheet1" xfId="42073"/>
    <cellStyle name="Note 3 4 8 3" xfId="42074"/>
    <cellStyle name="Note 3 4 8 3 2" xfId="42075"/>
    <cellStyle name="Note 3 4 8 3 2 2" xfId="42076"/>
    <cellStyle name="Note 3 4 8 3 2_Sheet1" xfId="42077"/>
    <cellStyle name="Note 3 4 8 3 3" xfId="42078"/>
    <cellStyle name="Note 3 4 8 3_Sheet1" xfId="42079"/>
    <cellStyle name="Note 3 4 8 4" xfId="42080"/>
    <cellStyle name="Note 3 4 8 4 2" xfId="42081"/>
    <cellStyle name="Note 3 4 8 4 2 2" xfId="42082"/>
    <cellStyle name="Note 3 4 8 4 2_Sheet1" xfId="42083"/>
    <cellStyle name="Note 3 4 8 4 3" xfId="42084"/>
    <cellStyle name="Note 3 4 8 4_Sheet1" xfId="42085"/>
    <cellStyle name="Note 3 4 8 5" xfId="42086"/>
    <cellStyle name="Note 3 4 8_Sheet1" xfId="42087"/>
    <cellStyle name="Note 3 4 9" xfId="42088"/>
    <cellStyle name="Note 3 4 9 2" xfId="42089"/>
    <cellStyle name="Note 3 4 9 2 2" xfId="42090"/>
    <cellStyle name="Note 3 4 9 2 2 2" xfId="42091"/>
    <cellStyle name="Note 3 4 9 2 2_Sheet1" xfId="42092"/>
    <cellStyle name="Note 3 4 9 2 3" xfId="42093"/>
    <cellStyle name="Note 3 4 9 2_Sheet1" xfId="42094"/>
    <cellStyle name="Note 3 4 9 3" xfId="42095"/>
    <cellStyle name="Note 3 4 9 3 2" xfId="42096"/>
    <cellStyle name="Note 3 4 9 3 2 2" xfId="42097"/>
    <cellStyle name="Note 3 4 9 3 2_Sheet1" xfId="42098"/>
    <cellStyle name="Note 3 4 9 3 3" xfId="42099"/>
    <cellStyle name="Note 3 4 9 3_Sheet1" xfId="42100"/>
    <cellStyle name="Note 3 4 9 4" xfId="42101"/>
    <cellStyle name="Note 3 4 9 4 2" xfId="42102"/>
    <cellStyle name="Note 3 4 9 4 2 2" xfId="42103"/>
    <cellStyle name="Note 3 4 9 4 2_Sheet1" xfId="42104"/>
    <cellStyle name="Note 3 4 9 4 3" xfId="42105"/>
    <cellStyle name="Note 3 4 9 4_Sheet1" xfId="42106"/>
    <cellStyle name="Note 3 4 9 5" xfId="42107"/>
    <cellStyle name="Note 3 4 9_Sheet1" xfId="42108"/>
    <cellStyle name="Note 3 4_Sheet1" xfId="42109"/>
    <cellStyle name="Note 3 5" xfId="42110"/>
    <cellStyle name="Note 3 5 10" xfId="42111"/>
    <cellStyle name="Note 3 5 10 2" xfId="42112"/>
    <cellStyle name="Note 3 5 10 2 2" xfId="42113"/>
    <cellStyle name="Note 3 5 10 2 2 2" xfId="42114"/>
    <cellStyle name="Note 3 5 10 2 2_Sheet1" xfId="42115"/>
    <cellStyle name="Note 3 5 10 2 3" xfId="42116"/>
    <cellStyle name="Note 3 5 10 2_Sheet1" xfId="42117"/>
    <cellStyle name="Note 3 5 10 3" xfId="42118"/>
    <cellStyle name="Note 3 5 10 3 2" xfId="42119"/>
    <cellStyle name="Note 3 5 10 3 2 2" xfId="42120"/>
    <cellStyle name="Note 3 5 10 3 2_Sheet1" xfId="42121"/>
    <cellStyle name="Note 3 5 10 3 3" xfId="42122"/>
    <cellStyle name="Note 3 5 10 3_Sheet1" xfId="42123"/>
    <cellStyle name="Note 3 5 10 4" xfId="42124"/>
    <cellStyle name="Note 3 5 10 4 2" xfId="42125"/>
    <cellStyle name="Note 3 5 10 4 2 2" xfId="42126"/>
    <cellStyle name="Note 3 5 10 4 2_Sheet1" xfId="42127"/>
    <cellStyle name="Note 3 5 10 4 3" xfId="42128"/>
    <cellStyle name="Note 3 5 10 4_Sheet1" xfId="42129"/>
    <cellStyle name="Note 3 5 10 5" xfId="42130"/>
    <cellStyle name="Note 3 5 10_Sheet1" xfId="42131"/>
    <cellStyle name="Note 3 5 11" xfId="42132"/>
    <cellStyle name="Note 3 5 11 2" xfId="42133"/>
    <cellStyle name="Note 3 5 11 2 2" xfId="42134"/>
    <cellStyle name="Note 3 5 11 2 2 2" xfId="42135"/>
    <cellStyle name="Note 3 5 11 2 2_Sheet1" xfId="42136"/>
    <cellStyle name="Note 3 5 11 2 3" xfId="42137"/>
    <cellStyle name="Note 3 5 11 2_Sheet1" xfId="42138"/>
    <cellStyle name="Note 3 5 11 3" xfId="42139"/>
    <cellStyle name="Note 3 5 11 3 2" xfId="42140"/>
    <cellStyle name="Note 3 5 11 3 2 2" xfId="42141"/>
    <cellStyle name="Note 3 5 11 3 2_Sheet1" xfId="42142"/>
    <cellStyle name="Note 3 5 11 3 3" xfId="42143"/>
    <cellStyle name="Note 3 5 11 3_Sheet1" xfId="42144"/>
    <cellStyle name="Note 3 5 11 4" xfId="42145"/>
    <cellStyle name="Note 3 5 11 4 2" xfId="42146"/>
    <cellStyle name="Note 3 5 11 4 2 2" xfId="42147"/>
    <cellStyle name="Note 3 5 11 4 2_Sheet1" xfId="42148"/>
    <cellStyle name="Note 3 5 11 4 3" xfId="42149"/>
    <cellStyle name="Note 3 5 11 4_Sheet1" xfId="42150"/>
    <cellStyle name="Note 3 5 11 5" xfId="42151"/>
    <cellStyle name="Note 3 5 11_Sheet1" xfId="42152"/>
    <cellStyle name="Note 3 5 12" xfId="42153"/>
    <cellStyle name="Note 3 5 12 2" xfId="42154"/>
    <cellStyle name="Note 3 5 12 2 2" xfId="42155"/>
    <cellStyle name="Note 3 5 12 2 2 2" xfId="42156"/>
    <cellStyle name="Note 3 5 12 2 2_Sheet1" xfId="42157"/>
    <cellStyle name="Note 3 5 12 2 3" xfId="42158"/>
    <cellStyle name="Note 3 5 12 2_Sheet1" xfId="42159"/>
    <cellStyle name="Note 3 5 12 3" xfId="42160"/>
    <cellStyle name="Note 3 5 12 3 2" xfId="42161"/>
    <cellStyle name="Note 3 5 12 3 2 2" xfId="42162"/>
    <cellStyle name="Note 3 5 12 3 2_Sheet1" xfId="42163"/>
    <cellStyle name="Note 3 5 12 3 3" xfId="42164"/>
    <cellStyle name="Note 3 5 12 3_Sheet1" xfId="42165"/>
    <cellStyle name="Note 3 5 12 4" xfId="42166"/>
    <cellStyle name="Note 3 5 12 4 2" xfId="42167"/>
    <cellStyle name="Note 3 5 12 4 2 2" xfId="42168"/>
    <cellStyle name="Note 3 5 12 4 2_Sheet1" xfId="42169"/>
    <cellStyle name="Note 3 5 12 4 3" xfId="42170"/>
    <cellStyle name="Note 3 5 12 4_Sheet1" xfId="42171"/>
    <cellStyle name="Note 3 5 12 5" xfId="42172"/>
    <cellStyle name="Note 3 5 12_Sheet1" xfId="42173"/>
    <cellStyle name="Note 3 5 13" xfId="42174"/>
    <cellStyle name="Note 3 5 13 2" xfId="42175"/>
    <cellStyle name="Note 3 5 13 2 2" xfId="42176"/>
    <cellStyle name="Note 3 5 13 2 2 2" xfId="42177"/>
    <cellStyle name="Note 3 5 13 2 2_Sheet1" xfId="42178"/>
    <cellStyle name="Note 3 5 13 2 3" xfId="42179"/>
    <cellStyle name="Note 3 5 13 2_Sheet1" xfId="42180"/>
    <cellStyle name="Note 3 5 13 3" xfId="42181"/>
    <cellStyle name="Note 3 5 13 3 2" xfId="42182"/>
    <cellStyle name="Note 3 5 13 3 2 2" xfId="42183"/>
    <cellStyle name="Note 3 5 13 3 2_Sheet1" xfId="42184"/>
    <cellStyle name="Note 3 5 13 3 3" xfId="42185"/>
    <cellStyle name="Note 3 5 13 3_Sheet1" xfId="42186"/>
    <cellStyle name="Note 3 5 13 4" xfId="42187"/>
    <cellStyle name="Note 3 5 13 4 2" xfId="42188"/>
    <cellStyle name="Note 3 5 13 4 2 2" xfId="42189"/>
    <cellStyle name="Note 3 5 13 4 2_Sheet1" xfId="42190"/>
    <cellStyle name="Note 3 5 13 4 3" xfId="42191"/>
    <cellStyle name="Note 3 5 13 4_Sheet1" xfId="42192"/>
    <cellStyle name="Note 3 5 13 5" xfId="42193"/>
    <cellStyle name="Note 3 5 13_Sheet1" xfId="42194"/>
    <cellStyle name="Note 3 5 14" xfId="42195"/>
    <cellStyle name="Note 3 5 14 2" xfId="42196"/>
    <cellStyle name="Note 3 5 14 2 2" xfId="42197"/>
    <cellStyle name="Note 3 5 14 2 2 2" xfId="42198"/>
    <cellStyle name="Note 3 5 14 2 2_Sheet1" xfId="42199"/>
    <cellStyle name="Note 3 5 14 2 3" xfId="42200"/>
    <cellStyle name="Note 3 5 14 2_Sheet1" xfId="42201"/>
    <cellStyle name="Note 3 5 14 3" xfId="42202"/>
    <cellStyle name="Note 3 5 14 3 2" xfId="42203"/>
    <cellStyle name="Note 3 5 14 3 2 2" xfId="42204"/>
    <cellStyle name="Note 3 5 14 3 2_Sheet1" xfId="42205"/>
    <cellStyle name="Note 3 5 14 3 3" xfId="42206"/>
    <cellStyle name="Note 3 5 14 3_Sheet1" xfId="42207"/>
    <cellStyle name="Note 3 5 14 4" xfId="42208"/>
    <cellStyle name="Note 3 5 14 4 2" xfId="42209"/>
    <cellStyle name="Note 3 5 14 4 2 2" xfId="42210"/>
    <cellStyle name="Note 3 5 14 4 2_Sheet1" xfId="42211"/>
    <cellStyle name="Note 3 5 14 4 3" xfId="42212"/>
    <cellStyle name="Note 3 5 14 4_Sheet1" xfId="42213"/>
    <cellStyle name="Note 3 5 14 5" xfId="42214"/>
    <cellStyle name="Note 3 5 14_Sheet1" xfId="42215"/>
    <cellStyle name="Note 3 5 15" xfId="42216"/>
    <cellStyle name="Note 3 5 15 2" xfId="42217"/>
    <cellStyle name="Note 3 5 15 2 2" xfId="42218"/>
    <cellStyle name="Note 3 5 15 2 2 2" xfId="42219"/>
    <cellStyle name="Note 3 5 15 2 2_Sheet1" xfId="42220"/>
    <cellStyle name="Note 3 5 15 2 3" xfId="42221"/>
    <cellStyle name="Note 3 5 15 2_Sheet1" xfId="42222"/>
    <cellStyle name="Note 3 5 15 3" xfId="42223"/>
    <cellStyle name="Note 3 5 15 3 2" xfId="42224"/>
    <cellStyle name="Note 3 5 15 3 2 2" xfId="42225"/>
    <cellStyle name="Note 3 5 15 3 2_Sheet1" xfId="42226"/>
    <cellStyle name="Note 3 5 15 3 3" xfId="42227"/>
    <cellStyle name="Note 3 5 15 3_Sheet1" xfId="42228"/>
    <cellStyle name="Note 3 5 15 4" xfId="42229"/>
    <cellStyle name="Note 3 5 15 4 2" xfId="42230"/>
    <cellStyle name="Note 3 5 15 4 2 2" xfId="42231"/>
    <cellStyle name="Note 3 5 15 4 2_Sheet1" xfId="42232"/>
    <cellStyle name="Note 3 5 15 4 3" xfId="42233"/>
    <cellStyle name="Note 3 5 15 4_Sheet1" xfId="42234"/>
    <cellStyle name="Note 3 5 15 5" xfId="42235"/>
    <cellStyle name="Note 3 5 15_Sheet1" xfId="42236"/>
    <cellStyle name="Note 3 5 16" xfId="42237"/>
    <cellStyle name="Note 3 5 16 2" xfId="42238"/>
    <cellStyle name="Note 3 5 16 2 2" xfId="42239"/>
    <cellStyle name="Note 3 5 16 2 2 2" xfId="42240"/>
    <cellStyle name="Note 3 5 16 2 2_Sheet1" xfId="42241"/>
    <cellStyle name="Note 3 5 16 2 3" xfId="42242"/>
    <cellStyle name="Note 3 5 16 2_Sheet1" xfId="42243"/>
    <cellStyle name="Note 3 5 16 3" xfId="42244"/>
    <cellStyle name="Note 3 5 16 3 2" xfId="42245"/>
    <cellStyle name="Note 3 5 16 3 2 2" xfId="42246"/>
    <cellStyle name="Note 3 5 16 3 2_Sheet1" xfId="42247"/>
    <cellStyle name="Note 3 5 16 3 3" xfId="42248"/>
    <cellStyle name="Note 3 5 16 3_Sheet1" xfId="42249"/>
    <cellStyle name="Note 3 5 16 4" xfId="42250"/>
    <cellStyle name="Note 3 5 16 4 2" xfId="42251"/>
    <cellStyle name="Note 3 5 16 4 2 2" xfId="42252"/>
    <cellStyle name="Note 3 5 16 4 2_Sheet1" xfId="42253"/>
    <cellStyle name="Note 3 5 16 4 3" xfId="42254"/>
    <cellStyle name="Note 3 5 16 4_Sheet1" xfId="42255"/>
    <cellStyle name="Note 3 5 16 5" xfId="42256"/>
    <cellStyle name="Note 3 5 16_Sheet1" xfId="42257"/>
    <cellStyle name="Note 3 5 17" xfId="42258"/>
    <cellStyle name="Note 3 5 17 2" xfId="42259"/>
    <cellStyle name="Note 3 5 17 2 2" xfId="42260"/>
    <cellStyle name="Note 3 5 17 2 2 2" xfId="42261"/>
    <cellStyle name="Note 3 5 17 2 2_Sheet1" xfId="42262"/>
    <cellStyle name="Note 3 5 17 2 3" xfId="42263"/>
    <cellStyle name="Note 3 5 17 2_Sheet1" xfId="42264"/>
    <cellStyle name="Note 3 5 17 3" xfId="42265"/>
    <cellStyle name="Note 3 5 17 3 2" xfId="42266"/>
    <cellStyle name="Note 3 5 17 3 2 2" xfId="42267"/>
    <cellStyle name="Note 3 5 17 3 2_Sheet1" xfId="42268"/>
    <cellStyle name="Note 3 5 17 3 3" xfId="42269"/>
    <cellStyle name="Note 3 5 17 3_Sheet1" xfId="42270"/>
    <cellStyle name="Note 3 5 17 4" xfId="42271"/>
    <cellStyle name="Note 3 5 17 4 2" xfId="42272"/>
    <cellStyle name="Note 3 5 17 4 2 2" xfId="42273"/>
    <cellStyle name="Note 3 5 17 4 2_Sheet1" xfId="42274"/>
    <cellStyle name="Note 3 5 17 4 3" xfId="42275"/>
    <cellStyle name="Note 3 5 17 4_Sheet1" xfId="42276"/>
    <cellStyle name="Note 3 5 17 5" xfId="42277"/>
    <cellStyle name="Note 3 5 17_Sheet1" xfId="42278"/>
    <cellStyle name="Note 3 5 18" xfId="42279"/>
    <cellStyle name="Note 3 5 18 2" xfId="42280"/>
    <cellStyle name="Note 3 5 18 2 2" xfId="42281"/>
    <cellStyle name="Note 3 5 18 2 2 2" xfId="42282"/>
    <cellStyle name="Note 3 5 18 2 2_Sheet1" xfId="42283"/>
    <cellStyle name="Note 3 5 18 2 3" xfId="42284"/>
    <cellStyle name="Note 3 5 18 2_Sheet1" xfId="42285"/>
    <cellStyle name="Note 3 5 18 3" xfId="42286"/>
    <cellStyle name="Note 3 5 18 3 2" xfId="42287"/>
    <cellStyle name="Note 3 5 18 3 2 2" xfId="42288"/>
    <cellStyle name="Note 3 5 18 3 2_Sheet1" xfId="42289"/>
    <cellStyle name="Note 3 5 18 3 3" xfId="42290"/>
    <cellStyle name="Note 3 5 18 3_Sheet1" xfId="42291"/>
    <cellStyle name="Note 3 5 18 4" xfId="42292"/>
    <cellStyle name="Note 3 5 18 4 2" xfId="42293"/>
    <cellStyle name="Note 3 5 18 4 2 2" xfId="42294"/>
    <cellStyle name="Note 3 5 18 4 2_Sheet1" xfId="42295"/>
    <cellStyle name="Note 3 5 18 4 3" xfId="42296"/>
    <cellStyle name="Note 3 5 18 4_Sheet1" xfId="42297"/>
    <cellStyle name="Note 3 5 18 5" xfId="42298"/>
    <cellStyle name="Note 3 5 18_Sheet1" xfId="42299"/>
    <cellStyle name="Note 3 5 19" xfId="42300"/>
    <cellStyle name="Note 3 5 19 2" xfId="42301"/>
    <cellStyle name="Note 3 5 19 2 2" xfId="42302"/>
    <cellStyle name="Note 3 5 19 2_Sheet1" xfId="42303"/>
    <cellStyle name="Note 3 5 19 3" xfId="42304"/>
    <cellStyle name="Note 3 5 19_Sheet1" xfId="42305"/>
    <cellStyle name="Note 3 5 2" xfId="42306"/>
    <cellStyle name="Note 3 5 2 2" xfId="42307"/>
    <cellStyle name="Note 3 5 2 2 2" xfId="42308"/>
    <cellStyle name="Note 3 5 2 2 2 2" xfId="42309"/>
    <cellStyle name="Note 3 5 2 2 2_Sheet1" xfId="42310"/>
    <cellStyle name="Note 3 5 2 2 3" xfId="42311"/>
    <cellStyle name="Note 3 5 2 2_Sheet1" xfId="42312"/>
    <cellStyle name="Note 3 5 2 3" xfId="42313"/>
    <cellStyle name="Note 3 5 2 3 2" xfId="42314"/>
    <cellStyle name="Note 3 5 2 3 2 2" xfId="42315"/>
    <cellStyle name="Note 3 5 2 3 2_Sheet1" xfId="42316"/>
    <cellStyle name="Note 3 5 2 3 3" xfId="42317"/>
    <cellStyle name="Note 3 5 2 3_Sheet1" xfId="42318"/>
    <cellStyle name="Note 3 5 2 4" xfId="42319"/>
    <cellStyle name="Note 3 5 2 4 2" xfId="42320"/>
    <cellStyle name="Note 3 5 2 4 2 2" xfId="42321"/>
    <cellStyle name="Note 3 5 2 4 2_Sheet1" xfId="42322"/>
    <cellStyle name="Note 3 5 2 4 3" xfId="42323"/>
    <cellStyle name="Note 3 5 2 4_Sheet1" xfId="42324"/>
    <cellStyle name="Note 3 5 2 5" xfId="42325"/>
    <cellStyle name="Note 3 5 2_Sheet1" xfId="42326"/>
    <cellStyle name="Note 3 5 20" xfId="42327"/>
    <cellStyle name="Note 3 5 20 2" xfId="42328"/>
    <cellStyle name="Note 3 5 20 2 2" xfId="42329"/>
    <cellStyle name="Note 3 5 20 2_Sheet1" xfId="42330"/>
    <cellStyle name="Note 3 5 20 3" xfId="42331"/>
    <cellStyle name="Note 3 5 20_Sheet1" xfId="42332"/>
    <cellStyle name="Note 3 5 21" xfId="42333"/>
    <cellStyle name="Note 3 5 21 2" xfId="42334"/>
    <cellStyle name="Note 3 5 21 2 2" xfId="42335"/>
    <cellStyle name="Note 3 5 21 2_Sheet1" xfId="42336"/>
    <cellStyle name="Note 3 5 21 3" xfId="42337"/>
    <cellStyle name="Note 3 5 21_Sheet1" xfId="42338"/>
    <cellStyle name="Note 3 5 22" xfId="42339"/>
    <cellStyle name="Note 3 5 3" xfId="42340"/>
    <cellStyle name="Note 3 5 3 2" xfId="42341"/>
    <cellStyle name="Note 3 5 3 2 2" xfId="42342"/>
    <cellStyle name="Note 3 5 3 2 2 2" xfId="42343"/>
    <cellStyle name="Note 3 5 3 2 2_Sheet1" xfId="42344"/>
    <cellStyle name="Note 3 5 3 2 3" xfId="42345"/>
    <cellStyle name="Note 3 5 3 2_Sheet1" xfId="42346"/>
    <cellStyle name="Note 3 5 3 3" xfId="42347"/>
    <cellStyle name="Note 3 5 3 3 2" xfId="42348"/>
    <cellStyle name="Note 3 5 3 3 2 2" xfId="42349"/>
    <cellStyle name="Note 3 5 3 3 2_Sheet1" xfId="42350"/>
    <cellStyle name="Note 3 5 3 3 3" xfId="42351"/>
    <cellStyle name="Note 3 5 3 3_Sheet1" xfId="42352"/>
    <cellStyle name="Note 3 5 3 4" xfId="42353"/>
    <cellStyle name="Note 3 5 3 4 2" xfId="42354"/>
    <cellStyle name="Note 3 5 3 4 2 2" xfId="42355"/>
    <cellStyle name="Note 3 5 3 4 2_Sheet1" xfId="42356"/>
    <cellStyle name="Note 3 5 3 4 3" xfId="42357"/>
    <cellStyle name="Note 3 5 3 4_Sheet1" xfId="42358"/>
    <cellStyle name="Note 3 5 3 5" xfId="42359"/>
    <cellStyle name="Note 3 5 3_Sheet1" xfId="42360"/>
    <cellStyle name="Note 3 5 4" xfId="42361"/>
    <cellStyle name="Note 3 5 4 2" xfId="42362"/>
    <cellStyle name="Note 3 5 4 2 2" xfId="42363"/>
    <cellStyle name="Note 3 5 4 2 2 2" xfId="42364"/>
    <cellStyle name="Note 3 5 4 2 2_Sheet1" xfId="42365"/>
    <cellStyle name="Note 3 5 4 2 3" xfId="42366"/>
    <cellStyle name="Note 3 5 4 2_Sheet1" xfId="42367"/>
    <cellStyle name="Note 3 5 4 3" xfId="42368"/>
    <cellStyle name="Note 3 5 4 3 2" xfId="42369"/>
    <cellStyle name="Note 3 5 4 3 2 2" xfId="42370"/>
    <cellStyle name="Note 3 5 4 3 2_Sheet1" xfId="42371"/>
    <cellStyle name="Note 3 5 4 3 3" xfId="42372"/>
    <cellStyle name="Note 3 5 4 3_Sheet1" xfId="42373"/>
    <cellStyle name="Note 3 5 4 4" xfId="42374"/>
    <cellStyle name="Note 3 5 4 4 2" xfId="42375"/>
    <cellStyle name="Note 3 5 4 4 2 2" xfId="42376"/>
    <cellStyle name="Note 3 5 4 4 2_Sheet1" xfId="42377"/>
    <cellStyle name="Note 3 5 4 4 3" xfId="42378"/>
    <cellStyle name="Note 3 5 4 4_Sheet1" xfId="42379"/>
    <cellStyle name="Note 3 5 4 5" xfId="42380"/>
    <cellStyle name="Note 3 5 4_Sheet1" xfId="42381"/>
    <cellStyle name="Note 3 5 5" xfId="42382"/>
    <cellStyle name="Note 3 5 5 2" xfId="42383"/>
    <cellStyle name="Note 3 5 5 2 2" xfId="42384"/>
    <cellStyle name="Note 3 5 5 2 2 2" xfId="42385"/>
    <cellStyle name="Note 3 5 5 2 2_Sheet1" xfId="42386"/>
    <cellStyle name="Note 3 5 5 2 3" xfId="42387"/>
    <cellStyle name="Note 3 5 5 2_Sheet1" xfId="42388"/>
    <cellStyle name="Note 3 5 5 3" xfId="42389"/>
    <cellStyle name="Note 3 5 5 3 2" xfId="42390"/>
    <cellStyle name="Note 3 5 5 3 2 2" xfId="42391"/>
    <cellStyle name="Note 3 5 5 3 2_Sheet1" xfId="42392"/>
    <cellStyle name="Note 3 5 5 3 3" xfId="42393"/>
    <cellStyle name="Note 3 5 5 3_Sheet1" xfId="42394"/>
    <cellStyle name="Note 3 5 5 4" xfId="42395"/>
    <cellStyle name="Note 3 5 5 4 2" xfId="42396"/>
    <cellStyle name="Note 3 5 5 4 2 2" xfId="42397"/>
    <cellStyle name="Note 3 5 5 4 2_Sheet1" xfId="42398"/>
    <cellStyle name="Note 3 5 5 4 3" xfId="42399"/>
    <cellStyle name="Note 3 5 5 4_Sheet1" xfId="42400"/>
    <cellStyle name="Note 3 5 5 5" xfId="42401"/>
    <cellStyle name="Note 3 5 5_Sheet1" xfId="42402"/>
    <cellStyle name="Note 3 5 6" xfId="42403"/>
    <cellStyle name="Note 3 5 6 2" xfId="42404"/>
    <cellStyle name="Note 3 5 6 2 2" xfId="42405"/>
    <cellStyle name="Note 3 5 6 2 2 2" xfId="42406"/>
    <cellStyle name="Note 3 5 6 2 2_Sheet1" xfId="42407"/>
    <cellStyle name="Note 3 5 6 2 3" xfId="42408"/>
    <cellStyle name="Note 3 5 6 2_Sheet1" xfId="42409"/>
    <cellStyle name="Note 3 5 6 3" xfId="42410"/>
    <cellStyle name="Note 3 5 6 3 2" xfId="42411"/>
    <cellStyle name="Note 3 5 6 3 2 2" xfId="42412"/>
    <cellStyle name="Note 3 5 6 3 2_Sheet1" xfId="42413"/>
    <cellStyle name="Note 3 5 6 3 3" xfId="42414"/>
    <cellStyle name="Note 3 5 6 3_Sheet1" xfId="42415"/>
    <cellStyle name="Note 3 5 6 4" xfId="42416"/>
    <cellStyle name="Note 3 5 6 4 2" xfId="42417"/>
    <cellStyle name="Note 3 5 6 4 2 2" xfId="42418"/>
    <cellStyle name="Note 3 5 6 4 2_Sheet1" xfId="42419"/>
    <cellStyle name="Note 3 5 6 4 3" xfId="42420"/>
    <cellStyle name="Note 3 5 6 4_Sheet1" xfId="42421"/>
    <cellStyle name="Note 3 5 6 5" xfId="42422"/>
    <cellStyle name="Note 3 5 6_Sheet1" xfId="42423"/>
    <cellStyle name="Note 3 5 7" xfId="42424"/>
    <cellStyle name="Note 3 5 7 2" xfId="42425"/>
    <cellStyle name="Note 3 5 7 2 2" xfId="42426"/>
    <cellStyle name="Note 3 5 7 2 2 2" xfId="42427"/>
    <cellStyle name="Note 3 5 7 2 2_Sheet1" xfId="42428"/>
    <cellStyle name="Note 3 5 7 2 3" xfId="42429"/>
    <cellStyle name="Note 3 5 7 2_Sheet1" xfId="42430"/>
    <cellStyle name="Note 3 5 7 3" xfId="42431"/>
    <cellStyle name="Note 3 5 7 3 2" xfId="42432"/>
    <cellStyle name="Note 3 5 7 3 2 2" xfId="42433"/>
    <cellStyle name="Note 3 5 7 3 2_Sheet1" xfId="42434"/>
    <cellStyle name="Note 3 5 7 3 3" xfId="42435"/>
    <cellStyle name="Note 3 5 7 3_Sheet1" xfId="42436"/>
    <cellStyle name="Note 3 5 7 4" xfId="42437"/>
    <cellStyle name="Note 3 5 7 4 2" xfId="42438"/>
    <cellStyle name="Note 3 5 7 4 2 2" xfId="42439"/>
    <cellStyle name="Note 3 5 7 4 2_Sheet1" xfId="42440"/>
    <cellStyle name="Note 3 5 7 4 3" xfId="42441"/>
    <cellStyle name="Note 3 5 7 4_Sheet1" xfId="42442"/>
    <cellStyle name="Note 3 5 7 5" xfId="42443"/>
    <cellStyle name="Note 3 5 7_Sheet1" xfId="42444"/>
    <cellStyle name="Note 3 5 8" xfId="42445"/>
    <cellStyle name="Note 3 5 8 2" xfId="42446"/>
    <cellStyle name="Note 3 5 8 2 2" xfId="42447"/>
    <cellStyle name="Note 3 5 8 2 2 2" xfId="42448"/>
    <cellStyle name="Note 3 5 8 2 2_Sheet1" xfId="42449"/>
    <cellStyle name="Note 3 5 8 2 3" xfId="42450"/>
    <cellStyle name="Note 3 5 8 2_Sheet1" xfId="42451"/>
    <cellStyle name="Note 3 5 8 3" xfId="42452"/>
    <cellStyle name="Note 3 5 8 3 2" xfId="42453"/>
    <cellStyle name="Note 3 5 8 3 2 2" xfId="42454"/>
    <cellStyle name="Note 3 5 8 3 2_Sheet1" xfId="42455"/>
    <cellStyle name="Note 3 5 8 3 3" xfId="42456"/>
    <cellStyle name="Note 3 5 8 3_Sheet1" xfId="42457"/>
    <cellStyle name="Note 3 5 8 4" xfId="42458"/>
    <cellStyle name="Note 3 5 8 4 2" xfId="42459"/>
    <cellStyle name="Note 3 5 8 4 2 2" xfId="42460"/>
    <cellStyle name="Note 3 5 8 4 2_Sheet1" xfId="42461"/>
    <cellStyle name="Note 3 5 8 4 3" xfId="42462"/>
    <cellStyle name="Note 3 5 8 4_Sheet1" xfId="42463"/>
    <cellStyle name="Note 3 5 8 5" xfId="42464"/>
    <cellStyle name="Note 3 5 8_Sheet1" xfId="42465"/>
    <cellStyle name="Note 3 5 9" xfId="42466"/>
    <cellStyle name="Note 3 5 9 2" xfId="42467"/>
    <cellStyle name="Note 3 5 9 2 2" xfId="42468"/>
    <cellStyle name="Note 3 5 9 2 2 2" xfId="42469"/>
    <cellStyle name="Note 3 5 9 2 2_Sheet1" xfId="42470"/>
    <cellStyle name="Note 3 5 9 2 3" xfId="42471"/>
    <cellStyle name="Note 3 5 9 2_Sheet1" xfId="42472"/>
    <cellStyle name="Note 3 5 9 3" xfId="42473"/>
    <cellStyle name="Note 3 5 9 3 2" xfId="42474"/>
    <cellStyle name="Note 3 5 9 3 2 2" xfId="42475"/>
    <cellStyle name="Note 3 5 9 3 2_Sheet1" xfId="42476"/>
    <cellStyle name="Note 3 5 9 3 3" xfId="42477"/>
    <cellStyle name="Note 3 5 9 3_Sheet1" xfId="42478"/>
    <cellStyle name="Note 3 5 9 4" xfId="42479"/>
    <cellStyle name="Note 3 5 9 4 2" xfId="42480"/>
    <cellStyle name="Note 3 5 9 4 2 2" xfId="42481"/>
    <cellStyle name="Note 3 5 9 4 2_Sheet1" xfId="42482"/>
    <cellStyle name="Note 3 5 9 4 3" xfId="42483"/>
    <cellStyle name="Note 3 5 9 4_Sheet1" xfId="42484"/>
    <cellStyle name="Note 3 5 9 5" xfId="42485"/>
    <cellStyle name="Note 3 5 9_Sheet1" xfId="42486"/>
    <cellStyle name="Note 3 5_Sheet1" xfId="42487"/>
    <cellStyle name="Note 3 6" xfId="42488"/>
    <cellStyle name="Note 3 6 2" xfId="42489"/>
    <cellStyle name="Note 3 6 2 2" xfId="42490"/>
    <cellStyle name="Note 3 6 2 2 2" xfId="42491"/>
    <cellStyle name="Note 3 6 2 2_Sheet1" xfId="42492"/>
    <cellStyle name="Note 3 6 2 3" xfId="42493"/>
    <cellStyle name="Note 3 6 2_Sheet1" xfId="42494"/>
    <cellStyle name="Note 3 6 3" xfId="42495"/>
    <cellStyle name="Note 3 6 3 2" xfId="42496"/>
    <cellStyle name="Note 3 6 3 2 2" xfId="42497"/>
    <cellStyle name="Note 3 6 3 2_Sheet1" xfId="42498"/>
    <cellStyle name="Note 3 6 3 3" xfId="42499"/>
    <cellStyle name="Note 3 6 3_Sheet1" xfId="42500"/>
    <cellStyle name="Note 3 6 4" xfId="42501"/>
    <cellStyle name="Note 3 6 4 2" xfId="42502"/>
    <cellStyle name="Note 3 6 4 2 2" xfId="42503"/>
    <cellStyle name="Note 3 6 4 2_Sheet1" xfId="42504"/>
    <cellStyle name="Note 3 6 4 3" xfId="42505"/>
    <cellStyle name="Note 3 6 4_Sheet1" xfId="42506"/>
    <cellStyle name="Note 3 6 5" xfId="42507"/>
    <cellStyle name="Note 3 6_Sheet1" xfId="42508"/>
    <cellStyle name="Note 3 7" xfId="42509"/>
    <cellStyle name="Note 3 7 2" xfId="42510"/>
    <cellStyle name="Note 3 7 2 2" xfId="42511"/>
    <cellStyle name="Note 3 7 2 2 2" xfId="42512"/>
    <cellStyle name="Note 3 7 2 2_Sheet1" xfId="42513"/>
    <cellStyle name="Note 3 7 2 3" xfId="42514"/>
    <cellStyle name="Note 3 7 2_Sheet1" xfId="42515"/>
    <cellStyle name="Note 3 7 3" xfId="42516"/>
    <cellStyle name="Note 3 7 3 2" xfId="42517"/>
    <cellStyle name="Note 3 7 3 2 2" xfId="42518"/>
    <cellStyle name="Note 3 7 3 2_Sheet1" xfId="42519"/>
    <cellStyle name="Note 3 7 3 3" xfId="42520"/>
    <cellStyle name="Note 3 7 3_Sheet1" xfId="42521"/>
    <cellStyle name="Note 3 7 4" xfId="42522"/>
    <cellStyle name="Note 3 7 4 2" xfId="42523"/>
    <cellStyle name="Note 3 7 4 2 2" xfId="42524"/>
    <cellStyle name="Note 3 7 4 2_Sheet1" xfId="42525"/>
    <cellStyle name="Note 3 7 4 3" xfId="42526"/>
    <cellStyle name="Note 3 7 4_Sheet1" xfId="42527"/>
    <cellStyle name="Note 3 7 5" xfId="42528"/>
    <cellStyle name="Note 3 7_Sheet1" xfId="42529"/>
    <cellStyle name="Note 3 8" xfId="42530"/>
    <cellStyle name="Note 3 8 2" xfId="42531"/>
    <cellStyle name="Note 3 8 2 2" xfId="42532"/>
    <cellStyle name="Note 3 8 2 2 2" xfId="42533"/>
    <cellStyle name="Note 3 8 2 2_Sheet1" xfId="42534"/>
    <cellStyle name="Note 3 8 2 3" xfId="42535"/>
    <cellStyle name="Note 3 8 2_Sheet1" xfId="42536"/>
    <cellStyle name="Note 3 8 3" xfId="42537"/>
    <cellStyle name="Note 3 8 3 2" xfId="42538"/>
    <cellStyle name="Note 3 8 3 2 2" xfId="42539"/>
    <cellStyle name="Note 3 8 3 2_Sheet1" xfId="42540"/>
    <cellStyle name="Note 3 8 3 3" xfId="42541"/>
    <cellStyle name="Note 3 8 3_Sheet1" xfId="42542"/>
    <cellStyle name="Note 3 8 4" xfId="42543"/>
    <cellStyle name="Note 3 8 4 2" xfId="42544"/>
    <cellStyle name="Note 3 8 4 2 2" xfId="42545"/>
    <cellStyle name="Note 3 8 4 2_Sheet1" xfId="42546"/>
    <cellStyle name="Note 3 8 4 3" xfId="42547"/>
    <cellStyle name="Note 3 8 4_Sheet1" xfId="42548"/>
    <cellStyle name="Note 3 8 5" xfId="42549"/>
    <cellStyle name="Note 3 8_Sheet1" xfId="42550"/>
    <cellStyle name="Note 3 9" xfId="42551"/>
    <cellStyle name="Note 3 9 2" xfId="42552"/>
    <cellStyle name="Note 3 9 2 2" xfId="42553"/>
    <cellStyle name="Note 3 9 2 2 2" xfId="42554"/>
    <cellStyle name="Note 3 9 2 2_Sheet1" xfId="42555"/>
    <cellStyle name="Note 3 9 2 3" xfId="42556"/>
    <cellStyle name="Note 3 9 2_Sheet1" xfId="42557"/>
    <cellStyle name="Note 3 9 3" xfId="42558"/>
    <cellStyle name="Note 3 9 3 2" xfId="42559"/>
    <cellStyle name="Note 3 9 3 2 2" xfId="42560"/>
    <cellStyle name="Note 3 9 3 2_Sheet1" xfId="42561"/>
    <cellStyle name="Note 3 9 3 3" xfId="42562"/>
    <cellStyle name="Note 3 9 3_Sheet1" xfId="42563"/>
    <cellStyle name="Note 3 9 4" xfId="42564"/>
    <cellStyle name="Note 3 9 4 2" xfId="42565"/>
    <cellStyle name="Note 3 9 4 2 2" xfId="42566"/>
    <cellStyle name="Note 3 9 4 2_Sheet1" xfId="42567"/>
    <cellStyle name="Note 3 9 4 3" xfId="42568"/>
    <cellStyle name="Note 3 9 4_Sheet1" xfId="42569"/>
    <cellStyle name="Note 3 9 5" xfId="42570"/>
    <cellStyle name="Note 3 9_Sheet1" xfId="42571"/>
    <cellStyle name="Note 3_Laporan Aspal Per Bulan 2009" xfId="42572"/>
    <cellStyle name="Note 4" xfId="42573"/>
    <cellStyle name="Note 4 10" xfId="42574"/>
    <cellStyle name="Note 4 10 2" xfId="42575"/>
    <cellStyle name="Note 4 10 2 2" xfId="42576"/>
    <cellStyle name="Note 4 10 2 2 2" xfId="42577"/>
    <cellStyle name="Note 4 10 2 2_Sheet1" xfId="42578"/>
    <cellStyle name="Note 4 10 2 3" xfId="42579"/>
    <cellStyle name="Note 4 10 2_Sheet1" xfId="42580"/>
    <cellStyle name="Note 4 10 3" xfId="42581"/>
    <cellStyle name="Note 4 10 3 2" xfId="42582"/>
    <cellStyle name="Note 4 10 3 2 2" xfId="42583"/>
    <cellStyle name="Note 4 10 3 2_Sheet1" xfId="42584"/>
    <cellStyle name="Note 4 10 3 3" xfId="42585"/>
    <cellStyle name="Note 4 10 3_Sheet1" xfId="42586"/>
    <cellStyle name="Note 4 10 4" xfId="42587"/>
    <cellStyle name="Note 4 10 4 2" xfId="42588"/>
    <cellStyle name="Note 4 10 4 2 2" xfId="42589"/>
    <cellStyle name="Note 4 10 4 2_Sheet1" xfId="42590"/>
    <cellStyle name="Note 4 10 4 3" xfId="42591"/>
    <cellStyle name="Note 4 10 4_Sheet1" xfId="42592"/>
    <cellStyle name="Note 4 10 5" xfId="42593"/>
    <cellStyle name="Note 4 10_Sheet1" xfId="42594"/>
    <cellStyle name="Note 4 11" xfId="42595"/>
    <cellStyle name="Note 4 11 2" xfId="42596"/>
    <cellStyle name="Note 4 11 2 2" xfId="42597"/>
    <cellStyle name="Note 4 11 2 2 2" xfId="42598"/>
    <cellStyle name="Note 4 11 2 2_Sheet1" xfId="42599"/>
    <cellStyle name="Note 4 11 2 3" xfId="42600"/>
    <cellStyle name="Note 4 11 2_Sheet1" xfId="42601"/>
    <cellStyle name="Note 4 11 3" xfId="42602"/>
    <cellStyle name="Note 4 11 3 2" xfId="42603"/>
    <cellStyle name="Note 4 11 3 2 2" xfId="42604"/>
    <cellStyle name="Note 4 11 3 2_Sheet1" xfId="42605"/>
    <cellStyle name="Note 4 11 3 3" xfId="42606"/>
    <cellStyle name="Note 4 11 3_Sheet1" xfId="42607"/>
    <cellStyle name="Note 4 11 4" xfId="42608"/>
    <cellStyle name="Note 4 11 4 2" xfId="42609"/>
    <cellStyle name="Note 4 11 4 2 2" xfId="42610"/>
    <cellStyle name="Note 4 11 4 2_Sheet1" xfId="42611"/>
    <cellStyle name="Note 4 11 4 3" xfId="42612"/>
    <cellStyle name="Note 4 11 4_Sheet1" xfId="42613"/>
    <cellStyle name="Note 4 11 5" xfId="42614"/>
    <cellStyle name="Note 4 11_Sheet1" xfId="42615"/>
    <cellStyle name="Note 4 12" xfId="42616"/>
    <cellStyle name="Note 4 12 2" xfId="42617"/>
    <cellStyle name="Note 4 12 2 2" xfId="42618"/>
    <cellStyle name="Note 4 12 2 2 2" xfId="42619"/>
    <cellStyle name="Note 4 12 2 2_Sheet1" xfId="42620"/>
    <cellStyle name="Note 4 12 2 3" xfId="42621"/>
    <cellStyle name="Note 4 12 2_Sheet1" xfId="42622"/>
    <cellStyle name="Note 4 12 3" xfId="42623"/>
    <cellStyle name="Note 4 12 3 2" xfId="42624"/>
    <cellStyle name="Note 4 12 3 2 2" xfId="42625"/>
    <cellStyle name="Note 4 12 3 2_Sheet1" xfId="42626"/>
    <cellStyle name="Note 4 12 3 3" xfId="42627"/>
    <cellStyle name="Note 4 12 3_Sheet1" xfId="42628"/>
    <cellStyle name="Note 4 12 4" xfId="42629"/>
    <cellStyle name="Note 4 12 4 2" xfId="42630"/>
    <cellStyle name="Note 4 12 4 2 2" xfId="42631"/>
    <cellStyle name="Note 4 12 4 2_Sheet1" xfId="42632"/>
    <cellStyle name="Note 4 12 4 3" xfId="42633"/>
    <cellStyle name="Note 4 12 4_Sheet1" xfId="42634"/>
    <cellStyle name="Note 4 12 5" xfId="42635"/>
    <cellStyle name="Note 4 12_Sheet1" xfId="42636"/>
    <cellStyle name="Note 4 13" xfId="42637"/>
    <cellStyle name="Note 4 13 2" xfId="42638"/>
    <cellStyle name="Note 4 13 2 2" xfId="42639"/>
    <cellStyle name="Note 4 13 2 2 2" xfId="42640"/>
    <cellStyle name="Note 4 13 2 2_Sheet1" xfId="42641"/>
    <cellStyle name="Note 4 13 2 3" xfId="42642"/>
    <cellStyle name="Note 4 13 2_Sheet1" xfId="42643"/>
    <cellStyle name="Note 4 13 3" xfId="42644"/>
    <cellStyle name="Note 4 13 3 2" xfId="42645"/>
    <cellStyle name="Note 4 13 3 2 2" xfId="42646"/>
    <cellStyle name="Note 4 13 3 2_Sheet1" xfId="42647"/>
    <cellStyle name="Note 4 13 3 3" xfId="42648"/>
    <cellStyle name="Note 4 13 3_Sheet1" xfId="42649"/>
    <cellStyle name="Note 4 13 4" xfId="42650"/>
    <cellStyle name="Note 4 13 4 2" xfId="42651"/>
    <cellStyle name="Note 4 13 4 2 2" xfId="42652"/>
    <cellStyle name="Note 4 13 4 2_Sheet1" xfId="42653"/>
    <cellStyle name="Note 4 13 4 3" xfId="42654"/>
    <cellStyle name="Note 4 13 4_Sheet1" xfId="42655"/>
    <cellStyle name="Note 4 13 5" xfId="42656"/>
    <cellStyle name="Note 4 13_Sheet1" xfId="42657"/>
    <cellStyle name="Note 4 14" xfId="42658"/>
    <cellStyle name="Note 4 14 2" xfId="42659"/>
    <cellStyle name="Note 4 14 2 2" xfId="42660"/>
    <cellStyle name="Note 4 14 2 2 2" xfId="42661"/>
    <cellStyle name="Note 4 14 2 2_Sheet1" xfId="42662"/>
    <cellStyle name="Note 4 14 2 3" xfId="42663"/>
    <cellStyle name="Note 4 14 2_Sheet1" xfId="42664"/>
    <cellStyle name="Note 4 14 3" xfId="42665"/>
    <cellStyle name="Note 4 14 3 2" xfId="42666"/>
    <cellStyle name="Note 4 14 3 2 2" xfId="42667"/>
    <cellStyle name="Note 4 14 3 2_Sheet1" xfId="42668"/>
    <cellStyle name="Note 4 14 3 3" xfId="42669"/>
    <cellStyle name="Note 4 14 3_Sheet1" xfId="42670"/>
    <cellStyle name="Note 4 14 4" xfId="42671"/>
    <cellStyle name="Note 4 14 4 2" xfId="42672"/>
    <cellStyle name="Note 4 14 4 2 2" xfId="42673"/>
    <cellStyle name="Note 4 14 4 2_Sheet1" xfId="42674"/>
    <cellStyle name="Note 4 14 4 3" xfId="42675"/>
    <cellStyle name="Note 4 14 4_Sheet1" xfId="42676"/>
    <cellStyle name="Note 4 14 5" xfId="42677"/>
    <cellStyle name="Note 4 14_Sheet1" xfId="42678"/>
    <cellStyle name="Note 4 15" xfId="42679"/>
    <cellStyle name="Note 4 15 2" xfId="42680"/>
    <cellStyle name="Note 4 15 2 2" xfId="42681"/>
    <cellStyle name="Note 4 15 2 2 2" xfId="42682"/>
    <cellStyle name="Note 4 15 2 2_Sheet1" xfId="42683"/>
    <cellStyle name="Note 4 15 2 3" xfId="42684"/>
    <cellStyle name="Note 4 15 2_Sheet1" xfId="42685"/>
    <cellStyle name="Note 4 15 3" xfId="42686"/>
    <cellStyle name="Note 4 15 3 2" xfId="42687"/>
    <cellStyle name="Note 4 15 3 2 2" xfId="42688"/>
    <cellStyle name="Note 4 15 3 2_Sheet1" xfId="42689"/>
    <cellStyle name="Note 4 15 3 3" xfId="42690"/>
    <cellStyle name="Note 4 15 3_Sheet1" xfId="42691"/>
    <cellStyle name="Note 4 15 4" xfId="42692"/>
    <cellStyle name="Note 4 15 4 2" xfId="42693"/>
    <cellStyle name="Note 4 15 4 2 2" xfId="42694"/>
    <cellStyle name="Note 4 15 4 2_Sheet1" xfId="42695"/>
    <cellStyle name="Note 4 15 4 3" xfId="42696"/>
    <cellStyle name="Note 4 15 4_Sheet1" xfId="42697"/>
    <cellStyle name="Note 4 15 5" xfId="42698"/>
    <cellStyle name="Note 4 15_Sheet1" xfId="42699"/>
    <cellStyle name="Note 4 16" xfId="42700"/>
    <cellStyle name="Note 4 16 2" xfId="42701"/>
    <cellStyle name="Note 4 16 2 2" xfId="42702"/>
    <cellStyle name="Note 4 16 2 2 2" xfId="42703"/>
    <cellStyle name="Note 4 16 2 2_Sheet1" xfId="42704"/>
    <cellStyle name="Note 4 16 2 3" xfId="42705"/>
    <cellStyle name="Note 4 16 2_Sheet1" xfId="42706"/>
    <cellStyle name="Note 4 16 3" xfId="42707"/>
    <cellStyle name="Note 4 16 3 2" xfId="42708"/>
    <cellStyle name="Note 4 16 3 2 2" xfId="42709"/>
    <cellStyle name="Note 4 16 3 2_Sheet1" xfId="42710"/>
    <cellStyle name="Note 4 16 3 3" xfId="42711"/>
    <cellStyle name="Note 4 16 3_Sheet1" xfId="42712"/>
    <cellStyle name="Note 4 16 4" xfId="42713"/>
    <cellStyle name="Note 4 16 4 2" xfId="42714"/>
    <cellStyle name="Note 4 16 4 2 2" xfId="42715"/>
    <cellStyle name="Note 4 16 4 2_Sheet1" xfId="42716"/>
    <cellStyle name="Note 4 16 4 3" xfId="42717"/>
    <cellStyle name="Note 4 16 4_Sheet1" xfId="42718"/>
    <cellStyle name="Note 4 16 5" xfId="42719"/>
    <cellStyle name="Note 4 16_Sheet1" xfId="42720"/>
    <cellStyle name="Note 4 17" xfId="42721"/>
    <cellStyle name="Note 4 17 2" xfId="42722"/>
    <cellStyle name="Note 4 17 2 2" xfId="42723"/>
    <cellStyle name="Note 4 17 2 2 2" xfId="42724"/>
    <cellStyle name="Note 4 17 2 2_Sheet1" xfId="42725"/>
    <cellStyle name="Note 4 17 2 3" xfId="42726"/>
    <cellStyle name="Note 4 17 2_Sheet1" xfId="42727"/>
    <cellStyle name="Note 4 17 3" xfId="42728"/>
    <cellStyle name="Note 4 17 3 2" xfId="42729"/>
    <cellStyle name="Note 4 17 3 2 2" xfId="42730"/>
    <cellStyle name="Note 4 17 3 2_Sheet1" xfId="42731"/>
    <cellStyle name="Note 4 17 3 3" xfId="42732"/>
    <cellStyle name="Note 4 17 3_Sheet1" xfId="42733"/>
    <cellStyle name="Note 4 17 4" xfId="42734"/>
    <cellStyle name="Note 4 17 4 2" xfId="42735"/>
    <cellStyle name="Note 4 17 4 2 2" xfId="42736"/>
    <cellStyle name="Note 4 17 4 2_Sheet1" xfId="42737"/>
    <cellStyle name="Note 4 17 4 3" xfId="42738"/>
    <cellStyle name="Note 4 17 4_Sheet1" xfId="42739"/>
    <cellStyle name="Note 4 17 5" xfId="42740"/>
    <cellStyle name="Note 4 17_Sheet1" xfId="42741"/>
    <cellStyle name="Note 4 18" xfId="42742"/>
    <cellStyle name="Note 4 18 2" xfId="42743"/>
    <cellStyle name="Note 4 18 2 2" xfId="42744"/>
    <cellStyle name="Note 4 18 2 2 2" xfId="42745"/>
    <cellStyle name="Note 4 18 2 2_Sheet1" xfId="42746"/>
    <cellStyle name="Note 4 18 2 3" xfId="42747"/>
    <cellStyle name="Note 4 18 2_Sheet1" xfId="42748"/>
    <cellStyle name="Note 4 18 3" xfId="42749"/>
    <cellStyle name="Note 4 18 3 2" xfId="42750"/>
    <cellStyle name="Note 4 18 3 2 2" xfId="42751"/>
    <cellStyle name="Note 4 18 3 2_Sheet1" xfId="42752"/>
    <cellStyle name="Note 4 18 3 3" xfId="42753"/>
    <cellStyle name="Note 4 18 3_Sheet1" xfId="42754"/>
    <cellStyle name="Note 4 18 4" xfId="42755"/>
    <cellStyle name="Note 4 18 4 2" xfId="42756"/>
    <cellStyle name="Note 4 18 4 2 2" xfId="42757"/>
    <cellStyle name="Note 4 18 4 2_Sheet1" xfId="42758"/>
    <cellStyle name="Note 4 18 4 3" xfId="42759"/>
    <cellStyle name="Note 4 18 4_Sheet1" xfId="42760"/>
    <cellStyle name="Note 4 18 5" xfId="42761"/>
    <cellStyle name="Note 4 18_Sheet1" xfId="42762"/>
    <cellStyle name="Note 4 19" xfId="42763"/>
    <cellStyle name="Note 4 19 2" xfId="42764"/>
    <cellStyle name="Note 4 19 2 2" xfId="42765"/>
    <cellStyle name="Note 4 19 2 2 2" xfId="42766"/>
    <cellStyle name="Note 4 19 2 2_Sheet1" xfId="42767"/>
    <cellStyle name="Note 4 19 2 3" xfId="42768"/>
    <cellStyle name="Note 4 19 2_Sheet1" xfId="42769"/>
    <cellStyle name="Note 4 19 3" xfId="42770"/>
    <cellStyle name="Note 4 19 3 2" xfId="42771"/>
    <cellStyle name="Note 4 19 3 2 2" xfId="42772"/>
    <cellStyle name="Note 4 19 3 2_Sheet1" xfId="42773"/>
    <cellStyle name="Note 4 19 3 3" xfId="42774"/>
    <cellStyle name="Note 4 19 3_Sheet1" xfId="42775"/>
    <cellStyle name="Note 4 19 4" xfId="42776"/>
    <cellStyle name="Note 4 19 4 2" xfId="42777"/>
    <cellStyle name="Note 4 19 4 2 2" xfId="42778"/>
    <cellStyle name="Note 4 19 4 2_Sheet1" xfId="42779"/>
    <cellStyle name="Note 4 19 4 3" xfId="42780"/>
    <cellStyle name="Note 4 19 4_Sheet1" xfId="42781"/>
    <cellStyle name="Note 4 19 5" xfId="42782"/>
    <cellStyle name="Note 4 19_Sheet1" xfId="42783"/>
    <cellStyle name="Note 4 2" xfId="42784"/>
    <cellStyle name="Note 4 2 10" xfId="42785"/>
    <cellStyle name="Note 4 2 10 2" xfId="42786"/>
    <cellStyle name="Note 4 2 10 2 2" xfId="42787"/>
    <cellStyle name="Note 4 2 10 2 2 2" xfId="42788"/>
    <cellStyle name="Note 4 2 10 2 2_Sheet1" xfId="42789"/>
    <cellStyle name="Note 4 2 10 2 3" xfId="42790"/>
    <cellStyle name="Note 4 2 10 2_Sheet1" xfId="42791"/>
    <cellStyle name="Note 4 2 10 3" xfId="42792"/>
    <cellStyle name="Note 4 2 10 3 2" xfId="42793"/>
    <cellStyle name="Note 4 2 10 3 2 2" xfId="42794"/>
    <cellStyle name="Note 4 2 10 3 2_Sheet1" xfId="42795"/>
    <cellStyle name="Note 4 2 10 3 3" xfId="42796"/>
    <cellStyle name="Note 4 2 10 3_Sheet1" xfId="42797"/>
    <cellStyle name="Note 4 2 10 4" xfId="42798"/>
    <cellStyle name="Note 4 2 10 4 2" xfId="42799"/>
    <cellStyle name="Note 4 2 10 4 2 2" xfId="42800"/>
    <cellStyle name="Note 4 2 10 4 2_Sheet1" xfId="42801"/>
    <cellStyle name="Note 4 2 10 4 3" xfId="42802"/>
    <cellStyle name="Note 4 2 10 4_Sheet1" xfId="42803"/>
    <cellStyle name="Note 4 2 10 5" xfId="42804"/>
    <cellStyle name="Note 4 2 10_Sheet1" xfId="42805"/>
    <cellStyle name="Note 4 2 11" xfId="42806"/>
    <cellStyle name="Note 4 2 11 2" xfId="42807"/>
    <cellStyle name="Note 4 2 11 2 2" xfId="42808"/>
    <cellStyle name="Note 4 2 11 2 2 2" xfId="42809"/>
    <cellStyle name="Note 4 2 11 2 2_Sheet1" xfId="42810"/>
    <cellStyle name="Note 4 2 11 2 3" xfId="42811"/>
    <cellStyle name="Note 4 2 11 2_Sheet1" xfId="42812"/>
    <cellStyle name="Note 4 2 11 3" xfId="42813"/>
    <cellStyle name="Note 4 2 11 3 2" xfId="42814"/>
    <cellStyle name="Note 4 2 11 3 2 2" xfId="42815"/>
    <cellStyle name="Note 4 2 11 3 2_Sheet1" xfId="42816"/>
    <cellStyle name="Note 4 2 11 3 3" xfId="42817"/>
    <cellStyle name="Note 4 2 11 3_Sheet1" xfId="42818"/>
    <cellStyle name="Note 4 2 11 4" xfId="42819"/>
    <cellStyle name="Note 4 2 11 4 2" xfId="42820"/>
    <cellStyle name="Note 4 2 11 4 2 2" xfId="42821"/>
    <cellStyle name="Note 4 2 11 4 2_Sheet1" xfId="42822"/>
    <cellStyle name="Note 4 2 11 4 3" xfId="42823"/>
    <cellStyle name="Note 4 2 11 4_Sheet1" xfId="42824"/>
    <cellStyle name="Note 4 2 11 5" xfId="42825"/>
    <cellStyle name="Note 4 2 11_Sheet1" xfId="42826"/>
    <cellStyle name="Note 4 2 12" xfId="42827"/>
    <cellStyle name="Note 4 2 12 2" xfId="42828"/>
    <cellStyle name="Note 4 2 12 2 2" xfId="42829"/>
    <cellStyle name="Note 4 2 12 2 2 2" xfId="42830"/>
    <cellStyle name="Note 4 2 12 2 2_Sheet1" xfId="42831"/>
    <cellStyle name="Note 4 2 12 2 3" xfId="42832"/>
    <cellStyle name="Note 4 2 12 2_Sheet1" xfId="42833"/>
    <cellStyle name="Note 4 2 12 3" xfId="42834"/>
    <cellStyle name="Note 4 2 12 3 2" xfId="42835"/>
    <cellStyle name="Note 4 2 12 3 2 2" xfId="42836"/>
    <cellStyle name="Note 4 2 12 3 2_Sheet1" xfId="42837"/>
    <cellStyle name="Note 4 2 12 3 3" xfId="42838"/>
    <cellStyle name="Note 4 2 12 3_Sheet1" xfId="42839"/>
    <cellStyle name="Note 4 2 12 4" xfId="42840"/>
    <cellStyle name="Note 4 2 12 4 2" xfId="42841"/>
    <cellStyle name="Note 4 2 12 4 2 2" xfId="42842"/>
    <cellStyle name="Note 4 2 12 4 2_Sheet1" xfId="42843"/>
    <cellStyle name="Note 4 2 12 4 3" xfId="42844"/>
    <cellStyle name="Note 4 2 12 4_Sheet1" xfId="42845"/>
    <cellStyle name="Note 4 2 12 5" xfId="42846"/>
    <cellStyle name="Note 4 2 12_Sheet1" xfId="42847"/>
    <cellStyle name="Note 4 2 13" xfId="42848"/>
    <cellStyle name="Note 4 2 13 2" xfId="42849"/>
    <cellStyle name="Note 4 2 13 2 2" xfId="42850"/>
    <cellStyle name="Note 4 2 13 2 2 2" xfId="42851"/>
    <cellStyle name="Note 4 2 13 2 2_Sheet1" xfId="42852"/>
    <cellStyle name="Note 4 2 13 2 3" xfId="42853"/>
    <cellStyle name="Note 4 2 13 2_Sheet1" xfId="42854"/>
    <cellStyle name="Note 4 2 13 3" xfId="42855"/>
    <cellStyle name="Note 4 2 13 3 2" xfId="42856"/>
    <cellStyle name="Note 4 2 13 3 2 2" xfId="42857"/>
    <cellStyle name="Note 4 2 13 3 2_Sheet1" xfId="42858"/>
    <cellStyle name="Note 4 2 13 3 3" xfId="42859"/>
    <cellStyle name="Note 4 2 13 3_Sheet1" xfId="42860"/>
    <cellStyle name="Note 4 2 13 4" xfId="42861"/>
    <cellStyle name="Note 4 2 13 4 2" xfId="42862"/>
    <cellStyle name="Note 4 2 13 4 2 2" xfId="42863"/>
    <cellStyle name="Note 4 2 13 4 2_Sheet1" xfId="42864"/>
    <cellStyle name="Note 4 2 13 4 3" xfId="42865"/>
    <cellStyle name="Note 4 2 13 4_Sheet1" xfId="42866"/>
    <cellStyle name="Note 4 2 13 5" xfId="42867"/>
    <cellStyle name="Note 4 2 13_Sheet1" xfId="42868"/>
    <cellStyle name="Note 4 2 14" xfId="42869"/>
    <cellStyle name="Note 4 2 14 2" xfId="42870"/>
    <cellStyle name="Note 4 2 14 2 2" xfId="42871"/>
    <cellStyle name="Note 4 2 14 2 2 2" xfId="42872"/>
    <cellStyle name="Note 4 2 14 2 2_Sheet1" xfId="42873"/>
    <cellStyle name="Note 4 2 14 2 3" xfId="42874"/>
    <cellStyle name="Note 4 2 14 2_Sheet1" xfId="42875"/>
    <cellStyle name="Note 4 2 14 3" xfId="42876"/>
    <cellStyle name="Note 4 2 14 3 2" xfId="42877"/>
    <cellStyle name="Note 4 2 14 3 2 2" xfId="42878"/>
    <cellStyle name="Note 4 2 14 3 2_Sheet1" xfId="42879"/>
    <cellStyle name="Note 4 2 14 3 3" xfId="42880"/>
    <cellStyle name="Note 4 2 14 3_Sheet1" xfId="42881"/>
    <cellStyle name="Note 4 2 14 4" xfId="42882"/>
    <cellStyle name="Note 4 2 14 4 2" xfId="42883"/>
    <cellStyle name="Note 4 2 14 4 2 2" xfId="42884"/>
    <cellStyle name="Note 4 2 14 4 2_Sheet1" xfId="42885"/>
    <cellStyle name="Note 4 2 14 4 3" xfId="42886"/>
    <cellStyle name="Note 4 2 14 4_Sheet1" xfId="42887"/>
    <cellStyle name="Note 4 2 14 5" xfId="42888"/>
    <cellStyle name="Note 4 2 14_Sheet1" xfId="42889"/>
    <cellStyle name="Note 4 2 15" xfId="42890"/>
    <cellStyle name="Note 4 2 15 2" xfId="42891"/>
    <cellStyle name="Note 4 2 15 2 2" xfId="42892"/>
    <cellStyle name="Note 4 2 15 2 2 2" xfId="42893"/>
    <cellStyle name="Note 4 2 15 2 2_Sheet1" xfId="42894"/>
    <cellStyle name="Note 4 2 15 2 3" xfId="42895"/>
    <cellStyle name="Note 4 2 15 2_Sheet1" xfId="42896"/>
    <cellStyle name="Note 4 2 15 3" xfId="42897"/>
    <cellStyle name="Note 4 2 15 3 2" xfId="42898"/>
    <cellStyle name="Note 4 2 15 3 2 2" xfId="42899"/>
    <cellStyle name="Note 4 2 15 3 2_Sheet1" xfId="42900"/>
    <cellStyle name="Note 4 2 15 3 3" xfId="42901"/>
    <cellStyle name="Note 4 2 15 3_Sheet1" xfId="42902"/>
    <cellStyle name="Note 4 2 15 4" xfId="42903"/>
    <cellStyle name="Note 4 2 15 4 2" xfId="42904"/>
    <cellStyle name="Note 4 2 15 4 2 2" xfId="42905"/>
    <cellStyle name="Note 4 2 15 4 2_Sheet1" xfId="42906"/>
    <cellStyle name="Note 4 2 15 4 3" xfId="42907"/>
    <cellStyle name="Note 4 2 15 4_Sheet1" xfId="42908"/>
    <cellStyle name="Note 4 2 15 5" xfId="42909"/>
    <cellStyle name="Note 4 2 15_Sheet1" xfId="42910"/>
    <cellStyle name="Note 4 2 16" xfId="42911"/>
    <cellStyle name="Note 4 2 16 2" xfId="42912"/>
    <cellStyle name="Note 4 2 16 2 2" xfId="42913"/>
    <cellStyle name="Note 4 2 16 2 2 2" xfId="42914"/>
    <cellStyle name="Note 4 2 16 2 2_Sheet1" xfId="42915"/>
    <cellStyle name="Note 4 2 16 2 3" xfId="42916"/>
    <cellStyle name="Note 4 2 16 2_Sheet1" xfId="42917"/>
    <cellStyle name="Note 4 2 16 3" xfId="42918"/>
    <cellStyle name="Note 4 2 16 3 2" xfId="42919"/>
    <cellStyle name="Note 4 2 16 3 2 2" xfId="42920"/>
    <cellStyle name="Note 4 2 16 3 2_Sheet1" xfId="42921"/>
    <cellStyle name="Note 4 2 16 3 3" xfId="42922"/>
    <cellStyle name="Note 4 2 16 3_Sheet1" xfId="42923"/>
    <cellStyle name="Note 4 2 16 4" xfId="42924"/>
    <cellStyle name="Note 4 2 16 4 2" xfId="42925"/>
    <cellStyle name="Note 4 2 16 4 2 2" xfId="42926"/>
    <cellStyle name="Note 4 2 16 4 2_Sheet1" xfId="42927"/>
    <cellStyle name="Note 4 2 16 4 3" xfId="42928"/>
    <cellStyle name="Note 4 2 16 4_Sheet1" xfId="42929"/>
    <cellStyle name="Note 4 2 16 5" xfId="42930"/>
    <cellStyle name="Note 4 2 16_Sheet1" xfId="42931"/>
    <cellStyle name="Note 4 2 17" xfId="42932"/>
    <cellStyle name="Note 4 2 17 2" xfId="42933"/>
    <cellStyle name="Note 4 2 17 2 2" xfId="42934"/>
    <cellStyle name="Note 4 2 17 2 2 2" xfId="42935"/>
    <cellStyle name="Note 4 2 17 2 2_Sheet1" xfId="42936"/>
    <cellStyle name="Note 4 2 17 2 3" xfId="42937"/>
    <cellStyle name="Note 4 2 17 2_Sheet1" xfId="42938"/>
    <cellStyle name="Note 4 2 17 3" xfId="42939"/>
    <cellStyle name="Note 4 2 17 3 2" xfId="42940"/>
    <cellStyle name="Note 4 2 17 3 2 2" xfId="42941"/>
    <cellStyle name="Note 4 2 17 3 2_Sheet1" xfId="42942"/>
    <cellStyle name="Note 4 2 17 3 3" xfId="42943"/>
    <cellStyle name="Note 4 2 17 3_Sheet1" xfId="42944"/>
    <cellStyle name="Note 4 2 17 4" xfId="42945"/>
    <cellStyle name="Note 4 2 17 4 2" xfId="42946"/>
    <cellStyle name="Note 4 2 17 4 2 2" xfId="42947"/>
    <cellStyle name="Note 4 2 17 4 2_Sheet1" xfId="42948"/>
    <cellStyle name="Note 4 2 17 4 3" xfId="42949"/>
    <cellStyle name="Note 4 2 17 4_Sheet1" xfId="42950"/>
    <cellStyle name="Note 4 2 17 5" xfId="42951"/>
    <cellStyle name="Note 4 2 17_Sheet1" xfId="42952"/>
    <cellStyle name="Note 4 2 18" xfId="42953"/>
    <cellStyle name="Note 4 2 18 2" xfId="42954"/>
    <cellStyle name="Note 4 2 18 2 2" xfId="42955"/>
    <cellStyle name="Note 4 2 18 2 2 2" xfId="42956"/>
    <cellStyle name="Note 4 2 18 2 2_Sheet1" xfId="42957"/>
    <cellStyle name="Note 4 2 18 2 3" xfId="42958"/>
    <cellStyle name="Note 4 2 18 2_Sheet1" xfId="42959"/>
    <cellStyle name="Note 4 2 18 3" xfId="42960"/>
    <cellStyle name="Note 4 2 18 3 2" xfId="42961"/>
    <cellStyle name="Note 4 2 18 3 2 2" xfId="42962"/>
    <cellStyle name="Note 4 2 18 3 2_Sheet1" xfId="42963"/>
    <cellStyle name="Note 4 2 18 3 3" xfId="42964"/>
    <cellStyle name="Note 4 2 18 3_Sheet1" xfId="42965"/>
    <cellStyle name="Note 4 2 18 4" xfId="42966"/>
    <cellStyle name="Note 4 2 18 4 2" xfId="42967"/>
    <cellStyle name="Note 4 2 18 4 2 2" xfId="42968"/>
    <cellStyle name="Note 4 2 18 4 2_Sheet1" xfId="42969"/>
    <cellStyle name="Note 4 2 18 4 3" xfId="42970"/>
    <cellStyle name="Note 4 2 18 4_Sheet1" xfId="42971"/>
    <cellStyle name="Note 4 2 18 5" xfId="42972"/>
    <cellStyle name="Note 4 2 18_Sheet1" xfId="42973"/>
    <cellStyle name="Note 4 2 19" xfId="42974"/>
    <cellStyle name="Note 4 2 19 2" xfId="42975"/>
    <cellStyle name="Note 4 2 19 2 2" xfId="42976"/>
    <cellStyle name="Note 4 2 19 2_Sheet1" xfId="42977"/>
    <cellStyle name="Note 4 2 19 3" xfId="42978"/>
    <cellStyle name="Note 4 2 19_Sheet1" xfId="42979"/>
    <cellStyle name="Note 4 2 2" xfId="42980"/>
    <cellStyle name="Note 4 2 2 2" xfId="42981"/>
    <cellStyle name="Note 4 2 2 2 2" xfId="42982"/>
    <cellStyle name="Note 4 2 2 2 2 2" xfId="42983"/>
    <cellStyle name="Note 4 2 2 2 2_Sheet1" xfId="42984"/>
    <cellStyle name="Note 4 2 2 2 3" xfId="42985"/>
    <cellStyle name="Note 4 2 2 2_Sheet1" xfId="42986"/>
    <cellStyle name="Note 4 2 2 3" xfId="42987"/>
    <cellStyle name="Note 4 2 2 3 2" xfId="42988"/>
    <cellStyle name="Note 4 2 2 3 2 2" xfId="42989"/>
    <cellStyle name="Note 4 2 2 3 2_Sheet1" xfId="42990"/>
    <cellStyle name="Note 4 2 2 3 3" xfId="42991"/>
    <cellStyle name="Note 4 2 2 3_Sheet1" xfId="42992"/>
    <cellStyle name="Note 4 2 2 4" xfId="42993"/>
    <cellStyle name="Note 4 2 2 4 2" xfId="42994"/>
    <cellStyle name="Note 4 2 2 4 2 2" xfId="42995"/>
    <cellStyle name="Note 4 2 2 4 2_Sheet1" xfId="42996"/>
    <cellStyle name="Note 4 2 2 4 3" xfId="42997"/>
    <cellStyle name="Note 4 2 2 4_Sheet1" xfId="42998"/>
    <cellStyle name="Note 4 2 2 5" xfId="42999"/>
    <cellStyle name="Note 4 2 2_Sheet1" xfId="43000"/>
    <cellStyle name="Note 4 2 20" xfId="43001"/>
    <cellStyle name="Note 4 2 20 2" xfId="43002"/>
    <cellStyle name="Note 4 2 20 2 2" xfId="43003"/>
    <cellStyle name="Note 4 2 20 2_Sheet1" xfId="43004"/>
    <cellStyle name="Note 4 2 20 3" xfId="43005"/>
    <cellStyle name="Note 4 2 20_Sheet1" xfId="43006"/>
    <cellStyle name="Note 4 2 21" xfId="43007"/>
    <cellStyle name="Note 4 2 21 2" xfId="43008"/>
    <cellStyle name="Note 4 2 21 2 2" xfId="43009"/>
    <cellStyle name="Note 4 2 21 2_Sheet1" xfId="43010"/>
    <cellStyle name="Note 4 2 21 3" xfId="43011"/>
    <cellStyle name="Note 4 2 21_Sheet1" xfId="43012"/>
    <cellStyle name="Note 4 2 22" xfId="43013"/>
    <cellStyle name="Note 4 2 3" xfId="43014"/>
    <cellStyle name="Note 4 2 3 2" xfId="43015"/>
    <cellStyle name="Note 4 2 3 2 2" xfId="43016"/>
    <cellStyle name="Note 4 2 3 2 2 2" xfId="43017"/>
    <cellStyle name="Note 4 2 3 2 2_Sheet1" xfId="43018"/>
    <cellStyle name="Note 4 2 3 2 3" xfId="43019"/>
    <cellStyle name="Note 4 2 3 2_Sheet1" xfId="43020"/>
    <cellStyle name="Note 4 2 3 3" xfId="43021"/>
    <cellStyle name="Note 4 2 3 3 2" xfId="43022"/>
    <cellStyle name="Note 4 2 3 3 2 2" xfId="43023"/>
    <cellStyle name="Note 4 2 3 3 2_Sheet1" xfId="43024"/>
    <cellStyle name="Note 4 2 3 3 3" xfId="43025"/>
    <cellStyle name="Note 4 2 3 3_Sheet1" xfId="43026"/>
    <cellStyle name="Note 4 2 3 4" xfId="43027"/>
    <cellStyle name="Note 4 2 3 4 2" xfId="43028"/>
    <cellStyle name="Note 4 2 3 4 2 2" xfId="43029"/>
    <cellStyle name="Note 4 2 3 4 2_Sheet1" xfId="43030"/>
    <cellStyle name="Note 4 2 3 4 3" xfId="43031"/>
    <cellStyle name="Note 4 2 3 4_Sheet1" xfId="43032"/>
    <cellStyle name="Note 4 2 3 5" xfId="43033"/>
    <cellStyle name="Note 4 2 3_Sheet1" xfId="43034"/>
    <cellStyle name="Note 4 2 4" xfId="43035"/>
    <cellStyle name="Note 4 2 4 2" xfId="43036"/>
    <cellStyle name="Note 4 2 4 2 2" xfId="43037"/>
    <cellStyle name="Note 4 2 4 2 2 2" xfId="43038"/>
    <cellStyle name="Note 4 2 4 2 2_Sheet1" xfId="43039"/>
    <cellStyle name="Note 4 2 4 2 3" xfId="43040"/>
    <cellStyle name="Note 4 2 4 2_Sheet1" xfId="43041"/>
    <cellStyle name="Note 4 2 4 3" xfId="43042"/>
    <cellStyle name="Note 4 2 4 3 2" xfId="43043"/>
    <cellStyle name="Note 4 2 4 3 2 2" xfId="43044"/>
    <cellStyle name="Note 4 2 4 3 2_Sheet1" xfId="43045"/>
    <cellStyle name="Note 4 2 4 3 3" xfId="43046"/>
    <cellStyle name="Note 4 2 4 3_Sheet1" xfId="43047"/>
    <cellStyle name="Note 4 2 4 4" xfId="43048"/>
    <cellStyle name="Note 4 2 4 4 2" xfId="43049"/>
    <cellStyle name="Note 4 2 4 4 2 2" xfId="43050"/>
    <cellStyle name="Note 4 2 4 4 2_Sheet1" xfId="43051"/>
    <cellStyle name="Note 4 2 4 4 3" xfId="43052"/>
    <cellStyle name="Note 4 2 4 4_Sheet1" xfId="43053"/>
    <cellStyle name="Note 4 2 4 5" xfId="43054"/>
    <cellStyle name="Note 4 2 4_Sheet1" xfId="43055"/>
    <cellStyle name="Note 4 2 5" xfId="43056"/>
    <cellStyle name="Note 4 2 5 2" xfId="43057"/>
    <cellStyle name="Note 4 2 5 2 2" xfId="43058"/>
    <cellStyle name="Note 4 2 5 2 2 2" xfId="43059"/>
    <cellStyle name="Note 4 2 5 2 2_Sheet1" xfId="43060"/>
    <cellStyle name="Note 4 2 5 2 3" xfId="43061"/>
    <cellStyle name="Note 4 2 5 2_Sheet1" xfId="43062"/>
    <cellStyle name="Note 4 2 5 3" xfId="43063"/>
    <cellStyle name="Note 4 2 5 3 2" xfId="43064"/>
    <cellStyle name="Note 4 2 5 3 2 2" xfId="43065"/>
    <cellStyle name="Note 4 2 5 3 2_Sheet1" xfId="43066"/>
    <cellStyle name="Note 4 2 5 3 3" xfId="43067"/>
    <cellStyle name="Note 4 2 5 3_Sheet1" xfId="43068"/>
    <cellStyle name="Note 4 2 5 4" xfId="43069"/>
    <cellStyle name="Note 4 2 5 4 2" xfId="43070"/>
    <cellStyle name="Note 4 2 5 4 2 2" xfId="43071"/>
    <cellStyle name="Note 4 2 5 4 2_Sheet1" xfId="43072"/>
    <cellStyle name="Note 4 2 5 4 3" xfId="43073"/>
    <cellStyle name="Note 4 2 5 4_Sheet1" xfId="43074"/>
    <cellStyle name="Note 4 2 5 5" xfId="43075"/>
    <cellStyle name="Note 4 2 5_Sheet1" xfId="43076"/>
    <cellStyle name="Note 4 2 6" xfId="43077"/>
    <cellStyle name="Note 4 2 6 2" xfId="43078"/>
    <cellStyle name="Note 4 2 6 2 2" xfId="43079"/>
    <cellStyle name="Note 4 2 6 2 2 2" xfId="43080"/>
    <cellStyle name="Note 4 2 6 2 2_Sheet1" xfId="43081"/>
    <cellStyle name="Note 4 2 6 2 3" xfId="43082"/>
    <cellStyle name="Note 4 2 6 2_Sheet1" xfId="43083"/>
    <cellStyle name="Note 4 2 6 3" xfId="43084"/>
    <cellStyle name="Note 4 2 6 3 2" xfId="43085"/>
    <cellStyle name="Note 4 2 6 3 2 2" xfId="43086"/>
    <cellStyle name="Note 4 2 6 3 2_Sheet1" xfId="43087"/>
    <cellStyle name="Note 4 2 6 3 3" xfId="43088"/>
    <cellStyle name="Note 4 2 6 3_Sheet1" xfId="43089"/>
    <cellStyle name="Note 4 2 6 4" xfId="43090"/>
    <cellStyle name="Note 4 2 6 4 2" xfId="43091"/>
    <cellStyle name="Note 4 2 6 4 2 2" xfId="43092"/>
    <cellStyle name="Note 4 2 6 4 2_Sheet1" xfId="43093"/>
    <cellStyle name="Note 4 2 6 4 3" xfId="43094"/>
    <cellStyle name="Note 4 2 6 4_Sheet1" xfId="43095"/>
    <cellStyle name="Note 4 2 6 5" xfId="43096"/>
    <cellStyle name="Note 4 2 6_Sheet1" xfId="43097"/>
    <cellStyle name="Note 4 2 7" xfId="43098"/>
    <cellStyle name="Note 4 2 7 2" xfId="43099"/>
    <cellStyle name="Note 4 2 7 2 2" xfId="43100"/>
    <cellStyle name="Note 4 2 7 2 2 2" xfId="43101"/>
    <cellStyle name="Note 4 2 7 2 2_Sheet1" xfId="43102"/>
    <cellStyle name="Note 4 2 7 2 3" xfId="43103"/>
    <cellStyle name="Note 4 2 7 2_Sheet1" xfId="43104"/>
    <cellStyle name="Note 4 2 7 3" xfId="43105"/>
    <cellStyle name="Note 4 2 7 3 2" xfId="43106"/>
    <cellStyle name="Note 4 2 7 3 2 2" xfId="43107"/>
    <cellStyle name="Note 4 2 7 3 2_Sheet1" xfId="43108"/>
    <cellStyle name="Note 4 2 7 3 3" xfId="43109"/>
    <cellStyle name="Note 4 2 7 3_Sheet1" xfId="43110"/>
    <cellStyle name="Note 4 2 7 4" xfId="43111"/>
    <cellStyle name="Note 4 2 7 4 2" xfId="43112"/>
    <cellStyle name="Note 4 2 7 4 2 2" xfId="43113"/>
    <cellStyle name="Note 4 2 7 4 2_Sheet1" xfId="43114"/>
    <cellStyle name="Note 4 2 7 4 3" xfId="43115"/>
    <cellStyle name="Note 4 2 7 4_Sheet1" xfId="43116"/>
    <cellStyle name="Note 4 2 7 5" xfId="43117"/>
    <cellStyle name="Note 4 2 7_Sheet1" xfId="43118"/>
    <cellStyle name="Note 4 2 8" xfId="43119"/>
    <cellStyle name="Note 4 2 8 2" xfId="43120"/>
    <cellStyle name="Note 4 2 8 2 2" xfId="43121"/>
    <cellStyle name="Note 4 2 8 2 2 2" xfId="43122"/>
    <cellStyle name="Note 4 2 8 2 2_Sheet1" xfId="43123"/>
    <cellStyle name="Note 4 2 8 2 3" xfId="43124"/>
    <cellStyle name="Note 4 2 8 2_Sheet1" xfId="43125"/>
    <cellStyle name="Note 4 2 8 3" xfId="43126"/>
    <cellStyle name="Note 4 2 8 3 2" xfId="43127"/>
    <cellStyle name="Note 4 2 8 3 2 2" xfId="43128"/>
    <cellStyle name="Note 4 2 8 3 2_Sheet1" xfId="43129"/>
    <cellStyle name="Note 4 2 8 3 3" xfId="43130"/>
    <cellStyle name="Note 4 2 8 3_Sheet1" xfId="43131"/>
    <cellStyle name="Note 4 2 8 4" xfId="43132"/>
    <cellStyle name="Note 4 2 8 4 2" xfId="43133"/>
    <cellStyle name="Note 4 2 8 4 2 2" xfId="43134"/>
    <cellStyle name="Note 4 2 8 4 2_Sheet1" xfId="43135"/>
    <cellStyle name="Note 4 2 8 4 3" xfId="43136"/>
    <cellStyle name="Note 4 2 8 4_Sheet1" xfId="43137"/>
    <cellStyle name="Note 4 2 8 5" xfId="43138"/>
    <cellStyle name="Note 4 2 8_Sheet1" xfId="43139"/>
    <cellStyle name="Note 4 2 9" xfId="43140"/>
    <cellStyle name="Note 4 2 9 2" xfId="43141"/>
    <cellStyle name="Note 4 2 9 2 2" xfId="43142"/>
    <cellStyle name="Note 4 2 9 2 2 2" xfId="43143"/>
    <cellStyle name="Note 4 2 9 2 2_Sheet1" xfId="43144"/>
    <cellStyle name="Note 4 2 9 2 3" xfId="43145"/>
    <cellStyle name="Note 4 2 9 2_Sheet1" xfId="43146"/>
    <cellStyle name="Note 4 2 9 3" xfId="43147"/>
    <cellStyle name="Note 4 2 9 3 2" xfId="43148"/>
    <cellStyle name="Note 4 2 9 3 2 2" xfId="43149"/>
    <cellStyle name="Note 4 2 9 3 2_Sheet1" xfId="43150"/>
    <cellStyle name="Note 4 2 9 3 3" xfId="43151"/>
    <cellStyle name="Note 4 2 9 3_Sheet1" xfId="43152"/>
    <cellStyle name="Note 4 2 9 4" xfId="43153"/>
    <cellStyle name="Note 4 2 9 4 2" xfId="43154"/>
    <cellStyle name="Note 4 2 9 4 2 2" xfId="43155"/>
    <cellStyle name="Note 4 2 9 4 2_Sheet1" xfId="43156"/>
    <cellStyle name="Note 4 2 9 4 3" xfId="43157"/>
    <cellStyle name="Note 4 2 9 4_Sheet1" xfId="43158"/>
    <cellStyle name="Note 4 2 9 5" xfId="43159"/>
    <cellStyle name="Note 4 2 9_Sheet1" xfId="43160"/>
    <cellStyle name="Note 4 2_Sheet1" xfId="43161"/>
    <cellStyle name="Note 4 20" xfId="43162"/>
    <cellStyle name="Note 4 20 2" xfId="43163"/>
    <cellStyle name="Note 4 20 2 2" xfId="43164"/>
    <cellStyle name="Note 4 20 2 2 2" xfId="43165"/>
    <cellStyle name="Note 4 20 2 2_Sheet1" xfId="43166"/>
    <cellStyle name="Note 4 20 2 3" xfId="43167"/>
    <cellStyle name="Note 4 20 2_Sheet1" xfId="43168"/>
    <cellStyle name="Note 4 20 3" xfId="43169"/>
    <cellStyle name="Note 4 20 3 2" xfId="43170"/>
    <cellStyle name="Note 4 20 3 2 2" xfId="43171"/>
    <cellStyle name="Note 4 20 3 2_Sheet1" xfId="43172"/>
    <cellStyle name="Note 4 20 3 3" xfId="43173"/>
    <cellStyle name="Note 4 20 3_Sheet1" xfId="43174"/>
    <cellStyle name="Note 4 20 4" xfId="43175"/>
    <cellStyle name="Note 4 20 4 2" xfId="43176"/>
    <cellStyle name="Note 4 20 4 2 2" xfId="43177"/>
    <cellStyle name="Note 4 20 4 2_Sheet1" xfId="43178"/>
    <cellStyle name="Note 4 20 4 3" xfId="43179"/>
    <cellStyle name="Note 4 20 4_Sheet1" xfId="43180"/>
    <cellStyle name="Note 4 20 5" xfId="43181"/>
    <cellStyle name="Note 4 20_Sheet1" xfId="43182"/>
    <cellStyle name="Note 4 21" xfId="43183"/>
    <cellStyle name="Note 4 21 2" xfId="43184"/>
    <cellStyle name="Note 4 21 2 2" xfId="43185"/>
    <cellStyle name="Note 4 21 2 2 2" xfId="43186"/>
    <cellStyle name="Note 4 21 2 2_Sheet1" xfId="43187"/>
    <cellStyle name="Note 4 21 2 3" xfId="43188"/>
    <cellStyle name="Note 4 21 2_Sheet1" xfId="43189"/>
    <cellStyle name="Note 4 21 3" xfId="43190"/>
    <cellStyle name="Note 4 21 3 2" xfId="43191"/>
    <cellStyle name="Note 4 21 3 2 2" xfId="43192"/>
    <cellStyle name="Note 4 21 3 2_Sheet1" xfId="43193"/>
    <cellStyle name="Note 4 21 3 3" xfId="43194"/>
    <cellStyle name="Note 4 21 3_Sheet1" xfId="43195"/>
    <cellStyle name="Note 4 21 4" xfId="43196"/>
    <cellStyle name="Note 4 21 4 2" xfId="43197"/>
    <cellStyle name="Note 4 21 4 2 2" xfId="43198"/>
    <cellStyle name="Note 4 21 4 2_Sheet1" xfId="43199"/>
    <cellStyle name="Note 4 21 4 3" xfId="43200"/>
    <cellStyle name="Note 4 21 4_Sheet1" xfId="43201"/>
    <cellStyle name="Note 4 21 5" xfId="43202"/>
    <cellStyle name="Note 4 21_Sheet1" xfId="43203"/>
    <cellStyle name="Note 4 22" xfId="43204"/>
    <cellStyle name="Note 4 22 2" xfId="43205"/>
    <cellStyle name="Note 4 22 2 2" xfId="43206"/>
    <cellStyle name="Note 4 22 2_Sheet1" xfId="43207"/>
    <cellStyle name="Note 4 22 3" xfId="43208"/>
    <cellStyle name="Note 4 22_Sheet1" xfId="43209"/>
    <cellStyle name="Note 4 23" xfId="43210"/>
    <cellStyle name="Note 4 23 2" xfId="43211"/>
    <cellStyle name="Note 4 23 2 2" xfId="43212"/>
    <cellStyle name="Note 4 23 2_Sheet1" xfId="43213"/>
    <cellStyle name="Note 4 23 3" xfId="43214"/>
    <cellStyle name="Note 4 23_Sheet1" xfId="43215"/>
    <cellStyle name="Note 4 24" xfId="43216"/>
    <cellStyle name="Note 4 24 2" xfId="43217"/>
    <cellStyle name="Note 4 24 2 2" xfId="43218"/>
    <cellStyle name="Note 4 24 2_Sheet1" xfId="43219"/>
    <cellStyle name="Note 4 24 3" xfId="43220"/>
    <cellStyle name="Note 4 24_Sheet1" xfId="43221"/>
    <cellStyle name="Note 4 25" xfId="43222"/>
    <cellStyle name="Note 4 3" xfId="43223"/>
    <cellStyle name="Note 4 3 10" xfId="43224"/>
    <cellStyle name="Note 4 3 10 2" xfId="43225"/>
    <cellStyle name="Note 4 3 10 2 2" xfId="43226"/>
    <cellStyle name="Note 4 3 10 2 2 2" xfId="43227"/>
    <cellStyle name="Note 4 3 10 2 2_Sheet1" xfId="43228"/>
    <cellStyle name="Note 4 3 10 2 3" xfId="43229"/>
    <cellStyle name="Note 4 3 10 2_Sheet1" xfId="43230"/>
    <cellStyle name="Note 4 3 10 3" xfId="43231"/>
    <cellStyle name="Note 4 3 10 3 2" xfId="43232"/>
    <cellStyle name="Note 4 3 10 3 2 2" xfId="43233"/>
    <cellStyle name="Note 4 3 10 3 2_Sheet1" xfId="43234"/>
    <cellStyle name="Note 4 3 10 3 3" xfId="43235"/>
    <cellStyle name="Note 4 3 10 3_Sheet1" xfId="43236"/>
    <cellStyle name="Note 4 3 10 4" xfId="43237"/>
    <cellStyle name="Note 4 3 10 4 2" xfId="43238"/>
    <cellStyle name="Note 4 3 10 4 2 2" xfId="43239"/>
    <cellStyle name="Note 4 3 10 4 2_Sheet1" xfId="43240"/>
    <cellStyle name="Note 4 3 10 4 3" xfId="43241"/>
    <cellStyle name="Note 4 3 10 4_Sheet1" xfId="43242"/>
    <cellStyle name="Note 4 3 10 5" xfId="43243"/>
    <cellStyle name="Note 4 3 10_Sheet1" xfId="43244"/>
    <cellStyle name="Note 4 3 11" xfId="43245"/>
    <cellStyle name="Note 4 3 11 2" xfId="43246"/>
    <cellStyle name="Note 4 3 11 2 2" xfId="43247"/>
    <cellStyle name="Note 4 3 11 2 2 2" xfId="43248"/>
    <cellStyle name="Note 4 3 11 2 2_Sheet1" xfId="43249"/>
    <cellStyle name="Note 4 3 11 2 3" xfId="43250"/>
    <cellStyle name="Note 4 3 11 2_Sheet1" xfId="43251"/>
    <cellStyle name="Note 4 3 11 3" xfId="43252"/>
    <cellStyle name="Note 4 3 11 3 2" xfId="43253"/>
    <cellStyle name="Note 4 3 11 3 2 2" xfId="43254"/>
    <cellStyle name="Note 4 3 11 3 2_Sheet1" xfId="43255"/>
    <cellStyle name="Note 4 3 11 3 3" xfId="43256"/>
    <cellStyle name="Note 4 3 11 3_Sheet1" xfId="43257"/>
    <cellStyle name="Note 4 3 11 4" xfId="43258"/>
    <cellStyle name="Note 4 3 11 4 2" xfId="43259"/>
    <cellStyle name="Note 4 3 11 4 2 2" xfId="43260"/>
    <cellStyle name="Note 4 3 11 4 2_Sheet1" xfId="43261"/>
    <cellStyle name="Note 4 3 11 4 3" xfId="43262"/>
    <cellStyle name="Note 4 3 11 4_Sheet1" xfId="43263"/>
    <cellStyle name="Note 4 3 11 5" xfId="43264"/>
    <cellStyle name="Note 4 3 11_Sheet1" xfId="43265"/>
    <cellStyle name="Note 4 3 12" xfId="43266"/>
    <cellStyle name="Note 4 3 12 2" xfId="43267"/>
    <cellStyle name="Note 4 3 12 2 2" xfId="43268"/>
    <cellStyle name="Note 4 3 12 2 2 2" xfId="43269"/>
    <cellStyle name="Note 4 3 12 2 2_Sheet1" xfId="43270"/>
    <cellStyle name="Note 4 3 12 2 3" xfId="43271"/>
    <cellStyle name="Note 4 3 12 2_Sheet1" xfId="43272"/>
    <cellStyle name="Note 4 3 12 3" xfId="43273"/>
    <cellStyle name="Note 4 3 12 3 2" xfId="43274"/>
    <cellStyle name="Note 4 3 12 3 2 2" xfId="43275"/>
    <cellStyle name="Note 4 3 12 3 2_Sheet1" xfId="43276"/>
    <cellStyle name="Note 4 3 12 3 3" xfId="43277"/>
    <cellStyle name="Note 4 3 12 3_Sheet1" xfId="43278"/>
    <cellStyle name="Note 4 3 12 4" xfId="43279"/>
    <cellStyle name="Note 4 3 12 4 2" xfId="43280"/>
    <cellStyle name="Note 4 3 12 4 2 2" xfId="43281"/>
    <cellStyle name="Note 4 3 12 4 2_Sheet1" xfId="43282"/>
    <cellStyle name="Note 4 3 12 4 3" xfId="43283"/>
    <cellStyle name="Note 4 3 12 4_Sheet1" xfId="43284"/>
    <cellStyle name="Note 4 3 12 5" xfId="43285"/>
    <cellStyle name="Note 4 3 12_Sheet1" xfId="43286"/>
    <cellStyle name="Note 4 3 13" xfId="43287"/>
    <cellStyle name="Note 4 3 13 2" xfId="43288"/>
    <cellStyle name="Note 4 3 13 2 2" xfId="43289"/>
    <cellStyle name="Note 4 3 13 2 2 2" xfId="43290"/>
    <cellStyle name="Note 4 3 13 2 2_Sheet1" xfId="43291"/>
    <cellStyle name="Note 4 3 13 2 3" xfId="43292"/>
    <cellStyle name="Note 4 3 13 2_Sheet1" xfId="43293"/>
    <cellStyle name="Note 4 3 13 3" xfId="43294"/>
    <cellStyle name="Note 4 3 13 3 2" xfId="43295"/>
    <cellStyle name="Note 4 3 13 3 2 2" xfId="43296"/>
    <cellStyle name="Note 4 3 13 3 2_Sheet1" xfId="43297"/>
    <cellStyle name="Note 4 3 13 3 3" xfId="43298"/>
    <cellStyle name="Note 4 3 13 3_Sheet1" xfId="43299"/>
    <cellStyle name="Note 4 3 13 4" xfId="43300"/>
    <cellStyle name="Note 4 3 13 4 2" xfId="43301"/>
    <cellStyle name="Note 4 3 13 4 2 2" xfId="43302"/>
    <cellStyle name="Note 4 3 13 4 2_Sheet1" xfId="43303"/>
    <cellStyle name="Note 4 3 13 4 3" xfId="43304"/>
    <cellStyle name="Note 4 3 13 4_Sheet1" xfId="43305"/>
    <cellStyle name="Note 4 3 13 5" xfId="43306"/>
    <cellStyle name="Note 4 3 13_Sheet1" xfId="43307"/>
    <cellStyle name="Note 4 3 14" xfId="43308"/>
    <cellStyle name="Note 4 3 14 2" xfId="43309"/>
    <cellStyle name="Note 4 3 14 2 2" xfId="43310"/>
    <cellStyle name="Note 4 3 14 2 2 2" xfId="43311"/>
    <cellStyle name="Note 4 3 14 2 2_Sheet1" xfId="43312"/>
    <cellStyle name="Note 4 3 14 2 3" xfId="43313"/>
    <cellStyle name="Note 4 3 14 2_Sheet1" xfId="43314"/>
    <cellStyle name="Note 4 3 14 3" xfId="43315"/>
    <cellStyle name="Note 4 3 14 3 2" xfId="43316"/>
    <cellStyle name="Note 4 3 14 3 2 2" xfId="43317"/>
    <cellStyle name="Note 4 3 14 3 2_Sheet1" xfId="43318"/>
    <cellStyle name="Note 4 3 14 3 3" xfId="43319"/>
    <cellStyle name="Note 4 3 14 3_Sheet1" xfId="43320"/>
    <cellStyle name="Note 4 3 14 4" xfId="43321"/>
    <cellStyle name="Note 4 3 14 4 2" xfId="43322"/>
    <cellStyle name="Note 4 3 14 4 2 2" xfId="43323"/>
    <cellStyle name="Note 4 3 14 4 2_Sheet1" xfId="43324"/>
    <cellStyle name="Note 4 3 14 4 3" xfId="43325"/>
    <cellStyle name="Note 4 3 14 4_Sheet1" xfId="43326"/>
    <cellStyle name="Note 4 3 14 5" xfId="43327"/>
    <cellStyle name="Note 4 3 14_Sheet1" xfId="43328"/>
    <cellStyle name="Note 4 3 15" xfId="43329"/>
    <cellStyle name="Note 4 3 15 2" xfId="43330"/>
    <cellStyle name="Note 4 3 15 2 2" xfId="43331"/>
    <cellStyle name="Note 4 3 15 2 2 2" xfId="43332"/>
    <cellStyle name="Note 4 3 15 2 2_Sheet1" xfId="43333"/>
    <cellStyle name="Note 4 3 15 2 3" xfId="43334"/>
    <cellStyle name="Note 4 3 15 2_Sheet1" xfId="43335"/>
    <cellStyle name="Note 4 3 15 3" xfId="43336"/>
    <cellStyle name="Note 4 3 15 3 2" xfId="43337"/>
    <cellStyle name="Note 4 3 15 3 2 2" xfId="43338"/>
    <cellStyle name="Note 4 3 15 3 2_Sheet1" xfId="43339"/>
    <cellStyle name="Note 4 3 15 3 3" xfId="43340"/>
    <cellStyle name="Note 4 3 15 3_Sheet1" xfId="43341"/>
    <cellStyle name="Note 4 3 15 4" xfId="43342"/>
    <cellStyle name="Note 4 3 15 4 2" xfId="43343"/>
    <cellStyle name="Note 4 3 15 4 2 2" xfId="43344"/>
    <cellStyle name="Note 4 3 15 4 2_Sheet1" xfId="43345"/>
    <cellStyle name="Note 4 3 15 4 3" xfId="43346"/>
    <cellStyle name="Note 4 3 15 4_Sheet1" xfId="43347"/>
    <cellStyle name="Note 4 3 15 5" xfId="43348"/>
    <cellStyle name="Note 4 3 15_Sheet1" xfId="43349"/>
    <cellStyle name="Note 4 3 16" xfId="43350"/>
    <cellStyle name="Note 4 3 16 2" xfId="43351"/>
    <cellStyle name="Note 4 3 16 2 2" xfId="43352"/>
    <cellStyle name="Note 4 3 16 2 2 2" xfId="43353"/>
    <cellStyle name="Note 4 3 16 2 2_Sheet1" xfId="43354"/>
    <cellStyle name="Note 4 3 16 2 3" xfId="43355"/>
    <cellStyle name="Note 4 3 16 2_Sheet1" xfId="43356"/>
    <cellStyle name="Note 4 3 16 3" xfId="43357"/>
    <cellStyle name="Note 4 3 16 3 2" xfId="43358"/>
    <cellStyle name="Note 4 3 16 3 2 2" xfId="43359"/>
    <cellStyle name="Note 4 3 16 3 2_Sheet1" xfId="43360"/>
    <cellStyle name="Note 4 3 16 3 3" xfId="43361"/>
    <cellStyle name="Note 4 3 16 3_Sheet1" xfId="43362"/>
    <cellStyle name="Note 4 3 16 4" xfId="43363"/>
    <cellStyle name="Note 4 3 16 4 2" xfId="43364"/>
    <cellStyle name="Note 4 3 16 4 2 2" xfId="43365"/>
    <cellStyle name="Note 4 3 16 4 2_Sheet1" xfId="43366"/>
    <cellStyle name="Note 4 3 16 4 3" xfId="43367"/>
    <cellStyle name="Note 4 3 16 4_Sheet1" xfId="43368"/>
    <cellStyle name="Note 4 3 16 5" xfId="43369"/>
    <cellStyle name="Note 4 3 16_Sheet1" xfId="43370"/>
    <cellStyle name="Note 4 3 17" xfId="43371"/>
    <cellStyle name="Note 4 3 17 2" xfId="43372"/>
    <cellStyle name="Note 4 3 17 2 2" xfId="43373"/>
    <cellStyle name="Note 4 3 17 2 2 2" xfId="43374"/>
    <cellStyle name="Note 4 3 17 2 2_Sheet1" xfId="43375"/>
    <cellStyle name="Note 4 3 17 2 3" xfId="43376"/>
    <cellStyle name="Note 4 3 17 2_Sheet1" xfId="43377"/>
    <cellStyle name="Note 4 3 17 3" xfId="43378"/>
    <cellStyle name="Note 4 3 17 3 2" xfId="43379"/>
    <cellStyle name="Note 4 3 17 3 2 2" xfId="43380"/>
    <cellStyle name="Note 4 3 17 3 2_Sheet1" xfId="43381"/>
    <cellStyle name="Note 4 3 17 3 3" xfId="43382"/>
    <cellStyle name="Note 4 3 17 3_Sheet1" xfId="43383"/>
    <cellStyle name="Note 4 3 17 4" xfId="43384"/>
    <cellStyle name="Note 4 3 17 4 2" xfId="43385"/>
    <cellStyle name="Note 4 3 17 4 2 2" xfId="43386"/>
    <cellStyle name="Note 4 3 17 4 2_Sheet1" xfId="43387"/>
    <cellStyle name="Note 4 3 17 4 3" xfId="43388"/>
    <cellStyle name="Note 4 3 17 4_Sheet1" xfId="43389"/>
    <cellStyle name="Note 4 3 17 5" xfId="43390"/>
    <cellStyle name="Note 4 3 17_Sheet1" xfId="43391"/>
    <cellStyle name="Note 4 3 18" xfId="43392"/>
    <cellStyle name="Note 4 3 18 2" xfId="43393"/>
    <cellStyle name="Note 4 3 18 2 2" xfId="43394"/>
    <cellStyle name="Note 4 3 18 2 2 2" xfId="43395"/>
    <cellStyle name="Note 4 3 18 2 2_Sheet1" xfId="43396"/>
    <cellStyle name="Note 4 3 18 2 3" xfId="43397"/>
    <cellStyle name="Note 4 3 18 2_Sheet1" xfId="43398"/>
    <cellStyle name="Note 4 3 18 3" xfId="43399"/>
    <cellStyle name="Note 4 3 18 3 2" xfId="43400"/>
    <cellStyle name="Note 4 3 18 3 2 2" xfId="43401"/>
    <cellStyle name="Note 4 3 18 3 2_Sheet1" xfId="43402"/>
    <cellStyle name="Note 4 3 18 3 3" xfId="43403"/>
    <cellStyle name="Note 4 3 18 3_Sheet1" xfId="43404"/>
    <cellStyle name="Note 4 3 18 4" xfId="43405"/>
    <cellStyle name="Note 4 3 18 4 2" xfId="43406"/>
    <cellStyle name="Note 4 3 18 4 2 2" xfId="43407"/>
    <cellStyle name="Note 4 3 18 4 2_Sheet1" xfId="43408"/>
    <cellStyle name="Note 4 3 18 4 3" xfId="43409"/>
    <cellStyle name="Note 4 3 18 4_Sheet1" xfId="43410"/>
    <cellStyle name="Note 4 3 18 5" xfId="43411"/>
    <cellStyle name="Note 4 3 18_Sheet1" xfId="43412"/>
    <cellStyle name="Note 4 3 19" xfId="43413"/>
    <cellStyle name="Note 4 3 19 2" xfId="43414"/>
    <cellStyle name="Note 4 3 19 2 2" xfId="43415"/>
    <cellStyle name="Note 4 3 19 2_Sheet1" xfId="43416"/>
    <cellStyle name="Note 4 3 19 3" xfId="43417"/>
    <cellStyle name="Note 4 3 19_Sheet1" xfId="43418"/>
    <cellStyle name="Note 4 3 2" xfId="43419"/>
    <cellStyle name="Note 4 3 2 2" xfId="43420"/>
    <cellStyle name="Note 4 3 2 2 2" xfId="43421"/>
    <cellStyle name="Note 4 3 2 2 2 2" xfId="43422"/>
    <cellStyle name="Note 4 3 2 2 2_Sheet1" xfId="43423"/>
    <cellStyle name="Note 4 3 2 2 3" xfId="43424"/>
    <cellStyle name="Note 4 3 2 2_Sheet1" xfId="43425"/>
    <cellStyle name="Note 4 3 2 3" xfId="43426"/>
    <cellStyle name="Note 4 3 2 3 2" xfId="43427"/>
    <cellStyle name="Note 4 3 2 3 2 2" xfId="43428"/>
    <cellStyle name="Note 4 3 2 3 2_Sheet1" xfId="43429"/>
    <cellStyle name="Note 4 3 2 3 3" xfId="43430"/>
    <cellStyle name="Note 4 3 2 3_Sheet1" xfId="43431"/>
    <cellStyle name="Note 4 3 2 4" xfId="43432"/>
    <cellStyle name="Note 4 3 2 4 2" xfId="43433"/>
    <cellStyle name="Note 4 3 2 4 2 2" xfId="43434"/>
    <cellStyle name="Note 4 3 2 4 2_Sheet1" xfId="43435"/>
    <cellStyle name="Note 4 3 2 4 3" xfId="43436"/>
    <cellStyle name="Note 4 3 2 4_Sheet1" xfId="43437"/>
    <cellStyle name="Note 4 3 2 5" xfId="43438"/>
    <cellStyle name="Note 4 3 2_Sheet1" xfId="43439"/>
    <cellStyle name="Note 4 3 20" xfId="43440"/>
    <cellStyle name="Note 4 3 20 2" xfId="43441"/>
    <cellStyle name="Note 4 3 20 2 2" xfId="43442"/>
    <cellStyle name="Note 4 3 20 2_Sheet1" xfId="43443"/>
    <cellStyle name="Note 4 3 20 3" xfId="43444"/>
    <cellStyle name="Note 4 3 20_Sheet1" xfId="43445"/>
    <cellStyle name="Note 4 3 21" xfId="43446"/>
    <cellStyle name="Note 4 3 21 2" xfId="43447"/>
    <cellStyle name="Note 4 3 21 2 2" xfId="43448"/>
    <cellStyle name="Note 4 3 21 2_Sheet1" xfId="43449"/>
    <cellStyle name="Note 4 3 21 3" xfId="43450"/>
    <cellStyle name="Note 4 3 21_Sheet1" xfId="43451"/>
    <cellStyle name="Note 4 3 22" xfId="43452"/>
    <cellStyle name="Note 4 3 3" xfId="43453"/>
    <cellStyle name="Note 4 3 3 2" xfId="43454"/>
    <cellStyle name="Note 4 3 3 2 2" xfId="43455"/>
    <cellStyle name="Note 4 3 3 2 2 2" xfId="43456"/>
    <cellStyle name="Note 4 3 3 2 2_Sheet1" xfId="43457"/>
    <cellStyle name="Note 4 3 3 2 3" xfId="43458"/>
    <cellStyle name="Note 4 3 3 2_Sheet1" xfId="43459"/>
    <cellStyle name="Note 4 3 3 3" xfId="43460"/>
    <cellStyle name="Note 4 3 3 3 2" xfId="43461"/>
    <cellStyle name="Note 4 3 3 3 2 2" xfId="43462"/>
    <cellStyle name="Note 4 3 3 3 2_Sheet1" xfId="43463"/>
    <cellStyle name="Note 4 3 3 3 3" xfId="43464"/>
    <cellStyle name="Note 4 3 3 3_Sheet1" xfId="43465"/>
    <cellStyle name="Note 4 3 3 4" xfId="43466"/>
    <cellStyle name="Note 4 3 3 4 2" xfId="43467"/>
    <cellStyle name="Note 4 3 3 4 2 2" xfId="43468"/>
    <cellStyle name="Note 4 3 3 4 2_Sheet1" xfId="43469"/>
    <cellStyle name="Note 4 3 3 4 3" xfId="43470"/>
    <cellStyle name="Note 4 3 3 4_Sheet1" xfId="43471"/>
    <cellStyle name="Note 4 3 3 5" xfId="43472"/>
    <cellStyle name="Note 4 3 3_Sheet1" xfId="43473"/>
    <cellStyle name="Note 4 3 4" xfId="43474"/>
    <cellStyle name="Note 4 3 4 2" xfId="43475"/>
    <cellStyle name="Note 4 3 4 2 2" xfId="43476"/>
    <cellStyle name="Note 4 3 4 2 2 2" xfId="43477"/>
    <cellStyle name="Note 4 3 4 2 2_Sheet1" xfId="43478"/>
    <cellStyle name="Note 4 3 4 2 3" xfId="43479"/>
    <cellStyle name="Note 4 3 4 2_Sheet1" xfId="43480"/>
    <cellStyle name="Note 4 3 4 3" xfId="43481"/>
    <cellStyle name="Note 4 3 4 3 2" xfId="43482"/>
    <cellStyle name="Note 4 3 4 3 2 2" xfId="43483"/>
    <cellStyle name="Note 4 3 4 3 2_Sheet1" xfId="43484"/>
    <cellStyle name="Note 4 3 4 3 3" xfId="43485"/>
    <cellStyle name="Note 4 3 4 3_Sheet1" xfId="43486"/>
    <cellStyle name="Note 4 3 4 4" xfId="43487"/>
    <cellStyle name="Note 4 3 4 4 2" xfId="43488"/>
    <cellStyle name="Note 4 3 4 4 2 2" xfId="43489"/>
    <cellStyle name="Note 4 3 4 4 2_Sheet1" xfId="43490"/>
    <cellStyle name="Note 4 3 4 4 3" xfId="43491"/>
    <cellStyle name="Note 4 3 4 4_Sheet1" xfId="43492"/>
    <cellStyle name="Note 4 3 4 5" xfId="43493"/>
    <cellStyle name="Note 4 3 4_Sheet1" xfId="43494"/>
    <cellStyle name="Note 4 3 5" xfId="43495"/>
    <cellStyle name="Note 4 3 5 2" xfId="43496"/>
    <cellStyle name="Note 4 3 5 2 2" xfId="43497"/>
    <cellStyle name="Note 4 3 5 2 2 2" xfId="43498"/>
    <cellStyle name="Note 4 3 5 2 2_Sheet1" xfId="43499"/>
    <cellStyle name="Note 4 3 5 2 3" xfId="43500"/>
    <cellStyle name="Note 4 3 5 2_Sheet1" xfId="43501"/>
    <cellStyle name="Note 4 3 5 3" xfId="43502"/>
    <cellStyle name="Note 4 3 5 3 2" xfId="43503"/>
    <cellStyle name="Note 4 3 5 3 2 2" xfId="43504"/>
    <cellStyle name="Note 4 3 5 3 2_Sheet1" xfId="43505"/>
    <cellStyle name="Note 4 3 5 3 3" xfId="43506"/>
    <cellStyle name="Note 4 3 5 3_Sheet1" xfId="43507"/>
    <cellStyle name="Note 4 3 5 4" xfId="43508"/>
    <cellStyle name="Note 4 3 5 4 2" xfId="43509"/>
    <cellStyle name="Note 4 3 5 4 2 2" xfId="43510"/>
    <cellStyle name="Note 4 3 5 4 2_Sheet1" xfId="43511"/>
    <cellStyle name="Note 4 3 5 4 3" xfId="43512"/>
    <cellStyle name="Note 4 3 5 4_Sheet1" xfId="43513"/>
    <cellStyle name="Note 4 3 5 5" xfId="43514"/>
    <cellStyle name="Note 4 3 5_Sheet1" xfId="43515"/>
    <cellStyle name="Note 4 3 6" xfId="43516"/>
    <cellStyle name="Note 4 3 6 2" xfId="43517"/>
    <cellStyle name="Note 4 3 6 2 2" xfId="43518"/>
    <cellStyle name="Note 4 3 6 2 2 2" xfId="43519"/>
    <cellStyle name="Note 4 3 6 2 2_Sheet1" xfId="43520"/>
    <cellStyle name="Note 4 3 6 2 3" xfId="43521"/>
    <cellStyle name="Note 4 3 6 2_Sheet1" xfId="43522"/>
    <cellStyle name="Note 4 3 6 3" xfId="43523"/>
    <cellStyle name="Note 4 3 6 3 2" xfId="43524"/>
    <cellStyle name="Note 4 3 6 3 2 2" xfId="43525"/>
    <cellStyle name="Note 4 3 6 3 2_Sheet1" xfId="43526"/>
    <cellStyle name="Note 4 3 6 3 3" xfId="43527"/>
    <cellStyle name="Note 4 3 6 3_Sheet1" xfId="43528"/>
    <cellStyle name="Note 4 3 6 4" xfId="43529"/>
    <cellStyle name="Note 4 3 6 4 2" xfId="43530"/>
    <cellStyle name="Note 4 3 6 4 2 2" xfId="43531"/>
    <cellStyle name="Note 4 3 6 4 2_Sheet1" xfId="43532"/>
    <cellStyle name="Note 4 3 6 4 3" xfId="43533"/>
    <cellStyle name="Note 4 3 6 4_Sheet1" xfId="43534"/>
    <cellStyle name="Note 4 3 6 5" xfId="43535"/>
    <cellStyle name="Note 4 3 6_Sheet1" xfId="43536"/>
    <cellStyle name="Note 4 3 7" xfId="43537"/>
    <cellStyle name="Note 4 3 7 2" xfId="43538"/>
    <cellStyle name="Note 4 3 7 2 2" xfId="43539"/>
    <cellStyle name="Note 4 3 7 2 2 2" xfId="43540"/>
    <cellStyle name="Note 4 3 7 2 2_Sheet1" xfId="43541"/>
    <cellStyle name="Note 4 3 7 2 3" xfId="43542"/>
    <cellStyle name="Note 4 3 7 2_Sheet1" xfId="43543"/>
    <cellStyle name="Note 4 3 7 3" xfId="43544"/>
    <cellStyle name="Note 4 3 7 3 2" xfId="43545"/>
    <cellStyle name="Note 4 3 7 3 2 2" xfId="43546"/>
    <cellStyle name="Note 4 3 7 3 2_Sheet1" xfId="43547"/>
    <cellStyle name="Note 4 3 7 3 3" xfId="43548"/>
    <cellStyle name="Note 4 3 7 3_Sheet1" xfId="43549"/>
    <cellStyle name="Note 4 3 7 4" xfId="43550"/>
    <cellStyle name="Note 4 3 7 4 2" xfId="43551"/>
    <cellStyle name="Note 4 3 7 4 2 2" xfId="43552"/>
    <cellStyle name="Note 4 3 7 4 2_Sheet1" xfId="43553"/>
    <cellStyle name="Note 4 3 7 4 3" xfId="43554"/>
    <cellStyle name="Note 4 3 7 4_Sheet1" xfId="43555"/>
    <cellStyle name="Note 4 3 7 5" xfId="43556"/>
    <cellStyle name="Note 4 3 7_Sheet1" xfId="43557"/>
    <cellStyle name="Note 4 3 8" xfId="43558"/>
    <cellStyle name="Note 4 3 8 2" xfId="43559"/>
    <cellStyle name="Note 4 3 8 2 2" xfId="43560"/>
    <cellStyle name="Note 4 3 8 2 2 2" xfId="43561"/>
    <cellStyle name="Note 4 3 8 2 2_Sheet1" xfId="43562"/>
    <cellStyle name="Note 4 3 8 2 3" xfId="43563"/>
    <cellStyle name="Note 4 3 8 2_Sheet1" xfId="43564"/>
    <cellStyle name="Note 4 3 8 3" xfId="43565"/>
    <cellStyle name="Note 4 3 8 3 2" xfId="43566"/>
    <cellStyle name="Note 4 3 8 3 2 2" xfId="43567"/>
    <cellStyle name="Note 4 3 8 3 2_Sheet1" xfId="43568"/>
    <cellStyle name="Note 4 3 8 3 3" xfId="43569"/>
    <cellStyle name="Note 4 3 8 3_Sheet1" xfId="43570"/>
    <cellStyle name="Note 4 3 8 4" xfId="43571"/>
    <cellStyle name="Note 4 3 8 4 2" xfId="43572"/>
    <cellStyle name="Note 4 3 8 4 2 2" xfId="43573"/>
    <cellStyle name="Note 4 3 8 4 2_Sheet1" xfId="43574"/>
    <cellStyle name="Note 4 3 8 4 3" xfId="43575"/>
    <cellStyle name="Note 4 3 8 4_Sheet1" xfId="43576"/>
    <cellStyle name="Note 4 3 8 5" xfId="43577"/>
    <cellStyle name="Note 4 3 8_Sheet1" xfId="43578"/>
    <cellStyle name="Note 4 3 9" xfId="43579"/>
    <cellStyle name="Note 4 3 9 2" xfId="43580"/>
    <cellStyle name="Note 4 3 9 2 2" xfId="43581"/>
    <cellStyle name="Note 4 3 9 2 2 2" xfId="43582"/>
    <cellStyle name="Note 4 3 9 2 2_Sheet1" xfId="43583"/>
    <cellStyle name="Note 4 3 9 2 3" xfId="43584"/>
    <cellStyle name="Note 4 3 9 2_Sheet1" xfId="43585"/>
    <cellStyle name="Note 4 3 9 3" xfId="43586"/>
    <cellStyle name="Note 4 3 9 3 2" xfId="43587"/>
    <cellStyle name="Note 4 3 9 3 2 2" xfId="43588"/>
    <cellStyle name="Note 4 3 9 3 2_Sheet1" xfId="43589"/>
    <cellStyle name="Note 4 3 9 3 3" xfId="43590"/>
    <cellStyle name="Note 4 3 9 3_Sheet1" xfId="43591"/>
    <cellStyle name="Note 4 3 9 4" xfId="43592"/>
    <cellStyle name="Note 4 3 9 4 2" xfId="43593"/>
    <cellStyle name="Note 4 3 9 4 2 2" xfId="43594"/>
    <cellStyle name="Note 4 3 9 4 2_Sheet1" xfId="43595"/>
    <cellStyle name="Note 4 3 9 4 3" xfId="43596"/>
    <cellStyle name="Note 4 3 9 4_Sheet1" xfId="43597"/>
    <cellStyle name="Note 4 3 9 5" xfId="43598"/>
    <cellStyle name="Note 4 3 9_Sheet1" xfId="43599"/>
    <cellStyle name="Note 4 3_Sheet1" xfId="43600"/>
    <cellStyle name="Note 4 4" xfId="43601"/>
    <cellStyle name="Note 4 4 10" xfId="43602"/>
    <cellStyle name="Note 4 4 10 2" xfId="43603"/>
    <cellStyle name="Note 4 4 10 2 2" xfId="43604"/>
    <cellStyle name="Note 4 4 10 2 2 2" xfId="43605"/>
    <cellStyle name="Note 4 4 10 2 2_Sheet1" xfId="43606"/>
    <cellStyle name="Note 4 4 10 2 3" xfId="43607"/>
    <cellStyle name="Note 4 4 10 2_Sheet1" xfId="43608"/>
    <cellStyle name="Note 4 4 10 3" xfId="43609"/>
    <cellStyle name="Note 4 4 10 3 2" xfId="43610"/>
    <cellStyle name="Note 4 4 10 3 2 2" xfId="43611"/>
    <cellStyle name="Note 4 4 10 3 2_Sheet1" xfId="43612"/>
    <cellStyle name="Note 4 4 10 3 3" xfId="43613"/>
    <cellStyle name="Note 4 4 10 3_Sheet1" xfId="43614"/>
    <cellStyle name="Note 4 4 10 4" xfId="43615"/>
    <cellStyle name="Note 4 4 10 4 2" xfId="43616"/>
    <cellStyle name="Note 4 4 10 4 2 2" xfId="43617"/>
    <cellStyle name="Note 4 4 10 4 2_Sheet1" xfId="43618"/>
    <cellStyle name="Note 4 4 10 4 3" xfId="43619"/>
    <cellStyle name="Note 4 4 10 4_Sheet1" xfId="43620"/>
    <cellStyle name="Note 4 4 10 5" xfId="43621"/>
    <cellStyle name="Note 4 4 10_Sheet1" xfId="43622"/>
    <cellStyle name="Note 4 4 11" xfId="43623"/>
    <cellStyle name="Note 4 4 11 2" xfId="43624"/>
    <cellStyle name="Note 4 4 11 2 2" xfId="43625"/>
    <cellStyle name="Note 4 4 11 2 2 2" xfId="43626"/>
    <cellStyle name="Note 4 4 11 2 2_Sheet1" xfId="43627"/>
    <cellStyle name="Note 4 4 11 2 3" xfId="43628"/>
    <cellStyle name="Note 4 4 11 2_Sheet1" xfId="43629"/>
    <cellStyle name="Note 4 4 11 3" xfId="43630"/>
    <cellStyle name="Note 4 4 11 3 2" xfId="43631"/>
    <cellStyle name="Note 4 4 11 3 2 2" xfId="43632"/>
    <cellStyle name="Note 4 4 11 3 2_Sheet1" xfId="43633"/>
    <cellStyle name="Note 4 4 11 3 3" xfId="43634"/>
    <cellStyle name="Note 4 4 11 3_Sheet1" xfId="43635"/>
    <cellStyle name="Note 4 4 11 4" xfId="43636"/>
    <cellStyle name="Note 4 4 11 4 2" xfId="43637"/>
    <cellStyle name="Note 4 4 11 4 2 2" xfId="43638"/>
    <cellStyle name="Note 4 4 11 4 2_Sheet1" xfId="43639"/>
    <cellStyle name="Note 4 4 11 4 3" xfId="43640"/>
    <cellStyle name="Note 4 4 11 4_Sheet1" xfId="43641"/>
    <cellStyle name="Note 4 4 11 5" xfId="43642"/>
    <cellStyle name="Note 4 4 11_Sheet1" xfId="43643"/>
    <cellStyle name="Note 4 4 12" xfId="43644"/>
    <cellStyle name="Note 4 4 12 2" xfId="43645"/>
    <cellStyle name="Note 4 4 12 2 2" xfId="43646"/>
    <cellStyle name="Note 4 4 12 2 2 2" xfId="43647"/>
    <cellStyle name="Note 4 4 12 2 2_Sheet1" xfId="43648"/>
    <cellStyle name="Note 4 4 12 2 3" xfId="43649"/>
    <cellStyle name="Note 4 4 12 2_Sheet1" xfId="43650"/>
    <cellStyle name="Note 4 4 12 3" xfId="43651"/>
    <cellStyle name="Note 4 4 12 3 2" xfId="43652"/>
    <cellStyle name="Note 4 4 12 3 2 2" xfId="43653"/>
    <cellStyle name="Note 4 4 12 3 2_Sheet1" xfId="43654"/>
    <cellStyle name="Note 4 4 12 3 3" xfId="43655"/>
    <cellStyle name="Note 4 4 12 3_Sheet1" xfId="43656"/>
    <cellStyle name="Note 4 4 12 4" xfId="43657"/>
    <cellStyle name="Note 4 4 12 4 2" xfId="43658"/>
    <cellStyle name="Note 4 4 12 4 2 2" xfId="43659"/>
    <cellStyle name="Note 4 4 12 4 2_Sheet1" xfId="43660"/>
    <cellStyle name="Note 4 4 12 4 3" xfId="43661"/>
    <cellStyle name="Note 4 4 12 4_Sheet1" xfId="43662"/>
    <cellStyle name="Note 4 4 12 5" xfId="43663"/>
    <cellStyle name="Note 4 4 12_Sheet1" xfId="43664"/>
    <cellStyle name="Note 4 4 13" xfId="43665"/>
    <cellStyle name="Note 4 4 13 2" xfId="43666"/>
    <cellStyle name="Note 4 4 13 2 2" xfId="43667"/>
    <cellStyle name="Note 4 4 13 2 2 2" xfId="43668"/>
    <cellStyle name="Note 4 4 13 2 2_Sheet1" xfId="43669"/>
    <cellStyle name="Note 4 4 13 2 3" xfId="43670"/>
    <cellStyle name="Note 4 4 13 2_Sheet1" xfId="43671"/>
    <cellStyle name="Note 4 4 13 3" xfId="43672"/>
    <cellStyle name="Note 4 4 13 3 2" xfId="43673"/>
    <cellStyle name="Note 4 4 13 3 2 2" xfId="43674"/>
    <cellStyle name="Note 4 4 13 3 2_Sheet1" xfId="43675"/>
    <cellStyle name="Note 4 4 13 3 3" xfId="43676"/>
    <cellStyle name="Note 4 4 13 3_Sheet1" xfId="43677"/>
    <cellStyle name="Note 4 4 13 4" xfId="43678"/>
    <cellStyle name="Note 4 4 13 4 2" xfId="43679"/>
    <cellStyle name="Note 4 4 13 4 2 2" xfId="43680"/>
    <cellStyle name="Note 4 4 13 4 2_Sheet1" xfId="43681"/>
    <cellStyle name="Note 4 4 13 4 3" xfId="43682"/>
    <cellStyle name="Note 4 4 13 4_Sheet1" xfId="43683"/>
    <cellStyle name="Note 4 4 13 5" xfId="43684"/>
    <cellStyle name="Note 4 4 13_Sheet1" xfId="43685"/>
    <cellStyle name="Note 4 4 14" xfId="43686"/>
    <cellStyle name="Note 4 4 14 2" xfId="43687"/>
    <cellStyle name="Note 4 4 14 2 2" xfId="43688"/>
    <cellStyle name="Note 4 4 14 2 2 2" xfId="43689"/>
    <cellStyle name="Note 4 4 14 2 2_Sheet1" xfId="43690"/>
    <cellStyle name="Note 4 4 14 2 3" xfId="43691"/>
    <cellStyle name="Note 4 4 14 2_Sheet1" xfId="43692"/>
    <cellStyle name="Note 4 4 14 3" xfId="43693"/>
    <cellStyle name="Note 4 4 14 3 2" xfId="43694"/>
    <cellStyle name="Note 4 4 14 3 2 2" xfId="43695"/>
    <cellStyle name="Note 4 4 14 3 2_Sheet1" xfId="43696"/>
    <cellStyle name="Note 4 4 14 3 3" xfId="43697"/>
    <cellStyle name="Note 4 4 14 3_Sheet1" xfId="43698"/>
    <cellStyle name="Note 4 4 14 4" xfId="43699"/>
    <cellStyle name="Note 4 4 14 4 2" xfId="43700"/>
    <cellStyle name="Note 4 4 14 4 2 2" xfId="43701"/>
    <cellStyle name="Note 4 4 14 4 2_Sheet1" xfId="43702"/>
    <cellStyle name="Note 4 4 14 4 3" xfId="43703"/>
    <cellStyle name="Note 4 4 14 4_Sheet1" xfId="43704"/>
    <cellStyle name="Note 4 4 14 5" xfId="43705"/>
    <cellStyle name="Note 4 4 14_Sheet1" xfId="43706"/>
    <cellStyle name="Note 4 4 15" xfId="43707"/>
    <cellStyle name="Note 4 4 15 2" xfId="43708"/>
    <cellStyle name="Note 4 4 15 2 2" xfId="43709"/>
    <cellStyle name="Note 4 4 15 2 2 2" xfId="43710"/>
    <cellStyle name="Note 4 4 15 2 2_Sheet1" xfId="43711"/>
    <cellStyle name="Note 4 4 15 2 3" xfId="43712"/>
    <cellStyle name="Note 4 4 15 2_Sheet1" xfId="43713"/>
    <cellStyle name="Note 4 4 15 3" xfId="43714"/>
    <cellStyle name="Note 4 4 15 3 2" xfId="43715"/>
    <cellStyle name="Note 4 4 15 3 2 2" xfId="43716"/>
    <cellStyle name="Note 4 4 15 3 2_Sheet1" xfId="43717"/>
    <cellStyle name="Note 4 4 15 3 3" xfId="43718"/>
    <cellStyle name="Note 4 4 15 3_Sheet1" xfId="43719"/>
    <cellStyle name="Note 4 4 15 4" xfId="43720"/>
    <cellStyle name="Note 4 4 15 4 2" xfId="43721"/>
    <cellStyle name="Note 4 4 15 4 2 2" xfId="43722"/>
    <cellStyle name="Note 4 4 15 4 2_Sheet1" xfId="43723"/>
    <cellStyle name="Note 4 4 15 4 3" xfId="43724"/>
    <cellStyle name="Note 4 4 15 4_Sheet1" xfId="43725"/>
    <cellStyle name="Note 4 4 15 5" xfId="43726"/>
    <cellStyle name="Note 4 4 15_Sheet1" xfId="43727"/>
    <cellStyle name="Note 4 4 16" xfId="43728"/>
    <cellStyle name="Note 4 4 16 2" xfId="43729"/>
    <cellStyle name="Note 4 4 16 2 2" xfId="43730"/>
    <cellStyle name="Note 4 4 16 2 2 2" xfId="43731"/>
    <cellStyle name="Note 4 4 16 2 2_Sheet1" xfId="43732"/>
    <cellStyle name="Note 4 4 16 2 3" xfId="43733"/>
    <cellStyle name="Note 4 4 16 2_Sheet1" xfId="43734"/>
    <cellStyle name="Note 4 4 16 3" xfId="43735"/>
    <cellStyle name="Note 4 4 16 3 2" xfId="43736"/>
    <cellStyle name="Note 4 4 16 3 2 2" xfId="43737"/>
    <cellStyle name="Note 4 4 16 3 2_Sheet1" xfId="43738"/>
    <cellStyle name="Note 4 4 16 3 3" xfId="43739"/>
    <cellStyle name="Note 4 4 16 3_Sheet1" xfId="43740"/>
    <cellStyle name="Note 4 4 16 4" xfId="43741"/>
    <cellStyle name="Note 4 4 16 4 2" xfId="43742"/>
    <cellStyle name="Note 4 4 16 4 2 2" xfId="43743"/>
    <cellStyle name="Note 4 4 16 4 2_Sheet1" xfId="43744"/>
    <cellStyle name="Note 4 4 16 4 3" xfId="43745"/>
    <cellStyle name="Note 4 4 16 4_Sheet1" xfId="43746"/>
    <cellStyle name="Note 4 4 16 5" xfId="43747"/>
    <cellStyle name="Note 4 4 16_Sheet1" xfId="43748"/>
    <cellStyle name="Note 4 4 17" xfId="43749"/>
    <cellStyle name="Note 4 4 17 2" xfId="43750"/>
    <cellStyle name="Note 4 4 17 2 2" xfId="43751"/>
    <cellStyle name="Note 4 4 17 2 2 2" xfId="43752"/>
    <cellStyle name="Note 4 4 17 2 2_Sheet1" xfId="43753"/>
    <cellStyle name="Note 4 4 17 2 3" xfId="43754"/>
    <cellStyle name="Note 4 4 17 2_Sheet1" xfId="43755"/>
    <cellStyle name="Note 4 4 17 3" xfId="43756"/>
    <cellStyle name="Note 4 4 17 3 2" xfId="43757"/>
    <cellStyle name="Note 4 4 17 3 2 2" xfId="43758"/>
    <cellStyle name="Note 4 4 17 3 2_Sheet1" xfId="43759"/>
    <cellStyle name="Note 4 4 17 3 3" xfId="43760"/>
    <cellStyle name="Note 4 4 17 3_Sheet1" xfId="43761"/>
    <cellStyle name="Note 4 4 17 4" xfId="43762"/>
    <cellStyle name="Note 4 4 17 4 2" xfId="43763"/>
    <cellStyle name="Note 4 4 17 4 2 2" xfId="43764"/>
    <cellStyle name="Note 4 4 17 4 2_Sheet1" xfId="43765"/>
    <cellStyle name="Note 4 4 17 4 3" xfId="43766"/>
    <cellStyle name="Note 4 4 17 4_Sheet1" xfId="43767"/>
    <cellStyle name="Note 4 4 17 5" xfId="43768"/>
    <cellStyle name="Note 4 4 17_Sheet1" xfId="43769"/>
    <cellStyle name="Note 4 4 18" xfId="43770"/>
    <cellStyle name="Note 4 4 18 2" xfId="43771"/>
    <cellStyle name="Note 4 4 18 2 2" xfId="43772"/>
    <cellStyle name="Note 4 4 18 2 2 2" xfId="43773"/>
    <cellStyle name="Note 4 4 18 2 2_Sheet1" xfId="43774"/>
    <cellStyle name="Note 4 4 18 2 3" xfId="43775"/>
    <cellStyle name="Note 4 4 18 2_Sheet1" xfId="43776"/>
    <cellStyle name="Note 4 4 18 3" xfId="43777"/>
    <cellStyle name="Note 4 4 18 3 2" xfId="43778"/>
    <cellStyle name="Note 4 4 18 3 2 2" xfId="43779"/>
    <cellStyle name="Note 4 4 18 3 2_Sheet1" xfId="43780"/>
    <cellStyle name="Note 4 4 18 3 3" xfId="43781"/>
    <cellStyle name="Note 4 4 18 3_Sheet1" xfId="43782"/>
    <cellStyle name="Note 4 4 18 4" xfId="43783"/>
    <cellStyle name="Note 4 4 18 4 2" xfId="43784"/>
    <cellStyle name="Note 4 4 18 4 2 2" xfId="43785"/>
    <cellStyle name="Note 4 4 18 4 2_Sheet1" xfId="43786"/>
    <cellStyle name="Note 4 4 18 4 3" xfId="43787"/>
    <cellStyle name="Note 4 4 18 4_Sheet1" xfId="43788"/>
    <cellStyle name="Note 4 4 18 5" xfId="43789"/>
    <cellStyle name="Note 4 4 18_Sheet1" xfId="43790"/>
    <cellStyle name="Note 4 4 19" xfId="43791"/>
    <cellStyle name="Note 4 4 19 2" xfId="43792"/>
    <cellStyle name="Note 4 4 19 2 2" xfId="43793"/>
    <cellStyle name="Note 4 4 19 2_Sheet1" xfId="43794"/>
    <cellStyle name="Note 4 4 19 3" xfId="43795"/>
    <cellStyle name="Note 4 4 19_Sheet1" xfId="43796"/>
    <cellStyle name="Note 4 4 2" xfId="43797"/>
    <cellStyle name="Note 4 4 2 2" xfId="43798"/>
    <cellStyle name="Note 4 4 2 2 2" xfId="43799"/>
    <cellStyle name="Note 4 4 2 2 2 2" xfId="43800"/>
    <cellStyle name="Note 4 4 2 2 2_Sheet1" xfId="43801"/>
    <cellStyle name="Note 4 4 2 2 3" xfId="43802"/>
    <cellStyle name="Note 4 4 2 2_Sheet1" xfId="43803"/>
    <cellStyle name="Note 4 4 2 3" xfId="43804"/>
    <cellStyle name="Note 4 4 2 3 2" xfId="43805"/>
    <cellStyle name="Note 4 4 2 3 2 2" xfId="43806"/>
    <cellStyle name="Note 4 4 2 3 2_Sheet1" xfId="43807"/>
    <cellStyle name="Note 4 4 2 3 3" xfId="43808"/>
    <cellStyle name="Note 4 4 2 3_Sheet1" xfId="43809"/>
    <cellStyle name="Note 4 4 2 4" xfId="43810"/>
    <cellStyle name="Note 4 4 2 4 2" xfId="43811"/>
    <cellStyle name="Note 4 4 2 4 2 2" xfId="43812"/>
    <cellStyle name="Note 4 4 2 4 2_Sheet1" xfId="43813"/>
    <cellStyle name="Note 4 4 2 4 3" xfId="43814"/>
    <cellStyle name="Note 4 4 2 4_Sheet1" xfId="43815"/>
    <cellStyle name="Note 4 4 2 5" xfId="43816"/>
    <cellStyle name="Note 4 4 2_Sheet1" xfId="43817"/>
    <cellStyle name="Note 4 4 20" xfId="43818"/>
    <cellStyle name="Note 4 4 20 2" xfId="43819"/>
    <cellStyle name="Note 4 4 20 2 2" xfId="43820"/>
    <cellStyle name="Note 4 4 20 2_Sheet1" xfId="43821"/>
    <cellStyle name="Note 4 4 20 3" xfId="43822"/>
    <cellStyle name="Note 4 4 20_Sheet1" xfId="43823"/>
    <cellStyle name="Note 4 4 21" xfId="43824"/>
    <cellStyle name="Note 4 4 21 2" xfId="43825"/>
    <cellStyle name="Note 4 4 21 2 2" xfId="43826"/>
    <cellStyle name="Note 4 4 21 2_Sheet1" xfId="43827"/>
    <cellStyle name="Note 4 4 21 3" xfId="43828"/>
    <cellStyle name="Note 4 4 21_Sheet1" xfId="43829"/>
    <cellStyle name="Note 4 4 22" xfId="43830"/>
    <cellStyle name="Note 4 4 3" xfId="43831"/>
    <cellStyle name="Note 4 4 3 2" xfId="43832"/>
    <cellStyle name="Note 4 4 3 2 2" xfId="43833"/>
    <cellStyle name="Note 4 4 3 2 2 2" xfId="43834"/>
    <cellStyle name="Note 4 4 3 2 2_Sheet1" xfId="43835"/>
    <cellStyle name="Note 4 4 3 2 3" xfId="43836"/>
    <cellStyle name="Note 4 4 3 2_Sheet1" xfId="43837"/>
    <cellStyle name="Note 4 4 3 3" xfId="43838"/>
    <cellStyle name="Note 4 4 3 3 2" xfId="43839"/>
    <cellStyle name="Note 4 4 3 3 2 2" xfId="43840"/>
    <cellStyle name="Note 4 4 3 3 2_Sheet1" xfId="43841"/>
    <cellStyle name="Note 4 4 3 3 3" xfId="43842"/>
    <cellStyle name="Note 4 4 3 3_Sheet1" xfId="43843"/>
    <cellStyle name="Note 4 4 3 4" xfId="43844"/>
    <cellStyle name="Note 4 4 3 4 2" xfId="43845"/>
    <cellStyle name="Note 4 4 3 4 2 2" xfId="43846"/>
    <cellStyle name="Note 4 4 3 4 2_Sheet1" xfId="43847"/>
    <cellStyle name="Note 4 4 3 4 3" xfId="43848"/>
    <cellStyle name="Note 4 4 3 4_Sheet1" xfId="43849"/>
    <cellStyle name="Note 4 4 3 5" xfId="43850"/>
    <cellStyle name="Note 4 4 3_Sheet1" xfId="43851"/>
    <cellStyle name="Note 4 4 4" xfId="43852"/>
    <cellStyle name="Note 4 4 4 2" xfId="43853"/>
    <cellStyle name="Note 4 4 4 2 2" xfId="43854"/>
    <cellStyle name="Note 4 4 4 2 2 2" xfId="43855"/>
    <cellStyle name="Note 4 4 4 2 2_Sheet1" xfId="43856"/>
    <cellStyle name="Note 4 4 4 2 3" xfId="43857"/>
    <cellStyle name="Note 4 4 4 2_Sheet1" xfId="43858"/>
    <cellStyle name="Note 4 4 4 3" xfId="43859"/>
    <cellStyle name="Note 4 4 4 3 2" xfId="43860"/>
    <cellStyle name="Note 4 4 4 3 2 2" xfId="43861"/>
    <cellStyle name="Note 4 4 4 3 2_Sheet1" xfId="43862"/>
    <cellStyle name="Note 4 4 4 3 3" xfId="43863"/>
    <cellStyle name="Note 4 4 4 3_Sheet1" xfId="43864"/>
    <cellStyle name="Note 4 4 4 4" xfId="43865"/>
    <cellStyle name="Note 4 4 4 4 2" xfId="43866"/>
    <cellStyle name="Note 4 4 4 4 2 2" xfId="43867"/>
    <cellStyle name="Note 4 4 4 4 2_Sheet1" xfId="43868"/>
    <cellStyle name="Note 4 4 4 4 3" xfId="43869"/>
    <cellStyle name="Note 4 4 4 4_Sheet1" xfId="43870"/>
    <cellStyle name="Note 4 4 4 5" xfId="43871"/>
    <cellStyle name="Note 4 4 4_Sheet1" xfId="43872"/>
    <cellStyle name="Note 4 4 5" xfId="43873"/>
    <cellStyle name="Note 4 4 5 2" xfId="43874"/>
    <cellStyle name="Note 4 4 5 2 2" xfId="43875"/>
    <cellStyle name="Note 4 4 5 2 2 2" xfId="43876"/>
    <cellStyle name="Note 4 4 5 2 2_Sheet1" xfId="43877"/>
    <cellStyle name="Note 4 4 5 2 3" xfId="43878"/>
    <cellStyle name="Note 4 4 5 2_Sheet1" xfId="43879"/>
    <cellStyle name="Note 4 4 5 3" xfId="43880"/>
    <cellStyle name="Note 4 4 5 3 2" xfId="43881"/>
    <cellStyle name="Note 4 4 5 3 2 2" xfId="43882"/>
    <cellStyle name="Note 4 4 5 3 2_Sheet1" xfId="43883"/>
    <cellStyle name="Note 4 4 5 3 3" xfId="43884"/>
    <cellStyle name="Note 4 4 5 3_Sheet1" xfId="43885"/>
    <cellStyle name="Note 4 4 5 4" xfId="43886"/>
    <cellStyle name="Note 4 4 5 4 2" xfId="43887"/>
    <cellStyle name="Note 4 4 5 4 2 2" xfId="43888"/>
    <cellStyle name="Note 4 4 5 4 2_Sheet1" xfId="43889"/>
    <cellStyle name="Note 4 4 5 4 3" xfId="43890"/>
    <cellStyle name="Note 4 4 5 4_Sheet1" xfId="43891"/>
    <cellStyle name="Note 4 4 5 5" xfId="43892"/>
    <cellStyle name="Note 4 4 5_Sheet1" xfId="43893"/>
    <cellStyle name="Note 4 4 6" xfId="43894"/>
    <cellStyle name="Note 4 4 6 2" xfId="43895"/>
    <cellStyle name="Note 4 4 6 2 2" xfId="43896"/>
    <cellStyle name="Note 4 4 6 2 2 2" xfId="43897"/>
    <cellStyle name="Note 4 4 6 2 2_Sheet1" xfId="43898"/>
    <cellStyle name="Note 4 4 6 2 3" xfId="43899"/>
    <cellStyle name="Note 4 4 6 2_Sheet1" xfId="43900"/>
    <cellStyle name="Note 4 4 6 3" xfId="43901"/>
    <cellStyle name="Note 4 4 6 3 2" xfId="43902"/>
    <cellStyle name="Note 4 4 6 3 2 2" xfId="43903"/>
    <cellStyle name="Note 4 4 6 3 2_Sheet1" xfId="43904"/>
    <cellStyle name="Note 4 4 6 3 3" xfId="43905"/>
    <cellStyle name="Note 4 4 6 3_Sheet1" xfId="43906"/>
    <cellStyle name="Note 4 4 6 4" xfId="43907"/>
    <cellStyle name="Note 4 4 6 4 2" xfId="43908"/>
    <cellStyle name="Note 4 4 6 4 2 2" xfId="43909"/>
    <cellStyle name="Note 4 4 6 4 2_Sheet1" xfId="43910"/>
    <cellStyle name="Note 4 4 6 4 3" xfId="43911"/>
    <cellStyle name="Note 4 4 6 4_Sheet1" xfId="43912"/>
    <cellStyle name="Note 4 4 6 5" xfId="43913"/>
    <cellStyle name="Note 4 4 6_Sheet1" xfId="43914"/>
    <cellStyle name="Note 4 4 7" xfId="43915"/>
    <cellStyle name="Note 4 4 7 2" xfId="43916"/>
    <cellStyle name="Note 4 4 7 2 2" xfId="43917"/>
    <cellStyle name="Note 4 4 7 2 2 2" xfId="43918"/>
    <cellStyle name="Note 4 4 7 2 2_Sheet1" xfId="43919"/>
    <cellStyle name="Note 4 4 7 2 3" xfId="43920"/>
    <cellStyle name="Note 4 4 7 2_Sheet1" xfId="43921"/>
    <cellStyle name="Note 4 4 7 3" xfId="43922"/>
    <cellStyle name="Note 4 4 7 3 2" xfId="43923"/>
    <cellStyle name="Note 4 4 7 3 2 2" xfId="43924"/>
    <cellStyle name="Note 4 4 7 3 2_Sheet1" xfId="43925"/>
    <cellStyle name="Note 4 4 7 3 3" xfId="43926"/>
    <cellStyle name="Note 4 4 7 3_Sheet1" xfId="43927"/>
    <cellStyle name="Note 4 4 7 4" xfId="43928"/>
    <cellStyle name="Note 4 4 7 4 2" xfId="43929"/>
    <cellStyle name="Note 4 4 7 4 2 2" xfId="43930"/>
    <cellStyle name="Note 4 4 7 4 2_Sheet1" xfId="43931"/>
    <cellStyle name="Note 4 4 7 4 3" xfId="43932"/>
    <cellStyle name="Note 4 4 7 4_Sheet1" xfId="43933"/>
    <cellStyle name="Note 4 4 7 5" xfId="43934"/>
    <cellStyle name="Note 4 4 7_Sheet1" xfId="43935"/>
    <cellStyle name="Note 4 4 8" xfId="43936"/>
    <cellStyle name="Note 4 4 8 2" xfId="43937"/>
    <cellStyle name="Note 4 4 8 2 2" xfId="43938"/>
    <cellStyle name="Note 4 4 8 2 2 2" xfId="43939"/>
    <cellStyle name="Note 4 4 8 2 2_Sheet1" xfId="43940"/>
    <cellStyle name="Note 4 4 8 2 3" xfId="43941"/>
    <cellStyle name="Note 4 4 8 2_Sheet1" xfId="43942"/>
    <cellStyle name="Note 4 4 8 3" xfId="43943"/>
    <cellStyle name="Note 4 4 8 3 2" xfId="43944"/>
    <cellStyle name="Note 4 4 8 3 2 2" xfId="43945"/>
    <cellStyle name="Note 4 4 8 3 2_Sheet1" xfId="43946"/>
    <cellStyle name="Note 4 4 8 3 3" xfId="43947"/>
    <cellStyle name="Note 4 4 8 3_Sheet1" xfId="43948"/>
    <cellStyle name="Note 4 4 8 4" xfId="43949"/>
    <cellStyle name="Note 4 4 8 4 2" xfId="43950"/>
    <cellStyle name="Note 4 4 8 4 2 2" xfId="43951"/>
    <cellStyle name="Note 4 4 8 4 2_Sheet1" xfId="43952"/>
    <cellStyle name="Note 4 4 8 4 3" xfId="43953"/>
    <cellStyle name="Note 4 4 8 4_Sheet1" xfId="43954"/>
    <cellStyle name="Note 4 4 8 5" xfId="43955"/>
    <cellStyle name="Note 4 4 8_Sheet1" xfId="43956"/>
    <cellStyle name="Note 4 4 9" xfId="43957"/>
    <cellStyle name="Note 4 4 9 2" xfId="43958"/>
    <cellStyle name="Note 4 4 9 2 2" xfId="43959"/>
    <cellStyle name="Note 4 4 9 2 2 2" xfId="43960"/>
    <cellStyle name="Note 4 4 9 2 2_Sheet1" xfId="43961"/>
    <cellStyle name="Note 4 4 9 2 3" xfId="43962"/>
    <cellStyle name="Note 4 4 9 2_Sheet1" xfId="43963"/>
    <cellStyle name="Note 4 4 9 3" xfId="43964"/>
    <cellStyle name="Note 4 4 9 3 2" xfId="43965"/>
    <cellStyle name="Note 4 4 9 3 2 2" xfId="43966"/>
    <cellStyle name="Note 4 4 9 3 2_Sheet1" xfId="43967"/>
    <cellStyle name="Note 4 4 9 3 3" xfId="43968"/>
    <cellStyle name="Note 4 4 9 3_Sheet1" xfId="43969"/>
    <cellStyle name="Note 4 4 9 4" xfId="43970"/>
    <cellStyle name="Note 4 4 9 4 2" xfId="43971"/>
    <cellStyle name="Note 4 4 9 4 2 2" xfId="43972"/>
    <cellStyle name="Note 4 4 9 4 2_Sheet1" xfId="43973"/>
    <cellStyle name="Note 4 4 9 4 3" xfId="43974"/>
    <cellStyle name="Note 4 4 9 4_Sheet1" xfId="43975"/>
    <cellStyle name="Note 4 4 9 5" xfId="43976"/>
    <cellStyle name="Note 4 4 9_Sheet1" xfId="43977"/>
    <cellStyle name="Note 4 4_Sheet1" xfId="43978"/>
    <cellStyle name="Note 4 5" xfId="43979"/>
    <cellStyle name="Note 4 5 2" xfId="43980"/>
    <cellStyle name="Note 4 5 2 2" xfId="43981"/>
    <cellStyle name="Note 4 5 2 2 2" xfId="43982"/>
    <cellStyle name="Note 4 5 2 2_Sheet1" xfId="43983"/>
    <cellStyle name="Note 4 5 2 3" xfId="43984"/>
    <cellStyle name="Note 4 5 2_Sheet1" xfId="43985"/>
    <cellStyle name="Note 4 5 3" xfId="43986"/>
    <cellStyle name="Note 4 5 3 2" xfId="43987"/>
    <cellStyle name="Note 4 5 3 2 2" xfId="43988"/>
    <cellStyle name="Note 4 5 3 2_Sheet1" xfId="43989"/>
    <cellStyle name="Note 4 5 3 3" xfId="43990"/>
    <cellStyle name="Note 4 5 3_Sheet1" xfId="43991"/>
    <cellStyle name="Note 4 5 4" xfId="43992"/>
    <cellStyle name="Note 4 5 4 2" xfId="43993"/>
    <cellStyle name="Note 4 5 4 2 2" xfId="43994"/>
    <cellStyle name="Note 4 5 4 2_Sheet1" xfId="43995"/>
    <cellStyle name="Note 4 5 4 3" xfId="43996"/>
    <cellStyle name="Note 4 5 4_Sheet1" xfId="43997"/>
    <cellStyle name="Note 4 5 5" xfId="43998"/>
    <cellStyle name="Note 4 5_Sheet1" xfId="43999"/>
    <cellStyle name="Note 4 6" xfId="44000"/>
    <cellStyle name="Note 4 6 2" xfId="44001"/>
    <cellStyle name="Note 4 6 2 2" xfId="44002"/>
    <cellStyle name="Note 4 6 2 2 2" xfId="44003"/>
    <cellStyle name="Note 4 6 2 2_Sheet1" xfId="44004"/>
    <cellStyle name="Note 4 6 2 3" xfId="44005"/>
    <cellStyle name="Note 4 6 2_Sheet1" xfId="44006"/>
    <cellStyle name="Note 4 6 3" xfId="44007"/>
    <cellStyle name="Note 4 6 3 2" xfId="44008"/>
    <cellStyle name="Note 4 6 3 2 2" xfId="44009"/>
    <cellStyle name="Note 4 6 3 2_Sheet1" xfId="44010"/>
    <cellStyle name="Note 4 6 3 3" xfId="44011"/>
    <cellStyle name="Note 4 6 3_Sheet1" xfId="44012"/>
    <cellStyle name="Note 4 6 4" xfId="44013"/>
    <cellStyle name="Note 4 6 4 2" xfId="44014"/>
    <cellStyle name="Note 4 6 4 2 2" xfId="44015"/>
    <cellStyle name="Note 4 6 4 2_Sheet1" xfId="44016"/>
    <cellStyle name="Note 4 6 4 3" xfId="44017"/>
    <cellStyle name="Note 4 6 4_Sheet1" xfId="44018"/>
    <cellStyle name="Note 4 6 5" xfId="44019"/>
    <cellStyle name="Note 4 6_Sheet1" xfId="44020"/>
    <cellStyle name="Note 4 7" xfId="44021"/>
    <cellStyle name="Note 4 7 2" xfId="44022"/>
    <cellStyle name="Note 4 7 2 2" xfId="44023"/>
    <cellStyle name="Note 4 7 2 2 2" xfId="44024"/>
    <cellStyle name="Note 4 7 2 2_Sheet1" xfId="44025"/>
    <cellStyle name="Note 4 7 2 3" xfId="44026"/>
    <cellStyle name="Note 4 7 2_Sheet1" xfId="44027"/>
    <cellStyle name="Note 4 7 3" xfId="44028"/>
    <cellStyle name="Note 4 7 3 2" xfId="44029"/>
    <cellStyle name="Note 4 7 3 2 2" xfId="44030"/>
    <cellStyle name="Note 4 7 3 2_Sheet1" xfId="44031"/>
    <cellStyle name="Note 4 7 3 3" xfId="44032"/>
    <cellStyle name="Note 4 7 3_Sheet1" xfId="44033"/>
    <cellStyle name="Note 4 7 4" xfId="44034"/>
    <cellStyle name="Note 4 7 4 2" xfId="44035"/>
    <cellStyle name="Note 4 7 4 2 2" xfId="44036"/>
    <cellStyle name="Note 4 7 4 2_Sheet1" xfId="44037"/>
    <cellStyle name="Note 4 7 4 3" xfId="44038"/>
    <cellStyle name="Note 4 7 4_Sheet1" xfId="44039"/>
    <cellStyle name="Note 4 7 5" xfId="44040"/>
    <cellStyle name="Note 4 7_Sheet1" xfId="44041"/>
    <cellStyle name="Note 4 8" xfId="44042"/>
    <cellStyle name="Note 4 8 2" xfId="44043"/>
    <cellStyle name="Note 4 8 2 2" xfId="44044"/>
    <cellStyle name="Note 4 8 2 2 2" xfId="44045"/>
    <cellStyle name="Note 4 8 2 2_Sheet1" xfId="44046"/>
    <cellStyle name="Note 4 8 2 3" xfId="44047"/>
    <cellStyle name="Note 4 8 2_Sheet1" xfId="44048"/>
    <cellStyle name="Note 4 8 3" xfId="44049"/>
    <cellStyle name="Note 4 8 3 2" xfId="44050"/>
    <cellStyle name="Note 4 8 3 2 2" xfId="44051"/>
    <cellStyle name="Note 4 8 3 2_Sheet1" xfId="44052"/>
    <cellStyle name="Note 4 8 3 3" xfId="44053"/>
    <cellStyle name="Note 4 8 3_Sheet1" xfId="44054"/>
    <cellStyle name="Note 4 8 4" xfId="44055"/>
    <cellStyle name="Note 4 8 4 2" xfId="44056"/>
    <cellStyle name="Note 4 8 4 2 2" xfId="44057"/>
    <cellStyle name="Note 4 8 4 2_Sheet1" xfId="44058"/>
    <cellStyle name="Note 4 8 4 3" xfId="44059"/>
    <cellStyle name="Note 4 8 4_Sheet1" xfId="44060"/>
    <cellStyle name="Note 4 8 5" xfId="44061"/>
    <cellStyle name="Note 4 8_Sheet1" xfId="44062"/>
    <cellStyle name="Note 4 9" xfId="44063"/>
    <cellStyle name="Note 4 9 2" xfId="44064"/>
    <cellStyle name="Note 4 9 2 2" xfId="44065"/>
    <cellStyle name="Note 4 9 2 2 2" xfId="44066"/>
    <cellStyle name="Note 4 9 2 2_Sheet1" xfId="44067"/>
    <cellStyle name="Note 4 9 2 3" xfId="44068"/>
    <cellStyle name="Note 4 9 2_Sheet1" xfId="44069"/>
    <cellStyle name="Note 4 9 3" xfId="44070"/>
    <cellStyle name="Note 4 9 3 2" xfId="44071"/>
    <cellStyle name="Note 4 9 3 2 2" xfId="44072"/>
    <cellStyle name="Note 4 9 3 2_Sheet1" xfId="44073"/>
    <cellStyle name="Note 4 9 3 3" xfId="44074"/>
    <cellStyle name="Note 4 9 3_Sheet1" xfId="44075"/>
    <cellStyle name="Note 4 9 4" xfId="44076"/>
    <cellStyle name="Note 4 9 4 2" xfId="44077"/>
    <cellStyle name="Note 4 9 4 2 2" xfId="44078"/>
    <cellStyle name="Note 4 9 4 2_Sheet1" xfId="44079"/>
    <cellStyle name="Note 4 9 4 3" xfId="44080"/>
    <cellStyle name="Note 4 9 4_Sheet1" xfId="44081"/>
    <cellStyle name="Note 4 9 5" xfId="44082"/>
    <cellStyle name="Note 4 9_Sheet1" xfId="44083"/>
    <cellStyle name="Note 4_Laporan Aspal Per Bulan 2009" xfId="44084"/>
    <cellStyle name="Note 5" xfId="44085"/>
    <cellStyle name="Note 5 10" xfId="44086"/>
    <cellStyle name="Note 5 10 2" xfId="44087"/>
    <cellStyle name="Note 5 10 2 2" xfId="44088"/>
    <cellStyle name="Note 5 10 2 2 2" xfId="44089"/>
    <cellStyle name="Note 5 10 2 2_Sheet1" xfId="44090"/>
    <cellStyle name="Note 5 10 2 3" xfId="44091"/>
    <cellStyle name="Note 5 10 2_Sheet1" xfId="44092"/>
    <cellStyle name="Note 5 10 3" xfId="44093"/>
    <cellStyle name="Note 5 10 3 2" xfId="44094"/>
    <cellStyle name="Note 5 10 3 2 2" xfId="44095"/>
    <cellStyle name="Note 5 10 3 2_Sheet1" xfId="44096"/>
    <cellStyle name="Note 5 10 3 3" xfId="44097"/>
    <cellStyle name="Note 5 10 3_Sheet1" xfId="44098"/>
    <cellStyle name="Note 5 10 4" xfId="44099"/>
    <cellStyle name="Note 5 10 4 2" xfId="44100"/>
    <cellStyle name="Note 5 10 4 2 2" xfId="44101"/>
    <cellStyle name="Note 5 10 4 2_Sheet1" xfId="44102"/>
    <cellStyle name="Note 5 10 4 3" xfId="44103"/>
    <cellStyle name="Note 5 10 4_Sheet1" xfId="44104"/>
    <cellStyle name="Note 5 10 5" xfId="44105"/>
    <cellStyle name="Note 5 10_Sheet1" xfId="44106"/>
    <cellStyle name="Note 5 11" xfId="44107"/>
    <cellStyle name="Note 5 11 2" xfId="44108"/>
    <cellStyle name="Note 5 11 2 2" xfId="44109"/>
    <cellStyle name="Note 5 11 2 2 2" xfId="44110"/>
    <cellStyle name="Note 5 11 2 2_Sheet1" xfId="44111"/>
    <cellStyle name="Note 5 11 2 3" xfId="44112"/>
    <cellStyle name="Note 5 11 2_Sheet1" xfId="44113"/>
    <cellStyle name="Note 5 11 3" xfId="44114"/>
    <cellStyle name="Note 5 11 3 2" xfId="44115"/>
    <cellStyle name="Note 5 11 3 2 2" xfId="44116"/>
    <cellStyle name="Note 5 11 3 2_Sheet1" xfId="44117"/>
    <cellStyle name="Note 5 11 3 3" xfId="44118"/>
    <cellStyle name="Note 5 11 3_Sheet1" xfId="44119"/>
    <cellStyle name="Note 5 11 4" xfId="44120"/>
    <cellStyle name="Note 5 11 4 2" xfId="44121"/>
    <cellStyle name="Note 5 11 4 2 2" xfId="44122"/>
    <cellStyle name="Note 5 11 4 2_Sheet1" xfId="44123"/>
    <cellStyle name="Note 5 11 4 3" xfId="44124"/>
    <cellStyle name="Note 5 11 4_Sheet1" xfId="44125"/>
    <cellStyle name="Note 5 11 5" xfId="44126"/>
    <cellStyle name="Note 5 11_Sheet1" xfId="44127"/>
    <cellStyle name="Note 5 12" xfId="44128"/>
    <cellStyle name="Note 5 12 2" xfId="44129"/>
    <cellStyle name="Note 5 12 2 2" xfId="44130"/>
    <cellStyle name="Note 5 12 2 2 2" xfId="44131"/>
    <cellStyle name="Note 5 12 2 2_Sheet1" xfId="44132"/>
    <cellStyle name="Note 5 12 2 3" xfId="44133"/>
    <cellStyle name="Note 5 12 2_Sheet1" xfId="44134"/>
    <cellStyle name="Note 5 12 3" xfId="44135"/>
    <cellStyle name="Note 5 12 3 2" xfId="44136"/>
    <cellStyle name="Note 5 12 3 2 2" xfId="44137"/>
    <cellStyle name="Note 5 12 3 2_Sheet1" xfId="44138"/>
    <cellStyle name="Note 5 12 3 3" xfId="44139"/>
    <cellStyle name="Note 5 12 3_Sheet1" xfId="44140"/>
    <cellStyle name="Note 5 12 4" xfId="44141"/>
    <cellStyle name="Note 5 12 4 2" xfId="44142"/>
    <cellStyle name="Note 5 12 4 2 2" xfId="44143"/>
    <cellStyle name="Note 5 12 4 2_Sheet1" xfId="44144"/>
    <cellStyle name="Note 5 12 4 3" xfId="44145"/>
    <cellStyle name="Note 5 12 4_Sheet1" xfId="44146"/>
    <cellStyle name="Note 5 12 5" xfId="44147"/>
    <cellStyle name="Note 5 12_Sheet1" xfId="44148"/>
    <cellStyle name="Note 5 13" xfId="44149"/>
    <cellStyle name="Note 5 13 2" xfId="44150"/>
    <cellStyle name="Note 5 13 2 2" xfId="44151"/>
    <cellStyle name="Note 5 13 2 2 2" xfId="44152"/>
    <cellStyle name="Note 5 13 2 2_Sheet1" xfId="44153"/>
    <cellStyle name="Note 5 13 2 3" xfId="44154"/>
    <cellStyle name="Note 5 13 2_Sheet1" xfId="44155"/>
    <cellStyle name="Note 5 13 3" xfId="44156"/>
    <cellStyle name="Note 5 13 3 2" xfId="44157"/>
    <cellStyle name="Note 5 13 3 2 2" xfId="44158"/>
    <cellStyle name="Note 5 13 3 2_Sheet1" xfId="44159"/>
    <cellStyle name="Note 5 13 3 3" xfId="44160"/>
    <cellStyle name="Note 5 13 3_Sheet1" xfId="44161"/>
    <cellStyle name="Note 5 13 4" xfId="44162"/>
    <cellStyle name="Note 5 13 4 2" xfId="44163"/>
    <cellStyle name="Note 5 13 4 2 2" xfId="44164"/>
    <cellStyle name="Note 5 13 4 2_Sheet1" xfId="44165"/>
    <cellStyle name="Note 5 13 4 3" xfId="44166"/>
    <cellStyle name="Note 5 13 4_Sheet1" xfId="44167"/>
    <cellStyle name="Note 5 13 5" xfId="44168"/>
    <cellStyle name="Note 5 13_Sheet1" xfId="44169"/>
    <cellStyle name="Note 5 14" xfId="44170"/>
    <cellStyle name="Note 5 14 2" xfId="44171"/>
    <cellStyle name="Note 5 14 2 2" xfId="44172"/>
    <cellStyle name="Note 5 14 2 2 2" xfId="44173"/>
    <cellStyle name="Note 5 14 2 2_Sheet1" xfId="44174"/>
    <cellStyle name="Note 5 14 2 3" xfId="44175"/>
    <cellStyle name="Note 5 14 2_Sheet1" xfId="44176"/>
    <cellStyle name="Note 5 14 3" xfId="44177"/>
    <cellStyle name="Note 5 14 3 2" xfId="44178"/>
    <cellStyle name="Note 5 14 3 2 2" xfId="44179"/>
    <cellStyle name="Note 5 14 3 2_Sheet1" xfId="44180"/>
    <cellStyle name="Note 5 14 3 3" xfId="44181"/>
    <cellStyle name="Note 5 14 3_Sheet1" xfId="44182"/>
    <cellStyle name="Note 5 14 4" xfId="44183"/>
    <cellStyle name="Note 5 14 4 2" xfId="44184"/>
    <cellStyle name="Note 5 14 4 2 2" xfId="44185"/>
    <cellStyle name="Note 5 14 4 2_Sheet1" xfId="44186"/>
    <cellStyle name="Note 5 14 4 3" xfId="44187"/>
    <cellStyle name="Note 5 14 4_Sheet1" xfId="44188"/>
    <cellStyle name="Note 5 14 5" xfId="44189"/>
    <cellStyle name="Note 5 14_Sheet1" xfId="44190"/>
    <cellStyle name="Note 5 15" xfId="44191"/>
    <cellStyle name="Note 5 15 2" xfId="44192"/>
    <cellStyle name="Note 5 15 2 2" xfId="44193"/>
    <cellStyle name="Note 5 15 2 2 2" xfId="44194"/>
    <cellStyle name="Note 5 15 2 2_Sheet1" xfId="44195"/>
    <cellStyle name="Note 5 15 2 3" xfId="44196"/>
    <cellStyle name="Note 5 15 2_Sheet1" xfId="44197"/>
    <cellStyle name="Note 5 15 3" xfId="44198"/>
    <cellStyle name="Note 5 15 3 2" xfId="44199"/>
    <cellStyle name="Note 5 15 3 2 2" xfId="44200"/>
    <cellStyle name="Note 5 15 3 2_Sheet1" xfId="44201"/>
    <cellStyle name="Note 5 15 3 3" xfId="44202"/>
    <cellStyle name="Note 5 15 3_Sheet1" xfId="44203"/>
    <cellStyle name="Note 5 15 4" xfId="44204"/>
    <cellStyle name="Note 5 15 4 2" xfId="44205"/>
    <cellStyle name="Note 5 15 4 2 2" xfId="44206"/>
    <cellStyle name="Note 5 15 4 2_Sheet1" xfId="44207"/>
    <cellStyle name="Note 5 15 4 3" xfId="44208"/>
    <cellStyle name="Note 5 15 4_Sheet1" xfId="44209"/>
    <cellStyle name="Note 5 15 5" xfId="44210"/>
    <cellStyle name="Note 5 15_Sheet1" xfId="44211"/>
    <cellStyle name="Note 5 16" xfId="44212"/>
    <cellStyle name="Note 5 16 2" xfId="44213"/>
    <cellStyle name="Note 5 16 2 2" xfId="44214"/>
    <cellStyle name="Note 5 16 2 2 2" xfId="44215"/>
    <cellStyle name="Note 5 16 2 2_Sheet1" xfId="44216"/>
    <cellStyle name="Note 5 16 2 3" xfId="44217"/>
    <cellStyle name="Note 5 16 2_Sheet1" xfId="44218"/>
    <cellStyle name="Note 5 16 3" xfId="44219"/>
    <cellStyle name="Note 5 16 3 2" xfId="44220"/>
    <cellStyle name="Note 5 16 3 2 2" xfId="44221"/>
    <cellStyle name="Note 5 16 3 2_Sheet1" xfId="44222"/>
    <cellStyle name="Note 5 16 3 3" xfId="44223"/>
    <cellStyle name="Note 5 16 3_Sheet1" xfId="44224"/>
    <cellStyle name="Note 5 16 4" xfId="44225"/>
    <cellStyle name="Note 5 16 4 2" xfId="44226"/>
    <cellStyle name="Note 5 16 4 2 2" xfId="44227"/>
    <cellStyle name="Note 5 16 4 2_Sheet1" xfId="44228"/>
    <cellStyle name="Note 5 16 4 3" xfId="44229"/>
    <cellStyle name="Note 5 16 4_Sheet1" xfId="44230"/>
    <cellStyle name="Note 5 16 5" xfId="44231"/>
    <cellStyle name="Note 5 16_Sheet1" xfId="44232"/>
    <cellStyle name="Note 5 17" xfId="44233"/>
    <cellStyle name="Note 5 17 2" xfId="44234"/>
    <cellStyle name="Note 5 17 2 2" xfId="44235"/>
    <cellStyle name="Note 5 17 2 2 2" xfId="44236"/>
    <cellStyle name="Note 5 17 2 2_Sheet1" xfId="44237"/>
    <cellStyle name="Note 5 17 2 3" xfId="44238"/>
    <cellStyle name="Note 5 17 2_Sheet1" xfId="44239"/>
    <cellStyle name="Note 5 17 3" xfId="44240"/>
    <cellStyle name="Note 5 17 3 2" xfId="44241"/>
    <cellStyle name="Note 5 17 3 2 2" xfId="44242"/>
    <cellStyle name="Note 5 17 3 2_Sheet1" xfId="44243"/>
    <cellStyle name="Note 5 17 3 3" xfId="44244"/>
    <cellStyle name="Note 5 17 3_Sheet1" xfId="44245"/>
    <cellStyle name="Note 5 17 4" xfId="44246"/>
    <cellStyle name="Note 5 17 4 2" xfId="44247"/>
    <cellStyle name="Note 5 17 4 2 2" xfId="44248"/>
    <cellStyle name="Note 5 17 4 2_Sheet1" xfId="44249"/>
    <cellStyle name="Note 5 17 4 3" xfId="44250"/>
    <cellStyle name="Note 5 17 4_Sheet1" xfId="44251"/>
    <cellStyle name="Note 5 17 5" xfId="44252"/>
    <cellStyle name="Note 5 17_Sheet1" xfId="44253"/>
    <cellStyle name="Note 5 18" xfId="44254"/>
    <cellStyle name="Note 5 18 2" xfId="44255"/>
    <cellStyle name="Note 5 18 2 2" xfId="44256"/>
    <cellStyle name="Note 5 18 2 2 2" xfId="44257"/>
    <cellStyle name="Note 5 18 2 2_Sheet1" xfId="44258"/>
    <cellStyle name="Note 5 18 2 3" xfId="44259"/>
    <cellStyle name="Note 5 18 2_Sheet1" xfId="44260"/>
    <cellStyle name="Note 5 18 3" xfId="44261"/>
    <cellStyle name="Note 5 18 3 2" xfId="44262"/>
    <cellStyle name="Note 5 18 3 2 2" xfId="44263"/>
    <cellStyle name="Note 5 18 3 2_Sheet1" xfId="44264"/>
    <cellStyle name="Note 5 18 3 3" xfId="44265"/>
    <cellStyle name="Note 5 18 3_Sheet1" xfId="44266"/>
    <cellStyle name="Note 5 18 4" xfId="44267"/>
    <cellStyle name="Note 5 18 4 2" xfId="44268"/>
    <cellStyle name="Note 5 18 4 2 2" xfId="44269"/>
    <cellStyle name="Note 5 18 4 2_Sheet1" xfId="44270"/>
    <cellStyle name="Note 5 18 4 3" xfId="44271"/>
    <cellStyle name="Note 5 18 4_Sheet1" xfId="44272"/>
    <cellStyle name="Note 5 18 5" xfId="44273"/>
    <cellStyle name="Note 5 18_Sheet1" xfId="44274"/>
    <cellStyle name="Note 5 19" xfId="44275"/>
    <cellStyle name="Note 5 19 2" xfId="44276"/>
    <cellStyle name="Note 5 19 2 2" xfId="44277"/>
    <cellStyle name="Note 5 19 2 2 2" xfId="44278"/>
    <cellStyle name="Note 5 19 2 2_Sheet1" xfId="44279"/>
    <cellStyle name="Note 5 19 2 3" xfId="44280"/>
    <cellStyle name="Note 5 19 2_Sheet1" xfId="44281"/>
    <cellStyle name="Note 5 19 3" xfId="44282"/>
    <cellStyle name="Note 5 19 3 2" xfId="44283"/>
    <cellStyle name="Note 5 19 3 2 2" xfId="44284"/>
    <cellStyle name="Note 5 19 3 2_Sheet1" xfId="44285"/>
    <cellStyle name="Note 5 19 3 3" xfId="44286"/>
    <cellStyle name="Note 5 19 3_Sheet1" xfId="44287"/>
    <cellStyle name="Note 5 19 4" xfId="44288"/>
    <cellStyle name="Note 5 19 4 2" xfId="44289"/>
    <cellStyle name="Note 5 19 4 2 2" xfId="44290"/>
    <cellStyle name="Note 5 19 4 2_Sheet1" xfId="44291"/>
    <cellStyle name="Note 5 19 4 3" xfId="44292"/>
    <cellStyle name="Note 5 19 4_Sheet1" xfId="44293"/>
    <cellStyle name="Note 5 19 5" xfId="44294"/>
    <cellStyle name="Note 5 19_Sheet1" xfId="44295"/>
    <cellStyle name="Note 5 2" xfId="44296"/>
    <cellStyle name="Note 5 2 10" xfId="44297"/>
    <cellStyle name="Note 5 2 10 2" xfId="44298"/>
    <cellStyle name="Note 5 2 10 2 2" xfId="44299"/>
    <cellStyle name="Note 5 2 10 2 2 2" xfId="44300"/>
    <cellStyle name="Note 5 2 10 2 2_Sheet1" xfId="44301"/>
    <cellStyle name="Note 5 2 10 2 3" xfId="44302"/>
    <cellStyle name="Note 5 2 10 2_Sheet1" xfId="44303"/>
    <cellStyle name="Note 5 2 10 3" xfId="44304"/>
    <cellStyle name="Note 5 2 10 3 2" xfId="44305"/>
    <cellStyle name="Note 5 2 10 3 2 2" xfId="44306"/>
    <cellStyle name="Note 5 2 10 3 2_Sheet1" xfId="44307"/>
    <cellStyle name="Note 5 2 10 3 3" xfId="44308"/>
    <cellStyle name="Note 5 2 10 3_Sheet1" xfId="44309"/>
    <cellStyle name="Note 5 2 10 4" xfId="44310"/>
    <cellStyle name="Note 5 2 10 4 2" xfId="44311"/>
    <cellStyle name="Note 5 2 10 4 2 2" xfId="44312"/>
    <cellStyle name="Note 5 2 10 4 2_Sheet1" xfId="44313"/>
    <cellStyle name="Note 5 2 10 4 3" xfId="44314"/>
    <cellStyle name="Note 5 2 10 4_Sheet1" xfId="44315"/>
    <cellStyle name="Note 5 2 10 5" xfId="44316"/>
    <cellStyle name="Note 5 2 10_Sheet1" xfId="44317"/>
    <cellStyle name="Note 5 2 11" xfId="44318"/>
    <cellStyle name="Note 5 2 11 2" xfId="44319"/>
    <cellStyle name="Note 5 2 11 2 2" xfId="44320"/>
    <cellStyle name="Note 5 2 11 2 2 2" xfId="44321"/>
    <cellStyle name="Note 5 2 11 2 2_Sheet1" xfId="44322"/>
    <cellStyle name="Note 5 2 11 2 3" xfId="44323"/>
    <cellStyle name="Note 5 2 11 2_Sheet1" xfId="44324"/>
    <cellStyle name="Note 5 2 11 3" xfId="44325"/>
    <cellStyle name="Note 5 2 11 3 2" xfId="44326"/>
    <cellStyle name="Note 5 2 11 3 2 2" xfId="44327"/>
    <cellStyle name="Note 5 2 11 3 2_Sheet1" xfId="44328"/>
    <cellStyle name="Note 5 2 11 3 3" xfId="44329"/>
    <cellStyle name="Note 5 2 11 3_Sheet1" xfId="44330"/>
    <cellStyle name="Note 5 2 11 4" xfId="44331"/>
    <cellStyle name="Note 5 2 11 4 2" xfId="44332"/>
    <cellStyle name="Note 5 2 11 4 2 2" xfId="44333"/>
    <cellStyle name="Note 5 2 11 4 2_Sheet1" xfId="44334"/>
    <cellStyle name="Note 5 2 11 4 3" xfId="44335"/>
    <cellStyle name="Note 5 2 11 4_Sheet1" xfId="44336"/>
    <cellStyle name="Note 5 2 11 5" xfId="44337"/>
    <cellStyle name="Note 5 2 11_Sheet1" xfId="44338"/>
    <cellStyle name="Note 5 2 12" xfId="44339"/>
    <cellStyle name="Note 5 2 12 2" xfId="44340"/>
    <cellStyle name="Note 5 2 12 2 2" xfId="44341"/>
    <cellStyle name="Note 5 2 12 2 2 2" xfId="44342"/>
    <cellStyle name="Note 5 2 12 2 2_Sheet1" xfId="44343"/>
    <cellStyle name="Note 5 2 12 2 3" xfId="44344"/>
    <cellStyle name="Note 5 2 12 2_Sheet1" xfId="44345"/>
    <cellStyle name="Note 5 2 12 3" xfId="44346"/>
    <cellStyle name="Note 5 2 12 3 2" xfId="44347"/>
    <cellStyle name="Note 5 2 12 3 2 2" xfId="44348"/>
    <cellStyle name="Note 5 2 12 3 2_Sheet1" xfId="44349"/>
    <cellStyle name="Note 5 2 12 3 3" xfId="44350"/>
    <cellStyle name="Note 5 2 12 3_Sheet1" xfId="44351"/>
    <cellStyle name="Note 5 2 12 4" xfId="44352"/>
    <cellStyle name="Note 5 2 12 4 2" xfId="44353"/>
    <cellStyle name="Note 5 2 12 4 2 2" xfId="44354"/>
    <cellStyle name="Note 5 2 12 4 2_Sheet1" xfId="44355"/>
    <cellStyle name="Note 5 2 12 4 3" xfId="44356"/>
    <cellStyle name="Note 5 2 12 4_Sheet1" xfId="44357"/>
    <cellStyle name="Note 5 2 12 5" xfId="44358"/>
    <cellStyle name="Note 5 2 12_Sheet1" xfId="44359"/>
    <cellStyle name="Note 5 2 13" xfId="44360"/>
    <cellStyle name="Note 5 2 13 2" xfId="44361"/>
    <cellStyle name="Note 5 2 13 2 2" xfId="44362"/>
    <cellStyle name="Note 5 2 13 2 2 2" xfId="44363"/>
    <cellStyle name="Note 5 2 13 2 2_Sheet1" xfId="44364"/>
    <cellStyle name="Note 5 2 13 2 3" xfId="44365"/>
    <cellStyle name="Note 5 2 13 2_Sheet1" xfId="44366"/>
    <cellStyle name="Note 5 2 13 3" xfId="44367"/>
    <cellStyle name="Note 5 2 13 3 2" xfId="44368"/>
    <cellStyle name="Note 5 2 13 3 2 2" xfId="44369"/>
    <cellStyle name="Note 5 2 13 3 2_Sheet1" xfId="44370"/>
    <cellStyle name="Note 5 2 13 3 3" xfId="44371"/>
    <cellStyle name="Note 5 2 13 3_Sheet1" xfId="44372"/>
    <cellStyle name="Note 5 2 13 4" xfId="44373"/>
    <cellStyle name="Note 5 2 13 4 2" xfId="44374"/>
    <cellStyle name="Note 5 2 13 4 2 2" xfId="44375"/>
    <cellStyle name="Note 5 2 13 4 2_Sheet1" xfId="44376"/>
    <cellStyle name="Note 5 2 13 4 3" xfId="44377"/>
    <cellStyle name="Note 5 2 13 4_Sheet1" xfId="44378"/>
    <cellStyle name="Note 5 2 13 5" xfId="44379"/>
    <cellStyle name="Note 5 2 13_Sheet1" xfId="44380"/>
    <cellStyle name="Note 5 2 14" xfId="44381"/>
    <cellStyle name="Note 5 2 14 2" xfId="44382"/>
    <cellStyle name="Note 5 2 14 2 2" xfId="44383"/>
    <cellStyle name="Note 5 2 14 2 2 2" xfId="44384"/>
    <cellStyle name="Note 5 2 14 2 2_Sheet1" xfId="44385"/>
    <cellStyle name="Note 5 2 14 2 3" xfId="44386"/>
    <cellStyle name="Note 5 2 14 2_Sheet1" xfId="44387"/>
    <cellStyle name="Note 5 2 14 3" xfId="44388"/>
    <cellStyle name="Note 5 2 14 3 2" xfId="44389"/>
    <cellStyle name="Note 5 2 14 3 2 2" xfId="44390"/>
    <cellStyle name="Note 5 2 14 3 2_Sheet1" xfId="44391"/>
    <cellStyle name="Note 5 2 14 3 3" xfId="44392"/>
    <cellStyle name="Note 5 2 14 3_Sheet1" xfId="44393"/>
    <cellStyle name="Note 5 2 14 4" xfId="44394"/>
    <cellStyle name="Note 5 2 14 4 2" xfId="44395"/>
    <cellStyle name="Note 5 2 14 4 2 2" xfId="44396"/>
    <cellStyle name="Note 5 2 14 4 2_Sheet1" xfId="44397"/>
    <cellStyle name="Note 5 2 14 4 3" xfId="44398"/>
    <cellStyle name="Note 5 2 14 4_Sheet1" xfId="44399"/>
    <cellStyle name="Note 5 2 14 5" xfId="44400"/>
    <cellStyle name="Note 5 2 14_Sheet1" xfId="44401"/>
    <cellStyle name="Note 5 2 15" xfId="44402"/>
    <cellStyle name="Note 5 2 15 2" xfId="44403"/>
    <cellStyle name="Note 5 2 15 2 2" xfId="44404"/>
    <cellStyle name="Note 5 2 15 2 2 2" xfId="44405"/>
    <cellStyle name="Note 5 2 15 2 2_Sheet1" xfId="44406"/>
    <cellStyle name="Note 5 2 15 2 3" xfId="44407"/>
    <cellStyle name="Note 5 2 15 2_Sheet1" xfId="44408"/>
    <cellStyle name="Note 5 2 15 3" xfId="44409"/>
    <cellStyle name="Note 5 2 15 3 2" xfId="44410"/>
    <cellStyle name="Note 5 2 15 3 2 2" xfId="44411"/>
    <cellStyle name="Note 5 2 15 3 2_Sheet1" xfId="44412"/>
    <cellStyle name="Note 5 2 15 3 3" xfId="44413"/>
    <cellStyle name="Note 5 2 15 3_Sheet1" xfId="44414"/>
    <cellStyle name="Note 5 2 15 4" xfId="44415"/>
    <cellStyle name="Note 5 2 15 4 2" xfId="44416"/>
    <cellStyle name="Note 5 2 15 4 2 2" xfId="44417"/>
    <cellStyle name="Note 5 2 15 4 2_Sheet1" xfId="44418"/>
    <cellStyle name="Note 5 2 15 4 3" xfId="44419"/>
    <cellStyle name="Note 5 2 15 4_Sheet1" xfId="44420"/>
    <cellStyle name="Note 5 2 15 5" xfId="44421"/>
    <cellStyle name="Note 5 2 15_Sheet1" xfId="44422"/>
    <cellStyle name="Note 5 2 16" xfId="44423"/>
    <cellStyle name="Note 5 2 16 2" xfId="44424"/>
    <cellStyle name="Note 5 2 16 2 2" xfId="44425"/>
    <cellStyle name="Note 5 2 16 2 2 2" xfId="44426"/>
    <cellStyle name="Note 5 2 16 2 2_Sheet1" xfId="44427"/>
    <cellStyle name="Note 5 2 16 2 3" xfId="44428"/>
    <cellStyle name="Note 5 2 16 2_Sheet1" xfId="44429"/>
    <cellStyle name="Note 5 2 16 3" xfId="44430"/>
    <cellStyle name="Note 5 2 16 3 2" xfId="44431"/>
    <cellStyle name="Note 5 2 16 3 2 2" xfId="44432"/>
    <cellStyle name="Note 5 2 16 3 2_Sheet1" xfId="44433"/>
    <cellStyle name="Note 5 2 16 3 3" xfId="44434"/>
    <cellStyle name="Note 5 2 16 3_Sheet1" xfId="44435"/>
    <cellStyle name="Note 5 2 16 4" xfId="44436"/>
    <cellStyle name="Note 5 2 16 4 2" xfId="44437"/>
    <cellStyle name="Note 5 2 16 4 2 2" xfId="44438"/>
    <cellStyle name="Note 5 2 16 4 2_Sheet1" xfId="44439"/>
    <cellStyle name="Note 5 2 16 4 3" xfId="44440"/>
    <cellStyle name="Note 5 2 16 4_Sheet1" xfId="44441"/>
    <cellStyle name="Note 5 2 16 5" xfId="44442"/>
    <cellStyle name="Note 5 2 16_Sheet1" xfId="44443"/>
    <cellStyle name="Note 5 2 17" xfId="44444"/>
    <cellStyle name="Note 5 2 17 2" xfId="44445"/>
    <cellStyle name="Note 5 2 17 2 2" xfId="44446"/>
    <cellStyle name="Note 5 2 17 2 2 2" xfId="44447"/>
    <cellStyle name="Note 5 2 17 2 2_Sheet1" xfId="44448"/>
    <cellStyle name="Note 5 2 17 2 3" xfId="44449"/>
    <cellStyle name="Note 5 2 17 2_Sheet1" xfId="44450"/>
    <cellStyle name="Note 5 2 17 3" xfId="44451"/>
    <cellStyle name="Note 5 2 17 3 2" xfId="44452"/>
    <cellStyle name="Note 5 2 17 3 2 2" xfId="44453"/>
    <cellStyle name="Note 5 2 17 3 2_Sheet1" xfId="44454"/>
    <cellStyle name="Note 5 2 17 3 3" xfId="44455"/>
    <cellStyle name="Note 5 2 17 3_Sheet1" xfId="44456"/>
    <cellStyle name="Note 5 2 17 4" xfId="44457"/>
    <cellStyle name="Note 5 2 17 4 2" xfId="44458"/>
    <cellStyle name="Note 5 2 17 4 2 2" xfId="44459"/>
    <cellStyle name="Note 5 2 17 4 2_Sheet1" xfId="44460"/>
    <cellStyle name="Note 5 2 17 4 3" xfId="44461"/>
    <cellStyle name="Note 5 2 17 4_Sheet1" xfId="44462"/>
    <cellStyle name="Note 5 2 17 5" xfId="44463"/>
    <cellStyle name="Note 5 2 17_Sheet1" xfId="44464"/>
    <cellStyle name="Note 5 2 18" xfId="44465"/>
    <cellStyle name="Note 5 2 18 2" xfId="44466"/>
    <cellStyle name="Note 5 2 18 2 2" xfId="44467"/>
    <cellStyle name="Note 5 2 18 2 2 2" xfId="44468"/>
    <cellStyle name="Note 5 2 18 2 2_Sheet1" xfId="44469"/>
    <cellStyle name="Note 5 2 18 2 3" xfId="44470"/>
    <cellStyle name="Note 5 2 18 2_Sheet1" xfId="44471"/>
    <cellStyle name="Note 5 2 18 3" xfId="44472"/>
    <cellStyle name="Note 5 2 18 3 2" xfId="44473"/>
    <cellStyle name="Note 5 2 18 3 2 2" xfId="44474"/>
    <cellStyle name="Note 5 2 18 3 2_Sheet1" xfId="44475"/>
    <cellStyle name="Note 5 2 18 3 3" xfId="44476"/>
    <cellStyle name="Note 5 2 18 3_Sheet1" xfId="44477"/>
    <cellStyle name="Note 5 2 18 4" xfId="44478"/>
    <cellStyle name="Note 5 2 18 4 2" xfId="44479"/>
    <cellStyle name="Note 5 2 18 4 2 2" xfId="44480"/>
    <cellStyle name="Note 5 2 18 4 2_Sheet1" xfId="44481"/>
    <cellStyle name="Note 5 2 18 4 3" xfId="44482"/>
    <cellStyle name="Note 5 2 18 4_Sheet1" xfId="44483"/>
    <cellStyle name="Note 5 2 18 5" xfId="44484"/>
    <cellStyle name="Note 5 2 18_Sheet1" xfId="44485"/>
    <cellStyle name="Note 5 2 19" xfId="44486"/>
    <cellStyle name="Note 5 2 19 2" xfId="44487"/>
    <cellStyle name="Note 5 2 19 2 2" xfId="44488"/>
    <cellStyle name="Note 5 2 19 2_Sheet1" xfId="44489"/>
    <cellStyle name="Note 5 2 19 3" xfId="44490"/>
    <cellStyle name="Note 5 2 19_Sheet1" xfId="44491"/>
    <cellStyle name="Note 5 2 2" xfId="44492"/>
    <cellStyle name="Note 5 2 2 2" xfId="44493"/>
    <cellStyle name="Note 5 2 2 2 2" xfId="44494"/>
    <cellStyle name="Note 5 2 2 2 2 2" xfId="44495"/>
    <cellStyle name="Note 5 2 2 2 2_Sheet1" xfId="44496"/>
    <cellStyle name="Note 5 2 2 2 3" xfId="44497"/>
    <cellStyle name="Note 5 2 2 2_Sheet1" xfId="44498"/>
    <cellStyle name="Note 5 2 2 3" xfId="44499"/>
    <cellStyle name="Note 5 2 2 3 2" xfId="44500"/>
    <cellStyle name="Note 5 2 2 3 2 2" xfId="44501"/>
    <cellStyle name="Note 5 2 2 3 2_Sheet1" xfId="44502"/>
    <cellStyle name="Note 5 2 2 3 3" xfId="44503"/>
    <cellStyle name="Note 5 2 2 3_Sheet1" xfId="44504"/>
    <cellStyle name="Note 5 2 2 4" xfId="44505"/>
    <cellStyle name="Note 5 2 2 4 2" xfId="44506"/>
    <cellStyle name="Note 5 2 2 4 2 2" xfId="44507"/>
    <cellStyle name="Note 5 2 2 4 2_Sheet1" xfId="44508"/>
    <cellStyle name="Note 5 2 2 4 3" xfId="44509"/>
    <cellStyle name="Note 5 2 2 4_Sheet1" xfId="44510"/>
    <cellStyle name="Note 5 2 2 5" xfId="44511"/>
    <cellStyle name="Note 5 2 2_Sheet1" xfId="44512"/>
    <cellStyle name="Note 5 2 20" xfId="44513"/>
    <cellStyle name="Note 5 2 20 2" xfId="44514"/>
    <cellStyle name="Note 5 2 20 2 2" xfId="44515"/>
    <cellStyle name="Note 5 2 20 2_Sheet1" xfId="44516"/>
    <cellStyle name="Note 5 2 20 3" xfId="44517"/>
    <cellStyle name="Note 5 2 20_Sheet1" xfId="44518"/>
    <cellStyle name="Note 5 2 21" xfId="44519"/>
    <cellStyle name="Note 5 2 21 2" xfId="44520"/>
    <cellStyle name="Note 5 2 21 2 2" xfId="44521"/>
    <cellStyle name="Note 5 2 21 2_Sheet1" xfId="44522"/>
    <cellStyle name="Note 5 2 21 3" xfId="44523"/>
    <cellStyle name="Note 5 2 21_Sheet1" xfId="44524"/>
    <cellStyle name="Note 5 2 22" xfId="44525"/>
    <cellStyle name="Note 5 2 3" xfId="44526"/>
    <cellStyle name="Note 5 2 3 2" xfId="44527"/>
    <cellStyle name="Note 5 2 3 2 2" xfId="44528"/>
    <cellStyle name="Note 5 2 3 2 2 2" xfId="44529"/>
    <cellStyle name="Note 5 2 3 2 2_Sheet1" xfId="44530"/>
    <cellStyle name="Note 5 2 3 2 3" xfId="44531"/>
    <cellStyle name="Note 5 2 3 2_Sheet1" xfId="44532"/>
    <cellStyle name="Note 5 2 3 3" xfId="44533"/>
    <cellStyle name="Note 5 2 3 3 2" xfId="44534"/>
    <cellStyle name="Note 5 2 3 3 2 2" xfId="44535"/>
    <cellStyle name="Note 5 2 3 3 2_Sheet1" xfId="44536"/>
    <cellStyle name="Note 5 2 3 3 3" xfId="44537"/>
    <cellStyle name="Note 5 2 3 3_Sheet1" xfId="44538"/>
    <cellStyle name="Note 5 2 3 4" xfId="44539"/>
    <cellStyle name="Note 5 2 3 4 2" xfId="44540"/>
    <cellStyle name="Note 5 2 3 4 2 2" xfId="44541"/>
    <cellStyle name="Note 5 2 3 4 2_Sheet1" xfId="44542"/>
    <cellStyle name="Note 5 2 3 4 3" xfId="44543"/>
    <cellStyle name="Note 5 2 3 4_Sheet1" xfId="44544"/>
    <cellStyle name="Note 5 2 3 5" xfId="44545"/>
    <cellStyle name="Note 5 2 3_Sheet1" xfId="44546"/>
    <cellStyle name="Note 5 2 4" xfId="44547"/>
    <cellStyle name="Note 5 2 4 2" xfId="44548"/>
    <cellStyle name="Note 5 2 4 2 2" xfId="44549"/>
    <cellStyle name="Note 5 2 4 2 2 2" xfId="44550"/>
    <cellStyle name="Note 5 2 4 2 2_Sheet1" xfId="44551"/>
    <cellStyle name="Note 5 2 4 2 3" xfId="44552"/>
    <cellStyle name="Note 5 2 4 2_Sheet1" xfId="44553"/>
    <cellStyle name="Note 5 2 4 3" xfId="44554"/>
    <cellStyle name="Note 5 2 4 3 2" xfId="44555"/>
    <cellStyle name="Note 5 2 4 3 2 2" xfId="44556"/>
    <cellStyle name="Note 5 2 4 3 2_Sheet1" xfId="44557"/>
    <cellStyle name="Note 5 2 4 3 3" xfId="44558"/>
    <cellStyle name="Note 5 2 4 3_Sheet1" xfId="44559"/>
    <cellStyle name="Note 5 2 4 4" xfId="44560"/>
    <cellStyle name="Note 5 2 4 4 2" xfId="44561"/>
    <cellStyle name="Note 5 2 4 4 2 2" xfId="44562"/>
    <cellStyle name="Note 5 2 4 4 2_Sheet1" xfId="44563"/>
    <cellStyle name="Note 5 2 4 4 3" xfId="44564"/>
    <cellStyle name="Note 5 2 4 4_Sheet1" xfId="44565"/>
    <cellStyle name="Note 5 2 4 5" xfId="44566"/>
    <cellStyle name="Note 5 2 4_Sheet1" xfId="44567"/>
    <cellStyle name="Note 5 2 5" xfId="44568"/>
    <cellStyle name="Note 5 2 5 2" xfId="44569"/>
    <cellStyle name="Note 5 2 5 2 2" xfId="44570"/>
    <cellStyle name="Note 5 2 5 2 2 2" xfId="44571"/>
    <cellStyle name="Note 5 2 5 2 2_Sheet1" xfId="44572"/>
    <cellStyle name="Note 5 2 5 2 3" xfId="44573"/>
    <cellStyle name="Note 5 2 5 2_Sheet1" xfId="44574"/>
    <cellStyle name="Note 5 2 5 3" xfId="44575"/>
    <cellStyle name="Note 5 2 5 3 2" xfId="44576"/>
    <cellStyle name="Note 5 2 5 3 2 2" xfId="44577"/>
    <cellStyle name="Note 5 2 5 3 2_Sheet1" xfId="44578"/>
    <cellStyle name="Note 5 2 5 3 3" xfId="44579"/>
    <cellStyle name="Note 5 2 5 3_Sheet1" xfId="44580"/>
    <cellStyle name="Note 5 2 5 4" xfId="44581"/>
    <cellStyle name="Note 5 2 5 4 2" xfId="44582"/>
    <cellStyle name="Note 5 2 5 4 2 2" xfId="44583"/>
    <cellStyle name="Note 5 2 5 4 2_Sheet1" xfId="44584"/>
    <cellStyle name="Note 5 2 5 4 3" xfId="44585"/>
    <cellStyle name="Note 5 2 5 4_Sheet1" xfId="44586"/>
    <cellStyle name="Note 5 2 5 5" xfId="44587"/>
    <cellStyle name="Note 5 2 5_Sheet1" xfId="44588"/>
    <cellStyle name="Note 5 2 6" xfId="44589"/>
    <cellStyle name="Note 5 2 6 2" xfId="44590"/>
    <cellStyle name="Note 5 2 6 2 2" xfId="44591"/>
    <cellStyle name="Note 5 2 6 2 2 2" xfId="44592"/>
    <cellStyle name="Note 5 2 6 2 2_Sheet1" xfId="44593"/>
    <cellStyle name="Note 5 2 6 2 3" xfId="44594"/>
    <cellStyle name="Note 5 2 6 2_Sheet1" xfId="44595"/>
    <cellStyle name="Note 5 2 6 3" xfId="44596"/>
    <cellStyle name="Note 5 2 6 3 2" xfId="44597"/>
    <cellStyle name="Note 5 2 6 3 2 2" xfId="44598"/>
    <cellStyle name="Note 5 2 6 3 2_Sheet1" xfId="44599"/>
    <cellStyle name="Note 5 2 6 3 3" xfId="44600"/>
    <cellStyle name="Note 5 2 6 3_Sheet1" xfId="44601"/>
    <cellStyle name="Note 5 2 6 4" xfId="44602"/>
    <cellStyle name="Note 5 2 6 4 2" xfId="44603"/>
    <cellStyle name="Note 5 2 6 4 2 2" xfId="44604"/>
    <cellStyle name="Note 5 2 6 4 2_Sheet1" xfId="44605"/>
    <cellStyle name="Note 5 2 6 4 3" xfId="44606"/>
    <cellStyle name="Note 5 2 6 4_Sheet1" xfId="44607"/>
    <cellStyle name="Note 5 2 6 5" xfId="44608"/>
    <cellStyle name="Note 5 2 6_Sheet1" xfId="44609"/>
    <cellStyle name="Note 5 2 7" xfId="44610"/>
    <cellStyle name="Note 5 2 7 2" xfId="44611"/>
    <cellStyle name="Note 5 2 7 2 2" xfId="44612"/>
    <cellStyle name="Note 5 2 7 2 2 2" xfId="44613"/>
    <cellStyle name="Note 5 2 7 2 2_Sheet1" xfId="44614"/>
    <cellStyle name="Note 5 2 7 2 3" xfId="44615"/>
    <cellStyle name="Note 5 2 7 2_Sheet1" xfId="44616"/>
    <cellStyle name="Note 5 2 7 3" xfId="44617"/>
    <cellStyle name="Note 5 2 7 3 2" xfId="44618"/>
    <cellStyle name="Note 5 2 7 3 2 2" xfId="44619"/>
    <cellStyle name="Note 5 2 7 3 2_Sheet1" xfId="44620"/>
    <cellStyle name="Note 5 2 7 3 3" xfId="44621"/>
    <cellStyle name="Note 5 2 7 3_Sheet1" xfId="44622"/>
    <cellStyle name="Note 5 2 7 4" xfId="44623"/>
    <cellStyle name="Note 5 2 7 4 2" xfId="44624"/>
    <cellStyle name="Note 5 2 7 4 2 2" xfId="44625"/>
    <cellStyle name="Note 5 2 7 4 2_Sheet1" xfId="44626"/>
    <cellStyle name="Note 5 2 7 4 3" xfId="44627"/>
    <cellStyle name="Note 5 2 7 4_Sheet1" xfId="44628"/>
    <cellStyle name="Note 5 2 7 5" xfId="44629"/>
    <cellStyle name="Note 5 2 7_Sheet1" xfId="44630"/>
    <cellStyle name="Note 5 2 8" xfId="44631"/>
    <cellStyle name="Note 5 2 8 2" xfId="44632"/>
    <cellStyle name="Note 5 2 8 2 2" xfId="44633"/>
    <cellStyle name="Note 5 2 8 2 2 2" xfId="44634"/>
    <cellStyle name="Note 5 2 8 2 2_Sheet1" xfId="44635"/>
    <cellStyle name="Note 5 2 8 2 3" xfId="44636"/>
    <cellStyle name="Note 5 2 8 2_Sheet1" xfId="44637"/>
    <cellStyle name="Note 5 2 8 3" xfId="44638"/>
    <cellStyle name="Note 5 2 8 3 2" xfId="44639"/>
    <cellStyle name="Note 5 2 8 3 2 2" xfId="44640"/>
    <cellStyle name="Note 5 2 8 3 2_Sheet1" xfId="44641"/>
    <cellStyle name="Note 5 2 8 3 3" xfId="44642"/>
    <cellStyle name="Note 5 2 8 3_Sheet1" xfId="44643"/>
    <cellStyle name="Note 5 2 8 4" xfId="44644"/>
    <cellStyle name="Note 5 2 8 4 2" xfId="44645"/>
    <cellStyle name="Note 5 2 8 4 2 2" xfId="44646"/>
    <cellStyle name="Note 5 2 8 4 2_Sheet1" xfId="44647"/>
    <cellStyle name="Note 5 2 8 4 3" xfId="44648"/>
    <cellStyle name="Note 5 2 8 4_Sheet1" xfId="44649"/>
    <cellStyle name="Note 5 2 8 5" xfId="44650"/>
    <cellStyle name="Note 5 2 8_Sheet1" xfId="44651"/>
    <cellStyle name="Note 5 2 9" xfId="44652"/>
    <cellStyle name="Note 5 2 9 2" xfId="44653"/>
    <cellStyle name="Note 5 2 9 2 2" xfId="44654"/>
    <cellStyle name="Note 5 2 9 2 2 2" xfId="44655"/>
    <cellStyle name="Note 5 2 9 2 2_Sheet1" xfId="44656"/>
    <cellStyle name="Note 5 2 9 2 3" xfId="44657"/>
    <cellStyle name="Note 5 2 9 2_Sheet1" xfId="44658"/>
    <cellStyle name="Note 5 2 9 3" xfId="44659"/>
    <cellStyle name="Note 5 2 9 3 2" xfId="44660"/>
    <cellStyle name="Note 5 2 9 3 2 2" xfId="44661"/>
    <cellStyle name="Note 5 2 9 3 2_Sheet1" xfId="44662"/>
    <cellStyle name="Note 5 2 9 3 3" xfId="44663"/>
    <cellStyle name="Note 5 2 9 3_Sheet1" xfId="44664"/>
    <cellStyle name="Note 5 2 9 4" xfId="44665"/>
    <cellStyle name="Note 5 2 9 4 2" xfId="44666"/>
    <cellStyle name="Note 5 2 9 4 2 2" xfId="44667"/>
    <cellStyle name="Note 5 2 9 4 2_Sheet1" xfId="44668"/>
    <cellStyle name="Note 5 2 9 4 3" xfId="44669"/>
    <cellStyle name="Note 5 2 9 4_Sheet1" xfId="44670"/>
    <cellStyle name="Note 5 2 9 5" xfId="44671"/>
    <cellStyle name="Note 5 2 9_Sheet1" xfId="44672"/>
    <cellStyle name="Note 5 2_Sheet1" xfId="44673"/>
    <cellStyle name="Note 5 20" xfId="44674"/>
    <cellStyle name="Note 5 20 2" xfId="44675"/>
    <cellStyle name="Note 5 20 2 2" xfId="44676"/>
    <cellStyle name="Note 5 20 2 2 2" xfId="44677"/>
    <cellStyle name="Note 5 20 2 2_Sheet1" xfId="44678"/>
    <cellStyle name="Note 5 20 2 3" xfId="44679"/>
    <cellStyle name="Note 5 20 2_Sheet1" xfId="44680"/>
    <cellStyle name="Note 5 20 3" xfId="44681"/>
    <cellStyle name="Note 5 20 3 2" xfId="44682"/>
    <cellStyle name="Note 5 20 3 2 2" xfId="44683"/>
    <cellStyle name="Note 5 20 3 2_Sheet1" xfId="44684"/>
    <cellStyle name="Note 5 20 3 3" xfId="44685"/>
    <cellStyle name="Note 5 20 3_Sheet1" xfId="44686"/>
    <cellStyle name="Note 5 20 4" xfId="44687"/>
    <cellStyle name="Note 5 20 4 2" xfId="44688"/>
    <cellStyle name="Note 5 20 4 2 2" xfId="44689"/>
    <cellStyle name="Note 5 20 4 2_Sheet1" xfId="44690"/>
    <cellStyle name="Note 5 20 4 3" xfId="44691"/>
    <cellStyle name="Note 5 20 4_Sheet1" xfId="44692"/>
    <cellStyle name="Note 5 20 5" xfId="44693"/>
    <cellStyle name="Note 5 20_Sheet1" xfId="44694"/>
    <cellStyle name="Note 5 21" xfId="44695"/>
    <cellStyle name="Note 5 21 2" xfId="44696"/>
    <cellStyle name="Note 5 21 2 2" xfId="44697"/>
    <cellStyle name="Note 5 21 2_Sheet1" xfId="44698"/>
    <cellStyle name="Note 5 21 3" xfId="44699"/>
    <cellStyle name="Note 5 21_Sheet1" xfId="44700"/>
    <cellStyle name="Note 5 22" xfId="44701"/>
    <cellStyle name="Note 5 22 2" xfId="44702"/>
    <cellStyle name="Note 5 22 2 2" xfId="44703"/>
    <cellStyle name="Note 5 22 2_Sheet1" xfId="44704"/>
    <cellStyle name="Note 5 22 3" xfId="44705"/>
    <cellStyle name="Note 5 22_Sheet1" xfId="44706"/>
    <cellStyle name="Note 5 23" xfId="44707"/>
    <cellStyle name="Note 5 23 2" xfId="44708"/>
    <cellStyle name="Note 5 23 2 2" xfId="44709"/>
    <cellStyle name="Note 5 23 2_Sheet1" xfId="44710"/>
    <cellStyle name="Note 5 23 3" xfId="44711"/>
    <cellStyle name="Note 5 23_Sheet1" xfId="44712"/>
    <cellStyle name="Note 5 24" xfId="44713"/>
    <cellStyle name="Note 5 3" xfId="44714"/>
    <cellStyle name="Note 5 3 10" xfId="44715"/>
    <cellStyle name="Note 5 3 10 2" xfId="44716"/>
    <cellStyle name="Note 5 3 10 2 2" xfId="44717"/>
    <cellStyle name="Note 5 3 10 2 2 2" xfId="44718"/>
    <cellStyle name="Note 5 3 10 2 2_Sheet1" xfId="44719"/>
    <cellStyle name="Note 5 3 10 2 3" xfId="44720"/>
    <cellStyle name="Note 5 3 10 2_Sheet1" xfId="44721"/>
    <cellStyle name="Note 5 3 10 3" xfId="44722"/>
    <cellStyle name="Note 5 3 10 3 2" xfId="44723"/>
    <cellStyle name="Note 5 3 10 3 2 2" xfId="44724"/>
    <cellStyle name="Note 5 3 10 3 2_Sheet1" xfId="44725"/>
    <cellStyle name="Note 5 3 10 3 3" xfId="44726"/>
    <cellStyle name="Note 5 3 10 3_Sheet1" xfId="44727"/>
    <cellStyle name="Note 5 3 10 4" xfId="44728"/>
    <cellStyle name="Note 5 3 10 4 2" xfId="44729"/>
    <cellStyle name="Note 5 3 10 4 2 2" xfId="44730"/>
    <cellStyle name="Note 5 3 10 4 2_Sheet1" xfId="44731"/>
    <cellStyle name="Note 5 3 10 4 3" xfId="44732"/>
    <cellStyle name="Note 5 3 10 4_Sheet1" xfId="44733"/>
    <cellStyle name="Note 5 3 10 5" xfId="44734"/>
    <cellStyle name="Note 5 3 10_Sheet1" xfId="44735"/>
    <cellStyle name="Note 5 3 11" xfId="44736"/>
    <cellStyle name="Note 5 3 11 2" xfId="44737"/>
    <cellStyle name="Note 5 3 11 2 2" xfId="44738"/>
    <cellStyle name="Note 5 3 11 2 2 2" xfId="44739"/>
    <cellStyle name="Note 5 3 11 2 2_Sheet1" xfId="44740"/>
    <cellStyle name="Note 5 3 11 2 3" xfId="44741"/>
    <cellStyle name="Note 5 3 11 2_Sheet1" xfId="44742"/>
    <cellStyle name="Note 5 3 11 3" xfId="44743"/>
    <cellStyle name="Note 5 3 11 3 2" xfId="44744"/>
    <cellStyle name="Note 5 3 11 3 2 2" xfId="44745"/>
    <cellStyle name="Note 5 3 11 3 2_Sheet1" xfId="44746"/>
    <cellStyle name="Note 5 3 11 3 3" xfId="44747"/>
    <cellStyle name="Note 5 3 11 3_Sheet1" xfId="44748"/>
    <cellStyle name="Note 5 3 11 4" xfId="44749"/>
    <cellStyle name="Note 5 3 11 4 2" xfId="44750"/>
    <cellStyle name="Note 5 3 11 4 2 2" xfId="44751"/>
    <cellStyle name="Note 5 3 11 4 2_Sheet1" xfId="44752"/>
    <cellStyle name="Note 5 3 11 4 3" xfId="44753"/>
    <cellStyle name="Note 5 3 11 4_Sheet1" xfId="44754"/>
    <cellStyle name="Note 5 3 11 5" xfId="44755"/>
    <cellStyle name="Note 5 3 11_Sheet1" xfId="44756"/>
    <cellStyle name="Note 5 3 12" xfId="44757"/>
    <cellStyle name="Note 5 3 12 2" xfId="44758"/>
    <cellStyle name="Note 5 3 12 2 2" xfId="44759"/>
    <cellStyle name="Note 5 3 12 2 2 2" xfId="44760"/>
    <cellStyle name="Note 5 3 12 2 2_Sheet1" xfId="44761"/>
    <cellStyle name="Note 5 3 12 2 3" xfId="44762"/>
    <cellStyle name="Note 5 3 12 2_Sheet1" xfId="44763"/>
    <cellStyle name="Note 5 3 12 3" xfId="44764"/>
    <cellStyle name="Note 5 3 12 3 2" xfId="44765"/>
    <cellStyle name="Note 5 3 12 3 2 2" xfId="44766"/>
    <cellStyle name="Note 5 3 12 3 2_Sheet1" xfId="44767"/>
    <cellStyle name="Note 5 3 12 3 3" xfId="44768"/>
    <cellStyle name="Note 5 3 12 3_Sheet1" xfId="44769"/>
    <cellStyle name="Note 5 3 12 4" xfId="44770"/>
    <cellStyle name="Note 5 3 12 4 2" xfId="44771"/>
    <cellStyle name="Note 5 3 12 4 2 2" xfId="44772"/>
    <cellStyle name="Note 5 3 12 4 2_Sheet1" xfId="44773"/>
    <cellStyle name="Note 5 3 12 4 3" xfId="44774"/>
    <cellStyle name="Note 5 3 12 4_Sheet1" xfId="44775"/>
    <cellStyle name="Note 5 3 12 5" xfId="44776"/>
    <cellStyle name="Note 5 3 12_Sheet1" xfId="44777"/>
    <cellStyle name="Note 5 3 13" xfId="44778"/>
    <cellStyle name="Note 5 3 13 2" xfId="44779"/>
    <cellStyle name="Note 5 3 13 2 2" xfId="44780"/>
    <cellStyle name="Note 5 3 13 2 2 2" xfId="44781"/>
    <cellStyle name="Note 5 3 13 2 2_Sheet1" xfId="44782"/>
    <cellStyle name="Note 5 3 13 2 3" xfId="44783"/>
    <cellStyle name="Note 5 3 13 2_Sheet1" xfId="44784"/>
    <cellStyle name="Note 5 3 13 3" xfId="44785"/>
    <cellStyle name="Note 5 3 13 3 2" xfId="44786"/>
    <cellStyle name="Note 5 3 13 3 2 2" xfId="44787"/>
    <cellStyle name="Note 5 3 13 3 2_Sheet1" xfId="44788"/>
    <cellStyle name="Note 5 3 13 3 3" xfId="44789"/>
    <cellStyle name="Note 5 3 13 3_Sheet1" xfId="44790"/>
    <cellStyle name="Note 5 3 13 4" xfId="44791"/>
    <cellStyle name="Note 5 3 13 4 2" xfId="44792"/>
    <cellStyle name="Note 5 3 13 4 2 2" xfId="44793"/>
    <cellStyle name="Note 5 3 13 4 2_Sheet1" xfId="44794"/>
    <cellStyle name="Note 5 3 13 4 3" xfId="44795"/>
    <cellStyle name="Note 5 3 13 4_Sheet1" xfId="44796"/>
    <cellStyle name="Note 5 3 13 5" xfId="44797"/>
    <cellStyle name="Note 5 3 13_Sheet1" xfId="44798"/>
    <cellStyle name="Note 5 3 14" xfId="44799"/>
    <cellStyle name="Note 5 3 14 2" xfId="44800"/>
    <cellStyle name="Note 5 3 14 2 2" xfId="44801"/>
    <cellStyle name="Note 5 3 14 2 2 2" xfId="44802"/>
    <cellStyle name="Note 5 3 14 2 2_Sheet1" xfId="44803"/>
    <cellStyle name="Note 5 3 14 2 3" xfId="44804"/>
    <cellStyle name="Note 5 3 14 2_Sheet1" xfId="44805"/>
    <cellStyle name="Note 5 3 14 3" xfId="44806"/>
    <cellStyle name="Note 5 3 14 3 2" xfId="44807"/>
    <cellStyle name="Note 5 3 14 3 2 2" xfId="44808"/>
    <cellStyle name="Note 5 3 14 3 2_Sheet1" xfId="44809"/>
    <cellStyle name="Note 5 3 14 3 3" xfId="44810"/>
    <cellStyle name="Note 5 3 14 3_Sheet1" xfId="44811"/>
    <cellStyle name="Note 5 3 14 4" xfId="44812"/>
    <cellStyle name="Note 5 3 14 4 2" xfId="44813"/>
    <cellStyle name="Note 5 3 14 4 2 2" xfId="44814"/>
    <cellStyle name="Note 5 3 14 4 2_Sheet1" xfId="44815"/>
    <cellStyle name="Note 5 3 14 4 3" xfId="44816"/>
    <cellStyle name="Note 5 3 14 4_Sheet1" xfId="44817"/>
    <cellStyle name="Note 5 3 14 5" xfId="44818"/>
    <cellStyle name="Note 5 3 14_Sheet1" xfId="44819"/>
    <cellStyle name="Note 5 3 15" xfId="44820"/>
    <cellStyle name="Note 5 3 15 2" xfId="44821"/>
    <cellStyle name="Note 5 3 15 2 2" xfId="44822"/>
    <cellStyle name="Note 5 3 15 2 2 2" xfId="44823"/>
    <cellStyle name="Note 5 3 15 2 2_Sheet1" xfId="44824"/>
    <cellStyle name="Note 5 3 15 2 3" xfId="44825"/>
    <cellStyle name="Note 5 3 15 2_Sheet1" xfId="44826"/>
    <cellStyle name="Note 5 3 15 3" xfId="44827"/>
    <cellStyle name="Note 5 3 15 3 2" xfId="44828"/>
    <cellStyle name="Note 5 3 15 3 2 2" xfId="44829"/>
    <cellStyle name="Note 5 3 15 3 2_Sheet1" xfId="44830"/>
    <cellStyle name="Note 5 3 15 3 3" xfId="44831"/>
    <cellStyle name="Note 5 3 15 3_Sheet1" xfId="44832"/>
    <cellStyle name="Note 5 3 15 4" xfId="44833"/>
    <cellStyle name="Note 5 3 15 4 2" xfId="44834"/>
    <cellStyle name="Note 5 3 15 4 2 2" xfId="44835"/>
    <cellStyle name="Note 5 3 15 4 2_Sheet1" xfId="44836"/>
    <cellStyle name="Note 5 3 15 4 3" xfId="44837"/>
    <cellStyle name="Note 5 3 15 4_Sheet1" xfId="44838"/>
    <cellStyle name="Note 5 3 15 5" xfId="44839"/>
    <cellStyle name="Note 5 3 15_Sheet1" xfId="44840"/>
    <cellStyle name="Note 5 3 16" xfId="44841"/>
    <cellStyle name="Note 5 3 16 2" xfId="44842"/>
    <cellStyle name="Note 5 3 16 2 2" xfId="44843"/>
    <cellStyle name="Note 5 3 16 2 2 2" xfId="44844"/>
    <cellStyle name="Note 5 3 16 2 2_Sheet1" xfId="44845"/>
    <cellStyle name="Note 5 3 16 2 3" xfId="44846"/>
    <cellStyle name="Note 5 3 16 2_Sheet1" xfId="44847"/>
    <cellStyle name="Note 5 3 16 3" xfId="44848"/>
    <cellStyle name="Note 5 3 16 3 2" xfId="44849"/>
    <cellStyle name="Note 5 3 16 3 2 2" xfId="44850"/>
    <cellStyle name="Note 5 3 16 3 2_Sheet1" xfId="44851"/>
    <cellStyle name="Note 5 3 16 3 3" xfId="44852"/>
    <cellStyle name="Note 5 3 16 3_Sheet1" xfId="44853"/>
    <cellStyle name="Note 5 3 16 4" xfId="44854"/>
    <cellStyle name="Note 5 3 16 4 2" xfId="44855"/>
    <cellStyle name="Note 5 3 16 4 2 2" xfId="44856"/>
    <cellStyle name="Note 5 3 16 4 2_Sheet1" xfId="44857"/>
    <cellStyle name="Note 5 3 16 4 3" xfId="44858"/>
    <cellStyle name="Note 5 3 16 4_Sheet1" xfId="44859"/>
    <cellStyle name="Note 5 3 16 5" xfId="44860"/>
    <cellStyle name="Note 5 3 16_Sheet1" xfId="44861"/>
    <cellStyle name="Note 5 3 17" xfId="44862"/>
    <cellStyle name="Note 5 3 17 2" xfId="44863"/>
    <cellStyle name="Note 5 3 17 2 2" xfId="44864"/>
    <cellStyle name="Note 5 3 17 2 2 2" xfId="44865"/>
    <cellStyle name="Note 5 3 17 2 2_Sheet1" xfId="44866"/>
    <cellStyle name="Note 5 3 17 2 3" xfId="44867"/>
    <cellStyle name="Note 5 3 17 2_Sheet1" xfId="44868"/>
    <cellStyle name="Note 5 3 17 3" xfId="44869"/>
    <cellStyle name="Note 5 3 17 3 2" xfId="44870"/>
    <cellStyle name="Note 5 3 17 3 2 2" xfId="44871"/>
    <cellStyle name="Note 5 3 17 3 2_Sheet1" xfId="44872"/>
    <cellStyle name="Note 5 3 17 3 3" xfId="44873"/>
    <cellStyle name="Note 5 3 17 3_Sheet1" xfId="44874"/>
    <cellStyle name="Note 5 3 17 4" xfId="44875"/>
    <cellStyle name="Note 5 3 17 4 2" xfId="44876"/>
    <cellStyle name="Note 5 3 17 4 2 2" xfId="44877"/>
    <cellStyle name="Note 5 3 17 4 2_Sheet1" xfId="44878"/>
    <cellStyle name="Note 5 3 17 4 3" xfId="44879"/>
    <cellStyle name="Note 5 3 17 4_Sheet1" xfId="44880"/>
    <cellStyle name="Note 5 3 17 5" xfId="44881"/>
    <cellStyle name="Note 5 3 17_Sheet1" xfId="44882"/>
    <cellStyle name="Note 5 3 18" xfId="44883"/>
    <cellStyle name="Note 5 3 18 2" xfId="44884"/>
    <cellStyle name="Note 5 3 18 2 2" xfId="44885"/>
    <cellStyle name="Note 5 3 18 2 2 2" xfId="44886"/>
    <cellStyle name="Note 5 3 18 2 2_Sheet1" xfId="44887"/>
    <cellStyle name="Note 5 3 18 2 3" xfId="44888"/>
    <cellStyle name="Note 5 3 18 2_Sheet1" xfId="44889"/>
    <cellStyle name="Note 5 3 18 3" xfId="44890"/>
    <cellStyle name="Note 5 3 18 3 2" xfId="44891"/>
    <cellStyle name="Note 5 3 18 3 2 2" xfId="44892"/>
    <cellStyle name="Note 5 3 18 3 2_Sheet1" xfId="44893"/>
    <cellStyle name="Note 5 3 18 3 3" xfId="44894"/>
    <cellStyle name="Note 5 3 18 3_Sheet1" xfId="44895"/>
    <cellStyle name="Note 5 3 18 4" xfId="44896"/>
    <cellStyle name="Note 5 3 18 4 2" xfId="44897"/>
    <cellStyle name="Note 5 3 18 4 2 2" xfId="44898"/>
    <cellStyle name="Note 5 3 18 4 2_Sheet1" xfId="44899"/>
    <cellStyle name="Note 5 3 18 4 3" xfId="44900"/>
    <cellStyle name="Note 5 3 18 4_Sheet1" xfId="44901"/>
    <cellStyle name="Note 5 3 18 5" xfId="44902"/>
    <cellStyle name="Note 5 3 18_Sheet1" xfId="44903"/>
    <cellStyle name="Note 5 3 19" xfId="44904"/>
    <cellStyle name="Note 5 3 19 2" xfId="44905"/>
    <cellStyle name="Note 5 3 19 2 2" xfId="44906"/>
    <cellStyle name="Note 5 3 19 2_Sheet1" xfId="44907"/>
    <cellStyle name="Note 5 3 19 3" xfId="44908"/>
    <cellStyle name="Note 5 3 19_Sheet1" xfId="44909"/>
    <cellStyle name="Note 5 3 2" xfId="44910"/>
    <cellStyle name="Note 5 3 2 2" xfId="44911"/>
    <cellStyle name="Note 5 3 2 2 2" xfId="44912"/>
    <cellStyle name="Note 5 3 2 2 2 2" xfId="44913"/>
    <cellStyle name="Note 5 3 2 2 2_Sheet1" xfId="44914"/>
    <cellStyle name="Note 5 3 2 2 3" xfId="44915"/>
    <cellStyle name="Note 5 3 2 2_Sheet1" xfId="44916"/>
    <cellStyle name="Note 5 3 2 3" xfId="44917"/>
    <cellStyle name="Note 5 3 2 3 2" xfId="44918"/>
    <cellStyle name="Note 5 3 2 3 2 2" xfId="44919"/>
    <cellStyle name="Note 5 3 2 3 2_Sheet1" xfId="44920"/>
    <cellStyle name="Note 5 3 2 3 3" xfId="44921"/>
    <cellStyle name="Note 5 3 2 3_Sheet1" xfId="44922"/>
    <cellStyle name="Note 5 3 2 4" xfId="44923"/>
    <cellStyle name="Note 5 3 2 4 2" xfId="44924"/>
    <cellStyle name="Note 5 3 2 4 2 2" xfId="44925"/>
    <cellStyle name="Note 5 3 2 4 2_Sheet1" xfId="44926"/>
    <cellStyle name="Note 5 3 2 4 3" xfId="44927"/>
    <cellStyle name="Note 5 3 2 4_Sheet1" xfId="44928"/>
    <cellStyle name="Note 5 3 2 5" xfId="44929"/>
    <cellStyle name="Note 5 3 2_Sheet1" xfId="44930"/>
    <cellStyle name="Note 5 3 20" xfId="44931"/>
    <cellStyle name="Note 5 3 20 2" xfId="44932"/>
    <cellStyle name="Note 5 3 20 2 2" xfId="44933"/>
    <cellStyle name="Note 5 3 20 2_Sheet1" xfId="44934"/>
    <cellStyle name="Note 5 3 20 3" xfId="44935"/>
    <cellStyle name="Note 5 3 20_Sheet1" xfId="44936"/>
    <cellStyle name="Note 5 3 21" xfId="44937"/>
    <cellStyle name="Note 5 3 21 2" xfId="44938"/>
    <cellStyle name="Note 5 3 21 2 2" xfId="44939"/>
    <cellStyle name="Note 5 3 21 2_Sheet1" xfId="44940"/>
    <cellStyle name="Note 5 3 21 3" xfId="44941"/>
    <cellStyle name="Note 5 3 21_Sheet1" xfId="44942"/>
    <cellStyle name="Note 5 3 22" xfId="44943"/>
    <cellStyle name="Note 5 3 3" xfId="44944"/>
    <cellStyle name="Note 5 3 3 2" xfId="44945"/>
    <cellStyle name="Note 5 3 3 2 2" xfId="44946"/>
    <cellStyle name="Note 5 3 3 2 2 2" xfId="44947"/>
    <cellStyle name="Note 5 3 3 2 2_Sheet1" xfId="44948"/>
    <cellStyle name="Note 5 3 3 2 3" xfId="44949"/>
    <cellStyle name="Note 5 3 3 2_Sheet1" xfId="44950"/>
    <cellStyle name="Note 5 3 3 3" xfId="44951"/>
    <cellStyle name="Note 5 3 3 3 2" xfId="44952"/>
    <cellStyle name="Note 5 3 3 3 2 2" xfId="44953"/>
    <cellStyle name="Note 5 3 3 3 2_Sheet1" xfId="44954"/>
    <cellStyle name="Note 5 3 3 3 3" xfId="44955"/>
    <cellStyle name="Note 5 3 3 3_Sheet1" xfId="44956"/>
    <cellStyle name="Note 5 3 3 4" xfId="44957"/>
    <cellStyle name="Note 5 3 3 4 2" xfId="44958"/>
    <cellStyle name="Note 5 3 3 4 2 2" xfId="44959"/>
    <cellStyle name="Note 5 3 3 4 2_Sheet1" xfId="44960"/>
    <cellStyle name="Note 5 3 3 4 3" xfId="44961"/>
    <cellStyle name="Note 5 3 3 4_Sheet1" xfId="44962"/>
    <cellStyle name="Note 5 3 3 5" xfId="44963"/>
    <cellStyle name="Note 5 3 3_Sheet1" xfId="44964"/>
    <cellStyle name="Note 5 3 4" xfId="44965"/>
    <cellStyle name="Note 5 3 4 2" xfId="44966"/>
    <cellStyle name="Note 5 3 4 2 2" xfId="44967"/>
    <cellStyle name="Note 5 3 4 2 2 2" xfId="44968"/>
    <cellStyle name="Note 5 3 4 2 2_Sheet1" xfId="44969"/>
    <cellStyle name="Note 5 3 4 2 3" xfId="44970"/>
    <cellStyle name="Note 5 3 4 2_Sheet1" xfId="44971"/>
    <cellStyle name="Note 5 3 4 3" xfId="44972"/>
    <cellStyle name="Note 5 3 4 3 2" xfId="44973"/>
    <cellStyle name="Note 5 3 4 3 2 2" xfId="44974"/>
    <cellStyle name="Note 5 3 4 3 2_Sheet1" xfId="44975"/>
    <cellStyle name="Note 5 3 4 3 3" xfId="44976"/>
    <cellStyle name="Note 5 3 4 3_Sheet1" xfId="44977"/>
    <cellStyle name="Note 5 3 4 4" xfId="44978"/>
    <cellStyle name="Note 5 3 4 4 2" xfId="44979"/>
    <cellStyle name="Note 5 3 4 4 2 2" xfId="44980"/>
    <cellStyle name="Note 5 3 4 4 2_Sheet1" xfId="44981"/>
    <cellStyle name="Note 5 3 4 4 3" xfId="44982"/>
    <cellStyle name="Note 5 3 4 4_Sheet1" xfId="44983"/>
    <cellStyle name="Note 5 3 4 5" xfId="44984"/>
    <cellStyle name="Note 5 3 4_Sheet1" xfId="44985"/>
    <cellStyle name="Note 5 3 5" xfId="44986"/>
    <cellStyle name="Note 5 3 5 2" xfId="44987"/>
    <cellStyle name="Note 5 3 5 2 2" xfId="44988"/>
    <cellStyle name="Note 5 3 5 2 2 2" xfId="44989"/>
    <cellStyle name="Note 5 3 5 2 2_Sheet1" xfId="44990"/>
    <cellStyle name="Note 5 3 5 2 3" xfId="44991"/>
    <cellStyle name="Note 5 3 5 2_Sheet1" xfId="44992"/>
    <cellStyle name="Note 5 3 5 3" xfId="44993"/>
    <cellStyle name="Note 5 3 5 3 2" xfId="44994"/>
    <cellStyle name="Note 5 3 5 3 2 2" xfId="44995"/>
    <cellStyle name="Note 5 3 5 3 2_Sheet1" xfId="44996"/>
    <cellStyle name="Note 5 3 5 3 3" xfId="44997"/>
    <cellStyle name="Note 5 3 5 3_Sheet1" xfId="44998"/>
    <cellStyle name="Note 5 3 5 4" xfId="44999"/>
    <cellStyle name="Note 5 3 5 4 2" xfId="45000"/>
    <cellStyle name="Note 5 3 5 4 2 2" xfId="45001"/>
    <cellStyle name="Note 5 3 5 4 2_Sheet1" xfId="45002"/>
    <cellStyle name="Note 5 3 5 4 3" xfId="45003"/>
    <cellStyle name="Note 5 3 5 4_Sheet1" xfId="45004"/>
    <cellStyle name="Note 5 3 5 5" xfId="45005"/>
    <cellStyle name="Note 5 3 5_Sheet1" xfId="45006"/>
    <cellStyle name="Note 5 3 6" xfId="45007"/>
    <cellStyle name="Note 5 3 6 2" xfId="45008"/>
    <cellStyle name="Note 5 3 6 2 2" xfId="45009"/>
    <cellStyle name="Note 5 3 6 2 2 2" xfId="45010"/>
    <cellStyle name="Note 5 3 6 2 2_Sheet1" xfId="45011"/>
    <cellStyle name="Note 5 3 6 2 3" xfId="45012"/>
    <cellStyle name="Note 5 3 6 2_Sheet1" xfId="45013"/>
    <cellStyle name="Note 5 3 6 3" xfId="45014"/>
    <cellStyle name="Note 5 3 6 3 2" xfId="45015"/>
    <cellStyle name="Note 5 3 6 3 2 2" xfId="45016"/>
    <cellStyle name="Note 5 3 6 3 2_Sheet1" xfId="45017"/>
    <cellStyle name="Note 5 3 6 3 3" xfId="45018"/>
    <cellStyle name="Note 5 3 6 3_Sheet1" xfId="45019"/>
    <cellStyle name="Note 5 3 6 4" xfId="45020"/>
    <cellStyle name="Note 5 3 6 4 2" xfId="45021"/>
    <cellStyle name="Note 5 3 6 4 2 2" xfId="45022"/>
    <cellStyle name="Note 5 3 6 4 2_Sheet1" xfId="45023"/>
    <cellStyle name="Note 5 3 6 4 3" xfId="45024"/>
    <cellStyle name="Note 5 3 6 4_Sheet1" xfId="45025"/>
    <cellStyle name="Note 5 3 6 5" xfId="45026"/>
    <cellStyle name="Note 5 3 6_Sheet1" xfId="45027"/>
    <cellStyle name="Note 5 3 7" xfId="45028"/>
    <cellStyle name="Note 5 3 7 2" xfId="45029"/>
    <cellStyle name="Note 5 3 7 2 2" xfId="45030"/>
    <cellStyle name="Note 5 3 7 2 2 2" xfId="45031"/>
    <cellStyle name="Note 5 3 7 2 2_Sheet1" xfId="45032"/>
    <cellStyle name="Note 5 3 7 2 3" xfId="45033"/>
    <cellStyle name="Note 5 3 7 2_Sheet1" xfId="45034"/>
    <cellStyle name="Note 5 3 7 3" xfId="45035"/>
    <cellStyle name="Note 5 3 7 3 2" xfId="45036"/>
    <cellStyle name="Note 5 3 7 3 2 2" xfId="45037"/>
    <cellStyle name="Note 5 3 7 3 2_Sheet1" xfId="45038"/>
    <cellStyle name="Note 5 3 7 3 3" xfId="45039"/>
    <cellStyle name="Note 5 3 7 3_Sheet1" xfId="45040"/>
    <cellStyle name="Note 5 3 7 4" xfId="45041"/>
    <cellStyle name="Note 5 3 7 4 2" xfId="45042"/>
    <cellStyle name="Note 5 3 7 4 2 2" xfId="45043"/>
    <cellStyle name="Note 5 3 7 4 2_Sheet1" xfId="45044"/>
    <cellStyle name="Note 5 3 7 4 3" xfId="45045"/>
    <cellStyle name="Note 5 3 7 4_Sheet1" xfId="45046"/>
    <cellStyle name="Note 5 3 7 5" xfId="45047"/>
    <cellStyle name="Note 5 3 7_Sheet1" xfId="45048"/>
    <cellStyle name="Note 5 3 8" xfId="45049"/>
    <cellStyle name="Note 5 3 8 2" xfId="45050"/>
    <cellStyle name="Note 5 3 8 2 2" xfId="45051"/>
    <cellStyle name="Note 5 3 8 2 2 2" xfId="45052"/>
    <cellStyle name="Note 5 3 8 2 2_Sheet1" xfId="45053"/>
    <cellStyle name="Note 5 3 8 2 3" xfId="45054"/>
    <cellStyle name="Note 5 3 8 2_Sheet1" xfId="45055"/>
    <cellStyle name="Note 5 3 8 3" xfId="45056"/>
    <cellStyle name="Note 5 3 8 3 2" xfId="45057"/>
    <cellStyle name="Note 5 3 8 3 2 2" xfId="45058"/>
    <cellStyle name="Note 5 3 8 3 2_Sheet1" xfId="45059"/>
    <cellStyle name="Note 5 3 8 3 3" xfId="45060"/>
    <cellStyle name="Note 5 3 8 3_Sheet1" xfId="45061"/>
    <cellStyle name="Note 5 3 8 4" xfId="45062"/>
    <cellStyle name="Note 5 3 8 4 2" xfId="45063"/>
    <cellStyle name="Note 5 3 8 4 2 2" xfId="45064"/>
    <cellStyle name="Note 5 3 8 4 2_Sheet1" xfId="45065"/>
    <cellStyle name="Note 5 3 8 4 3" xfId="45066"/>
    <cellStyle name="Note 5 3 8 4_Sheet1" xfId="45067"/>
    <cellStyle name="Note 5 3 8 5" xfId="45068"/>
    <cellStyle name="Note 5 3 8_Sheet1" xfId="45069"/>
    <cellStyle name="Note 5 3 9" xfId="45070"/>
    <cellStyle name="Note 5 3 9 2" xfId="45071"/>
    <cellStyle name="Note 5 3 9 2 2" xfId="45072"/>
    <cellStyle name="Note 5 3 9 2 2 2" xfId="45073"/>
    <cellStyle name="Note 5 3 9 2 2_Sheet1" xfId="45074"/>
    <cellStyle name="Note 5 3 9 2 3" xfId="45075"/>
    <cellStyle name="Note 5 3 9 2_Sheet1" xfId="45076"/>
    <cellStyle name="Note 5 3 9 3" xfId="45077"/>
    <cellStyle name="Note 5 3 9 3 2" xfId="45078"/>
    <cellStyle name="Note 5 3 9 3 2 2" xfId="45079"/>
    <cellStyle name="Note 5 3 9 3 2_Sheet1" xfId="45080"/>
    <cellStyle name="Note 5 3 9 3 3" xfId="45081"/>
    <cellStyle name="Note 5 3 9 3_Sheet1" xfId="45082"/>
    <cellStyle name="Note 5 3 9 4" xfId="45083"/>
    <cellStyle name="Note 5 3 9 4 2" xfId="45084"/>
    <cellStyle name="Note 5 3 9 4 2 2" xfId="45085"/>
    <cellStyle name="Note 5 3 9 4 2_Sheet1" xfId="45086"/>
    <cellStyle name="Note 5 3 9 4 3" xfId="45087"/>
    <cellStyle name="Note 5 3 9 4_Sheet1" xfId="45088"/>
    <cellStyle name="Note 5 3 9 5" xfId="45089"/>
    <cellStyle name="Note 5 3 9_Sheet1" xfId="45090"/>
    <cellStyle name="Note 5 3_Sheet1" xfId="45091"/>
    <cellStyle name="Note 5 4" xfId="45092"/>
    <cellStyle name="Note 5 4 2" xfId="45093"/>
    <cellStyle name="Note 5 4 2 2" xfId="45094"/>
    <cellStyle name="Note 5 4 2 2 2" xfId="45095"/>
    <cellStyle name="Note 5 4 2 2_Sheet1" xfId="45096"/>
    <cellStyle name="Note 5 4 2 3" xfId="45097"/>
    <cellStyle name="Note 5 4 2_Sheet1" xfId="45098"/>
    <cellStyle name="Note 5 4 3" xfId="45099"/>
    <cellStyle name="Note 5 4 3 2" xfId="45100"/>
    <cellStyle name="Note 5 4 3 2 2" xfId="45101"/>
    <cellStyle name="Note 5 4 3 2_Sheet1" xfId="45102"/>
    <cellStyle name="Note 5 4 3 3" xfId="45103"/>
    <cellStyle name="Note 5 4 3_Sheet1" xfId="45104"/>
    <cellStyle name="Note 5 4 4" xfId="45105"/>
    <cellStyle name="Note 5 4 4 2" xfId="45106"/>
    <cellStyle name="Note 5 4 4 2 2" xfId="45107"/>
    <cellStyle name="Note 5 4 4 2_Sheet1" xfId="45108"/>
    <cellStyle name="Note 5 4 4 3" xfId="45109"/>
    <cellStyle name="Note 5 4 4_Sheet1" xfId="45110"/>
    <cellStyle name="Note 5 4 5" xfId="45111"/>
    <cellStyle name="Note 5 4_Sheet1" xfId="45112"/>
    <cellStyle name="Note 5 5" xfId="45113"/>
    <cellStyle name="Note 5 5 2" xfId="45114"/>
    <cellStyle name="Note 5 5 2 2" xfId="45115"/>
    <cellStyle name="Note 5 5 2 2 2" xfId="45116"/>
    <cellStyle name="Note 5 5 2 2_Sheet1" xfId="45117"/>
    <cellStyle name="Note 5 5 2 3" xfId="45118"/>
    <cellStyle name="Note 5 5 2_Sheet1" xfId="45119"/>
    <cellStyle name="Note 5 5 3" xfId="45120"/>
    <cellStyle name="Note 5 5 3 2" xfId="45121"/>
    <cellStyle name="Note 5 5 3 2 2" xfId="45122"/>
    <cellStyle name="Note 5 5 3 2_Sheet1" xfId="45123"/>
    <cellStyle name="Note 5 5 3 3" xfId="45124"/>
    <cellStyle name="Note 5 5 3_Sheet1" xfId="45125"/>
    <cellStyle name="Note 5 5 4" xfId="45126"/>
    <cellStyle name="Note 5 5 4 2" xfId="45127"/>
    <cellStyle name="Note 5 5 4 2 2" xfId="45128"/>
    <cellStyle name="Note 5 5 4 2_Sheet1" xfId="45129"/>
    <cellStyle name="Note 5 5 4 3" xfId="45130"/>
    <cellStyle name="Note 5 5 4_Sheet1" xfId="45131"/>
    <cellStyle name="Note 5 5 5" xfId="45132"/>
    <cellStyle name="Note 5 5_Sheet1" xfId="45133"/>
    <cellStyle name="Note 5 6" xfId="45134"/>
    <cellStyle name="Note 5 6 2" xfId="45135"/>
    <cellStyle name="Note 5 6 2 2" xfId="45136"/>
    <cellStyle name="Note 5 6 2 2 2" xfId="45137"/>
    <cellStyle name="Note 5 6 2 2_Sheet1" xfId="45138"/>
    <cellStyle name="Note 5 6 2 3" xfId="45139"/>
    <cellStyle name="Note 5 6 2_Sheet1" xfId="45140"/>
    <cellStyle name="Note 5 6 3" xfId="45141"/>
    <cellStyle name="Note 5 6 3 2" xfId="45142"/>
    <cellStyle name="Note 5 6 3 2 2" xfId="45143"/>
    <cellStyle name="Note 5 6 3 2_Sheet1" xfId="45144"/>
    <cellStyle name="Note 5 6 3 3" xfId="45145"/>
    <cellStyle name="Note 5 6 3_Sheet1" xfId="45146"/>
    <cellStyle name="Note 5 6 4" xfId="45147"/>
    <cellStyle name="Note 5 6 4 2" xfId="45148"/>
    <cellStyle name="Note 5 6 4 2 2" xfId="45149"/>
    <cellStyle name="Note 5 6 4 2_Sheet1" xfId="45150"/>
    <cellStyle name="Note 5 6 4 3" xfId="45151"/>
    <cellStyle name="Note 5 6 4_Sheet1" xfId="45152"/>
    <cellStyle name="Note 5 6 5" xfId="45153"/>
    <cellStyle name="Note 5 6_Sheet1" xfId="45154"/>
    <cellStyle name="Note 5 7" xfId="45155"/>
    <cellStyle name="Note 5 7 2" xfId="45156"/>
    <cellStyle name="Note 5 7 2 2" xfId="45157"/>
    <cellStyle name="Note 5 7 2 2 2" xfId="45158"/>
    <cellStyle name="Note 5 7 2 2_Sheet1" xfId="45159"/>
    <cellStyle name="Note 5 7 2 3" xfId="45160"/>
    <cellStyle name="Note 5 7 2_Sheet1" xfId="45161"/>
    <cellStyle name="Note 5 7 3" xfId="45162"/>
    <cellStyle name="Note 5 7 3 2" xfId="45163"/>
    <cellStyle name="Note 5 7 3 2 2" xfId="45164"/>
    <cellStyle name="Note 5 7 3 2_Sheet1" xfId="45165"/>
    <cellStyle name="Note 5 7 3 3" xfId="45166"/>
    <cellStyle name="Note 5 7 3_Sheet1" xfId="45167"/>
    <cellStyle name="Note 5 7 4" xfId="45168"/>
    <cellStyle name="Note 5 7 4 2" xfId="45169"/>
    <cellStyle name="Note 5 7 4 2 2" xfId="45170"/>
    <cellStyle name="Note 5 7 4 2_Sheet1" xfId="45171"/>
    <cellStyle name="Note 5 7 4 3" xfId="45172"/>
    <cellStyle name="Note 5 7 4_Sheet1" xfId="45173"/>
    <cellStyle name="Note 5 7 5" xfId="45174"/>
    <cellStyle name="Note 5 7_Sheet1" xfId="45175"/>
    <cellStyle name="Note 5 8" xfId="45176"/>
    <cellStyle name="Note 5 8 2" xfId="45177"/>
    <cellStyle name="Note 5 8 2 2" xfId="45178"/>
    <cellStyle name="Note 5 8 2 2 2" xfId="45179"/>
    <cellStyle name="Note 5 8 2 2_Sheet1" xfId="45180"/>
    <cellStyle name="Note 5 8 2 3" xfId="45181"/>
    <cellStyle name="Note 5 8 2_Sheet1" xfId="45182"/>
    <cellStyle name="Note 5 8 3" xfId="45183"/>
    <cellStyle name="Note 5 8 3 2" xfId="45184"/>
    <cellStyle name="Note 5 8 3 2 2" xfId="45185"/>
    <cellStyle name="Note 5 8 3 2_Sheet1" xfId="45186"/>
    <cellStyle name="Note 5 8 3 3" xfId="45187"/>
    <cellStyle name="Note 5 8 3_Sheet1" xfId="45188"/>
    <cellStyle name="Note 5 8 4" xfId="45189"/>
    <cellStyle name="Note 5 8 4 2" xfId="45190"/>
    <cellStyle name="Note 5 8 4 2 2" xfId="45191"/>
    <cellStyle name="Note 5 8 4 2_Sheet1" xfId="45192"/>
    <cellStyle name="Note 5 8 4 3" xfId="45193"/>
    <cellStyle name="Note 5 8 4_Sheet1" xfId="45194"/>
    <cellStyle name="Note 5 8 5" xfId="45195"/>
    <cellStyle name="Note 5 8_Sheet1" xfId="45196"/>
    <cellStyle name="Note 5 9" xfId="45197"/>
    <cellStyle name="Note 5 9 2" xfId="45198"/>
    <cellStyle name="Note 5 9 2 2" xfId="45199"/>
    <cellStyle name="Note 5 9 2 2 2" xfId="45200"/>
    <cellStyle name="Note 5 9 2 2_Sheet1" xfId="45201"/>
    <cellStyle name="Note 5 9 2 3" xfId="45202"/>
    <cellStyle name="Note 5 9 2_Sheet1" xfId="45203"/>
    <cellStyle name="Note 5 9 3" xfId="45204"/>
    <cellStyle name="Note 5 9 3 2" xfId="45205"/>
    <cellStyle name="Note 5 9 3 2 2" xfId="45206"/>
    <cellStyle name="Note 5 9 3 2_Sheet1" xfId="45207"/>
    <cellStyle name="Note 5 9 3 3" xfId="45208"/>
    <cellStyle name="Note 5 9 3_Sheet1" xfId="45209"/>
    <cellStyle name="Note 5 9 4" xfId="45210"/>
    <cellStyle name="Note 5 9 4 2" xfId="45211"/>
    <cellStyle name="Note 5 9 4 2 2" xfId="45212"/>
    <cellStyle name="Note 5 9 4 2_Sheet1" xfId="45213"/>
    <cellStyle name="Note 5 9 4 3" xfId="45214"/>
    <cellStyle name="Note 5 9 4_Sheet1" xfId="45215"/>
    <cellStyle name="Note 5 9 5" xfId="45216"/>
    <cellStyle name="Note 5 9_Sheet1" xfId="45217"/>
    <cellStyle name="Note 5_Sheet1" xfId="45218"/>
    <cellStyle name="Note 6" xfId="45219"/>
    <cellStyle name="Note 6 10" xfId="45220"/>
    <cellStyle name="Note 6 10 2" xfId="45221"/>
    <cellStyle name="Note 6 10 2 2" xfId="45222"/>
    <cellStyle name="Note 6 10 2 2 2" xfId="45223"/>
    <cellStyle name="Note 6 10 2 2_Sheet1" xfId="45224"/>
    <cellStyle name="Note 6 10 2 3" xfId="45225"/>
    <cellStyle name="Note 6 10 2_Sheet1" xfId="45226"/>
    <cellStyle name="Note 6 10 3" xfId="45227"/>
    <cellStyle name="Note 6 10 3 2" xfId="45228"/>
    <cellStyle name="Note 6 10 3 2 2" xfId="45229"/>
    <cellStyle name="Note 6 10 3 2_Sheet1" xfId="45230"/>
    <cellStyle name="Note 6 10 3 3" xfId="45231"/>
    <cellStyle name="Note 6 10 3_Sheet1" xfId="45232"/>
    <cellStyle name="Note 6 10 4" xfId="45233"/>
    <cellStyle name="Note 6 10 4 2" xfId="45234"/>
    <cellStyle name="Note 6 10 4 2 2" xfId="45235"/>
    <cellStyle name="Note 6 10 4 2_Sheet1" xfId="45236"/>
    <cellStyle name="Note 6 10 4 3" xfId="45237"/>
    <cellStyle name="Note 6 10 4_Sheet1" xfId="45238"/>
    <cellStyle name="Note 6 10 5" xfId="45239"/>
    <cellStyle name="Note 6 10_Sheet1" xfId="45240"/>
    <cellStyle name="Note 6 11" xfId="45241"/>
    <cellStyle name="Note 6 11 2" xfId="45242"/>
    <cellStyle name="Note 6 11 2 2" xfId="45243"/>
    <cellStyle name="Note 6 11 2 2 2" xfId="45244"/>
    <cellStyle name="Note 6 11 2 2_Sheet1" xfId="45245"/>
    <cellStyle name="Note 6 11 2 3" xfId="45246"/>
    <cellStyle name="Note 6 11 2_Sheet1" xfId="45247"/>
    <cellStyle name="Note 6 11 3" xfId="45248"/>
    <cellStyle name="Note 6 11 3 2" xfId="45249"/>
    <cellStyle name="Note 6 11 3 2 2" xfId="45250"/>
    <cellStyle name="Note 6 11 3 2_Sheet1" xfId="45251"/>
    <cellStyle name="Note 6 11 3 3" xfId="45252"/>
    <cellStyle name="Note 6 11 3_Sheet1" xfId="45253"/>
    <cellStyle name="Note 6 11 4" xfId="45254"/>
    <cellStyle name="Note 6 11 4 2" xfId="45255"/>
    <cellStyle name="Note 6 11 4 2 2" xfId="45256"/>
    <cellStyle name="Note 6 11 4 2_Sheet1" xfId="45257"/>
    <cellStyle name="Note 6 11 4 3" xfId="45258"/>
    <cellStyle name="Note 6 11 4_Sheet1" xfId="45259"/>
    <cellStyle name="Note 6 11 5" xfId="45260"/>
    <cellStyle name="Note 6 11_Sheet1" xfId="45261"/>
    <cellStyle name="Note 6 12" xfId="45262"/>
    <cellStyle name="Note 6 12 2" xfId="45263"/>
    <cellStyle name="Note 6 12 2 2" xfId="45264"/>
    <cellStyle name="Note 6 12 2 2 2" xfId="45265"/>
    <cellStyle name="Note 6 12 2 2_Sheet1" xfId="45266"/>
    <cellStyle name="Note 6 12 2 3" xfId="45267"/>
    <cellStyle name="Note 6 12 2_Sheet1" xfId="45268"/>
    <cellStyle name="Note 6 12 3" xfId="45269"/>
    <cellStyle name="Note 6 12 3 2" xfId="45270"/>
    <cellStyle name="Note 6 12 3 2 2" xfId="45271"/>
    <cellStyle name="Note 6 12 3 2_Sheet1" xfId="45272"/>
    <cellStyle name="Note 6 12 3 3" xfId="45273"/>
    <cellStyle name="Note 6 12 3_Sheet1" xfId="45274"/>
    <cellStyle name="Note 6 12 4" xfId="45275"/>
    <cellStyle name="Note 6 12 4 2" xfId="45276"/>
    <cellStyle name="Note 6 12 4 2 2" xfId="45277"/>
    <cellStyle name="Note 6 12 4 2_Sheet1" xfId="45278"/>
    <cellStyle name="Note 6 12 4 3" xfId="45279"/>
    <cellStyle name="Note 6 12 4_Sheet1" xfId="45280"/>
    <cellStyle name="Note 6 12 5" xfId="45281"/>
    <cellStyle name="Note 6 12_Sheet1" xfId="45282"/>
    <cellStyle name="Note 6 13" xfId="45283"/>
    <cellStyle name="Note 6 13 2" xfId="45284"/>
    <cellStyle name="Note 6 13 2 2" xfId="45285"/>
    <cellStyle name="Note 6 13 2 2 2" xfId="45286"/>
    <cellStyle name="Note 6 13 2 2_Sheet1" xfId="45287"/>
    <cellStyle name="Note 6 13 2 3" xfId="45288"/>
    <cellStyle name="Note 6 13 2_Sheet1" xfId="45289"/>
    <cellStyle name="Note 6 13 3" xfId="45290"/>
    <cellStyle name="Note 6 13 3 2" xfId="45291"/>
    <cellStyle name="Note 6 13 3 2 2" xfId="45292"/>
    <cellStyle name="Note 6 13 3 2_Sheet1" xfId="45293"/>
    <cellStyle name="Note 6 13 3 3" xfId="45294"/>
    <cellStyle name="Note 6 13 3_Sheet1" xfId="45295"/>
    <cellStyle name="Note 6 13 4" xfId="45296"/>
    <cellStyle name="Note 6 13 4 2" xfId="45297"/>
    <cellStyle name="Note 6 13 4 2 2" xfId="45298"/>
    <cellStyle name="Note 6 13 4 2_Sheet1" xfId="45299"/>
    <cellStyle name="Note 6 13 4 3" xfId="45300"/>
    <cellStyle name="Note 6 13 4_Sheet1" xfId="45301"/>
    <cellStyle name="Note 6 13 5" xfId="45302"/>
    <cellStyle name="Note 6 13_Sheet1" xfId="45303"/>
    <cellStyle name="Note 6 14" xfId="45304"/>
    <cellStyle name="Note 6 14 2" xfId="45305"/>
    <cellStyle name="Note 6 14 2 2" xfId="45306"/>
    <cellStyle name="Note 6 14 2 2 2" xfId="45307"/>
    <cellStyle name="Note 6 14 2 2_Sheet1" xfId="45308"/>
    <cellStyle name="Note 6 14 2 3" xfId="45309"/>
    <cellStyle name="Note 6 14 2_Sheet1" xfId="45310"/>
    <cellStyle name="Note 6 14 3" xfId="45311"/>
    <cellStyle name="Note 6 14 3 2" xfId="45312"/>
    <cellStyle name="Note 6 14 3 2 2" xfId="45313"/>
    <cellStyle name="Note 6 14 3 2_Sheet1" xfId="45314"/>
    <cellStyle name="Note 6 14 3 3" xfId="45315"/>
    <cellStyle name="Note 6 14 3_Sheet1" xfId="45316"/>
    <cellStyle name="Note 6 14 4" xfId="45317"/>
    <cellStyle name="Note 6 14 4 2" xfId="45318"/>
    <cellStyle name="Note 6 14 4 2 2" xfId="45319"/>
    <cellStyle name="Note 6 14 4 2_Sheet1" xfId="45320"/>
    <cellStyle name="Note 6 14 4 3" xfId="45321"/>
    <cellStyle name="Note 6 14 4_Sheet1" xfId="45322"/>
    <cellStyle name="Note 6 14 5" xfId="45323"/>
    <cellStyle name="Note 6 14_Sheet1" xfId="45324"/>
    <cellStyle name="Note 6 15" xfId="45325"/>
    <cellStyle name="Note 6 15 2" xfId="45326"/>
    <cellStyle name="Note 6 15 2 2" xfId="45327"/>
    <cellStyle name="Note 6 15 2 2 2" xfId="45328"/>
    <cellStyle name="Note 6 15 2 2_Sheet1" xfId="45329"/>
    <cellStyle name="Note 6 15 2 3" xfId="45330"/>
    <cellStyle name="Note 6 15 2_Sheet1" xfId="45331"/>
    <cellStyle name="Note 6 15 3" xfId="45332"/>
    <cellStyle name="Note 6 15 3 2" xfId="45333"/>
    <cellStyle name="Note 6 15 3 2 2" xfId="45334"/>
    <cellStyle name="Note 6 15 3 2_Sheet1" xfId="45335"/>
    <cellStyle name="Note 6 15 3 3" xfId="45336"/>
    <cellStyle name="Note 6 15 3_Sheet1" xfId="45337"/>
    <cellStyle name="Note 6 15 4" xfId="45338"/>
    <cellStyle name="Note 6 15 4 2" xfId="45339"/>
    <cellStyle name="Note 6 15 4 2 2" xfId="45340"/>
    <cellStyle name="Note 6 15 4 2_Sheet1" xfId="45341"/>
    <cellStyle name="Note 6 15 4 3" xfId="45342"/>
    <cellStyle name="Note 6 15 4_Sheet1" xfId="45343"/>
    <cellStyle name="Note 6 15 5" xfId="45344"/>
    <cellStyle name="Note 6 15_Sheet1" xfId="45345"/>
    <cellStyle name="Note 6 16" xfId="45346"/>
    <cellStyle name="Note 6 16 2" xfId="45347"/>
    <cellStyle name="Note 6 16 2 2" xfId="45348"/>
    <cellStyle name="Note 6 16 2 2 2" xfId="45349"/>
    <cellStyle name="Note 6 16 2 2_Sheet1" xfId="45350"/>
    <cellStyle name="Note 6 16 2 3" xfId="45351"/>
    <cellStyle name="Note 6 16 2_Sheet1" xfId="45352"/>
    <cellStyle name="Note 6 16 3" xfId="45353"/>
    <cellStyle name="Note 6 16 3 2" xfId="45354"/>
    <cellStyle name="Note 6 16 3 2 2" xfId="45355"/>
    <cellStyle name="Note 6 16 3 2_Sheet1" xfId="45356"/>
    <cellStyle name="Note 6 16 3 3" xfId="45357"/>
    <cellStyle name="Note 6 16 3_Sheet1" xfId="45358"/>
    <cellStyle name="Note 6 16 4" xfId="45359"/>
    <cellStyle name="Note 6 16 4 2" xfId="45360"/>
    <cellStyle name="Note 6 16 4 2 2" xfId="45361"/>
    <cellStyle name="Note 6 16 4 2_Sheet1" xfId="45362"/>
    <cellStyle name="Note 6 16 4 3" xfId="45363"/>
    <cellStyle name="Note 6 16 4_Sheet1" xfId="45364"/>
    <cellStyle name="Note 6 16 5" xfId="45365"/>
    <cellStyle name="Note 6 16_Sheet1" xfId="45366"/>
    <cellStyle name="Note 6 17" xfId="45367"/>
    <cellStyle name="Note 6 17 2" xfId="45368"/>
    <cellStyle name="Note 6 17 2 2" xfId="45369"/>
    <cellStyle name="Note 6 17 2 2 2" xfId="45370"/>
    <cellStyle name="Note 6 17 2 2_Sheet1" xfId="45371"/>
    <cellStyle name="Note 6 17 2 3" xfId="45372"/>
    <cellStyle name="Note 6 17 2_Sheet1" xfId="45373"/>
    <cellStyle name="Note 6 17 3" xfId="45374"/>
    <cellStyle name="Note 6 17 3 2" xfId="45375"/>
    <cellStyle name="Note 6 17 3 2 2" xfId="45376"/>
    <cellStyle name="Note 6 17 3 2_Sheet1" xfId="45377"/>
    <cellStyle name="Note 6 17 3 3" xfId="45378"/>
    <cellStyle name="Note 6 17 3_Sheet1" xfId="45379"/>
    <cellStyle name="Note 6 17 4" xfId="45380"/>
    <cellStyle name="Note 6 17 4 2" xfId="45381"/>
    <cellStyle name="Note 6 17 4 2 2" xfId="45382"/>
    <cellStyle name="Note 6 17 4 2_Sheet1" xfId="45383"/>
    <cellStyle name="Note 6 17 4 3" xfId="45384"/>
    <cellStyle name="Note 6 17 4_Sheet1" xfId="45385"/>
    <cellStyle name="Note 6 17 5" xfId="45386"/>
    <cellStyle name="Note 6 17_Sheet1" xfId="45387"/>
    <cellStyle name="Note 6 18" xfId="45388"/>
    <cellStyle name="Note 6 18 2" xfId="45389"/>
    <cellStyle name="Note 6 18 2 2" xfId="45390"/>
    <cellStyle name="Note 6 18 2 2 2" xfId="45391"/>
    <cellStyle name="Note 6 18 2 2_Sheet1" xfId="45392"/>
    <cellStyle name="Note 6 18 2 3" xfId="45393"/>
    <cellStyle name="Note 6 18 2_Sheet1" xfId="45394"/>
    <cellStyle name="Note 6 18 3" xfId="45395"/>
    <cellStyle name="Note 6 18 3 2" xfId="45396"/>
    <cellStyle name="Note 6 18 3 2 2" xfId="45397"/>
    <cellStyle name="Note 6 18 3 2_Sheet1" xfId="45398"/>
    <cellStyle name="Note 6 18 3 3" xfId="45399"/>
    <cellStyle name="Note 6 18 3_Sheet1" xfId="45400"/>
    <cellStyle name="Note 6 18 4" xfId="45401"/>
    <cellStyle name="Note 6 18 4 2" xfId="45402"/>
    <cellStyle name="Note 6 18 4 2 2" xfId="45403"/>
    <cellStyle name="Note 6 18 4 2_Sheet1" xfId="45404"/>
    <cellStyle name="Note 6 18 4 3" xfId="45405"/>
    <cellStyle name="Note 6 18 4_Sheet1" xfId="45406"/>
    <cellStyle name="Note 6 18 5" xfId="45407"/>
    <cellStyle name="Note 6 18_Sheet1" xfId="45408"/>
    <cellStyle name="Note 6 19" xfId="45409"/>
    <cellStyle name="Note 6 19 2" xfId="45410"/>
    <cellStyle name="Note 6 19 2 2" xfId="45411"/>
    <cellStyle name="Note 6 19 2 2 2" xfId="45412"/>
    <cellStyle name="Note 6 19 2 2_Sheet1" xfId="45413"/>
    <cellStyle name="Note 6 19 2 3" xfId="45414"/>
    <cellStyle name="Note 6 19 2_Sheet1" xfId="45415"/>
    <cellStyle name="Note 6 19 3" xfId="45416"/>
    <cellStyle name="Note 6 19 3 2" xfId="45417"/>
    <cellStyle name="Note 6 19 3 2 2" xfId="45418"/>
    <cellStyle name="Note 6 19 3 2_Sheet1" xfId="45419"/>
    <cellStyle name="Note 6 19 3 3" xfId="45420"/>
    <cellStyle name="Note 6 19 3_Sheet1" xfId="45421"/>
    <cellStyle name="Note 6 19 4" xfId="45422"/>
    <cellStyle name="Note 6 19 4 2" xfId="45423"/>
    <cellStyle name="Note 6 19 4 2 2" xfId="45424"/>
    <cellStyle name="Note 6 19 4 2_Sheet1" xfId="45425"/>
    <cellStyle name="Note 6 19 4 3" xfId="45426"/>
    <cellStyle name="Note 6 19 4_Sheet1" xfId="45427"/>
    <cellStyle name="Note 6 19 5" xfId="45428"/>
    <cellStyle name="Note 6 19_Sheet1" xfId="45429"/>
    <cellStyle name="Note 6 2" xfId="45430"/>
    <cellStyle name="Note 6 2 10" xfId="45431"/>
    <cellStyle name="Note 6 2 10 2" xfId="45432"/>
    <cellStyle name="Note 6 2 10 2 2" xfId="45433"/>
    <cellStyle name="Note 6 2 10 2 2 2" xfId="45434"/>
    <cellStyle name="Note 6 2 10 2 2_Sheet1" xfId="45435"/>
    <cellStyle name="Note 6 2 10 2 3" xfId="45436"/>
    <cellStyle name="Note 6 2 10 2_Sheet1" xfId="45437"/>
    <cellStyle name="Note 6 2 10 3" xfId="45438"/>
    <cellStyle name="Note 6 2 10 3 2" xfId="45439"/>
    <cellStyle name="Note 6 2 10 3 2 2" xfId="45440"/>
    <cellStyle name="Note 6 2 10 3 2_Sheet1" xfId="45441"/>
    <cellStyle name="Note 6 2 10 3 3" xfId="45442"/>
    <cellStyle name="Note 6 2 10 3_Sheet1" xfId="45443"/>
    <cellStyle name="Note 6 2 10 4" xfId="45444"/>
    <cellStyle name="Note 6 2 10 4 2" xfId="45445"/>
    <cellStyle name="Note 6 2 10 4 2 2" xfId="45446"/>
    <cellStyle name="Note 6 2 10 4 2_Sheet1" xfId="45447"/>
    <cellStyle name="Note 6 2 10 4 3" xfId="45448"/>
    <cellStyle name="Note 6 2 10 4_Sheet1" xfId="45449"/>
    <cellStyle name="Note 6 2 10 5" xfId="45450"/>
    <cellStyle name="Note 6 2 10_Sheet1" xfId="45451"/>
    <cellStyle name="Note 6 2 11" xfId="45452"/>
    <cellStyle name="Note 6 2 11 2" xfId="45453"/>
    <cellStyle name="Note 6 2 11 2 2" xfId="45454"/>
    <cellStyle name="Note 6 2 11 2 2 2" xfId="45455"/>
    <cellStyle name="Note 6 2 11 2 2_Sheet1" xfId="45456"/>
    <cellStyle name="Note 6 2 11 2 3" xfId="45457"/>
    <cellStyle name="Note 6 2 11 2_Sheet1" xfId="45458"/>
    <cellStyle name="Note 6 2 11 3" xfId="45459"/>
    <cellStyle name="Note 6 2 11 3 2" xfId="45460"/>
    <cellStyle name="Note 6 2 11 3 2 2" xfId="45461"/>
    <cellStyle name="Note 6 2 11 3 2_Sheet1" xfId="45462"/>
    <cellStyle name="Note 6 2 11 3 3" xfId="45463"/>
    <cellStyle name="Note 6 2 11 3_Sheet1" xfId="45464"/>
    <cellStyle name="Note 6 2 11 4" xfId="45465"/>
    <cellStyle name="Note 6 2 11 4 2" xfId="45466"/>
    <cellStyle name="Note 6 2 11 4 2 2" xfId="45467"/>
    <cellStyle name="Note 6 2 11 4 2_Sheet1" xfId="45468"/>
    <cellStyle name="Note 6 2 11 4 3" xfId="45469"/>
    <cellStyle name="Note 6 2 11 4_Sheet1" xfId="45470"/>
    <cellStyle name="Note 6 2 11 5" xfId="45471"/>
    <cellStyle name="Note 6 2 11_Sheet1" xfId="45472"/>
    <cellStyle name="Note 6 2 12" xfId="45473"/>
    <cellStyle name="Note 6 2 12 2" xfId="45474"/>
    <cellStyle name="Note 6 2 12 2 2" xfId="45475"/>
    <cellStyle name="Note 6 2 12 2 2 2" xfId="45476"/>
    <cellStyle name="Note 6 2 12 2 2_Sheet1" xfId="45477"/>
    <cellStyle name="Note 6 2 12 2 3" xfId="45478"/>
    <cellStyle name="Note 6 2 12 2_Sheet1" xfId="45479"/>
    <cellStyle name="Note 6 2 12 3" xfId="45480"/>
    <cellStyle name="Note 6 2 12 3 2" xfId="45481"/>
    <cellStyle name="Note 6 2 12 3 2 2" xfId="45482"/>
    <cellStyle name="Note 6 2 12 3 2_Sheet1" xfId="45483"/>
    <cellStyle name="Note 6 2 12 3 3" xfId="45484"/>
    <cellStyle name="Note 6 2 12 3_Sheet1" xfId="45485"/>
    <cellStyle name="Note 6 2 12 4" xfId="45486"/>
    <cellStyle name="Note 6 2 12 4 2" xfId="45487"/>
    <cellStyle name="Note 6 2 12 4 2 2" xfId="45488"/>
    <cellStyle name="Note 6 2 12 4 2_Sheet1" xfId="45489"/>
    <cellStyle name="Note 6 2 12 4 3" xfId="45490"/>
    <cellStyle name="Note 6 2 12 4_Sheet1" xfId="45491"/>
    <cellStyle name="Note 6 2 12 5" xfId="45492"/>
    <cellStyle name="Note 6 2 12_Sheet1" xfId="45493"/>
    <cellStyle name="Note 6 2 13" xfId="45494"/>
    <cellStyle name="Note 6 2 13 2" xfId="45495"/>
    <cellStyle name="Note 6 2 13 2 2" xfId="45496"/>
    <cellStyle name="Note 6 2 13 2 2 2" xfId="45497"/>
    <cellStyle name="Note 6 2 13 2 2_Sheet1" xfId="45498"/>
    <cellStyle name="Note 6 2 13 2 3" xfId="45499"/>
    <cellStyle name="Note 6 2 13 2_Sheet1" xfId="45500"/>
    <cellStyle name="Note 6 2 13 3" xfId="45501"/>
    <cellStyle name="Note 6 2 13 3 2" xfId="45502"/>
    <cellStyle name="Note 6 2 13 3 2 2" xfId="45503"/>
    <cellStyle name="Note 6 2 13 3 2_Sheet1" xfId="45504"/>
    <cellStyle name="Note 6 2 13 3 3" xfId="45505"/>
    <cellStyle name="Note 6 2 13 3_Sheet1" xfId="45506"/>
    <cellStyle name="Note 6 2 13 4" xfId="45507"/>
    <cellStyle name="Note 6 2 13 4 2" xfId="45508"/>
    <cellStyle name="Note 6 2 13 4 2 2" xfId="45509"/>
    <cellStyle name="Note 6 2 13 4 2_Sheet1" xfId="45510"/>
    <cellStyle name="Note 6 2 13 4 3" xfId="45511"/>
    <cellStyle name="Note 6 2 13 4_Sheet1" xfId="45512"/>
    <cellStyle name="Note 6 2 13 5" xfId="45513"/>
    <cellStyle name="Note 6 2 13_Sheet1" xfId="45514"/>
    <cellStyle name="Note 6 2 14" xfId="45515"/>
    <cellStyle name="Note 6 2 14 2" xfId="45516"/>
    <cellStyle name="Note 6 2 14 2 2" xfId="45517"/>
    <cellStyle name="Note 6 2 14 2 2 2" xfId="45518"/>
    <cellStyle name="Note 6 2 14 2 2_Sheet1" xfId="45519"/>
    <cellStyle name="Note 6 2 14 2 3" xfId="45520"/>
    <cellStyle name="Note 6 2 14 2_Sheet1" xfId="45521"/>
    <cellStyle name="Note 6 2 14 3" xfId="45522"/>
    <cellStyle name="Note 6 2 14 3 2" xfId="45523"/>
    <cellStyle name="Note 6 2 14 3 2 2" xfId="45524"/>
    <cellStyle name="Note 6 2 14 3 2_Sheet1" xfId="45525"/>
    <cellStyle name="Note 6 2 14 3 3" xfId="45526"/>
    <cellStyle name="Note 6 2 14 3_Sheet1" xfId="45527"/>
    <cellStyle name="Note 6 2 14 4" xfId="45528"/>
    <cellStyle name="Note 6 2 14 4 2" xfId="45529"/>
    <cellStyle name="Note 6 2 14 4 2 2" xfId="45530"/>
    <cellStyle name="Note 6 2 14 4 2_Sheet1" xfId="45531"/>
    <cellStyle name="Note 6 2 14 4 3" xfId="45532"/>
    <cellStyle name="Note 6 2 14 4_Sheet1" xfId="45533"/>
    <cellStyle name="Note 6 2 14 5" xfId="45534"/>
    <cellStyle name="Note 6 2 14_Sheet1" xfId="45535"/>
    <cellStyle name="Note 6 2 15" xfId="45536"/>
    <cellStyle name="Note 6 2 15 2" xfId="45537"/>
    <cellStyle name="Note 6 2 15 2 2" xfId="45538"/>
    <cellStyle name="Note 6 2 15 2 2 2" xfId="45539"/>
    <cellStyle name="Note 6 2 15 2 2_Sheet1" xfId="45540"/>
    <cellStyle name="Note 6 2 15 2 3" xfId="45541"/>
    <cellStyle name="Note 6 2 15 2_Sheet1" xfId="45542"/>
    <cellStyle name="Note 6 2 15 3" xfId="45543"/>
    <cellStyle name="Note 6 2 15 3 2" xfId="45544"/>
    <cellStyle name="Note 6 2 15 3 2 2" xfId="45545"/>
    <cellStyle name="Note 6 2 15 3 2_Sheet1" xfId="45546"/>
    <cellStyle name="Note 6 2 15 3 3" xfId="45547"/>
    <cellStyle name="Note 6 2 15 3_Sheet1" xfId="45548"/>
    <cellStyle name="Note 6 2 15 4" xfId="45549"/>
    <cellStyle name="Note 6 2 15 4 2" xfId="45550"/>
    <cellStyle name="Note 6 2 15 4 2 2" xfId="45551"/>
    <cellStyle name="Note 6 2 15 4 2_Sheet1" xfId="45552"/>
    <cellStyle name="Note 6 2 15 4 3" xfId="45553"/>
    <cellStyle name="Note 6 2 15 4_Sheet1" xfId="45554"/>
    <cellStyle name="Note 6 2 15 5" xfId="45555"/>
    <cellStyle name="Note 6 2 15_Sheet1" xfId="45556"/>
    <cellStyle name="Note 6 2 16" xfId="45557"/>
    <cellStyle name="Note 6 2 16 2" xfId="45558"/>
    <cellStyle name="Note 6 2 16 2 2" xfId="45559"/>
    <cellStyle name="Note 6 2 16 2 2 2" xfId="45560"/>
    <cellStyle name="Note 6 2 16 2 2_Sheet1" xfId="45561"/>
    <cellStyle name="Note 6 2 16 2 3" xfId="45562"/>
    <cellStyle name="Note 6 2 16 2_Sheet1" xfId="45563"/>
    <cellStyle name="Note 6 2 16 3" xfId="45564"/>
    <cellStyle name="Note 6 2 16 3 2" xfId="45565"/>
    <cellStyle name="Note 6 2 16 3 2 2" xfId="45566"/>
    <cellStyle name="Note 6 2 16 3 2_Sheet1" xfId="45567"/>
    <cellStyle name="Note 6 2 16 3 3" xfId="45568"/>
    <cellStyle name="Note 6 2 16 3_Sheet1" xfId="45569"/>
    <cellStyle name="Note 6 2 16 4" xfId="45570"/>
    <cellStyle name="Note 6 2 16 4 2" xfId="45571"/>
    <cellStyle name="Note 6 2 16 4 2 2" xfId="45572"/>
    <cellStyle name="Note 6 2 16 4 2_Sheet1" xfId="45573"/>
    <cellStyle name="Note 6 2 16 4 3" xfId="45574"/>
    <cellStyle name="Note 6 2 16 4_Sheet1" xfId="45575"/>
    <cellStyle name="Note 6 2 16 5" xfId="45576"/>
    <cellStyle name="Note 6 2 16_Sheet1" xfId="45577"/>
    <cellStyle name="Note 6 2 17" xfId="45578"/>
    <cellStyle name="Note 6 2 17 2" xfId="45579"/>
    <cellStyle name="Note 6 2 17 2 2" xfId="45580"/>
    <cellStyle name="Note 6 2 17 2 2 2" xfId="45581"/>
    <cellStyle name="Note 6 2 17 2 2_Sheet1" xfId="45582"/>
    <cellStyle name="Note 6 2 17 2 3" xfId="45583"/>
    <cellStyle name="Note 6 2 17 2_Sheet1" xfId="45584"/>
    <cellStyle name="Note 6 2 17 3" xfId="45585"/>
    <cellStyle name="Note 6 2 17 3 2" xfId="45586"/>
    <cellStyle name="Note 6 2 17 3 2 2" xfId="45587"/>
    <cellStyle name="Note 6 2 17 3 2_Sheet1" xfId="45588"/>
    <cellStyle name="Note 6 2 17 3 3" xfId="45589"/>
    <cellStyle name="Note 6 2 17 3_Sheet1" xfId="45590"/>
    <cellStyle name="Note 6 2 17 4" xfId="45591"/>
    <cellStyle name="Note 6 2 17 4 2" xfId="45592"/>
    <cellStyle name="Note 6 2 17 4 2 2" xfId="45593"/>
    <cellStyle name="Note 6 2 17 4 2_Sheet1" xfId="45594"/>
    <cellStyle name="Note 6 2 17 4 3" xfId="45595"/>
    <cellStyle name="Note 6 2 17 4_Sheet1" xfId="45596"/>
    <cellStyle name="Note 6 2 17 5" xfId="45597"/>
    <cellStyle name="Note 6 2 17_Sheet1" xfId="45598"/>
    <cellStyle name="Note 6 2 18" xfId="45599"/>
    <cellStyle name="Note 6 2 18 2" xfId="45600"/>
    <cellStyle name="Note 6 2 18 2 2" xfId="45601"/>
    <cellStyle name="Note 6 2 18 2 2 2" xfId="45602"/>
    <cellStyle name="Note 6 2 18 2 2_Sheet1" xfId="45603"/>
    <cellStyle name="Note 6 2 18 2 3" xfId="45604"/>
    <cellStyle name="Note 6 2 18 2_Sheet1" xfId="45605"/>
    <cellStyle name="Note 6 2 18 3" xfId="45606"/>
    <cellStyle name="Note 6 2 18 3 2" xfId="45607"/>
    <cellStyle name="Note 6 2 18 3 2 2" xfId="45608"/>
    <cellStyle name="Note 6 2 18 3 2_Sheet1" xfId="45609"/>
    <cellStyle name="Note 6 2 18 3 3" xfId="45610"/>
    <cellStyle name="Note 6 2 18 3_Sheet1" xfId="45611"/>
    <cellStyle name="Note 6 2 18 4" xfId="45612"/>
    <cellStyle name="Note 6 2 18 4 2" xfId="45613"/>
    <cellStyle name="Note 6 2 18 4 2 2" xfId="45614"/>
    <cellStyle name="Note 6 2 18 4 2_Sheet1" xfId="45615"/>
    <cellStyle name="Note 6 2 18 4 3" xfId="45616"/>
    <cellStyle name="Note 6 2 18 4_Sheet1" xfId="45617"/>
    <cellStyle name="Note 6 2 18 5" xfId="45618"/>
    <cellStyle name="Note 6 2 18_Sheet1" xfId="45619"/>
    <cellStyle name="Note 6 2 19" xfId="45620"/>
    <cellStyle name="Note 6 2 19 2" xfId="45621"/>
    <cellStyle name="Note 6 2 19 2 2" xfId="45622"/>
    <cellStyle name="Note 6 2 19 2_Sheet1" xfId="45623"/>
    <cellStyle name="Note 6 2 19_Sheet1" xfId="45624"/>
    <cellStyle name="Note 6 2 2" xfId="45625"/>
    <cellStyle name="Note 6 2 2 2" xfId="45626"/>
    <cellStyle name="Note 6 2 2 2 2" xfId="45627"/>
    <cellStyle name="Note 6 2 2 2 2 2" xfId="45628"/>
    <cellStyle name="Note 6 2 2 2 2_Sheet1" xfId="45629"/>
    <cellStyle name="Note 6 2 2 2 3" xfId="45630"/>
    <cellStyle name="Note 6 2 2 2_Sheet1" xfId="45631"/>
    <cellStyle name="Note 6 2 2 3" xfId="45632"/>
    <cellStyle name="Note 6 2 2 3 2" xfId="45633"/>
    <cellStyle name="Note 6 2 2 3 2 2" xfId="45634"/>
    <cellStyle name="Note 6 2 2 3 2_Sheet1" xfId="45635"/>
    <cellStyle name="Note 6 2 2 3 3" xfId="45636"/>
    <cellStyle name="Note 6 2 2 3_Sheet1" xfId="45637"/>
    <cellStyle name="Note 6 2 2 4" xfId="45638"/>
    <cellStyle name="Note 6 2 2 4 2" xfId="45639"/>
    <cellStyle name="Note 6 2 2 4 2 2" xfId="45640"/>
    <cellStyle name="Note 6 2 2 4 2_Sheet1" xfId="45641"/>
    <cellStyle name="Note 6 2 2 4 3" xfId="45642"/>
    <cellStyle name="Note 6 2 2 4_Sheet1" xfId="45643"/>
    <cellStyle name="Note 6 2 2 5" xfId="45644"/>
    <cellStyle name="Note 6 2 2_Sheet1" xfId="45645"/>
    <cellStyle name="Note 6 2 20" xfId="45646"/>
    <cellStyle name="Note 6 2 20 2" xfId="45647"/>
    <cellStyle name="Note 6 2 20 2 2" xfId="45648"/>
    <cellStyle name="Note 6 2 20 2_Sheet1" xfId="45649"/>
    <cellStyle name="Note 6 2 20_Sheet1" xfId="45650"/>
    <cellStyle name="Note 6 2 21" xfId="45651"/>
    <cellStyle name="Note 6 2 21 2" xfId="45652"/>
    <cellStyle name="Note 6 2 21 2 2" xfId="45653"/>
    <cellStyle name="Note 6 2 21 2_Sheet1" xfId="45654"/>
    <cellStyle name="Note 6 2 21_Sheet1" xfId="45655"/>
    <cellStyle name="Note 6 2 22" xfId="45656"/>
    <cellStyle name="Note 6 2 23" xfId="45657"/>
    <cellStyle name="Note 6 2 3" xfId="45658"/>
    <cellStyle name="Note 6 2 3 2" xfId="45659"/>
    <cellStyle name="Note 6 2 3 2 2" xfId="45660"/>
    <cellStyle name="Note 6 2 3 2 2 2" xfId="45661"/>
    <cellStyle name="Note 6 2 3 2 2_Sheet1" xfId="45662"/>
    <cellStyle name="Note 6 2 3 2 3" xfId="45663"/>
    <cellStyle name="Note 6 2 3 2_Sheet1" xfId="45664"/>
    <cellStyle name="Note 6 2 3 3" xfId="45665"/>
    <cellStyle name="Note 6 2 3 3 2" xfId="45666"/>
    <cellStyle name="Note 6 2 3 3 2 2" xfId="45667"/>
    <cellStyle name="Note 6 2 3 3 2_Sheet1" xfId="45668"/>
    <cellStyle name="Note 6 2 3 3 3" xfId="45669"/>
    <cellStyle name="Note 6 2 3 3_Sheet1" xfId="45670"/>
    <cellStyle name="Note 6 2 3 4" xfId="45671"/>
    <cellStyle name="Note 6 2 3 4 2" xfId="45672"/>
    <cellStyle name="Note 6 2 3 4 2 2" xfId="45673"/>
    <cellStyle name="Note 6 2 3 4 2_Sheet1" xfId="45674"/>
    <cellStyle name="Note 6 2 3 4 3" xfId="45675"/>
    <cellStyle name="Note 6 2 3 4_Sheet1" xfId="45676"/>
    <cellStyle name="Note 6 2 3 5" xfId="45677"/>
    <cellStyle name="Note 6 2 3_Sheet1" xfId="45678"/>
    <cellStyle name="Note 6 2 4" xfId="45679"/>
    <cellStyle name="Note 6 2 4 2" xfId="45680"/>
    <cellStyle name="Note 6 2 4 2 2" xfId="45681"/>
    <cellStyle name="Note 6 2 4 2 2 2" xfId="45682"/>
    <cellStyle name="Note 6 2 4 2 2_Sheet1" xfId="45683"/>
    <cellStyle name="Note 6 2 4 2 3" xfId="45684"/>
    <cellStyle name="Note 6 2 4 2_Sheet1" xfId="45685"/>
    <cellStyle name="Note 6 2 4 3" xfId="45686"/>
    <cellStyle name="Note 6 2 4 3 2" xfId="45687"/>
    <cellStyle name="Note 6 2 4 3 2 2" xfId="45688"/>
    <cellStyle name="Note 6 2 4 3 2_Sheet1" xfId="45689"/>
    <cellStyle name="Note 6 2 4 3 3" xfId="45690"/>
    <cellStyle name="Note 6 2 4 3_Sheet1" xfId="45691"/>
    <cellStyle name="Note 6 2 4 4" xfId="45692"/>
    <cellStyle name="Note 6 2 4 4 2" xfId="45693"/>
    <cellStyle name="Note 6 2 4 4 2 2" xfId="45694"/>
    <cellStyle name="Note 6 2 4 4 2_Sheet1" xfId="45695"/>
    <cellStyle name="Note 6 2 4 4 3" xfId="45696"/>
    <cellStyle name="Note 6 2 4 4_Sheet1" xfId="45697"/>
    <cellStyle name="Note 6 2 4 5" xfId="45698"/>
    <cellStyle name="Note 6 2 4_Sheet1" xfId="45699"/>
    <cellStyle name="Note 6 2 5" xfId="45700"/>
    <cellStyle name="Note 6 2 5 2" xfId="45701"/>
    <cellStyle name="Note 6 2 5 2 2" xfId="45702"/>
    <cellStyle name="Note 6 2 5 2 2 2" xfId="45703"/>
    <cellStyle name="Note 6 2 5 2 2_Sheet1" xfId="45704"/>
    <cellStyle name="Note 6 2 5 2 3" xfId="45705"/>
    <cellStyle name="Note 6 2 5 2_Sheet1" xfId="45706"/>
    <cellStyle name="Note 6 2 5 3" xfId="45707"/>
    <cellStyle name="Note 6 2 5 3 2" xfId="45708"/>
    <cellStyle name="Note 6 2 5 3 2 2" xfId="45709"/>
    <cellStyle name="Note 6 2 5 3 2_Sheet1" xfId="45710"/>
    <cellStyle name="Note 6 2 5 3 3" xfId="45711"/>
    <cellStyle name="Note 6 2 5 3_Sheet1" xfId="45712"/>
    <cellStyle name="Note 6 2 5 4" xfId="45713"/>
    <cellStyle name="Note 6 2 5 4 2" xfId="45714"/>
    <cellStyle name="Note 6 2 5 4 2 2" xfId="45715"/>
    <cellStyle name="Note 6 2 5 4 2_Sheet1" xfId="45716"/>
    <cellStyle name="Note 6 2 5 4 3" xfId="45717"/>
    <cellStyle name="Note 6 2 5 4_Sheet1" xfId="45718"/>
    <cellStyle name="Note 6 2 5 5" xfId="45719"/>
    <cellStyle name="Note 6 2 5_Sheet1" xfId="45720"/>
    <cellStyle name="Note 6 2 6" xfId="45721"/>
    <cellStyle name="Note 6 2 6 2" xfId="45722"/>
    <cellStyle name="Note 6 2 6 2 2" xfId="45723"/>
    <cellStyle name="Note 6 2 6 2 2 2" xfId="45724"/>
    <cellStyle name="Note 6 2 6 2 2_Sheet1" xfId="45725"/>
    <cellStyle name="Note 6 2 6 2 3" xfId="45726"/>
    <cellStyle name="Note 6 2 6 2_Sheet1" xfId="45727"/>
    <cellStyle name="Note 6 2 6 3" xfId="45728"/>
    <cellStyle name="Note 6 2 6 3 2" xfId="45729"/>
    <cellStyle name="Note 6 2 6 3 2 2" xfId="45730"/>
    <cellStyle name="Note 6 2 6 3 2_Sheet1" xfId="45731"/>
    <cellStyle name="Note 6 2 6 3 3" xfId="45732"/>
    <cellStyle name="Note 6 2 6 3_Sheet1" xfId="45733"/>
    <cellStyle name="Note 6 2 6 4" xfId="45734"/>
    <cellStyle name="Note 6 2 6 4 2" xfId="45735"/>
    <cellStyle name="Note 6 2 6 4 2 2" xfId="45736"/>
    <cellStyle name="Note 6 2 6 4 2_Sheet1" xfId="45737"/>
    <cellStyle name="Note 6 2 6 4 3" xfId="45738"/>
    <cellStyle name="Note 6 2 6 4_Sheet1" xfId="45739"/>
    <cellStyle name="Note 6 2 6 5" xfId="45740"/>
    <cellStyle name="Note 6 2 6_Sheet1" xfId="45741"/>
    <cellStyle name="Note 6 2 7" xfId="45742"/>
    <cellStyle name="Note 6 2 7 2" xfId="45743"/>
    <cellStyle name="Note 6 2 7 2 2" xfId="45744"/>
    <cellStyle name="Note 6 2 7 2 2 2" xfId="45745"/>
    <cellStyle name="Note 6 2 7 2 2_Sheet1" xfId="45746"/>
    <cellStyle name="Note 6 2 7 2 3" xfId="45747"/>
    <cellStyle name="Note 6 2 7 2_Sheet1" xfId="45748"/>
    <cellStyle name="Note 6 2 7 3" xfId="45749"/>
    <cellStyle name="Note 6 2 7 3 2" xfId="45750"/>
    <cellStyle name="Note 6 2 7 3 2 2" xfId="45751"/>
    <cellStyle name="Note 6 2 7 3 2_Sheet1" xfId="45752"/>
    <cellStyle name="Note 6 2 7 3 3" xfId="45753"/>
    <cellStyle name="Note 6 2 7 3_Sheet1" xfId="45754"/>
    <cellStyle name="Note 6 2 7 4" xfId="45755"/>
    <cellStyle name="Note 6 2 7 4 2" xfId="45756"/>
    <cellStyle name="Note 6 2 7 4 2 2" xfId="45757"/>
    <cellStyle name="Note 6 2 7 4 2_Sheet1" xfId="45758"/>
    <cellStyle name="Note 6 2 7 4 3" xfId="45759"/>
    <cellStyle name="Note 6 2 7 4_Sheet1" xfId="45760"/>
    <cellStyle name="Note 6 2 7 5" xfId="45761"/>
    <cellStyle name="Note 6 2 7_Sheet1" xfId="45762"/>
    <cellStyle name="Note 6 2 8" xfId="45763"/>
    <cellStyle name="Note 6 2 8 2" xfId="45764"/>
    <cellStyle name="Note 6 2 8 2 2" xfId="45765"/>
    <cellStyle name="Note 6 2 8 2 2 2" xfId="45766"/>
    <cellStyle name="Note 6 2 8 2 2_Sheet1" xfId="45767"/>
    <cellStyle name="Note 6 2 8 2 3" xfId="45768"/>
    <cellStyle name="Note 6 2 8 2_Sheet1" xfId="45769"/>
    <cellStyle name="Note 6 2 8 3" xfId="45770"/>
    <cellStyle name="Note 6 2 8 3 2" xfId="45771"/>
    <cellStyle name="Note 6 2 8 3 2 2" xfId="45772"/>
    <cellStyle name="Note 6 2 8 3 2_Sheet1" xfId="45773"/>
    <cellStyle name="Note 6 2 8 3 3" xfId="45774"/>
    <cellStyle name="Note 6 2 8 3_Sheet1" xfId="45775"/>
    <cellStyle name="Note 6 2 8 4" xfId="45776"/>
    <cellStyle name="Note 6 2 8 4 2" xfId="45777"/>
    <cellStyle name="Note 6 2 8 4 2 2" xfId="45778"/>
    <cellStyle name="Note 6 2 8 4 2_Sheet1" xfId="45779"/>
    <cellStyle name="Note 6 2 8 4 3" xfId="45780"/>
    <cellStyle name="Note 6 2 8 4_Sheet1" xfId="45781"/>
    <cellStyle name="Note 6 2 8 5" xfId="45782"/>
    <cellStyle name="Note 6 2 8_Sheet1" xfId="45783"/>
    <cellStyle name="Note 6 2 9" xfId="45784"/>
    <cellStyle name="Note 6 2 9 2" xfId="45785"/>
    <cellStyle name="Note 6 2 9 2 2" xfId="45786"/>
    <cellStyle name="Note 6 2 9 2 2 2" xfId="45787"/>
    <cellStyle name="Note 6 2 9 2 2_Sheet1" xfId="45788"/>
    <cellStyle name="Note 6 2 9 2 3" xfId="45789"/>
    <cellStyle name="Note 6 2 9 2_Sheet1" xfId="45790"/>
    <cellStyle name="Note 6 2 9 3" xfId="45791"/>
    <cellStyle name="Note 6 2 9 3 2" xfId="45792"/>
    <cellStyle name="Note 6 2 9 3 2 2" xfId="45793"/>
    <cellStyle name="Note 6 2 9 3 2_Sheet1" xfId="45794"/>
    <cellStyle name="Note 6 2 9 3 3" xfId="45795"/>
    <cellStyle name="Note 6 2 9 3_Sheet1" xfId="45796"/>
    <cellStyle name="Note 6 2 9 4" xfId="45797"/>
    <cellStyle name="Note 6 2 9 4 2" xfId="45798"/>
    <cellStyle name="Note 6 2 9 4 2 2" xfId="45799"/>
    <cellStyle name="Note 6 2 9 4 2_Sheet1" xfId="45800"/>
    <cellStyle name="Note 6 2 9 4 3" xfId="45801"/>
    <cellStyle name="Note 6 2 9 4_Sheet1" xfId="45802"/>
    <cellStyle name="Note 6 2 9 5" xfId="45803"/>
    <cellStyle name="Note 6 2 9_Sheet1" xfId="45804"/>
    <cellStyle name="Note 6 2_Sheet1" xfId="45805"/>
    <cellStyle name="Note 6 20" xfId="45806"/>
    <cellStyle name="Note 6 20 2" xfId="45807"/>
    <cellStyle name="Note 6 20 2 2" xfId="45808"/>
    <cellStyle name="Note 6 20 2_Sheet1" xfId="45809"/>
    <cellStyle name="Note 6 20_Sheet1" xfId="45810"/>
    <cellStyle name="Note 6 21" xfId="45811"/>
    <cellStyle name="Note 6 21 2" xfId="45812"/>
    <cellStyle name="Note 6 21 2 2" xfId="45813"/>
    <cellStyle name="Note 6 21 2_Sheet1" xfId="45814"/>
    <cellStyle name="Note 6 21_Sheet1" xfId="45815"/>
    <cellStyle name="Note 6 22" xfId="45816"/>
    <cellStyle name="Note 6 22 2" xfId="45817"/>
    <cellStyle name="Note 6 22 2 2" xfId="45818"/>
    <cellStyle name="Note 6 22 2_Sheet1" xfId="45819"/>
    <cellStyle name="Note 6 22_Sheet1" xfId="45820"/>
    <cellStyle name="Note 6 23" xfId="45821"/>
    <cellStyle name="Note 6 24" xfId="45822"/>
    <cellStyle name="Note 6 3" xfId="45823"/>
    <cellStyle name="Note 6 3 2" xfId="45824"/>
    <cellStyle name="Note 6 3 2 2" xfId="45825"/>
    <cellStyle name="Note 6 3 2 2 2" xfId="45826"/>
    <cellStyle name="Note 6 3 2 2_Sheet1" xfId="45827"/>
    <cellStyle name="Note 6 3 2 3" xfId="45828"/>
    <cellStyle name="Note 6 3 2_Sheet1" xfId="45829"/>
    <cellStyle name="Note 6 3 3" xfId="45830"/>
    <cellStyle name="Note 6 3 3 2" xfId="45831"/>
    <cellStyle name="Note 6 3 3 2 2" xfId="45832"/>
    <cellStyle name="Note 6 3 3 2_Sheet1" xfId="45833"/>
    <cellStyle name="Note 6 3 3 3" xfId="45834"/>
    <cellStyle name="Note 6 3 3_Sheet1" xfId="45835"/>
    <cellStyle name="Note 6 3 4" xfId="45836"/>
    <cellStyle name="Note 6 3 4 2" xfId="45837"/>
    <cellStyle name="Note 6 3 4 2 2" xfId="45838"/>
    <cellStyle name="Note 6 3 4 2_Sheet1" xfId="45839"/>
    <cellStyle name="Note 6 3 4 3" xfId="45840"/>
    <cellStyle name="Note 6 3 4_Sheet1" xfId="45841"/>
    <cellStyle name="Note 6 3 5" xfId="45842"/>
    <cellStyle name="Note 6 3_Sheet1" xfId="45843"/>
    <cellStyle name="Note 6 4" xfId="45844"/>
    <cellStyle name="Note 6 4 2" xfId="45845"/>
    <cellStyle name="Note 6 4 2 2" xfId="45846"/>
    <cellStyle name="Note 6 4 2 2 2" xfId="45847"/>
    <cellStyle name="Note 6 4 2 2_Sheet1" xfId="45848"/>
    <cellStyle name="Note 6 4 2 3" xfId="45849"/>
    <cellStyle name="Note 6 4 2_Sheet1" xfId="45850"/>
    <cellStyle name="Note 6 4 3" xfId="45851"/>
    <cellStyle name="Note 6 4 3 2" xfId="45852"/>
    <cellStyle name="Note 6 4 3 2 2" xfId="45853"/>
    <cellStyle name="Note 6 4 3 2_Sheet1" xfId="45854"/>
    <cellStyle name="Note 6 4 3 3" xfId="45855"/>
    <cellStyle name="Note 6 4 3_Sheet1" xfId="45856"/>
    <cellStyle name="Note 6 4 4" xfId="45857"/>
    <cellStyle name="Note 6 4 4 2" xfId="45858"/>
    <cellStyle name="Note 6 4 4 2 2" xfId="45859"/>
    <cellStyle name="Note 6 4 4 2_Sheet1" xfId="45860"/>
    <cellStyle name="Note 6 4 4 3" xfId="45861"/>
    <cellStyle name="Note 6 4 4_Sheet1" xfId="45862"/>
    <cellStyle name="Note 6 4 5" xfId="45863"/>
    <cellStyle name="Note 6 4_Sheet1" xfId="45864"/>
    <cellStyle name="Note 6 5" xfId="45865"/>
    <cellStyle name="Note 6 5 2" xfId="45866"/>
    <cellStyle name="Note 6 5 2 2" xfId="45867"/>
    <cellStyle name="Note 6 5 2 2 2" xfId="45868"/>
    <cellStyle name="Note 6 5 2 2_Sheet1" xfId="45869"/>
    <cellStyle name="Note 6 5 2 3" xfId="45870"/>
    <cellStyle name="Note 6 5 2_Sheet1" xfId="45871"/>
    <cellStyle name="Note 6 5 3" xfId="45872"/>
    <cellStyle name="Note 6 5 3 2" xfId="45873"/>
    <cellStyle name="Note 6 5 3 2 2" xfId="45874"/>
    <cellStyle name="Note 6 5 3 2_Sheet1" xfId="45875"/>
    <cellStyle name="Note 6 5 3 3" xfId="45876"/>
    <cellStyle name="Note 6 5 3_Sheet1" xfId="45877"/>
    <cellStyle name="Note 6 5 4" xfId="45878"/>
    <cellStyle name="Note 6 5 4 2" xfId="45879"/>
    <cellStyle name="Note 6 5 4 2 2" xfId="45880"/>
    <cellStyle name="Note 6 5 4 2_Sheet1" xfId="45881"/>
    <cellStyle name="Note 6 5 4 3" xfId="45882"/>
    <cellStyle name="Note 6 5 4_Sheet1" xfId="45883"/>
    <cellStyle name="Note 6 5 5" xfId="45884"/>
    <cellStyle name="Note 6 5_Sheet1" xfId="45885"/>
    <cellStyle name="Note 6 6" xfId="45886"/>
    <cellStyle name="Note 6 6 2" xfId="45887"/>
    <cellStyle name="Note 6 6 2 2" xfId="45888"/>
    <cellStyle name="Note 6 6 2 2 2" xfId="45889"/>
    <cellStyle name="Note 6 6 2 2_Sheet1" xfId="45890"/>
    <cellStyle name="Note 6 6 2 3" xfId="45891"/>
    <cellStyle name="Note 6 6 2_Sheet1" xfId="45892"/>
    <cellStyle name="Note 6 6 3" xfId="45893"/>
    <cellStyle name="Note 6 6 3 2" xfId="45894"/>
    <cellStyle name="Note 6 6 3 2 2" xfId="45895"/>
    <cellStyle name="Note 6 6 3 2_Sheet1" xfId="45896"/>
    <cellStyle name="Note 6 6 3 3" xfId="45897"/>
    <cellStyle name="Note 6 6 3_Sheet1" xfId="45898"/>
    <cellStyle name="Note 6 6 4" xfId="45899"/>
    <cellStyle name="Note 6 6 4 2" xfId="45900"/>
    <cellStyle name="Note 6 6 4 2 2" xfId="45901"/>
    <cellStyle name="Note 6 6 4 2_Sheet1" xfId="45902"/>
    <cellStyle name="Note 6 6 4 3" xfId="45903"/>
    <cellStyle name="Note 6 6 4_Sheet1" xfId="45904"/>
    <cellStyle name="Note 6 6 5" xfId="45905"/>
    <cellStyle name="Note 6 6_Sheet1" xfId="45906"/>
    <cellStyle name="Note 6 7" xfId="45907"/>
    <cellStyle name="Note 6 7 2" xfId="45908"/>
    <cellStyle name="Note 6 7 2 2" xfId="45909"/>
    <cellStyle name="Note 6 7 2 2 2" xfId="45910"/>
    <cellStyle name="Note 6 7 2 2_Sheet1" xfId="45911"/>
    <cellStyle name="Note 6 7 2 3" xfId="45912"/>
    <cellStyle name="Note 6 7 2_Sheet1" xfId="45913"/>
    <cellStyle name="Note 6 7 3" xfId="45914"/>
    <cellStyle name="Note 6 7 3 2" xfId="45915"/>
    <cellStyle name="Note 6 7 3 2 2" xfId="45916"/>
    <cellStyle name="Note 6 7 3 2_Sheet1" xfId="45917"/>
    <cellStyle name="Note 6 7 3 3" xfId="45918"/>
    <cellStyle name="Note 6 7 3_Sheet1" xfId="45919"/>
    <cellStyle name="Note 6 7 4" xfId="45920"/>
    <cellStyle name="Note 6 7 4 2" xfId="45921"/>
    <cellStyle name="Note 6 7 4 2 2" xfId="45922"/>
    <cellStyle name="Note 6 7 4 2_Sheet1" xfId="45923"/>
    <cellStyle name="Note 6 7 4 3" xfId="45924"/>
    <cellStyle name="Note 6 7 4_Sheet1" xfId="45925"/>
    <cellStyle name="Note 6 7 5" xfId="45926"/>
    <cellStyle name="Note 6 7_Sheet1" xfId="45927"/>
    <cellStyle name="Note 6 8" xfId="45928"/>
    <cellStyle name="Note 6 8 2" xfId="45929"/>
    <cellStyle name="Note 6 8 2 2" xfId="45930"/>
    <cellStyle name="Note 6 8 2 2 2" xfId="45931"/>
    <cellStyle name="Note 6 8 2 2_Sheet1" xfId="45932"/>
    <cellStyle name="Note 6 8 2 3" xfId="45933"/>
    <cellStyle name="Note 6 8 2_Sheet1" xfId="45934"/>
    <cellStyle name="Note 6 8 3" xfId="45935"/>
    <cellStyle name="Note 6 8 3 2" xfId="45936"/>
    <cellStyle name="Note 6 8 3 2 2" xfId="45937"/>
    <cellStyle name="Note 6 8 3 2_Sheet1" xfId="45938"/>
    <cellStyle name="Note 6 8 3 3" xfId="45939"/>
    <cellStyle name="Note 6 8 3_Sheet1" xfId="45940"/>
    <cellStyle name="Note 6 8 4" xfId="45941"/>
    <cellStyle name="Note 6 8 4 2" xfId="45942"/>
    <cellStyle name="Note 6 8 4 2 2" xfId="45943"/>
    <cellStyle name="Note 6 8 4 2_Sheet1" xfId="45944"/>
    <cellStyle name="Note 6 8 4 3" xfId="45945"/>
    <cellStyle name="Note 6 8 4_Sheet1" xfId="45946"/>
    <cellStyle name="Note 6 8 5" xfId="45947"/>
    <cellStyle name="Note 6 8_Sheet1" xfId="45948"/>
    <cellStyle name="Note 6 9" xfId="45949"/>
    <cellStyle name="Note 6 9 2" xfId="45950"/>
    <cellStyle name="Note 6 9 2 2" xfId="45951"/>
    <cellStyle name="Note 6 9 2 2 2" xfId="45952"/>
    <cellStyle name="Note 6 9 2 2_Sheet1" xfId="45953"/>
    <cellStyle name="Note 6 9 2 3" xfId="45954"/>
    <cellStyle name="Note 6 9 2_Sheet1" xfId="45955"/>
    <cellStyle name="Note 6 9 3" xfId="45956"/>
    <cellStyle name="Note 6 9 3 2" xfId="45957"/>
    <cellStyle name="Note 6 9 3 2 2" xfId="45958"/>
    <cellStyle name="Note 6 9 3 2_Sheet1" xfId="45959"/>
    <cellStyle name="Note 6 9 3 3" xfId="45960"/>
    <cellStyle name="Note 6 9 3_Sheet1" xfId="45961"/>
    <cellStyle name="Note 6 9 4" xfId="45962"/>
    <cellStyle name="Note 6 9 4 2" xfId="45963"/>
    <cellStyle name="Note 6 9 4 2 2" xfId="45964"/>
    <cellStyle name="Note 6 9 4 2_Sheet1" xfId="45965"/>
    <cellStyle name="Note 6 9 4 3" xfId="45966"/>
    <cellStyle name="Note 6 9 4_Sheet1" xfId="45967"/>
    <cellStyle name="Note 6 9 5" xfId="45968"/>
    <cellStyle name="Note 6 9_Sheet1" xfId="45969"/>
    <cellStyle name="Note 6_Sheet1" xfId="45970"/>
    <cellStyle name="Note 7" xfId="45971"/>
    <cellStyle name="Note 7 10" xfId="45972"/>
    <cellStyle name="Note 7 10 2" xfId="45973"/>
    <cellStyle name="Note 7 10 2 2" xfId="45974"/>
    <cellStyle name="Note 7 10 2 2 2" xfId="45975"/>
    <cellStyle name="Note 7 10 2 2_Sheet1" xfId="45976"/>
    <cellStyle name="Note 7 10 2 3" xfId="45977"/>
    <cellStyle name="Note 7 10 2_Sheet1" xfId="45978"/>
    <cellStyle name="Note 7 10 3" xfId="45979"/>
    <cellStyle name="Note 7 10 3 2" xfId="45980"/>
    <cellStyle name="Note 7 10 3 2 2" xfId="45981"/>
    <cellStyle name="Note 7 10 3 2_Sheet1" xfId="45982"/>
    <cellStyle name="Note 7 10 3 3" xfId="45983"/>
    <cellStyle name="Note 7 10 3_Sheet1" xfId="45984"/>
    <cellStyle name="Note 7 10 4" xfId="45985"/>
    <cellStyle name="Note 7 10 4 2" xfId="45986"/>
    <cellStyle name="Note 7 10 4 2 2" xfId="45987"/>
    <cellStyle name="Note 7 10 4 2_Sheet1" xfId="45988"/>
    <cellStyle name="Note 7 10 4 3" xfId="45989"/>
    <cellStyle name="Note 7 10 4_Sheet1" xfId="45990"/>
    <cellStyle name="Note 7 10 5" xfId="45991"/>
    <cellStyle name="Note 7 10_Sheet1" xfId="45992"/>
    <cellStyle name="Note 7 11" xfId="45993"/>
    <cellStyle name="Note 7 11 2" xfId="45994"/>
    <cellStyle name="Note 7 11 2 2" xfId="45995"/>
    <cellStyle name="Note 7 11 2 2 2" xfId="45996"/>
    <cellStyle name="Note 7 11 2 2_Sheet1" xfId="45997"/>
    <cellStyle name="Note 7 11 2 3" xfId="45998"/>
    <cellStyle name="Note 7 11 2_Sheet1" xfId="45999"/>
    <cellStyle name="Note 7 11 3" xfId="46000"/>
    <cellStyle name="Note 7 11 3 2" xfId="46001"/>
    <cellStyle name="Note 7 11 3 2 2" xfId="46002"/>
    <cellStyle name="Note 7 11 3 2_Sheet1" xfId="46003"/>
    <cellStyle name="Note 7 11 3 3" xfId="46004"/>
    <cellStyle name="Note 7 11 3_Sheet1" xfId="46005"/>
    <cellStyle name="Note 7 11 4" xfId="46006"/>
    <cellStyle name="Note 7 11 4 2" xfId="46007"/>
    <cellStyle name="Note 7 11 4 2 2" xfId="46008"/>
    <cellStyle name="Note 7 11 4 2_Sheet1" xfId="46009"/>
    <cellStyle name="Note 7 11 4 3" xfId="46010"/>
    <cellStyle name="Note 7 11 4_Sheet1" xfId="46011"/>
    <cellStyle name="Note 7 11 5" xfId="46012"/>
    <cellStyle name="Note 7 11_Sheet1" xfId="46013"/>
    <cellStyle name="Note 7 12" xfId="46014"/>
    <cellStyle name="Note 7 12 2" xfId="46015"/>
    <cellStyle name="Note 7 12 2 2" xfId="46016"/>
    <cellStyle name="Note 7 12 2 2 2" xfId="46017"/>
    <cellStyle name="Note 7 12 2 2_Sheet1" xfId="46018"/>
    <cellStyle name="Note 7 12 2 3" xfId="46019"/>
    <cellStyle name="Note 7 12 2_Sheet1" xfId="46020"/>
    <cellStyle name="Note 7 12 3" xfId="46021"/>
    <cellStyle name="Note 7 12 3 2" xfId="46022"/>
    <cellStyle name="Note 7 12 3 2 2" xfId="46023"/>
    <cellStyle name="Note 7 12 3 2_Sheet1" xfId="46024"/>
    <cellStyle name="Note 7 12 3 3" xfId="46025"/>
    <cellStyle name="Note 7 12 3_Sheet1" xfId="46026"/>
    <cellStyle name="Note 7 12 4" xfId="46027"/>
    <cellStyle name="Note 7 12 4 2" xfId="46028"/>
    <cellStyle name="Note 7 12 4 2 2" xfId="46029"/>
    <cellStyle name="Note 7 12 4 2_Sheet1" xfId="46030"/>
    <cellStyle name="Note 7 12 4 3" xfId="46031"/>
    <cellStyle name="Note 7 12 4_Sheet1" xfId="46032"/>
    <cellStyle name="Note 7 12 5" xfId="46033"/>
    <cellStyle name="Note 7 12_Sheet1" xfId="46034"/>
    <cellStyle name="Note 7 13" xfId="46035"/>
    <cellStyle name="Note 7 13 2" xfId="46036"/>
    <cellStyle name="Note 7 13 2 2" xfId="46037"/>
    <cellStyle name="Note 7 13 2 2 2" xfId="46038"/>
    <cellStyle name="Note 7 13 2 2_Sheet1" xfId="46039"/>
    <cellStyle name="Note 7 13 2 3" xfId="46040"/>
    <cellStyle name="Note 7 13 2_Sheet1" xfId="46041"/>
    <cellStyle name="Note 7 13 3" xfId="46042"/>
    <cellStyle name="Note 7 13 3 2" xfId="46043"/>
    <cellStyle name="Note 7 13 3 2 2" xfId="46044"/>
    <cellStyle name="Note 7 13 3 2_Sheet1" xfId="46045"/>
    <cellStyle name="Note 7 13 3 3" xfId="46046"/>
    <cellStyle name="Note 7 13 3_Sheet1" xfId="46047"/>
    <cellStyle name="Note 7 13 4" xfId="46048"/>
    <cellStyle name="Note 7 13 4 2" xfId="46049"/>
    <cellStyle name="Note 7 13 4 2 2" xfId="46050"/>
    <cellStyle name="Note 7 13 4 2_Sheet1" xfId="46051"/>
    <cellStyle name="Note 7 13 4 3" xfId="46052"/>
    <cellStyle name="Note 7 13 4_Sheet1" xfId="46053"/>
    <cellStyle name="Note 7 13 5" xfId="46054"/>
    <cellStyle name="Note 7 13_Sheet1" xfId="46055"/>
    <cellStyle name="Note 7 14" xfId="46056"/>
    <cellStyle name="Note 7 14 2" xfId="46057"/>
    <cellStyle name="Note 7 14 2 2" xfId="46058"/>
    <cellStyle name="Note 7 14 2 2 2" xfId="46059"/>
    <cellStyle name="Note 7 14 2 2_Sheet1" xfId="46060"/>
    <cellStyle name="Note 7 14 2 3" xfId="46061"/>
    <cellStyle name="Note 7 14 2_Sheet1" xfId="46062"/>
    <cellStyle name="Note 7 14 3" xfId="46063"/>
    <cellStyle name="Note 7 14 3 2" xfId="46064"/>
    <cellStyle name="Note 7 14 3 2 2" xfId="46065"/>
    <cellStyle name="Note 7 14 3 2_Sheet1" xfId="46066"/>
    <cellStyle name="Note 7 14 3 3" xfId="46067"/>
    <cellStyle name="Note 7 14 3_Sheet1" xfId="46068"/>
    <cellStyle name="Note 7 14 4" xfId="46069"/>
    <cellStyle name="Note 7 14 4 2" xfId="46070"/>
    <cellStyle name="Note 7 14 4 2 2" xfId="46071"/>
    <cellStyle name="Note 7 14 4 2_Sheet1" xfId="46072"/>
    <cellStyle name="Note 7 14 4 3" xfId="46073"/>
    <cellStyle name="Note 7 14 4_Sheet1" xfId="46074"/>
    <cellStyle name="Note 7 14 5" xfId="46075"/>
    <cellStyle name="Note 7 14_Sheet1" xfId="46076"/>
    <cellStyle name="Note 7 15" xfId="46077"/>
    <cellStyle name="Note 7 15 2" xfId="46078"/>
    <cellStyle name="Note 7 15 2 2" xfId="46079"/>
    <cellStyle name="Note 7 15 2 2 2" xfId="46080"/>
    <cellStyle name="Note 7 15 2 2_Sheet1" xfId="46081"/>
    <cellStyle name="Note 7 15 2 3" xfId="46082"/>
    <cellStyle name="Note 7 15 2_Sheet1" xfId="46083"/>
    <cellStyle name="Note 7 15 3" xfId="46084"/>
    <cellStyle name="Note 7 15 3 2" xfId="46085"/>
    <cellStyle name="Note 7 15 3 2 2" xfId="46086"/>
    <cellStyle name="Note 7 15 3 2_Sheet1" xfId="46087"/>
    <cellStyle name="Note 7 15 3 3" xfId="46088"/>
    <cellStyle name="Note 7 15 3_Sheet1" xfId="46089"/>
    <cellStyle name="Note 7 15 4" xfId="46090"/>
    <cellStyle name="Note 7 15 4 2" xfId="46091"/>
    <cellStyle name="Note 7 15 4 2 2" xfId="46092"/>
    <cellStyle name="Note 7 15 4 2_Sheet1" xfId="46093"/>
    <cellStyle name="Note 7 15 4 3" xfId="46094"/>
    <cellStyle name="Note 7 15 4_Sheet1" xfId="46095"/>
    <cellStyle name="Note 7 15 5" xfId="46096"/>
    <cellStyle name="Note 7 15_Sheet1" xfId="46097"/>
    <cellStyle name="Note 7 16" xfId="46098"/>
    <cellStyle name="Note 7 16 2" xfId="46099"/>
    <cellStyle name="Note 7 16 2 2" xfId="46100"/>
    <cellStyle name="Note 7 16 2 2 2" xfId="46101"/>
    <cellStyle name="Note 7 16 2 2_Sheet1" xfId="46102"/>
    <cellStyle name="Note 7 16 2 3" xfId="46103"/>
    <cellStyle name="Note 7 16 2_Sheet1" xfId="46104"/>
    <cellStyle name="Note 7 16 3" xfId="46105"/>
    <cellStyle name="Note 7 16 3 2" xfId="46106"/>
    <cellStyle name="Note 7 16 3 2 2" xfId="46107"/>
    <cellStyle name="Note 7 16 3 2_Sheet1" xfId="46108"/>
    <cellStyle name="Note 7 16 3 3" xfId="46109"/>
    <cellStyle name="Note 7 16 3_Sheet1" xfId="46110"/>
    <cellStyle name="Note 7 16 4" xfId="46111"/>
    <cellStyle name="Note 7 16 4 2" xfId="46112"/>
    <cellStyle name="Note 7 16 4 2 2" xfId="46113"/>
    <cellStyle name="Note 7 16 4 2_Sheet1" xfId="46114"/>
    <cellStyle name="Note 7 16 4 3" xfId="46115"/>
    <cellStyle name="Note 7 16 4_Sheet1" xfId="46116"/>
    <cellStyle name="Note 7 16 5" xfId="46117"/>
    <cellStyle name="Note 7 16_Sheet1" xfId="46118"/>
    <cellStyle name="Note 7 17" xfId="46119"/>
    <cellStyle name="Note 7 17 2" xfId="46120"/>
    <cellStyle name="Note 7 17 2 2" xfId="46121"/>
    <cellStyle name="Note 7 17 2 2 2" xfId="46122"/>
    <cellStyle name="Note 7 17 2 2_Sheet1" xfId="46123"/>
    <cellStyle name="Note 7 17 2 3" xfId="46124"/>
    <cellStyle name="Note 7 17 2_Sheet1" xfId="46125"/>
    <cellStyle name="Note 7 17 3" xfId="46126"/>
    <cellStyle name="Note 7 17 3 2" xfId="46127"/>
    <cellStyle name="Note 7 17 3 2 2" xfId="46128"/>
    <cellStyle name="Note 7 17 3 2_Sheet1" xfId="46129"/>
    <cellStyle name="Note 7 17 3 3" xfId="46130"/>
    <cellStyle name="Note 7 17 3_Sheet1" xfId="46131"/>
    <cellStyle name="Note 7 17 4" xfId="46132"/>
    <cellStyle name="Note 7 17 4 2" xfId="46133"/>
    <cellStyle name="Note 7 17 4 2 2" xfId="46134"/>
    <cellStyle name="Note 7 17 4 2_Sheet1" xfId="46135"/>
    <cellStyle name="Note 7 17 4 3" xfId="46136"/>
    <cellStyle name="Note 7 17 4_Sheet1" xfId="46137"/>
    <cellStyle name="Note 7 17 5" xfId="46138"/>
    <cellStyle name="Note 7 17_Sheet1" xfId="46139"/>
    <cellStyle name="Note 7 18" xfId="46140"/>
    <cellStyle name="Note 7 18 2" xfId="46141"/>
    <cellStyle name="Note 7 18 2 2" xfId="46142"/>
    <cellStyle name="Note 7 18 2 2 2" xfId="46143"/>
    <cellStyle name="Note 7 18 2 2_Sheet1" xfId="46144"/>
    <cellStyle name="Note 7 18 2 3" xfId="46145"/>
    <cellStyle name="Note 7 18 2_Sheet1" xfId="46146"/>
    <cellStyle name="Note 7 18 3" xfId="46147"/>
    <cellStyle name="Note 7 18 3 2" xfId="46148"/>
    <cellStyle name="Note 7 18 3 2 2" xfId="46149"/>
    <cellStyle name="Note 7 18 3 2_Sheet1" xfId="46150"/>
    <cellStyle name="Note 7 18 3 3" xfId="46151"/>
    <cellStyle name="Note 7 18 3_Sheet1" xfId="46152"/>
    <cellStyle name="Note 7 18 4" xfId="46153"/>
    <cellStyle name="Note 7 18 4 2" xfId="46154"/>
    <cellStyle name="Note 7 18 4 2 2" xfId="46155"/>
    <cellStyle name="Note 7 18 4 2_Sheet1" xfId="46156"/>
    <cellStyle name="Note 7 18 4 3" xfId="46157"/>
    <cellStyle name="Note 7 18 4_Sheet1" xfId="46158"/>
    <cellStyle name="Note 7 18 5" xfId="46159"/>
    <cellStyle name="Note 7 18_Sheet1" xfId="46160"/>
    <cellStyle name="Note 7 19" xfId="46161"/>
    <cellStyle name="Note 7 19 2" xfId="46162"/>
    <cellStyle name="Note 7 19 2 2" xfId="46163"/>
    <cellStyle name="Note 7 19 2_Sheet1" xfId="46164"/>
    <cellStyle name="Note 7 19_Sheet1" xfId="46165"/>
    <cellStyle name="Note 7 2" xfId="46166"/>
    <cellStyle name="Note 7 2 2" xfId="46167"/>
    <cellStyle name="Note 7 2 2 2" xfId="46168"/>
    <cellStyle name="Note 7 2 2 2 2" xfId="46169"/>
    <cellStyle name="Note 7 2 2 2_Sheet1" xfId="46170"/>
    <cellStyle name="Note 7 2 2 3" xfId="46171"/>
    <cellStyle name="Note 7 2 2_Sheet1" xfId="46172"/>
    <cellStyle name="Note 7 2 3" xfId="46173"/>
    <cellStyle name="Note 7 2 3 2" xfId="46174"/>
    <cellStyle name="Note 7 2 3 2 2" xfId="46175"/>
    <cellStyle name="Note 7 2 3 2_Sheet1" xfId="46176"/>
    <cellStyle name="Note 7 2 3 3" xfId="46177"/>
    <cellStyle name="Note 7 2 3_Sheet1" xfId="46178"/>
    <cellStyle name="Note 7 2 4" xfId="46179"/>
    <cellStyle name="Note 7 2 4 2" xfId="46180"/>
    <cellStyle name="Note 7 2 4 2 2" xfId="46181"/>
    <cellStyle name="Note 7 2 4 2_Sheet1" xfId="46182"/>
    <cellStyle name="Note 7 2 4 3" xfId="46183"/>
    <cellStyle name="Note 7 2 4_Sheet1" xfId="46184"/>
    <cellStyle name="Note 7 2 5" xfId="46185"/>
    <cellStyle name="Note 7 2_Sheet1" xfId="46186"/>
    <cellStyle name="Note 7 20" xfId="46187"/>
    <cellStyle name="Note 7 20 2" xfId="46188"/>
    <cellStyle name="Note 7 20 2 2" xfId="46189"/>
    <cellStyle name="Note 7 20 2_Sheet1" xfId="46190"/>
    <cellStyle name="Note 7 20_Sheet1" xfId="46191"/>
    <cellStyle name="Note 7 21" xfId="46192"/>
    <cellStyle name="Note 7 21 2" xfId="46193"/>
    <cellStyle name="Note 7 21 2 2" xfId="46194"/>
    <cellStyle name="Note 7 21 2_Sheet1" xfId="46195"/>
    <cellStyle name="Note 7 21_Sheet1" xfId="46196"/>
    <cellStyle name="Note 7 22" xfId="46197"/>
    <cellStyle name="Note 7 23" xfId="46198"/>
    <cellStyle name="Note 7 3" xfId="46199"/>
    <cellStyle name="Note 7 3 2" xfId="46200"/>
    <cellStyle name="Note 7 3 2 2" xfId="46201"/>
    <cellStyle name="Note 7 3 2 2 2" xfId="46202"/>
    <cellStyle name="Note 7 3 2 2_Sheet1" xfId="46203"/>
    <cellStyle name="Note 7 3 2 3" xfId="46204"/>
    <cellStyle name="Note 7 3 2_Sheet1" xfId="46205"/>
    <cellStyle name="Note 7 3 3" xfId="46206"/>
    <cellStyle name="Note 7 3 3 2" xfId="46207"/>
    <cellStyle name="Note 7 3 3 2 2" xfId="46208"/>
    <cellStyle name="Note 7 3 3 2_Sheet1" xfId="46209"/>
    <cellStyle name="Note 7 3 3 3" xfId="46210"/>
    <cellStyle name="Note 7 3 3_Sheet1" xfId="46211"/>
    <cellStyle name="Note 7 3 4" xfId="46212"/>
    <cellStyle name="Note 7 3 4 2" xfId="46213"/>
    <cellStyle name="Note 7 3 4 2 2" xfId="46214"/>
    <cellStyle name="Note 7 3 4 2_Sheet1" xfId="46215"/>
    <cellStyle name="Note 7 3 4 3" xfId="46216"/>
    <cellStyle name="Note 7 3 4_Sheet1" xfId="46217"/>
    <cellStyle name="Note 7 3 5" xfId="46218"/>
    <cellStyle name="Note 7 3_Sheet1" xfId="46219"/>
    <cellStyle name="Note 7 4" xfId="46220"/>
    <cellStyle name="Note 7 4 2" xfId="46221"/>
    <cellStyle name="Note 7 4 2 2" xfId="46222"/>
    <cellStyle name="Note 7 4 2 2 2" xfId="46223"/>
    <cellStyle name="Note 7 4 2 2_Sheet1" xfId="46224"/>
    <cellStyle name="Note 7 4 2 3" xfId="46225"/>
    <cellStyle name="Note 7 4 2_Sheet1" xfId="46226"/>
    <cellStyle name="Note 7 4 3" xfId="46227"/>
    <cellStyle name="Note 7 4 3 2" xfId="46228"/>
    <cellStyle name="Note 7 4 3 2 2" xfId="46229"/>
    <cellStyle name="Note 7 4 3 2_Sheet1" xfId="46230"/>
    <cellStyle name="Note 7 4 3 3" xfId="46231"/>
    <cellStyle name="Note 7 4 3_Sheet1" xfId="46232"/>
    <cellStyle name="Note 7 4 4" xfId="46233"/>
    <cellStyle name="Note 7 4 4 2" xfId="46234"/>
    <cellStyle name="Note 7 4 4 2 2" xfId="46235"/>
    <cellStyle name="Note 7 4 4 2_Sheet1" xfId="46236"/>
    <cellStyle name="Note 7 4 4 3" xfId="46237"/>
    <cellStyle name="Note 7 4 4_Sheet1" xfId="46238"/>
    <cellStyle name="Note 7 4 5" xfId="46239"/>
    <cellStyle name="Note 7 4_Sheet1" xfId="46240"/>
    <cellStyle name="Note 7 5" xfId="46241"/>
    <cellStyle name="Note 7 5 2" xfId="46242"/>
    <cellStyle name="Note 7 5 2 2" xfId="46243"/>
    <cellStyle name="Note 7 5 2 2 2" xfId="46244"/>
    <cellStyle name="Note 7 5 2 2_Sheet1" xfId="46245"/>
    <cellStyle name="Note 7 5 2 3" xfId="46246"/>
    <cellStyle name="Note 7 5 2_Sheet1" xfId="46247"/>
    <cellStyle name="Note 7 5 3" xfId="46248"/>
    <cellStyle name="Note 7 5 3 2" xfId="46249"/>
    <cellStyle name="Note 7 5 3 2 2" xfId="46250"/>
    <cellStyle name="Note 7 5 3 2_Sheet1" xfId="46251"/>
    <cellStyle name="Note 7 5 3 3" xfId="46252"/>
    <cellStyle name="Note 7 5 3_Sheet1" xfId="46253"/>
    <cellStyle name="Note 7 5 4" xfId="46254"/>
    <cellStyle name="Note 7 5 4 2" xfId="46255"/>
    <cellStyle name="Note 7 5 4 2 2" xfId="46256"/>
    <cellStyle name="Note 7 5 4 2_Sheet1" xfId="46257"/>
    <cellStyle name="Note 7 5 4 3" xfId="46258"/>
    <cellStyle name="Note 7 5 4_Sheet1" xfId="46259"/>
    <cellStyle name="Note 7 5 5" xfId="46260"/>
    <cellStyle name="Note 7 5_Sheet1" xfId="46261"/>
    <cellStyle name="Note 7 6" xfId="46262"/>
    <cellStyle name="Note 7 6 2" xfId="46263"/>
    <cellStyle name="Note 7 6 2 2" xfId="46264"/>
    <cellStyle name="Note 7 6 2 2 2" xfId="46265"/>
    <cellStyle name="Note 7 6 2 2_Sheet1" xfId="46266"/>
    <cellStyle name="Note 7 6 2 3" xfId="46267"/>
    <cellStyle name="Note 7 6 2_Sheet1" xfId="46268"/>
    <cellStyle name="Note 7 6 3" xfId="46269"/>
    <cellStyle name="Note 7 6 3 2" xfId="46270"/>
    <cellStyle name="Note 7 6 3 2 2" xfId="46271"/>
    <cellStyle name="Note 7 6 3 2_Sheet1" xfId="46272"/>
    <cellStyle name="Note 7 6 3 3" xfId="46273"/>
    <cellStyle name="Note 7 6 3_Sheet1" xfId="46274"/>
    <cellStyle name="Note 7 6 4" xfId="46275"/>
    <cellStyle name="Note 7 6 4 2" xfId="46276"/>
    <cellStyle name="Note 7 6 4 2 2" xfId="46277"/>
    <cellStyle name="Note 7 6 4 2_Sheet1" xfId="46278"/>
    <cellStyle name="Note 7 6 4 3" xfId="46279"/>
    <cellStyle name="Note 7 6 4_Sheet1" xfId="46280"/>
    <cellStyle name="Note 7 6 5" xfId="46281"/>
    <cellStyle name="Note 7 6_Sheet1" xfId="46282"/>
    <cellStyle name="Note 7 7" xfId="46283"/>
    <cellStyle name="Note 7 7 2" xfId="46284"/>
    <cellStyle name="Note 7 7 2 2" xfId="46285"/>
    <cellStyle name="Note 7 7 2 2 2" xfId="46286"/>
    <cellStyle name="Note 7 7 2 2_Sheet1" xfId="46287"/>
    <cellStyle name="Note 7 7 2 3" xfId="46288"/>
    <cellStyle name="Note 7 7 2_Sheet1" xfId="46289"/>
    <cellStyle name="Note 7 7 3" xfId="46290"/>
    <cellStyle name="Note 7 7 3 2" xfId="46291"/>
    <cellStyle name="Note 7 7 3 2 2" xfId="46292"/>
    <cellStyle name="Note 7 7 3 2_Sheet1" xfId="46293"/>
    <cellStyle name="Note 7 7 3 3" xfId="46294"/>
    <cellStyle name="Note 7 7 3_Sheet1" xfId="46295"/>
    <cellStyle name="Note 7 7 4" xfId="46296"/>
    <cellStyle name="Note 7 7 4 2" xfId="46297"/>
    <cellStyle name="Note 7 7 4 2 2" xfId="46298"/>
    <cellStyle name="Note 7 7 4 2_Sheet1" xfId="46299"/>
    <cellStyle name="Note 7 7 4 3" xfId="46300"/>
    <cellStyle name="Note 7 7 4_Sheet1" xfId="46301"/>
    <cellStyle name="Note 7 7 5" xfId="46302"/>
    <cellStyle name="Note 7 7_Sheet1" xfId="46303"/>
    <cellStyle name="Note 7 8" xfId="46304"/>
    <cellStyle name="Note 7 8 2" xfId="46305"/>
    <cellStyle name="Note 7 8 2 2" xfId="46306"/>
    <cellStyle name="Note 7 8 2 2 2" xfId="46307"/>
    <cellStyle name="Note 7 8 2 2_Sheet1" xfId="46308"/>
    <cellStyle name="Note 7 8 2 3" xfId="46309"/>
    <cellStyle name="Note 7 8 2_Sheet1" xfId="46310"/>
    <cellStyle name="Note 7 8 3" xfId="46311"/>
    <cellStyle name="Note 7 8 3 2" xfId="46312"/>
    <cellStyle name="Note 7 8 3 2 2" xfId="46313"/>
    <cellStyle name="Note 7 8 3 2_Sheet1" xfId="46314"/>
    <cellStyle name="Note 7 8 3 3" xfId="46315"/>
    <cellStyle name="Note 7 8 3_Sheet1" xfId="46316"/>
    <cellStyle name="Note 7 8 4" xfId="46317"/>
    <cellStyle name="Note 7 8 4 2" xfId="46318"/>
    <cellStyle name="Note 7 8 4 2 2" xfId="46319"/>
    <cellStyle name="Note 7 8 4 2_Sheet1" xfId="46320"/>
    <cellStyle name="Note 7 8 4 3" xfId="46321"/>
    <cellStyle name="Note 7 8 4_Sheet1" xfId="46322"/>
    <cellStyle name="Note 7 8 5" xfId="46323"/>
    <cellStyle name="Note 7 8_Sheet1" xfId="46324"/>
    <cellStyle name="Note 7 9" xfId="46325"/>
    <cellStyle name="Note 7 9 2" xfId="46326"/>
    <cellStyle name="Note 7 9 2 2" xfId="46327"/>
    <cellStyle name="Note 7 9 2 2 2" xfId="46328"/>
    <cellStyle name="Note 7 9 2 2_Sheet1" xfId="46329"/>
    <cellStyle name="Note 7 9 2 3" xfId="46330"/>
    <cellStyle name="Note 7 9 2_Sheet1" xfId="46331"/>
    <cellStyle name="Note 7 9 3" xfId="46332"/>
    <cellStyle name="Note 7 9 3 2" xfId="46333"/>
    <cellStyle name="Note 7 9 3 2 2" xfId="46334"/>
    <cellStyle name="Note 7 9 3 2_Sheet1" xfId="46335"/>
    <cellStyle name="Note 7 9 3 3" xfId="46336"/>
    <cellStyle name="Note 7 9 3_Sheet1" xfId="46337"/>
    <cellStyle name="Note 7 9 4" xfId="46338"/>
    <cellStyle name="Note 7 9 4 2" xfId="46339"/>
    <cellStyle name="Note 7 9 4 2 2" xfId="46340"/>
    <cellStyle name="Note 7 9 4 2_Sheet1" xfId="46341"/>
    <cellStyle name="Note 7 9 4 3" xfId="46342"/>
    <cellStyle name="Note 7 9 4_Sheet1" xfId="46343"/>
    <cellStyle name="Note 7 9 5" xfId="46344"/>
    <cellStyle name="Note 7 9_Sheet1" xfId="46345"/>
    <cellStyle name="Note 7_Sheet1" xfId="46346"/>
    <cellStyle name="Note 8" xfId="46347"/>
    <cellStyle name="Note 8 10" xfId="46348"/>
    <cellStyle name="Note 8 10 2" xfId="46349"/>
    <cellStyle name="Note 8 10 2 2" xfId="46350"/>
    <cellStyle name="Note 8 10 2 2 2" xfId="46351"/>
    <cellStyle name="Note 8 10 2 2_Sheet1" xfId="46352"/>
    <cellStyle name="Note 8 10 2 3" xfId="46353"/>
    <cellStyle name="Note 8 10 2_Sheet1" xfId="46354"/>
    <cellStyle name="Note 8 10 3" xfId="46355"/>
    <cellStyle name="Note 8 10 3 2" xfId="46356"/>
    <cellStyle name="Note 8 10 3 2 2" xfId="46357"/>
    <cellStyle name="Note 8 10 3 2_Sheet1" xfId="46358"/>
    <cellStyle name="Note 8 10 3 3" xfId="46359"/>
    <cellStyle name="Note 8 10 3_Sheet1" xfId="46360"/>
    <cellStyle name="Note 8 10 4" xfId="46361"/>
    <cellStyle name="Note 8 10 4 2" xfId="46362"/>
    <cellStyle name="Note 8 10 4 2 2" xfId="46363"/>
    <cellStyle name="Note 8 10 4 2_Sheet1" xfId="46364"/>
    <cellStyle name="Note 8 10 4 3" xfId="46365"/>
    <cellStyle name="Note 8 10 4_Sheet1" xfId="46366"/>
    <cellStyle name="Note 8 10 5" xfId="46367"/>
    <cellStyle name="Note 8 10_Sheet1" xfId="46368"/>
    <cellStyle name="Note 8 11" xfId="46369"/>
    <cellStyle name="Note 8 11 2" xfId="46370"/>
    <cellStyle name="Note 8 11 2 2" xfId="46371"/>
    <cellStyle name="Note 8 11 2 2 2" xfId="46372"/>
    <cellStyle name="Note 8 11 2 2_Sheet1" xfId="46373"/>
    <cellStyle name="Note 8 11 2 3" xfId="46374"/>
    <cellStyle name="Note 8 11 2_Sheet1" xfId="46375"/>
    <cellStyle name="Note 8 11 3" xfId="46376"/>
    <cellStyle name="Note 8 11 3 2" xfId="46377"/>
    <cellStyle name="Note 8 11 3 2 2" xfId="46378"/>
    <cellStyle name="Note 8 11 3 2_Sheet1" xfId="46379"/>
    <cellStyle name="Note 8 11 3 3" xfId="46380"/>
    <cellStyle name="Note 8 11 3_Sheet1" xfId="46381"/>
    <cellStyle name="Note 8 11 4" xfId="46382"/>
    <cellStyle name="Note 8 11 4 2" xfId="46383"/>
    <cellStyle name="Note 8 11 4 2 2" xfId="46384"/>
    <cellStyle name="Note 8 11 4 2_Sheet1" xfId="46385"/>
    <cellStyle name="Note 8 11 4 3" xfId="46386"/>
    <cellStyle name="Note 8 11 4_Sheet1" xfId="46387"/>
    <cellStyle name="Note 8 11 5" xfId="46388"/>
    <cellStyle name="Note 8 11_Sheet1" xfId="46389"/>
    <cellStyle name="Note 8 12" xfId="46390"/>
    <cellStyle name="Note 8 12 2" xfId="46391"/>
    <cellStyle name="Note 8 12 2 2" xfId="46392"/>
    <cellStyle name="Note 8 12 2 2 2" xfId="46393"/>
    <cellStyle name="Note 8 12 2 2_Sheet1" xfId="46394"/>
    <cellStyle name="Note 8 12 2 3" xfId="46395"/>
    <cellStyle name="Note 8 12 2_Sheet1" xfId="46396"/>
    <cellStyle name="Note 8 12 3" xfId="46397"/>
    <cellStyle name="Note 8 12 3 2" xfId="46398"/>
    <cellStyle name="Note 8 12 3 2 2" xfId="46399"/>
    <cellStyle name="Note 8 12 3 2_Sheet1" xfId="46400"/>
    <cellStyle name="Note 8 12 3 3" xfId="46401"/>
    <cellStyle name="Note 8 12 3_Sheet1" xfId="46402"/>
    <cellStyle name="Note 8 12 4" xfId="46403"/>
    <cellStyle name="Note 8 12 4 2" xfId="46404"/>
    <cellStyle name="Note 8 12 4 2 2" xfId="46405"/>
    <cellStyle name="Note 8 12 4 2_Sheet1" xfId="46406"/>
    <cellStyle name="Note 8 12 4 3" xfId="46407"/>
    <cellStyle name="Note 8 12 4_Sheet1" xfId="46408"/>
    <cellStyle name="Note 8 12 5" xfId="46409"/>
    <cellStyle name="Note 8 12_Sheet1" xfId="46410"/>
    <cellStyle name="Note 8 13" xfId="46411"/>
    <cellStyle name="Note 8 13 2" xfId="46412"/>
    <cellStyle name="Note 8 13 2 2" xfId="46413"/>
    <cellStyle name="Note 8 13 2 2 2" xfId="46414"/>
    <cellStyle name="Note 8 13 2 2_Sheet1" xfId="46415"/>
    <cellStyle name="Note 8 13 2 3" xfId="46416"/>
    <cellStyle name="Note 8 13 2_Sheet1" xfId="46417"/>
    <cellStyle name="Note 8 13 3" xfId="46418"/>
    <cellStyle name="Note 8 13 3 2" xfId="46419"/>
    <cellStyle name="Note 8 13 3 2 2" xfId="46420"/>
    <cellStyle name="Note 8 13 3 2_Sheet1" xfId="46421"/>
    <cellStyle name="Note 8 13 3 3" xfId="46422"/>
    <cellStyle name="Note 8 13 3_Sheet1" xfId="46423"/>
    <cellStyle name="Note 8 13 4" xfId="46424"/>
    <cellStyle name="Note 8 13 4 2" xfId="46425"/>
    <cellStyle name="Note 8 13 4 2 2" xfId="46426"/>
    <cellStyle name="Note 8 13 4 2_Sheet1" xfId="46427"/>
    <cellStyle name="Note 8 13 4 3" xfId="46428"/>
    <cellStyle name="Note 8 13 4_Sheet1" xfId="46429"/>
    <cellStyle name="Note 8 13 5" xfId="46430"/>
    <cellStyle name="Note 8 13_Sheet1" xfId="46431"/>
    <cellStyle name="Note 8 14" xfId="46432"/>
    <cellStyle name="Note 8 14 2" xfId="46433"/>
    <cellStyle name="Note 8 14 2 2" xfId="46434"/>
    <cellStyle name="Note 8 14 2 2 2" xfId="46435"/>
    <cellStyle name="Note 8 14 2 2_Sheet1" xfId="46436"/>
    <cellStyle name="Note 8 14 2 3" xfId="46437"/>
    <cellStyle name="Note 8 14 2_Sheet1" xfId="46438"/>
    <cellStyle name="Note 8 14 3" xfId="46439"/>
    <cellStyle name="Note 8 14 3 2" xfId="46440"/>
    <cellStyle name="Note 8 14 3 2 2" xfId="46441"/>
    <cellStyle name="Note 8 14 3 2_Sheet1" xfId="46442"/>
    <cellStyle name="Note 8 14 3 3" xfId="46443"/>
    <cellStyle name="Note 8 14 3_Sheet1" xfId="46444"/>
    <cellStyle name="Note 8 14 4" xfId="46445"/>
    <cellStyle name="Note 8 14 4 2" xfId="46446"/>
    <cellStyle name="Note 8 14 4 2 2" xfId="46447"/>
    <cellStyle name="Note 8 14 4 2_Sheet1" xfId="46448"/>
    <cellStyle name="Note 8 14 4 3" xfId="46449"/>
    <cellStyle name="Note 8 14 4_Sheet1" xfId="46450"/>
    <cellStyle name="Note 8 14 5" xfId="46451"/>
    <cellStyle name="Note 8 14_Sheet1" xfId="46452"/>
    <cellStyle name="Note 8 15" xfId="46453"/>
    <cellStyle name="Note 8 15 2" xfId="46454"/>
    <cellStyle name="Note 8 15 2 2" xfId="46455"/>
    <cellStyle name="Note 8 15 2 2 2" xfId="46456"/>
    <cellStyle name="Note 8 15 2 2_Sheet1" xfId="46457"/>
    <cellStyle name="Note 8 15 2 3" xfId="46458"/>
    <cellStyle name="Note 8 15 2_Sheet1" xfId="46459"/>
    <cellStyle name="Note 8 15 3" xfId="46460"/>
    <cellStyle name="Note 8 15 3 2" xfId="46461"/>
    <cellStyle name="Note 8 15 3 2 2" xfId="46462"/>
    <cellStyle name="Note 8 15 3 2_Sheet1" xfId="46463"/>
    <cellStyle name="Note 8 15 3 3" xfId="46464"/>
    <cellStyle name="Note 8 15 3_Sheet1" xfId="46465"/>
    <cellStyle name="Note 8 15 4" xfId="46466"/>
    <cellStyle name="Note 8 15 4 2" xfId="46467"/>
    <cellStyle name="Note 8 15 4 2 2" xfId="46468"/>
    <cellStyle name="Note 8 15 4 2_Sheet1" xfId="46469"/>
    <cellStyle name="Note 8 15 4 3" xfId="46470"/>
    <cellStyle name="Note 8 15 4_Sheet1" xfId="46471"/>
    <cellStyle name="Note 8 15 5" xfId="46472"/>
    <cellStyle name="Note 8 15_Sheet1" xfId="46473"/>
    <cellStyle name="Note 8 16" xfId="46474"/>
    <cellStyle name="Note 8 16 2" xfId="46475"/>
    <cellStyle name="Note 8 16 2 2" xfId="46476"/>
    <cellStyle name="Note 8 16 2 2 2" xfId="46477"/>
    <cellStyle name="Note 8 16 2 2_Sheet1" xfId="46478"/>
    <cellStyle name="Note 8 16 2 3" xfId="46479"/>
    <cellStyle name="Note 8 16 2_Sheet1" xfId="46480"/>
    <cellStyle name="Note 8 16 3" xfId="46481"/>
    <cellStyle name="Note 8 16 3 2" xfId="46482"/>
    <cellStyle name="Note 8 16 3 2 2" xfId="46483"/>
    <cellStyle name="Note 8 16 3 2_Sheet1" xfId="46484"/>
    <cellStyle name="Note 8 16 3 3" xfId="46485"/>
    <cellStyle name="Note 8 16 3_Sheet1" xfId="46486"/>
    <cellStyle name="Note 8 16 4" xfId="46487"/>
    <cellStyle name="Note 8 16 4 2" xfId="46488"/>
    <cellStyle name="Note 8 16 4 2 2" xfId="46489"/>
    <cellStyle name="Note 8 16 4 2_Sheet1" xfId="46490"/>
    <cellStyle name="Note 8 16 4 3" xfId="46491"/>
    <cellStyle name="Note 8 16 4_Sheet1" xfId="46492"/>
    <cellStyle name="Note 8 16 5" xfId="46493"/>
    <cellStyle name="Note 8 16_Sheet1" xfId="46494"/>
    <cellStyle name="Note 8 17" xfId="46495"/>
    <cellStyle name="Note 8 17 2" xfId="46496"/>
    <cellStyle name="Note 8 17 2 2" xfId="46497"/>
    <cellStyle name="Note 8 17 2 2 2" xfId="46498"/>
    <cellStyle name="Note 8 17 2 2_Sheet1" xfId="46499"/>
    <cellStyle name="Note 8 17 2 3" xfId="46500"/>
    <cellStyle name="Note 8 17 2_Sheet1" xfId="46501"/>
    <cellStyle name="Note 8 17 3" xfId="46502"/>
    <cellStyle name="Note 8 17 3 2" xfId="46503"/>
    <cellStyle name="Note 8 17 3 2 2" xfId="46504"/>
    <cellStyle name="Note 8 17 3 2_Sheet1" xfId="46505"/>
    <cellStyle name="Note 8 17 3 3" xfId="46506"/>
    <cellStyle name="Note 8 17 3_Sheet1" xfId="46507"/>
    <cellStyle name="Note 8 17 4" xfId="46508"/>
    <cellStyle name="Note 8 17 4 2" xfId="46509"/>
    <cellStyle name="Note 8 17 4 2 2" xfId="46510"/>
    <cellStyle name="Note 8 17 4 2_Sheet1" xfId="46511"/>
    <cellStyle name="Note 8 17 4 3" xfId="46512"/>
    <cellStyle name="Note 8 17 4_Sheet1" xfId="46513"/>
    <cellStyle name="Note 8 17 5" xfId="46514"/>
    <cellStyle name="Note 8 17_Sheet1" xfId="46515"/>
    <cellStyle name="Note 8 18" xfId="46516"/>
    <cellStyle name="Note 8 18 2" xfId="46517"/>
    <cellStyle name="Note 8 18 2 2" xfId="46518"/>
    <cellStyle name="Note 8 18 2 2 2" xfId="46519"/>
    <cellStyle name="Note 8 18 2 2_Sheet1" xfId="46520"/>
    <cellStyle name="Note 8 18 2 3" xfId="46521"/>
    <cellStyle name="Note 8 18 2_Sheet1" xfId="46522"/>
    <cellStyle name="Note 8 18 3" xfId="46523"/>
    <cellStyle name="Note 8 18 3 2" xfId="46524"/>
    <cellStyle name="Note 8 18 3 2 2" xfId="46525"/>
    <cellStyle name="Note 8 18 3 2_Sheet1" xfId="46526"/>
    <cellStyle name="Note 8 18 3 3" xfId="46527"/>
    <cellStyle name="Note 8 18 3_Sheet1" xfId="46528"/>
    <cellStyle name="Note 8 18 4" xfId="46529"/>
    <cellStyle name="Note 8 18 4 2" xfId="46530"/>
    <cellStyle name="Note 8 18 4 2 2" xfId="46531"/>
    <cellStyle name="Note 8 18 4 2_Sheet1" xfId="46532"/>
    <cellStyle name="Note 8 18 4 3" xfId="46533"/>
    <cellStyle name="Note 8 18 4_Sheet1" xfId="46534"/>
    <cellStyle name="Note 8 18 5" xfId="46535"/>
    <cellStyle name="Note 8 18_Sheet1" xfId="46536"/>
    <cellStyle name="Note 8 19" xfId="46537"/>
    <cellStyle name="Note 8 19 2" xfId="46538"/>
    <cellStyle name="Note 8 19 2 2" xfId="46539"/>
    <cellStyle name="Note 8 19 2_Sheet1" xfId="46540"/>
    <cellStyle name="Note 8 19 3" xfId="46541"/>
    <cellStyle name="Note 8 19_Sheet1" xfId="46542"/>
    <cellStyle name="Note 8 2" xfId="46543"/>
    <cellStyle name="Note 8 2 2" xfId="46544"/>
    <cellStyle name="Note 8 2 2 2" xfId="46545"/>
    <cellStyle name="Note 8 2 2 2 2" xfId="46546"/>
    <cellStyle name="Note 8 2 2 2_Sheet1" xfId="46547"/>
    <cellStyle name="Note 8 2 2 3" xfId="46548"/>
    <cellStyle name="Note 8 2 2_Sheet1" xfId="46549"/>
    <cellStyle name="Note 8 2 3" xfId="46550"/>
    <cellStyle name="Note 8 2 3 2" xfId="46551"/>
    <cellStyle name="Note 8 2 3 2 2" xfId="46552"/>
    <cellStyle name="Note 8 2 3 2_Sheet1" xfId="46553"/>
    <cellStyle name="Note 8 2 3 3" xfId="46554"/>
    <cellStyle name="Note 8 2 3_Sheet1" xfId="46555"/>
    <cellStyle name="Note 8 2 4" xfId="46556"/>
    <cellStyle name="Note 8 2 4 2" xfId="46557"/>
    <cellStyle name="Note 8 2 4 2 2" xfId="46558"/>
    <cellStyle name="Note 8 2 4 2_Sheet1" xfId="46559"/>
    <cellStyle name="Note 8 2 4 3" xfId="46560"/>
    <cellStyle name="Note 8 2 4_Sheet1" xfId="46561"/>
    <cellStyle name="Note 8 2 5" xfId="46562"/>
    <cellStyle name="Note 8 2_Sheet1" xfId="46563"/>
    <cellStyle name="Note 8 20" xfId="46564"/>
    <cellStyle name="Note 8 20 2" xfId="46565"/>
    <cellStyle name="Note 8 20 2 2" xfId="46566"/>
    <cellStyle name="Note 8 20 2_Sheet1" xfId="46567"/>
    <cellStyle name="Note 8 20 3" xfId="46568"/>
    <cellStyle name="Note 8 20_Sheet1" xfId="46569"/>
    <cellStyle name="Note 8 21" xfId="46570"/>
    <cellStyle name="Note 8 21 2" xfId="46571"/>
    <cellStyle name="Note 8 21 2 2" xfId="46572"/>
    <cellStyle name="Note 8 21 2_Sheet1" xfId="46573"/>
    <cellStyle name="Note 8 21 3" xfId="46574"/>
    <cellStyle name="Note 8 21_Sheet1" xfId="46575"/>
    <cellStyle name="Note 8 22" xfId="46576"/>
    <cellStyle name="Note 8 3" xfId="46577"/>
    <cellStyle name="Note 8 3 2" xfId="46578"/>
    <cellStyle name="Note 8 3 2 2" xfId="46579"/>
    <cellStyle name="Note 8 3 2 2 2" xfId="46580"/>
    <cellStyle name="Note 8 3 2 2_Sheet1" xfId="46581"/>
    <cellStyle name="Note 8 3 2 3" xfId="46582"/>
    <cellStyle name="Note 8 3 2_Sheet1" xfId="46583"/>
    <cellStyle name="Note 8 3 3" xfId="46584"/>
    <cellStyle name="Note 8 3 3 2" xfId="46585"/>
    <cellStyle name="Note 8 3 3 2 2" xfId="46586"/>
    <cellStyle name="Note 8 3 3 2_Sheet1" xfId="46587"/>
    <cellStyle name="Note 8 3 3 3" xfId="46588"/>
    <cellStyle name="Note 8 3 3_Sheet1" xfId="46589"/>
    <cellStyle name="Note 8 3 4" xfId="46590"/>
    <cellStyle name="Note 8 3 4 2" xfId="46591"/>
    <cellStyle name="Note 8 3 4 2 2" xfId="46592"/>
    <cellStyle name="Note 8 3 4 2_Sheet1" xfId="46593"/>
    <cellStyle name="Note 8 3 4 3" xfId="46594"/>
    <cellStyle name="Note 8 3 4_Sheet1" xfId="46595"/>
    <cellStyle name="Note 8 3 5" xfId="46596"/>
    <cellStyle name="Note 8 3_Sheet1" xfId="46597"/>
    <cellStyle name="Note 8 4" xfId="46598"/>
    <cellStyle name="Note 8 4 2" xfId="46599"/>
    <cellStyle name="Note 8 4 2 2" xfId="46600"/>
    <cellStyle name="Note 8 4 2 2 2" xfId="46601"/>
    <cellStyle name="Note 8 4 2 2_Sheet1" xfId="46602"/>
    <cellStyle name="Note 8 4 2 3" xfId="46603"/>
    <cellStyle name="Note 8 4 2_Sheet1" xfId="46604"/>
    <cellStyle name="Note 8 4 3" xfId="46605"/>
    <cellStyle name="Note 8 4 3 2" xfId="46606"/>
    <cellStyle name="Note 8 4 3 2 2" xfId="46607"/>
    <cellStyle name="Note 8 4 3 2_Sheet1" xfId="46608"/>
    <cellStyle name="Note 8 4 3 3" xfId="46609"/>
    <cellStyle name="Note 8 4 3_Sheet1" xfId="46610"/>
    <cellStyle name="Note 8 4 4" xfId="46611"/>
    <cellStyle name="Note 8 4 4 2" xfId="46612"/>
    <cellStyle name="Note 8 4 4 2 2" xfId="46613"/>
    <cellStyle name="Note 8 4 4 2_Sheet1" xfId="46614"/>
    <cellStyle name="Note 8 4 4 3" xfId="46615"/>
    <cellStyle name="Note 8 4 4_Sheet1" xfId="46616"/>
    <cellStyle name="Note 8 4 5" xfId="46617"/>
    <cellStyle name="Note 8 4_Sheet1" xfId="46618"/>
    <cellStyle name="Note 8 5" xfId="46619"/>
    <cellStyle name="Note 8 5 2" xfId="46620"/>
    <cellStyle name="Note 8 5 2 2" xfId="46621"/>
    <cellStyle name="Note 8 5 2 2 2" xfId="46622"/>
    <cellStyle name="Note 8 5 2 2_Sheet1" xfId="46623"/>
    <cellStyle name="Note 8 5 2 3" xfId="46624"/>
    <cellStyle name="Note 8 5 2_Sheet1" xfId="46625"/>
    <cellStyle name="Note 8 5 3" xfId="46626"/>
    <cellStyle name="Note 8 5 3 2" xfId="46627"/>
    <cellStyle name="Note 8 5 3 2 2" xfId="46628"/>
    <cellStyle name="Note 8 5 3 2_Sheet1" xfId="46629"/>
    <cellStyle name="Note 8 5 3 3" xfId="46630"/>
    <cellStyle name="Note 8 5 3_Sheet1" xfId="46631"/>
    <cellStyle name="Note 8 5 4" xfId="46632"/>
    <cellStyle name="Note 8 5 4 2" xfId="46633"/>
    <cellStyle name="Note 8 5 4 2 2" xfId="46634"/>
    <cellStyle name="Note 8 5 4 2_Sheet1" xfId="46635"/>
    <cellStyle name="Note 8 5 4 3" xfId="46636"/>
    <cellStyle name="Note 8 5 4_Sheet1" xfId="46637"/>
    <cellStyle name="Note 8 5 5" xfId="46638"/>
    <cellStyle name="Note 8 5_Sheet1" xfId="46639"/>
    <cellStyle name="Note 8 6" xfId="46640"/>
    <cellStyle name="Note 8 6 2" xfId="46641"/>
    <cellStyle name="Note 8 6 2 2" xfId="46642"/>
    <cellStyle name="Note 8 6 2 2 2" xfId="46643"/>
    <cellStyle name="Note 8 6 2 2_Sheet1" xfId="46644"/>
    <cellStyle name="Note 8 6 2 3" xfId="46645"/>
    <cellStyle name="Note 8 6 2_Sheet1" xfId="46646"/>
    <cellStyle name="Note 8 6 3" xfId="46647"/>
    <cellStyle name="Note 8 6 3 2" xfId="46648"/>
    <cellStyle name="Note 8 6 3 2 2" xfId="46649"/>
    <cellStyle name="Note 8 6 3 2_Sheet1" xfId="46650"/>
    <cellStyle name="Note 8 6 3 3" xfId="46651"/>
    <cellStyle name="Note 8 6 3_Sheet1" xfId="46652"/>
    <cellStyle name="Note 8 6 4" xfId="46653"/>
    <cellStyle name="Note 8 6 4 2" xfId="46654"/>
    <cellStyle name="Note 8 6 4 2 2" xfId="46655"/>
    <cellStyle name="Note 8 6 4 2_Sheet1" xfId="46656"/>
    <cellStyle name="Note 8 6 4 3" xfId="46657"/>
    <cellStyle name="Note 8 6 4_Sheet1" xfId="46658"/>
    <cellStyle name="Note 8 6 5" xfId="46659"/>
    <cellStyle name="Note 8 6_Sheet1" xfId="46660"/>
    <cellStyle name="Note 8 7" xfId="46661"/>
    <cellStyle name="Note 8 7 2" xfId="46662"/>
    <cellStyle name="Note 8 7 2 2" xfId="46663"/>
    <cellStyle name="Note 8 7 2 2 2" xfId="46664"/>
    <cellStyle name="Note 8 7 2 2_Sheet1" xfId="46665"/>
    <cellStyle name="Note 8 7 2 3" xfId="46666"/>
    <cellStyle name="Note 8 7 2_Sheet1" xfId="46667"/>
    <cellStyle name="Note 8 7 3" xfId="46668"/>
    <cellStyle name="Note 8 7 3 2" xfId="46669"/>
    <cellStyle name="Note 8 7 3 2 2" xfId="46670"/>
    <cellStyle name="Note 8 7 3 2_Sheet1" xfId="46671"/>
    <cellStyle name="Note 8 7 3 3" xfId="46672"/>
    <cellStyle name="Note 8 7 3_Sheet1" xfId="46673"/>
    <cellStyle name="Note 8 7 4" xfId="46674"/>
    <cellStyle name="Note 8 7 4 2" xfId="46675"/>
    <cellStyle name="Note 8 7 4 2 2" xfId="46676"/>
    <cellStyle name="Note 8 7 4 2_Sheet1" xfId="46677"/>
    <cellStyle name="Note 8 7 4 3" xfId="46678"/>
    <cellStyle name="Note 8 7 4_Sheet1" xfId="46679"/>
    <cellStyle name="Note 8 7 5" xfId="46680"/>
    <cellStyle name="Note 8 7_Sheet1" xfId="46681"/>
    <cellStyle name="Note 8 8" xfId="46682"/>
    <cellStyle name="Note 8 8 2" xfId="46683"/>
    <cellStyle name="Note 8 8 2 2" xfId="46684"/>
    <cellStyle name="Note 8 8 2 2 2" xfId="46685"/>
    <cellStyle name="Note 8 8 2 2_Sheet1" xfId="46686"/>
    <cellStyle name="Note 8 8 2 3" xfId="46687"/>
    <cellStyle name="Note 8 8 2_Sheet1" xfId="46688"/>
    <cellStyle name="Note 8 8 3" xfId="46689"/>
    <cellStyle name="Note 8 8 3 2" xfId="46690"/>
    <cellStyle name="Note 8 8 3 2 2" xfId="46691"/>
    <cellStyle name="Note 8 8 3 2_Sheet1" xfId="46692"/>
    <cellStyle name="Note 8 8 3 3" xfId="46693"/>
    <cellStyle name="Note 8 8 3_Sheet1" xfId="46694"/>
    <cellStyle name="Note 8 8 4" xfId="46695"/>
    <cellStyle name="Note 8 8 4 2" xfId="46696"/>
    <cellStyle name="Note 8 8 4 2 2" xfId="46697"/>
    <cellStyle name="Note 8 8 4 2_Sheet1" xfId="46698"/>
    <cellStyle name="Note 8 8 4 3" xfId="46699"/>
    <cellStyle name="Note 8 8 4_Sheet1" xfId="46700"/>
    <cellStyle name="Note 8 8 5" xfId="46701"/>
    <cellStyle name="Note 8 8_Sheet1" xfId="46702"/>
    <cellStyle name="Note 8 9" xfId="46703"/>
    <cellStyle name="Note 8 9 2" xfId="46704"/>
    <cellStyle name="Note 8 9 2 2" xfId="46705"/>
    <cellStyle name="Note 8 9 2 2 2" xfId="46706"/>
    <cellStyle name="Note 8 9 2 2_Sheet1" xfId="46707"/>
    <cellStyle name="Note 8 9 2 3" xfId="46708"/>
    <cellStyle name="Note 8 9 2_Sheet1" xfId="46709"/>
    <cellStyle name="Note 8 9 3" xfId="46710"/>
    <cellStyle name="Note 8 9 3 2" xfId="46711"/>
    <cellStyle name="Note 8 9 3 2 2" xfId="46712"/>
    <cellStyle name="Note 8 9 3 2_Sheet1" xfId="46713"/>
    <cellStyle name="Note 8 9 3 3" xfId="46714"/>
    <cellStyle name="Note 8 9 3_Sheet1" xfId="46715"/>
    <cellStyle name="Note 8 9 4" xfId="46716"/>
    <cellStyle name="Note 8 9 4 2" xfId="46717"/>
    <cellStyle name="Note 8 9 4 2 2" xfId="46718"/>
    <cellStyle name="Note 8 9 4 2_Sheet1" xfId="46719"/>
    <cellStyle name="Note 8 9 4 3" xfId="46720"/>
    <cellStyle name="Note 8 9 4_Sheet1" xfId="46721"/>
    <cellStyle name="Note 8 9 5" xfId="46722"/>
    <cellStyle name="Note 8 9_Sheet1" xfId="46723"/>
    <cellStyle name="Note 8_Sheet1" xfId="46724"/>
    <cellStyle name="Note 9" xfId="46725"/>
    <cellStyle name="NPPESalesPct" xfId="46726"/>
    <cellStyle name="NPPESalesPct 2" xfId="46727"/>
    <cellStyle name="NPPESalesPct_Sheet1" xfId="46728"/>
    <cellStyle name="Nr" xfId="46729"/>
    <cellStyle name="NWI%S" xfId="46730"/>
    <cellStyle name="NWI%S 2" xfId="46731"/>
    <cellStyle name="NWI%S_Sheet1" xfId="46732"/>
    <cellStyle name="Œ…‹æØ‚è [0.00]_App-orig" xfId="46733"/>
    <cellStyle name="Œ…‹æØ‚è_App-orig" xfId="46734"/>
    <cellStyle name="Output 2" xfId="46735"/>
    <cellStyle name="Output 2 10" xfId="46736"/>
    <cellStyle name="Output 2 10 2" xfId="46737"/>
    <cellStyle name="Output 2 10 2 2" xfId="46738"/>
    <cellStyle name="Output 2 10 2 2 2" xfId="46739"/>
    <cellStyle name="Output 2 10 2 2_Sheet1" xfId="46740"/>
    <cellStyle name="Output 2 10 2 3" xfId="46741"/>
    <cellStyle name="Output 2 10 2_Sheet1" xfId="46742"/>
    <cellStyle name="Output 2 10 3" xfId="46743"/>
    <cellStyle name="Output 2 10 3 2" xfId="46744"/>
    <cellStyle name="Output 2 10 3 2 2" xfId="46745"/>
    <cellStyle name="Output 2 10 3 2_Sheet1" xfId="46746"/>
    <cellStyle name="Output 2 10 3 3" xfId="46747"/>
    <cellStyle name="Output 2 10 3_Sheet1" xfId="46748"/>
    <cellStyle name="Output 2 10 4" xfId="46749"/>
    <cellStyle name="Output 2 10 4 2" xfId="46750"/>
    <cellStyle name="Output 2 10 4 2 2" xfId="46751"/>
    <cellStyle name="Output 2 10 4 2_Sheet1" xfId="46752"/>
    <cellStyle name="Output 2 10 4 3" xfId="46753"/>
    <cellStyle name="Output 2 10 4_Sheet1" xfId="46754"/>
    <cellStyle name="Output 2 10 5" xfId="46755"/>
    <cellStyle name="Output 2 10_Sheet1" xfId="46756"/>
    <cellStyle name="Output 2 11" xfId="46757"/>
    <cellStyle name="Output 2 11 2" xfId="46758"/>
    <cellStyle name="Output 2 11 2 2" xfId="46759"/>
    <cellStyle name="Output 2 11 2 2 2" xfId="46760"/>
    <cellStyle name="Output 2 11 2 2_Sheet1" xfId="46761"/>
    <cellStyle name="Output 2 11 2 3" xfId="46762"/>
    <cellStyle name="Output 2 11 2_Sheet1" xfId="46763"/>
    <cellStyle name="Output 2 11 3" xfId="46764"/>
    <cellStyle name="Output 2 11 3 2" xfId="46765"/>
    <cellStyle name="Output 2 11 3 2 2" xfId="46766"/>
    <cellStyle name="Output 2 11 3 2_Sheet1" xfId="46767"/>
    <cellStyle name="Output 2 11 3 3" xfId="46768"/>
    <cellStyle name="Output 2 11 3_Sheet1" xfId="46769"/>
    <cellStyle name="Output 2 11 4" xfId="46770"/>
    <cellStyle name="Output 2 11 4 2" xfId="46771"/>
    <cellStyle name="Output 2 11 4 2 2" xfId="46772"/>
    <cellStyle name="Output 2 11 4 2_Sheet1" xfId="46773"/>
    <cellStyle name="Output 2 11 4 3" xfId="46774"/>
    <cellStyle name="Output 2 11 4_Sheet1" xfId="46775"/>
    <cellStyle name="Output 2 11 5" xfId="46776"/>
    <cellStyle name="Output 2 11_Sheet1" xfId="46777"/>
    <cellStyle name="Output 2 12" xfId="46778"/>
    <cellStyle name="Output 2 12 2" xfId="46779"/>
    <cellStyle name="Output 2 12 2 2" xfId="46780"/>
    <cellStyle name="Output 2 12 2 2 2" xfId="46781"/>
    <cellStyle name="Output 2 12 2 2_Sheet1" xfId="46782"/>
    <cellStyle name="Output 2 12 2 3" xfId="46783"/>
    <cellStyle name="Output 2 12 2_Sheet1" xfId="46784"/>
    <cellStyle name="Output 2 12 3" xfId="46785"/>
    <cellStyle name="Output 2 12 3 2" xfId="46786"/>
    <cellStyle name="Output 2 12 3 2 2" xfId="46787"/>
    <cellStyle name="Output 2 12 3 2_Sheet1" xfId="46788"/>
    <cellStyle name="Output 2 12 3 3" xfId="46789"/>
    <cellStyle name="Output 2 12 3_Sheet1" xfId="46790"/>
    <cellStyle name="Output 2 12 4" xfId="46791"/>
    <cellStyle name="Output 2 12 4 2" xfId="46792"/>
    <cellStyle name="Output 2 12 4 2 2" xfId="46793"/>
    <cellStyle name="Output 2 12 4 2_Sheet1" xfId="46794"/>
    <cellStyle name="Output 2 12 4 3" xfId="46795"/>
    <cellStyle name="Output 2 12 4_Sheet1" xfId="46796"/>
    <cellStyle name="Output 2 12 5" xfId="46797"/>
    <cellStyle name="Output 2 12_Sheet1" xfId="46798"/>
    <cellStyle name="Output 2 13" xfId="46799"/>
    <cellStyle name="Output 2 13 2" xfId="46800"/>
    <cellStyle name="Output 2 13 2 2" xfId="46801"/>
    <cellStyle name="Output 2 13 2 2 2" xfId="46802"/>
    <cellStyle name="Output 2 13 2 2_Sheet1" xfId="46803"/>
    <cellStyle name="Output 2 13 2 3" xfId="46804"/>
    <cellStyle name="Output 2 13 2_Sheet1" xfId="46805"/>
    <cellStyle name="Output 2 13 3" xfId="46806"/>
    <cellStyle name="Output 2 13 3 2" xfId="46807"/>
    <cellStyle name="Output 2 13 3 2 2" xfId="46808"/>
    <cellStyle name="Output 2 13 3 2_Sheet1" xfId="46809"/>
    <cellStyle name="Output 2 13 3 3" xfId="46810"/>
    <cellStyle name="Output 2 13 3_Sheet1" xfId="46811"/>
    <cellStyle name="Output 2 13 4" xfId="46812"/>
    <cellStyle name="Output 2 13 4 2" xfId="46813"/>
    <cellStyle name="Output 2 13 4 2 2" xfId="46814"/>
    <cellStyle name="Output 2 13 4 2_Sheet1" xfId="46815"/>
    <cellStyle name="Output 2 13 4 3" xfId="46816"/>
    <cellStyle name="Output 2 13 4_Sheet1" xfId="46817"/>
    <cellStyle name="Output 2 13 5" xfId="46818"/>
    <cellStyle name="Output 2 13_Sheet1" xfId="46819"/>
    <cellStyle name="Output 2 14" xfId="46820"/>
    <cellStyle name="Output 2 14 2" xfId="46821"/>
    <cellStyle name="Output 2 14 2 2" xfId="46822"/>
    <cellStyle name="Output 2 14 2 2 2" xfId="46823"/>
    <cellStyle name="Output 2 14 2 2_Sheet1" xfId="46824"/>
    <cellStyle name="Output 2 14 2 3" xfId="46825"/>
    <cellStyle name="Output 2 14 2_Sheet1" xfId="46826"/>
    <cellStyle name="Output 2 14 3" xfId="46827"/>
    <cellStyle name="Output 2 14 3 2" xfId="46828"/>
    <cellStyle name="Output 2 14 3 2 2" xfId="46829"/>
    <cellStyle name="Output 2 14 3 2_Sheet1" xfId="46830"/>
    <cellStyle name="Output 2 14 3 3" xfId="46831"/>
    <cellStyle name="Output 2 14 3_Sheet1" xfId="46832"/>
    <cellStyle name="Output 2 14 4" xfId="46833"/>
    <cellStyle name="Output 2 14 4 2" xfId="46834"/>
    <cellStyle name="Output 2 14 4 2 2" xfId="46835"/>
    <cellStyle name="Output 2 14 4 2_Sheet1" xfId="46836"/>
    <cellStyle name="Output 2 14 4 3" xfId="46837"/>
    <cellStyle name="Output 2 14 4_Sheet1" xfId="46838"/>
    <cellStyle name="Output 2 14 5" xfId="46839"/>
    <cellStyle name="Output 2 14_Sheet1" xfId="46840"/>
    <cellStyle name="Output 2 15" xfId="46841"/>
    <cellStyle name="Output 2 15 2" xfId="46842"/>
    <cellStyle name="Output 2 15 2 2" xfId="46843"/>
    <cellStyle name="Output 2 15 2 2 2" xfId="46844"/>
    <cellStyle name="Output 2 15 2 2_Sheet1" xfId="46845"/>
    <cellStyle name="Output 2 15 2 3" xfId="46846"/>
    <cellStyle name="Output 2 15 2_Sheet1" xfId="46847"/>
    <cellStyle name="Output 2 15 3" xfId="46848"/>
    <cellStyle name="Output 2 15 3 2" xfId="46849"/>
    <cellStyle name="Output 2 15 3 2 2" xfId="46850"/>
    <cellStyle name="Output 2 15 3 2_Sheet1" xfId="46851"/>
    <cellStyle name="Output 2 15 3 3" xfId="46852"/>
    <cellStyle name="Output 2 15 3_Sheet1" xfId="46853"/>
    <cellStyle name="Output 2 15 4" xfId="46854"/>
    <cellStyle name="Output 2 15 4 2" xfId="46855"/>
    <cellStyle name="Output 2 15 4 2 2" xfId="46856"/>
    <cellStyle name="Output 2 15 4 2_Sheet1" xfId="46857"/>
    <cellStyle name="Output 2 15 4 3" xfId="46858"/>
    <cellStyle name="Output 2 15 4_Sheet1" xfId="46859"/>
    <cellStyle name="Output 2 15 5" xfId="46860"/>
    <cellStyle name="Output 2 15_Sheet1" xfId="46861"/>
    <cellStyle name="Output 2 16" xfId="46862"/>
    <cellStyle name="Output 2 16 2" xfId="46863"/>
    <cellStyle name="Output 2 16 2 2" xfId="46864"/>
    <cellStyle name="Output 2 16 2 2 2" xfId="46865"/>
    <cellStyle name="Output 2 16 2 2_Sheet1" xfId="46866"/>
    <cellStyle name="Output 2 16 2 3" xfId="46867"/>
    <cellStyle name="Output 2 16 2_Sheet1" xfId="46868"/>
    <cellStyle name="Output 2 16 3" xfId="46869"/>
    <cellStyle name="Output 2 16 3 2" xfId="46870"/>
    <cellStyle name="Output 2 16 3 2 2" xfId="46871"/>
    <cellStyle name="Output 2 16 3 2_Sheet1" xfId="46872"/>
    <cellStyle name="Output 2 16 3 3" xfId="46873"/>
    <cellStyle name="Output 2 16 3_Sheet1" xfId="46874"/>
    <cellStyle name="Output 2 16 4" xfId="46875"/>
    <cellStyle name="Output 2 16 4 2" xfId="46876"/>
    <cellStyle name="Output 2 16 4 2 2" xfId="46877"/>
    <cellStyle name="Output 2 16 4 2_Sheet1" xfId="46878"/>
    <cellStyle name="Output 2 16 4 3" xfId="46879"/>
    <cellStyle name="Output 2 16 4_Sheet1" xfId="46880"/>
    <cellStyle name="Output 2 16 5" xfId="46881"/>
    <cellStyle name="Output 2 16_Sheet1" xfId="46882"/>
    <cellStyle name="Output 2 17" xfId="46883"/>
    <cellStyle name="Output 2 17 2" xfId="46884"/>
    <cellStyle name="Output 2 17 2 2" xfId="46885"/>
    <cellStyle name="Output 2 17 2 2 2" xfId="46886"/>
    <cellStyle name="Output 2 17 2 2_Sheet1" xfId="46887"/>
    <cellStyle name="Output 2 17 2 3" xfId="46888"/>
    <cellStyle name="Output 2 17 2_Sheet1" xfId="46889"/>
    <cellStyle name="Output 2 17 3" xfId="46890"/>
    <cellStyle name="Output 2 17 3 2" xfId="46891"/>
    <cellStyle name="Output 2 17 3 2 2" xfId="46892"/>
    <cellStyle name="Output 2 17 3 2_Sheet1" xfId="46893"/>
    <cellStyle name="Output 2 17 3 3" xfId="46894"/>
    <cellStyle name="Output 2 17 3_Sheet1" xfId="46895"/>
    <cellStyle name="Output 2 17 4" xfId="46896"/>
    <cellStyle name="Output 2 17 4 2" xfId="46897"/>
    <cellStyle name="Output 2 17 4 2 2" xfId="46898"/>
    <cellStyle name="Output 2 17 4 2_Sheet1" xfId="46899"/>
    <cellStyle name="Output 2 17 4 3" xfId="46900"/>
    <cellStyle name="Output 2 17 4_Sheet1" xfId="46901"/>
    <cellStyle name="Output 2 17 5" xfId="46902"/>
    <cellStyle name="Output 2 17_Sheet1" xfId="46903"/>
    <cellStyle name="Output 2 18" xfId="46904"/>
    <cellStyle name="Output 2 18 2" xfId="46905"/>
    <cellStyle name="Output 2 18 2 2" xfId="46906"/>
    <cellStyle name="Output 2 18 2 2 2" xfId="46907"/>
    <cellStyle name="Output 2 18 2 2_Sheet1" xfId="46908"/>
    <cellStyle name="Output 2 18 2 3" xfId="46909"/>
    <cellStyle name="Output 2 18 2_Sheet1" xfId="46910"/>
    <cellStyle name="Output 2 18 3" xfId="46911"/>
    <cellStyle name="Output 2 18 3 2" xfId="46912"/>
    <cellStyle name="Output 2 18 3 2 2" xfId="46913"/>
    <cellStyle name="Output 2 18 3 2_Sheet1" xfId="46914"/>
    <cellStyle name="Output 2 18 3 3" xfId="46915"/>
    <cellStyle name="Output 2 18 3_Sheet1" xfId="46916"/>
    <cellStyle name="Output 2 18 4" xfId="46917"/>
    <cellStyle name="Output 2 18 4 2" xfId="46918"/>
    <cellStyle name="Output 2 18 4 2 2" xfId="46919"/>
    <cellStyle name="Output 2 18 4 2_Sheet1" xfId="46920"/>
    <cellStyle name="Output 2 18 4 3" xfId="46921"/>
    <cellStyle name="Output 2 18 4_Sheet1" xfId="46922"/>
    <cellStyle name="Output 2 18 5" xfId="46923"/>
    <cellStyle name="Output 2 18_Sheet1" xfId="46924"/>
    <cellStyle name="Output 2 19" xfId="46925"/>
    <cellStyle name="Output 2 19 2" xfId="46926"/>
    <cellStyle name="Output 2 19 2 2" xfId="46927"/>
    <cellStyle name="Output 2 19 2 2 2" xfId="46928"/>
    <cellStyle name="Output 2 19 2 2_Sheet1" xfId="46929"/>
    <cellStyle name="Output 2 19 2 3" xfId="46930"/>
    <cellStyle name="Output 2 19 2_Sheet1" xfId="46931"/>
    <cellStyle name="Output 2 19 3" xfId="46932"/>
    <cellStyle name="Output 2 19 3 2" xfId="46933"/>
    <cellStyle name="Output 2 19 3 2 2" xfId="46934"/>
    <cellStyle name="Output 2 19 3 2_Sheet1" xfId="46935"/>
    <cellStyle name="Output 2 19 3 3" xfId="46936"/>
    <cellStyle name="Output 2 19 3_Sheet1" xfId="46937"/>
    <cellStyle name="Output 2 19 4" xfId="46938"/>
    <cellStyle name="Output 2 19 4 2" xfId="46939"/>
    <cellStyle name="Output 2 19 4 2 2" xfId="46940"/>
    <cellStyle name="Output 2 19 4 2_Sheet1" xfId="46941"/>
    <cellStyle name="Output 2 19 4 3" xfId="46942"/>
    <cellStyle name="Output 2 19 4_Sheet1" xfId="46943"/>
    <cellStyle name="Output 2 19 5" xfId="46944"/>
    <cellStyle name="Output 2 19_Sheet1" xfId="46945"/>
    <cellStyle name="Output 2 2" xfId="46946"/>
    <cellStyle name="Output 2 2 10" xfId="46947"/>
    <cellStyle name="Output 2 2 10 2" xfId="46948"/>
    <cellStyle name="Output 2 2 10 2 2" xfId="46949"/>
    <cellStyle name="Output 2 2 10 2 2 2" xfId="46950"/>
    <cellStyle name="Output 2 2 10 2 2_Sheet1" xfId="46951"/>
    <cellStyle name="Output 2 2 10 2 3" xfId="46952"/>
    <cellStyle name="Output 2 2 10 2_Sheet1" xfId="46953"/>
    <cellStyle name="Output 2 2 10 3" xfId="46954"/>
    <cellStyle name="Output 2 2 10 3 2" xfId="46955"/>
    <cellStyle name="Output 2 2 10 3 2 2" xfId="46956"/>
    <cellStyle name="Output 2 2 10 3 2_Sheet1" xfId="46957"/>
    <cellStyle name="Output 2 2 10 3 3" xfId="46958"/>
    <cellStyle name="Output 2 2 10 3_Sheet1" xfId="46959"/>
    <cellStyle name="Output 2 2 10 4" xfId="46960"/>
    <cellStyle name="Output 2 2 10 4 2" xfId="46961"/>
    <cellStyle name="Output 2 2 10 4 2 2" xfId="46962"/>
    <cellStyle name="Output 2 2 10 4 2_Sheet1" xfId="46963"/>
    <cellStyle name="Output 2 2 10 4 3" xfId="46964"/>
    <cellStyle name="Output 2 2 10 4_Sheet1" xfId="46965"/>
    <cellStyle name="Output 2 2 10 5" xfId="46966"/>
    <cellStyle name="Output 2 2 10_Sheet1" xfId="46967"/>
    <cellStyle name="Output 2 2 11" xfId="46968"/>
    <cellStyle name="Output 2 2 11 2" xfId="46969"/>
    <cellStyle name="Output 2 2 11 2 2" xfId="46970"/>
    <cellStyle name="Output 2 2 11 2 2 2" xfId="46971"/>
    <cellStyle name="Output 2 2 11 2 2_Sheet1" xfId="46972"/>
    <cellStyle name="Output 2 2 11 2 3" xfId="46973"/>
    <cellStyle name="Output 2 2 11 2_Sheet1" xfId="46974"/>
    <cellStyle name="Output 2 2 11 3" xfId="46975"/>
    <cellStyle name="Output 2 2 11 3 2" xfId="46976"/>
    <cellStyle name="Output 2 2 11 3 2 2" xfId="46977"/>
    <cellStyle name="Output 2 2 11 3 2_Sheet1" xfId="46978"/>
    <cellStyle name="Output 2 2 11 3 3" xfId="46979"/>
    <cellStyle name="Output 2 2 11 3_Sheet1" xfId="46980"/>
    <cellStyle name="Output 2 2 11 4" xfId="46981"/>
    <cellStyle name="Output 2 2 11 4 2" xfId="46982"/>
    <cellStyle name="Output 2 2 11 4 2 2" xfId="46983"/>
    <cellStyle name="Output 2 2 11 4 2_Sheet1" xfId="46984"/>
    <cellStyle name="Output 2 2 11 4 3" xfId="46985"/>
    <cellStyle name="Output 2 2 11 4_Sheet1" xfId="46986"/>
    <cellStyle name="Output 2 2 11 5" xfId="46987"/>
    <cellStyle name="Output 2 2 11_Sheet1" xfId="46988"/>
    <cellStyle name="Output 2 2 12" xfId="46989"/>
    <cellStyle name="Output 2 2 12 2" xfId="46990"/>
    <cellStyle name="Output 2 2 12 2 2" xfId="46991"/>
    <cellStyle name="Output 2 2 12 2 2 2" xfId="46992"/>
    <cellStyle name="Output 2 2 12 2 2_Sheet1" xfId="46993"/>
    <cellStyle name="Output 2 2 12 2 3" xfId="46994"/>
    <cellStyle name="Output 2 2 12 2_Sheet1" xfId="46995"/>
    <cellStyle name="Output 2 2 12 3" xfId="46996"/>
    <cellStyle name="Output 2 2 12 3 2" xfId="46997"/>
    <cellStyle name="Output 2 2 12 3 2 2" xfId="46998"/>
    <cellStyle name="Output 2 2 12 3 2_Sheet1" xfId="46999"/>
    <cellStyle name="Output 2 2 12 3 3" xfId="47000"/>
    <cellStyle name="Output 2 2 12 3_Sheet1" xfId="47001"/>
    <cellStyle name="Output 2 2 12 4" xfId="47002"/>
    <cellStyle name="Output 2 2 12 4 2" xfId="47003"/>
    <cellStyle name="Output 2 2 12 4 2 2" xfId="47004"/>
    <cellStyle name="Output 2 2 12 4 2_Sheet1" xfId="47005"/>
    <cellStyle name="Output 2 2 12 4 3" xfId="47006"/>
    <cellStyle name="Output 2 2 12 4_Sheet1" xfId="47007"/>
    <cellStyle name="Output 2 2 12 5" xfId="47008"/>
    <cellStyle name="Output 2 2 12_Sheet1" xfId="47009"/>
    <cellStyle name="Output 2 2 13" xfId="47010"/>
    <cellStyle name="Output 2 2 13 2" xfId="47011"/>
    <cellStyle name="Output 2 2 13 2 2" xfId="47012"/>
    <cellStyle name="Output 2 2 13 2 2 2" xfId="47013"/>
    <cellStyle name="Output 2 2 13 2 2_Sheet1" xfId="47014"/>
    <cellStyle name="Output 2 2 13 2 3" xfId="47015"/>
    <cellStyle name="Output 2 2 13 2_Sheet1" xfId="47016"/>
    <cellStyle name="Output 2 2 13 3" xfId="47017"/>
    <cellStyle name="Output 2 2 13 3 2" xfId="47018"/>
    <cellStyle name="Output 2 2 13 3 2 2" xfId="47019"/>
    <cellStyle name="Output 2 2 13 3 2_Sheet1" xfId="47020"/>
    <cellStyle name="Output 2 2 13 3 3" xfId="47021"/>
    <cellStyle name="Output 2 2 13 3_Sheet1" xfId="47022"/>
    <cellStyle name="Output 2 2 13 4" xfId="47023"/>
    <cellStyle name="Output 2 2 13 4 2" xfId="47024"/>
    <cellStyle name="Output 2 2 13 4 2 2" xfId="47025"/>
    <cellStyle name="Output 2 2 13 4 2_Sheet1" xfId="47026"/>
    <cellStyle name="Output 2 2 13 4 3" xfId="47027"/>
    <cellStyle name="Output 2 2 13 4_Sheet1" xfId="47028"/>
    <cellStyle name="Output 2 2 13 5" xfId="47029"/>
    <cellStyle name="Output 2 2 13_Sheet1" xfId="47030"/>
    <cellStyle name="Output 2 2 14" xfId="47031"/>
    <cellStyle name="Output 2 2 14 2" xfId="47032"/>
    <cellStyle name="Output 2 2 14 2 2" xfId="47033"/>
    <cellStyle name="Output 2 2 14 2 2 2" xfId="47034"/>
    <cellStyle name="Output 2 2 14 2 2_Sheet1" xfId="47035"/>
    <cellStyle name="Output 2 2 14 2 3" xfId="47036"/>
    <cellStyle name="Output 2 2 14 2_Sheet1" xfId="47037"/>
    <cellStyle name="Output 2 2 14 3" xfId="47038"/>
    <cellStyle name="Output 2 2 14 3 2" xfId="47039"/>
    <cellStyle name="Output 2 2 14 3 2 2" xfId="47040"/>
    <cellStyle name="Output 2 2 14 3 2_Sheet1" xfId="47041"/>
    <cellStyle name="Output 2 2 14 3 3" xfId="47042"/>
    <cellStyle name="Output 2 2 14 3_Sheet1" xfId="47043"/>
    <cellStyle name="Output 2 2 14 4" xfId="47044"/>
    <cellStyle name="Output 2 2 14 4 2" xfId="47045"/>
    <cellStyle name="Output 2 2 14 4 2 2" xfId="47046"/>
    <cellStyle name="Output 2 2 14 4 2_Sheet1" xfId="47047"/>
    <cellStyle name="Output 2 2 14 4 3" xfId="47048"/>
    <cellStyle name="Output 2 2 14 4_Sheet1" xfId="47049"/>
    <cellStyle name="Output 2 2 14 5" xfId="47050"/>
    <cellStyle name="Output 2 2 14_Sheet1" xfId="47051"/>
    <cellStyle name="Output 2 2 15" xfId="47052"/>
    <cellStyle name="Output 2 2 15 2" xfId="47053"/>
    <cellStyle name="Output 2 2 15 2 2" xfId="47054"/>
    <cellStyle name="Output 2 2 15 2 2 2" xfId="47055"/>
    <cellStyle name="Output 2 2 15 2 2_Sheet1" xfId="47056"/>
    <cellStyle name="Output 2 2 15 2 3" xfId="47057"/>
    <cellStyle name="Output 2 2 15 2_Sheet1" xfId="47058"/>
    <cellStyle name="Output 2 2 15 3" xfId="47059"/>
    <cellStyle name="Output 2 2 15 3 2" xfId="47060"/>
    <cellStyle name="Output 2 2 15 3 2 2" xfId="47061"/>
    <cellStyle name="Output 2 2 15 3 2_Sheet1" xfId="47062"/>
    <cellStyle name="Output 2 2 15 3 3" xfId="47063"/>
    <cellStyle name="Output 2 2 15 3_Sheet1" xfId="47064"/>
    <cellStyle name="Output 2 2 15 4" xfId="47065"/>
    <cellStyle name="Output 2 2 15 4 2" xfId="47066"/>
    <cellStyle name="Output 2 2 15 4 2 2" xfId="47067"/>
    <cellStyle name="Output 2 2 15 4 2_Sheet1" xfId="47068"/>
    <cellStyle name="Output 2 2 15 4 3" xfId="47069"/>
    <cellStyle name="Output 2 2 15 4_Sheet1" xfId="47070"/>
    <cellStyle name="Output 2 2 15 5" xfId="47071"/>
    <cellStyle name="Output 2 2 15_Sheet1" xfId="47072"/>
    <cellStyle name="Output 2 2 16" xfId="47073"/>
    <cellStyle name="Output 2 2 16 2" xfId="47074"/>
    <cellStyle name="Output 2 2 16 2 2" xfId="47075"/>
    <cellStyle name="Output 2 2 16 2 2 2" xfId="47076"/>
    <cellStyle name="Output 2 2 16 2 2_Sheet1" xfId="47077"/>
    <cellStyle name="Output 2 2 16 2 3" xfId="47078"/>
    <cellStyle name="Output 2 2 16 2_Sheet1" xfId="47079"/>
    <cellStyle name="Output 2 2 16 3" xfId="47080"/>
    <cellStyle name="Output 2 2 16 3 2" xfId="47081"/>
    <cellStyle name="Output 2 2 16 3 2 2" xfId="47082"/>
    <cellStyle name="Output 2 2 16 3 2_Sheet1" xfId="47083"/>
    <cellStyle name="Output 2 2 16 3 3" xfId="47084"/>
    <cellStyle name="Output 2 2 16 3_Sheet1" xfId="47085"/>
    <cellStyle name="Output 2 2 16 4" xfId="47086"/>
    <cellStyle name="Output 2 2 16 4 2" xfId="47087"/>
    <cellStyle name="Output 2 2 16 4 2 2" xfId="47088"/>
    <cellStyle name="Output 2 2 16 4 2_Sheet1" xfId="47089"/>
    <cellStyle name="Output 2 2 16 4 3" xfId="47090"/>
    <cellStyle name="Output 2 2 16 4_Sheet1" xfId="47091"/>
    <cellStyle name="Output 2 2 16 5" xfId="47092"/>
    <cellStyle name="Output 2 2 16_Sheet1" xfId="47093"/>
    <cellStyle name="Output 2 2 17" xfId="47094"/>
    <cellStyle name="Output 2 2 17 2" xfId="47095"/>
    <cellStyle name="Output 2 2 17 2 2" xfId="47096"/>
    <cellStyle name="Output 2 2 17 2 2 2" xfId="47097"/>
    <cellStyle name="Output 2 2 17 2 2_Sheet1" xfId="47098"/>
    <cellStyle name="Output 2 2 17 2 3" xfId="47099"/>
    <cellStyle name="Output 2 2 17 2_Sheet1" xfId="47100"/>
    <cellStyle name="Output 2 2 17 3" xfId="47101"/>
    <cellStyle name="Output 2 2 17 3 2" xfId="47102"/>
    <cellStyle name="Output 2 2 17 3 2 2" xfId="47103"/>
    <cellStyle name="Output 2 2 17 3 2_Sheet1" xfId="47104"/>
    <cellStyle name="Output 2 2 17 3 3" xfId="47105"/>
    <cellStyle name="Output 2 2 17 3_Sheet1" xfId="47106"/>
    <cellStyle name="Output 2 2 17 4" xfId="47107"/>
    <cellStyle name="Output 2 2 17 4 2" xfId="47108"/>
    <cellStyle name="Output 2 2 17 4 2 2" xfId="47109"/>
    <cellStyle name="Output 2 2 17 4 2_Sheet1" xfId="47110"/>
    <cellStyle name="Output 2 2 17 4 3" xfId="47111"/>
    <cellStyle name="Output 2 2 17 4_Sheet1" xfId="47112"/>
    <cellStyle name="Output 2 2 17 5" xfId="47113"/>
    <cellStyle name="Output 2 2 17_Sheet1" xfId="47114"/>
    <cellStyle name="Output 2 2 18" xfId="47115"/>
    <cellStyle name="Output 2 2 18 2" xfId="47116"/>
    <cellStyle name="Output 2 2 18 2 2" xfId="47117"/>
    <cellStyle name="Output 2 2 18 2 2 2" xfId="47118"/>
    <cellStyle name="Output 2 2 18 2 2_Sheet1" xfId="47119"/>
    <cellStyle name="Output 2 2 18 2 3" xfId="47120"/>
    <cellStyle name="Output 2 2 18 2_Sheet1" xfId="47121"/>
    <cellStyle name="Output 2 2 18 3" xfId="47122"/>
    <cellStyle name="Output 2 2 18 3 2" xfId="47123"/>
    <cellStyle name="Output 2 2 18 3 2 2" xfId="47124"/>
    <cellStyle name="Output 2 2 18 3 2_Sheet1" xfId="47125"/>
    <cellStyle name="Output 2 2 18 3 3" xfId="47126"/>
    <cellStyle name="Output 2 2 18 3_Sheet1" xfId="47127"/>
    <cellStyle name="Output 2 2 18 4" xfId="47128"/>
    <cellStyle name="Output 2 2 18 4 2" xfId="47129"/>
    <cellStyle name="Output 2 2 18 4 2 2" xfId="47130"/>
    <cellStyle name="Output 2 2 18 4 2_Sheet1" xfId="47131"/>
    <cellStyle name="Output 2 2 18 4 3" xfId="47132"/>
    <cellStyle name="Output 2 2 18 4_Sheet1" xfId="47133"/>
    <cellStyle name="Output 2 2 18 5" xfId="47134"/>
    <cellStyle name="Output 2 2 18_Sheet1" xfId="47135"/>
    <cellStyle name="Output 2 2 19" xfId="47136"/>
    <cellStyle name="Output 2 2 19 2" xfId="47137"/>
    <cellStyle name="Output 2 2 19 2 2" xfId="47138"/>
    <cellStyle name="Output 2 2 19 2 2 2" xfId="47139"/>
    <cellStyle name="Output 2 2 19 2 2_Sheet1" xfId="47140"/>
    <cellStyle name="Output 2 2 19 2 3" xfId="47141"/>
    <cellStyle name="Output 2 2 19 2_Sheet1" xfId="47142"/>
    <cellStyle name="Output 2 2 19 3" xfId="47143"/>
    <cellStyle name="Output 2 2 19 3 2" xfId="47144"/>
    <cellStyle name="Output 2 2 19 3 2 2" xfId="47145"/>
    <cellStyle name="Output 2 2 19 3 2_Sheet1" xfId="47146"/>
    <cellStyle name="Output 2 2 19 3 3" xfId="47147"/>
    <cellStyle name="Output 2 2 19 3_Sheet1" xfId="47148"/>
    <cellStyle name="Output 2 2 19 4" xfId="47149"/>
    <cellStyle name="Output 2 2 19 4 2" xfId="47150"/>
    <cellStyle name="Output 2 2 19 4 2 2" xfId="47151"/>
    <cellStyle name="Output 2 2 19 4 2_Sheet1" xfId="47152"/>
    <cellStyle name="Output 2 2 19 4 3" xfId="47153"/>
    <cellStyle name="Output 2 2 19 4_Sheet1" xfId="47154"/>
    <cellStyle name="Output 2 2 19 5" xfId="47155"/>
    <cellStyle name="Output 2 2 19_Sheet1" xfId="47156"/>
    <cellStyle name="Output 2 2 2" xfId="47157"/>
    <cellStyle name="Output 2 2 2 2" xfId="47158"/>
    <cellStyle name="Output 2 2 2 2 2" xfId="47159"/>
    <cellStyle name="Output 2 2 2 2 2 2" xfId="47160"/>
    <cellStyle name="Output 2 2 2 2 2_Sheet1" xfId="47161"/>
    <cellStyle name="Output 2 2 2 2 3" xfId="47162"/>
    <cellStyle name="Output 2 2 2 2_Sheet1" xfId="47163"/>
    <cellStyle name="Output 2 2 2 3" xfId="47164"/>
    <cellStyle name="Output 2 2 2 3 2" xfId="47165"/>
    <cellStyle name="Output 2 2 2 3 2 2" xfId="47166"/>
    <cellStyle name="Output 2 2 2 3 2_Sheet1" xfId="47167"/>
    <cellStyle name="Output 2 2 2 3 3" xfId="47168"/>
    <cellStyle name="Output 2 2 2 3_Sheet1" xfId="47169"/>
    <cellStyle name="Output 2 2 2 4" xfId="47170"/>
    <cellStyle name="Output 2 2 2 4 2" xfId="47171"/>
    <cellStyle name="Output 2 2 2 4 2 2" xfId="47172"/>
    <cellStyle name="Output 2 2 2 4 2_Sheet1" xfId="47173"/>
    <cellStyle name="Output 2 2 2 4 3" xfId="47174"/>
    <cellStyle name="Output 2 2 2 4_Sheet1" xfId="47175"/>
    <cellStyle name="Output 2 2 2 5" xfId="47176"/>
    <cellStyle name="Output 2 2 2_Sheet1" xfId="47177"/>
    <cellStyle name="Output 2 2 20" xfId="47178"/>
    <cellStyle name="Output 2 2 20 2" xfId="47179"/>
    <cellStyle name="Output 2 2 20 2 2" xfId="47180"/>
    <cellStyle name="Output 2 2 20 2 2 2" xfId="47181"/>
    <cellStyle name="Output 2 2 20 2 2_Sheet1" xfId="47182"/>
    <cellStyle name="Output 2 2 20 2 3" xfId="47183"/>
    <cellStyle name="Output 2 2 20 2_Sheet1" xfId="47184"/>
    <cellStyle name="Output 2 2 20 3" xfId="47185"/>
    <cellStyle name="Output 2 2 20 3 2" xfId="47186"/>
    <cellStyle name="Output 2 2 20 3 2 2" xfId="47187"/>
    <cellStyle name="Output 2 2 20 3 2_Sheet1" xfId="47188"/>
    <cellStyle name="Output 2 2 20 3 3" xfId="47189"/>
    <cellStyle name="Output 2 2 20 3_Sheet1" xfId="47190"/>
    <cellStyle name="Output 2 2 20 4" xfId="47191"/>
    <cellStyle name="Output 2 2 20 4 2" xfId="47192"/>
    <cellStyle name="Output 2 2 20 4 2 2" xfId="47193"/>
    <cellStyle name="Output 2 2 20 4 2_Sheet1" xfId="47194"/>
    <cellStyle name="Output 2 2 20 4 3" xfId="47195"/>
    <cellStyle name="Output 2 2 20 4_Sheet1" xfId="47196"/>
    <cellStyle name="Output 2 2 20 5" xfId="47197"/>
    <cellStyle name="Output 2 2 20_Sheet1" xfId="47198"/>
    <cellStyle name="Output 2 2 21" xfId="47199"/>
    <cellStyle name="Output 2 2 21 2" xfId="47200"/>
    <cellStyle name="Output 2 2 21 2 2" xfId="47201"/>
    <cellStyle name="Output 2 2 21 2 2 2" xfId="47202"/>
    <cellStyle name="Output 2 2 21 2 2_Sheet1" xfId="47203"/>
    <cellStyle name="Output 2 2 21 2 3" xfId="47204"/>
    <cellStyle name="Output 2 2 21 2_Sheet1" xfId="47205"/>
    <cellStyle name="Output 2 2 21 3" xfId="47206"/>
    <cellStyle name="Output 2 2 21 3 2" xfId="47207"/>
    <cellStyle name="Output 2 2 21 3 2 2" xfId="47208"/>
    <cellStyle name="Output 2 2 21 3 2_Sheet1" xfId="47209"/>
    <cellStyle name="Output 2 2 21 3 3" xfId="47210"/>
    <cellStyle name="Output 2 2 21 3_Sheet1" xfId="47211"/>
    <cellStyle name="Output 2 2 21 4" xfId="47212"/>
    <cellStyle name="Output 2 2 21 4 2" xfId="47213"/>
    <cellStyle name="Output 2 2 21 4 2 2" xfId="47214"/>
    <cellStyle name="Output 2 2 21 4 2_Sheet1" xfId="47215"/>
    <cellStyle name="Output 2 2 21 4 3" xfId="47216"/>
    <cellStyle name="Output 2 2 21 4_Sheet1" xfId="47217"/>
    <cellStyle name="Output 2 2 21 5" xfId="47218"/>
    <cellStyle name="Output 2 2 21_Sheet1" xfId="47219"/>
    <cellStyle name="Output 2 2 22" xfId="47220"/>
    <cellStyle name="Output 2 2 22 2" xfId="47221"/>
    <cellStyle name="Output 2 2 22 2 2" xfId="47222"/>
    <cellStyle name="Output 2 2 22 2 2 2" xfId="47223"/>
    <cellStyle name="Output 2 2 22 2 2_Sheet1" xfId="47224"/>
    <cellStyle name="Output 2 2 22 2 3" xfId="47225"/>
    <cellStyle name="Output 2 2 22 2_Sheet1" xfId="47226"/>
    <cellStyle name="Output 2 2 22 3" xfId="47227"/>
    <cellStyle name="Output 2 2 22 3 2" xfId="47228"/>
    <cellStyle name="Output 2 2 22 3 2 2" xfId="47229"/>
    <cellStyle name="Output 2 2 22 3 2_Sheet1" xfId="47230"/>
    <cellStyle name="Output 2 2 22 3 3" xfId="47231"/>
    <cellStyle name="Output 2 2 22 3_Sheet1" xfId="47232"/>
    <cellStyle name="Output 2 2 22 4" xfId="47233"/>
    <cellStyle name="Output 2 2 22 4 2" xfId="47234"/>
    <cellStyle name="Output 2 2 22 4 2 2" xfId="47235"/>
    <cellStyle name="Output 2 2 22 4 2_Sheet1" xfId="47236"/>
    <cellStyle name="Output 2 2 22 4 3" xfId="47237"/>
    <cellStyle name="Output 2 2 22 4_Sheet1" xfId="47238"/>
    <cellStyle name="Output 2 2 22 5" xfId="47239"/>
    <cellStyle name="Output 2 2 22_Sheet1" xfId="47240"/>
    <cellStyle name="Output 2 2 23" xfId="47241"/>
    <cellStyle name="Output 2 2 23 2" xfId="47242"/>
    <cellStyle name="Output 2 2 23 2 2" xfId="47243"/>
    <cellStyle name="Output 2 2 23 2_Sheet1" xfId="47244"/>
    <cellStyle name="Output 2 2 23 3" xfId="47245"/>
    <cellStyle name="Output 2 2 23_Sheet1" xfId="47246"/>
    <cellStyle name="Output 2 2 24" xfId="47247"/>
    <cellStyle name="Output 2 2 24 2" xfId="47248"/>
    <cellStyle name="Output 2 2 24 2 2" xfId="47249"/>
    <cellStyle name="Output 2 2 24 2_Sheet1" xfId="47250"/>
    <cellStyle name="Output 2 2 24 3" xfId="47251"/>
    <cellStyle name="Output 2 2 24_Sheet1" xfId="47252"/>
    <cellStyle name="Output 2 2 25" xfId="47253"/>
    <cellStyle name="Output 2 2 25 2" xfId="47254"/>
    <cellStyle name="Output 2 2 25 2 2" xfId="47255"/>
    <cellStyle name="Output 2 2 25 2_Sheet1" xfId="47256"/>
    <cellStyle name="Output 2 2 25 3" xfId="47257"/>
    <cellStyle name="Output 2 2 25_Sheet1" xfId="47258"/>
    <cellStyle name="Output 2 2 26" xfId="47259"/>
    <cellStyle name="Output 2 2 3" xfId="47260"/>
    <cellStyle name="Output 2 2 3 2" xfId="47261"/>
    <cellStyle name="Output 2 2 3 2 2" xfId="47262"/>
    <cellStyle name="Output 2 2 3 2 2 2" xfId="47263"/>
    <cellStyle name="Output 2 2 3 2 2_Sheet1" xfId="47264"/>
    <cellStyle name="Output 2 2 3 2 3" xfId="47265"/>
    <cellStyle name="Output 2 2 3 2_Sheet1" xfId="47266"/>
    <cellStyle name="Output 2 2 3 3" xfId="47267"/>
    <cellStyle name="Output 2 2 3 3 2" xfId="47268"/>
    <cellStyle name="Output 2 2 3 3 2 2" xfId="47269"/>
    <cellStyle name="Output 2 2 3 3 2_Sheet1" xfId="47270"/>
    <cellStyle name="Output 2 2 3 3 3" xfId="47271"/>
    <cellStyle name="Output 2 2 3 3_Sheet1" xfId="47272"/>
    <cellStyle name="Output 2 2 3 4" xfId="47273"/>
    <cellStyle name="Output 2 2 3 4 2" xfId="47274"/>
    <cellStyle name="Output 2 2 3 4 2 2" xfId="47275"/>
    <cellStyle name="Output 2 2 3 4 2_Sheet1" xfId="47276"/>
    <cellStyle name="Output 2 2 3 4 3" xfId="47277"/>
    <cellStyle name="Output 2 2 3 4_Sheet1" xfId="47278"/>
    <cellStyle name="Output 2 2 3 5" xfId="47279"/>
    <cellStyle name="Output 2 2 3_Sheet1" xfId="47280"/>
    <cellStyle name="Output 2 2 4" xfId="47281"/>
    <cellStyle name="Output 2 2 4 2" xfId="47282"/>
    <cellStyle name="Output 2 2 4 2 2" xfId="47283"/>
    <cellStyle name="Output 2 2 4 2 2 2" xfId="47284"/>
    <cellStyle name="Output 2 2 4 2 2_Sheet1" xfId="47285"/>
    <cellStyle name="Output 2 2 4 2 3" xfId="47286"/>
    <cellStyle name="Output 2 2 4 2_Sheet1" xfId="47287"/>
    <cellStyle name="Output 2 2 4 3" xfId="47288"/>
    <cellStyle name="Output 2 2 4 3 2" xfId="47289"/>
    <cellStyle name="Output 2 2 4 3 2 2" xfId="47290"/>
    <cellStyle name="Output 2 2 4 3 2_Sheet1" xfId="47291"/>
    <cellStyle name="Output 2 2 4 3 3" xfId="47292"/>
    <cellStyle name="Output 2 2 4 3_Sheet1" xfId="47293"/>
    <cellStyle name="Output 2 2 4 4" xfId="47294"/>
    <cellStyle name="Output 2 2 4 4 2" xfId="47295"/>
    <cellStyle name="Output 2 2 4 4 2 2" xfId="47296"/>
    <cellStyle name="Output 2 2 4 4 2_Sheet1" xfId="47297"/>
    <cellStyle name="Output 2 2 4 4 3" xfId="47298"/>
    <cellStyle name="Output 2 2 4 4_Sheet1" xfId="47299"/>
    <cellStyle name="Output 2 2 4 5" xfId="47300"/>
    <cellStyle name="Output 2 2 4_Sheet1" xfId="47301"/>
    <cellStyle name="Output 2 2 5" xfId="47302"/>
    <cellStyle name="Output 2 2 5 2" xfId="47303"/>
    <cellStyle name="Output 2 2 5 2 2" xfId="47304"/>
    <cellStyle name="Output 2 2 5 2 2 2" xfId="47305"/>
    <cellStyle name="Output 2 2 5 2 2_Sheet1" xfId="47306"/>
    <cellStyle name="Output 2 2 5 2 3" xfId="47307"/>
    <cellStyle name="Output 2 2 5 2_Sheet1" xfId="47308"/>
    <cellStyle name="Output 2 2 5 3" xfId="47309"/>
    <cellStyle name="Output 2 2 5 3 2" xfId="47310"/>
    <cellStyle name="Output 2 2 5 3 2 2" xfId="47311"/>
    <cellStyle name="Output 2 2 5 3 2_Sheet1" xfId="47312"/>
    <cellStyle name="Output 2 2 5 3 3" xfId="47313"/>
    <cellStyle name="Output 2 2 5 3_Sheet1" xfId="47314"/>
    <cellStyle name="Output 2 2 5 4" xfId="47315"/>
    <cellStyle name="Output 2 2 5 4 2" xfId="47316"/>
    <cellStyle name="Output 2 2 5 4 2 2" xfId="47317"/>
    <cellStyle name="Output 2 2 5 4 2_Sheet1" xfId="47318"/>
    <cellStyle name="Output 2 2 5 4 3" xfId="47319"/>
    <cellStyle name="Output 2 2 5 4_Sheet1" xfId="47320"/>
    <cellStyle name="Output 2 2 5 5" xfId="47321"/>
    <cellStyle name="Output 2 2 5_Sheet1" xfId="47322"/>
    <cellStyle name="Output 2 2 6" xfId="47323"/>
    <cellStyle name="Output 2 2 6 2" xfId="47324"/>
    <cellStyle name="Output 2 2 6 2 2" xfId="47325"/>
    <cellStyle name="Output 2 2 6 2 2 2" xfId="47326"/>
    <cellStyle name="Output 2 2 6 2 2_Sheet1" xfId="47327"/>
    <cellStyle name="Output 2 2 6 2 3" xfId="47328"/>
    <cellStyle name="Output 2 2 6 2_Sheet1" xfId="47329"/>
    <cellStyle name="Output 2 2 6 3" xfId="47330"/>
    <cellStyle name="Output 2 2 6 3 2" xfId="47331"/>
    <cellStyle name="Output 2 2 6 3 2 2" xfId="47332"/>
    <cellStyle name="Output 2 2 6 3 2_Sheet1" xfId="47333"/>
    <cellStyle name="Output 2 2 6 3 3" xfId="47334"/>
    <cellStyle name="Output 2 2 6 3_Sheet1" xfId="47335"/>
    <cellStyle name="Output 2 2 6 4" xfId="47336"/>
    <cellStyle name="Output 2 2 6 4 2" xfId="47337"/>
    <cellStyle name="Output 2 2 6 4 2 2" xfId="47338"/>
    <cellStyle name="Output 2 2 6 4 2_Sheet1" xfId="47339"/>
    <cellStyle name="Output 2 2 6 4 3" xfId="47340"/>
    <cellStyle name="Output 2 2 6 4_Sheet1" xfId="47341"/>
    <cellStyle name="Output 2 2 6 5" xfId="47342"/>
    <cellStyle name="Output 2 2 6_Sheet1" xfId="47343"/>
    <cellStyle name="Output 2 2 7" xfId="47344"/>
    <cellStyle name="Output 2 2 7 2" xfId="47345"/>
    <cellStyle name="Output 2 2 7 2 2" xfId="47346"/>
    <cellStyle name="Output 2 2 7 2 2 2" xfId="47347"/>
    <cellStyle name="Output 2 2 7 2 2_Sheet1" xfId="47348"/>
    <cellStyle name="Output 2 2 7 2 3" xfId="47349"/>
    <cellStyle name="Output 2 2 7 2_Sheet1" xfId="47350"/>
    <cellStyle name="Output 2 2 7 3" xfId="47351"/>
    <cellStyle name="Output 2 2 7 3 2" xfId="47352"/>
    <cellStyle name="Output 2 2 7 3 2 2" xfId="47353"/>
    <cellStyle name="Output 2 2 7 3 2_Sheet1" xfId="47354"/>
    <cellStyle name="Output 2 2 7 3 3" xfId="47355"/>
    <cellStyle name="Output 2 2 7 3_Sheet1" xfId="47356"/>
    <cellStyle name="Output 2 2 7 4" xfId="47357"/>
    <cellStyle name="Output 2 2 7 4 2" xfId="47358"/>
    <cellStyle name="Output 2 2 7 4 2 2" xfId="47359"/>
    <cellStyle name="Output 2 2 7 4 2_Sheet1" xfId="47360"/>
    <cellStyle name="Output 2 2 7 4 3" xfId="47361"/>
    <cellStyle name="Output 2 2 7 4_Sheet1" xfId="47362"/>
    <cellStyle name="Output 2 2 7 5" xfId="47363"/>
    <cellStyle name="Output 2 2 7_Sheet1" xfId="47364"/>
    <cellStyle name="Output 2 2 8" xfId="47365"/>
    <cellStyle name="Output 2 2 8 2" xfId="47366"/>
    <cellStyle name="Output 2 2 8 2 2" xfId="47367"/>
    <cellStyle name="Output 2 2 8 2 2 2" xfId="47368"/>
    <cellStyle name="Output 2 2 8 2 2_Sheet1" xfId="47369"/>
    <cellStyle name="Output 2 2 8 2 3" xfId="47370"/>
    <cellStyle name="Output 2 2 8 2_Sheet1" xfId="47371"/>
    <cellStyle name="Output 2 2 8 3" xfId="47372"/>
    <cellStyle name="Output 2 2 8 3 2" xfId="47373"/>
    <cellStyle name="Output 2 2 8 3 2 2" xfId="47374"/>
    <cellStyle name="Output 2 2 8 3 2_Sheet1" xfId="47375"/>
    <cellStyle name="Output 2 2 8 3 3" xfId="47376"/>
    <cellStyle name="Output 2 2 8 3_Sheet1" xfId="47377"/>
    <cellStyle name="Output 2 2 8 4" xfId="47378"/>
    <cellStyle name="Output 2 2 8 4 2" xfId="47379"/>
    <cellStyle name="Output 2 2 8 4 2 2" xfId="47380"/>
    <cellStyle name="Output 2 2 8 4 2_Sheet1" xfId="47381"/>
    <cellStyle name="Output 2 2 8 4 3" xfId="47382"/>
    <cellStyle name="Output 2 2 8 4_Sheet1" xfId="47383"/>
    <cellStyle name="Output 2 2 8 5" xfId="47384"/>
    <cellStyle name="Output 2 2 8_Sheet1" xfId="47385"/>
    <cellStyle name="Output 2 2 9" xfId="47386"/>
    <cellStyle name="Output 2 2 9 2" xfId="47387"/>
    <cellStyle name="Output 2 2 9 2 2" xfId="47388"/>
    <cellStyle name="Output 2 2 9 2 2 2" xfId="47389"/>
    <cellStyle name="Output 2 2 9 2 2_Sheet1" xfId="47390"/>
    <cellStyle name="Output 2 2 9 2 3" xfId="47391"/>
    <cellStyle name="Output 2 2 9 2_Sheet1" xfId="47392"/>
    <cellStyle name="Output 2 2 9 3" xfId="47393"/>
    <cellStyle name="Output 2 2 9 3 2" xfId="47394"/>
    <cellStyle name="Output 2 2 9 3 2 2" xfId="47395"/>
    <cellStyle name="Output 2 2 9 3 2_Sheet1" xfId="47396"/>
    <cellStyle name="Output 2 2 9 3 3" xfId="47397"/>
    <cellStyle name="Output 2 2 9 3_Sheet1" xfId="47398"/>
    <cellStyle name="Output 2 2 9 4" xfId="47399"/>
    <cellStyle name="Output 2 2 9 4 2" xfId="47400"/>
    <cellStyle name="Output 2 2 9 4 2 2" xfId="47401"/>
    <cellStyle name="Output 2 2 9 4 2_Sheet1" xfId="47402"/>
    <cellStyle name="Output 2 2 9 4 3" xfId="47403"/>
    <cellStyle name="Output 2 2 9 4_Sheet1" xfId="47404"/>
    <cellStyle name="Output 2 2 9 5" xfId="47405"/>
    <cellStyle name="Output 2 2 9_Sheet1" xfId="47406"/>
    <cellStyle name="Output 2 2_Sheet1" xfId="47407"/>
    <cellStyle name="Output 2 20" xfId="47408"/>
    <cellStyle name="Output 2 20 2" xfId="47409"/>
    <cellStyle name="Output 2 20 2 2" xfId="47410"/>
    <cellStyle name="Output 2 20 2 2 2" xfId="47411"/>
    <cellStyle name="Output 2 20 2 2_Sheet1" xfId="47412"/>
    <cellStyle name="Output 2 20 2 3" xfId="47413"/>
    <cellStyle name="Output 2 20 2_Sheet1" xfId="47414"/>
    <cellStyle name="Output 2 20 3" xfId="47415"/>
    <cellStyle name="Output 2 20 3 2" xfId="47416"/>
    <cellStyle name="Output 2 20 3 2 2" xfId="47417"/>
    <cellStyle name="Output 2 20 3 2_Sheet1" xfId="47418"/>
    <cellStyle name="Output 2 20 3 3" xfId="47419"/>
    <cellStyle name="Output 2 20 3_Sheet1" xfId="47420"/>
    <cellStyle name="Output 2 20 4" xfId="47421"/>
    <cellStyle name="Output 2 20 4 2" xfId="47422"/>
    <cellStyle name="Output 2 20 4 2 2" xfId="47423"/>
    <cellStyle name="Output 2 20 4 2_Sheet1" xfId="47424"/>
    <cellStyle name="Output 2 20 4 3" xfId="47425"/>
    <cellStyle name="Output 2 20 4_Sheet1" xfId="47426"/>
    <cellStyle name="Output 2 20 5" xfId="47427"/>
    <cellStyle name="Output 2 20_Sheet1" xfId="47428"/>
    <cellStyle name="Output 2 21" xfId="47429"/>
    <cellStyle name="Output 2 21 2" xfId="47430"/>
    <cellStyle name="Output 2 21 2 2" xfId="47431"/>
    <cellStyle name="Output 2 21 2 2 2" xfId="47432"/>
    <cellStyle name="Output 2 21 2 2_Sheet1" xfId="47433"/>
    <cellStyle name="Output 2 21 2 3" xfId="47434"/>
    <cellStyle name="Output 2 21 2_Sheet1" xfId="47435"/>
    <cellStyle name="Output 2 21 3" xfId="47436"/>
    <cellStyle name="Output 2 21 3 2" xfId="47437"/>
    <cellStyle name="Output 2 21 3 2 2" xfId="47438"/>
    <cellStyle name="Output 2 21 3 2_Sheet1" xfId="47439"/>
    <cellStyle name="Output 2 21 3 3" xfId="47440"/>
    <cellStyle name="Output 2 21 3_Sheet1" xfId="47441"/>
    <cellStyle name="Output 2 21 4" xfId="47442"/>
    <cellStyle name="Output 2 21 4 2" xfId="47443"/>
    <cellStyle name="Output 2 21 4 2 2" xfId="47444"/>
    <cellStyle name="Output 2 21 4 2_Sheet1" xfId="47445"/>
    <cellStyle name="Output 2 21 4 3" xfId="47446"/>
    <cellStyle name="Output 2 21 4_Sheet1" xfId="47447"/>
    <cellStyle name="Output 2 21 5" xfId="47448"/>
    <cellStyle name="Output 2 21_Sheet1" xfId="47449"/>
    <cellStyle name="Output 2 22" xfId="47450"/>
    <cellStyle name="Output 2 22 2" xfId="47451"/>
    <cellStyle name="Output 2 22 2 2" xfId="47452"/>
    <cellStyle name="Output 2 22 2 2 2" xfId="47453"/>
    <cellStyle name="Output 2 22 2 2_Sheet1" xfId="47454"/>
    <cellStyle name="Output 2 22 2 3" xfId="47455"/>
    <cellStyle name="Output 2 22 2_Sheet1" xfId="47456"/>
    <cellStyle name="Output 2 22 3" xfId="47457"/>
    <cellStyle name="Output 2 22 3 2" xfId="47458"/>
    <cellStyle name="Output 2 22 3 2 2" xfId="47459"/>
    <cellStyle name="Output 2 22 3 2_Sheet1" xfId="47460"/>
    <cellStyle name="Output 2 22 3 3" xfId="47461"/>
    <cellStyle name="Output 2 22 3_Sheet1" xfId="47462"/>
    <cellStyle name="Output 2 22 4" xfId="47463"/>
    <cellStyle name="Output 2 22 4 2" xfId="47464"/>
    <cellStyle name="Output 2 22 4 2 2" xfId="47465"/>
    <cellStyle name="Output 2 22 4 2_Sheet1" xfId="47466"/>
    <cellStyle name="Output 2 22 4 3" xfId="47467"/>
    <cellStyle name="Output 2 22 4_Sheet1" xfId="47468"/>
    <cellStyle name="Output 2 22 5" xfId="47469"/>
    <cellStyle name="Output 2 22_Sheet1" xfId="47470"/>
    <cellStyle name="Output 2 23" xfId="47471"/>
    <cellStyle name="Output 2 23 2" xfId="47472"/>
    <cellStyle name="Output 2 23 2 2" xfId="47473"/>
    <cellStyle name="Output 2 23 2 2 2" xfId="47474"/>
    <cellStyle name="Output 2 23 2 2_Sheet1" xfId="47475"/>
    <cellStyle name="Output 2 23 2 3" xfId="47476"/>
    <cellStyle name="Output 2 23 2_Sheet1" xfId="47477"/>
    <cellStyle name="Output 2 23 3" xfId="47478"/>
    <cellStyle name="Output 2 23 3 2" xfId="47479"/>
    <cellStyle name="Output 2 23 3 2 2" xfId="47480"/>
    <cellStyle name="Output 2 23 3 2_Sheet1" xfId="47481"/>
    <cellStyle name="Output 2 23 3 3" xfId="47482"/>
    <cellStyle name="Output 2 23 3_Sheet1" xfId="47483"/>
    <cellStyle name="Output 2 23 4" xfId="47484"/>
    <cellStyle name="Output 2 23 4 2" xfId="47485"/>
    <cellStyle name="Output 2 23 4 2 2" xfId="47486"/>
    <cellStyle name="Output 2 23 4 2_Sheet1" xfId="47487"/>
    <cellStyle name="Output 2 23 4 3" xfId="47488"/>
    <cellStyle name="Output 2 23 4_Sheet1" xfId="47489"/>
    <cellStyle name="Output 2 23 5" xfId="47490"/>
    <cellStyle name="Output 2 23_Sheet1" xfId="47491"/>
    <cellStyle name="Output 2 24" xfId="47492"/>
    <cellStyle name="Output 2 24 2" xfId="47493"/>
    <cellStyle name="Output 2 24 2 2" xfId="47494"/>
    <cellStyle name="Output 2 24 2 2 2" xfId="47495"/>
    <cellStyle name="Output 2 24 2 2_Sheet1" xfId="47496"/>
    <cellStyle name="Output 2 24 2 3" xfId="47497"/>
    <cellStyle name="Output 2 24 2_Sheet1" xfId="47498"/>
    <cellStyle name="Output 2 24 3" xfId="47499"/>
    <cellStyle name="Output 2 24 3 2" xfId="47500"/>
    <cellStyle name="Output 2 24 3 2 2" xfId="47501"/>
    <cellStyle name="Output 2 24 3 2_Sheet1" xfId="47502"/>
    <cellStyle name="Output 2 24 3 3" xfId="47503"/>
    <cellStyle name="Output 2 24 3_Sheet1" xfId="47504"/>
    <cellStyle name="Output 2 24 4" xfId="47505"/>
    <cellStyle name="Output 2 24 4 2" xfId="47506"/>
    <cellStyle name="Output 2 24 4 2 2" xfId="47507"/>
    <cellStyle name="Output 2 24 4 2_Sheet1" xfId="47508"/>
    <cellStyle name="Output 2 24 4 3" xfId="47509"/>
    <cellStyle name="Output 2 24 4_Sheet1" xfId="47510"/>
    <cellStyle name="Output 2 24 5" xfId="47511"/>
    <cellStyle name="Output 2 24_Sheet1" xfId="47512"/>
    <cellStyle name="Output 2 25" xfId="47513"/>
    <cellStyle name="Output 2 25 2" xfId="47514"/>
    <cellStyle name="Output 2 25 2 2" xfId="47515"/>
    <cellStyle name="Output 2 25 2 2 2" xfId="47516"/>
    <cellStyle name="Output 2 25 2 2_Sheet1" xfId="47517"/>
    <cellStyle name="Output 2 25 2 3" xfId="47518"/>
    <cellStyle name="Output 2 25 2_Sheet1" xfId="47519"/>
    <cellStyle name="Output 2 25 3" xfId="47520"/>
    <cellStyle name="Output 2 25 3 2" xfId="47521"/>
    <cellStyle name="Output 2 25 3 2 2" xfId="47522"/>
    <cellStyle name="Output 2 25 3 2_Sheet1" xfId="47523"/>
    <cellStyle name="Output 2 25 3 3" xfId="47524"/>
    <cellStyle name="Output 2 25 3_Sheet1" xfId="47525"/>
    <cellStyle name="Output 2 25 4" xfId="47526"/>
    <cellStyle name="Output 2 25 4 2" xfId="47527"/>
    <cellStyle name="Output 2 25 4 2 2" xfId="47528"/>
    <cellStyle name="Output 2 25 4 2_Sheet1" xfId="47529"/>
    <cellStyle name="Output 2 25 4 3" xfId="47530"/>
    <cellStyle name="Output 2 25 4_Sheet1" xfId="47531"/>
    <cellStyle name="Output 2 25 5" xfId="47532"/>
    <cellStyle name="Output 2 25_Sheet1" xfId="47533"/>
    <cellStyle name="Output 2 26" xfId="47534"/>
    <cellStyle name="Output 2 26 2" xfId="47535"/>
    <cellStyle name="Output 2 26 2 2" xfId="47536"/>
    <cellStyle name="Output 2 26 2 2 2" xfId="47537"/>
    <cellStyle name="Output 2 26 2 2_Sheet1" xfId="47538"/>
    <cellStyle name="Output 2 26 2 3" xfId="47539"/>
    <cellStyle name="Output 2 26 2_Sheet1" xfId="47540"/>
    <cellStyle name="Output 2 26 3" xfId="47541"/>
    <cellStyle name="Output 2 26 3 2" xfId="47542"/>
    <cellStyle name="Output 2 26 3 2 2" xfId="47543"/>
    <cellStyle name="Output 2 26 3 2_Sheet1" xfId="47544"/>
    <cellStyle name="Output 2 26 3 3" xfId="47545"/>
    <cellStyle name="Output 2 26 3_Sheet1" xfId="47546"/>
    <cellStyle name="Output 2 26 4" xfId="47547"/>
    <cellStyle name="Output 2 26 4 2" xfId="47548"/>
    <cellStyle name="Output 2 26 4 2 2" xfId="47549"/>
    <cellStyle name="Output 2 26 4 2_Sheet1" xfId="47550"/>
    <cellStyle name="Output 2 26 4 3" xfId="47551"/>
    <cellStyle name="Output 2 26 4_Sheet1" xfId="47552"/>
    <cellStyle name="Output 2 26 5" xfId="47553"/>
    <cellStyle name="Output 2 26_Sheet1" xfId="47554"/>
    <cellStyle name="Output 2 27" xfId="47555"/>
    <cellStyle name="Output 2 27 2" xfId="47556"/>
    <cellStyle name="Output 2 27 2 2" xfId="47557"/>
    <cellStyle name="Output 2 27 2 2 2" xfId="47558"/>
    <cellStyle name="Output 2 27 2 2_Sheet1" xfId="47559"/>
    <cellStyle name="Output 2 27 2 3" xfId="47560"/>
    <cellStyle name="Output 2 27 2_Sheet1" xfId="47561"/>
    <cellStyle name="Output 2 27 3" xfId="47562"/>
    <cellStyle name="Output 2 27 3 2" xfId="47563"/>
    <cellStyle name="Output 2 27 3 2 2" xfId="47564"/>
    <cellStyle name="Output 2 27 3 2_Sheet1" xfId="47565"/>
    <cellStyle name="Output 2 27 3 3" xfId="47566"/>
    <cellStyle name="Output 2 27 3_Sheet1" xfId="47567"/>
    <cellStyle name="Output 2 27 4" xfId="47568"/>
    <cellStyle name="Output 2 27 4 2" xfId="47569"/>
    <cellStyle name="Output 2 27 4 2 2" xfId="47570"/>
    <cellStyle name="Output 2 27 4 2_Sheet1" xfId="47571"/>
    <cellStyle name="Output 2 27 4 3" xfId="47572"/>
    <cellStyle name="Output 2 27 4_Sheet1" xfId="47573"/>
    <cellStyle name="Output 2 27 5" xfId="47574"/>
    <cellStyle name="Output 2 27_Sheet1" xfId="47575"/>
    <cellStyle name="Output 2 28" xfId="47576"/>
    <cellStyle name="Output 2 28 2" xfId="47577"/>
    <cellStyle name="Output 2 28 2 2" xfId="47578"/>
    <cellStyle name="Output 2 28 2 2 2" xfId="47579"/>
    <cellStyle name="Output 2 28 2 2_Sheet1" xfId="47580"/>
    <cellStyle name="Output 2 28 2 3" xfId="47581"/>
    <cellStyle name="Output 2 28 2_Sheet1" xfId="47582"/>
    <cellStyle name="Output 2 28 3" xfId="47583"/>
    <cellStyle name="Output 2 28 3 2" xfId="47584"/>
    <cellStyle name="Output 2 28 3 2 2" xfId="47585"/>
    <cellStyle name="Output 2 28 3 2_Sheet1" xfId="47586"/>
    <cellStyle name="Output 2 28 3 3" xfId="47587"/>
    <cellStyle name="Output 2 28 3_Sheet1" xfId="47588"/>
    <cellStyle name="Output 2 28 4" xfId="47589"/>
    <cellStyle name="Output 2 28 4 2" xfId="47590"/>
    <cellStyle name="Output 2 28 4 2 2" xfId="47591"/>
    <cellStyle name="Output 2 28 4 2_Sheet1" xfId="47592"/>
    <cellStyle name="Output 2 28 4 3" xfId="47593"/>
    <cellStyle name="Output 2 28 4_Sheet1" xfId="47594"/>
    <cellStyle name="Output 2 28 5" xfId="47595"/>
    <cellStyle name="Output 2 28_Sheet1" xfId="47596"/>
    <cellStyle name="Output 2 29" xfId="47597"/>
    <cellStyle name="Output 2 29 2" xfId="47598"/>
    <cellStyle name="Output 2 29 2 2" xfId="47599"/>
    <cellStyle name="Output 2 29 2 2 2" xfId="47600"/>
    <cellStyle name="Output 2 29 2 2_Sheet1" xfId="47601"/>
    <cellStyle name="Output 2 29 2 3" xfId="47602"/>
    <cellStyle name="Output 2 29 2_Sheet1" xfId="47603"/>
    <cellStyle name="Output 2 29 3" xfId="47604"/>
    <cellStyle name="Output 2 29 3 2" xfId="47605"/>
    <cellStyle name="Output 2 29 3 2 2" xfId="47606"/>
    <cellStyle name="Output 2 29 3 2_Sheet1" xfId="47607"/>
    <cellStyle name="Output 2 29 3 3" xfId="47608"/>
    <cellStyle name="Output 2 29 3_Sheet1" xfId="47609"/>
    <cellStyle name="Output 2 29 4" xfId="47610"/>
    <cellStyle name="Output 2 29 4 2" xfId="47611"/>
    <cellStyle name="Output 2 29 4 2 2" xfId="47612"/>
    <cellStyle name="Output 2 29 4 2_Sheet1" xfId="47613"/>
    <cellStyle name="Output 2 29 4 3" xfId="47614"/>
    <cellStyle name="Output 2 29 4_Sheet1" xfId="47615"/>
    <cellStyle name="Output 2 29 5" xfId="47616"/>
    <cellStyle name="Output 2 29_Sheet1" xfId="47617"/>
    <cellStyle name="Output 2 3" xfId="47618"/>
    <cellStyle name="Output 2 3 10" xfId="47619"/>
    <cellStyle name="Output 2 3 10 2" xfId="47620"/>
    <cellStyle name="Output 2 3 10 2 2" xfId="47621"/>
    <cellStyle name="Output 2 3 10 2_Sheet1" xfId="47622"/>
    <cellStyle name="Output 2 3 10 3" xfId="47623"/>
    <cellStyle name="Output 2 3 10_Sheet1" xfId="47624"/>
    <cellStyle name="Output 2 3 11" xfId="47625"/>
    <cellStyle name="Output 2 3 11 2" xfId="47626"/>
    <cellStyle name="Output 2 3 11 2 2" xfId="47627"/>
    <cellStyle name="Output 2 3 11 2_Sheet1" xfId="47628"/>
    <cellStyle name="Output 2 3 11 3" xfId="47629"/>
    <cellStyle name="Output 2 3 11_Sheet1" xfId="47630"/>
    <cellStyle name="Output 2 3 12" xfId="47631"/>
    <cellStyle name="Output 2 3 12 2" xfId="47632"/>
    <cellStyle name="Output 2 3 12 2 2" xfId="47633"/>
    <cellStyle name="Output 2 3 12 2_Sheet1" xfId="47634"/>
    <cellStyle name="Output 2 3 12 3" xfId="47635"/>
    <cellStyle name="Output 2 3 12_Sheet1" xfId="47636"/>
    <cellStyle name="Output 2 3 13" xfId="47637"/>
    <cellStyle name="Output 2 3 2" xfId="47638"/>
    <cellStyle name="Output 2 3 2 2" xfId="47639"/>
    <cellStyle name="Output 2 3 2 2 2" xfId="47640"/>
    <cellStyle name="Output 2 3 2 2 2 2" xfId="47641"/>
    <cellStyle name="Output 2 3 2 2 2_Sheet1" xfId="47642"/>
    <cellStyle name="Output 2 3 2 2 3" xfId="47643"/>
    <cellStyle name="Output 2 3 2 2_Sheet1" xfId="47644"/>
    <cellStyle name="Output 2 3 2 3" xfId="47645"/>
    <cellStyle name="Output 2 3 2 3 2" xfId="47646"/>
    <cellStyle name="Output 2 3 2 3 2 2" xfId="47647"/>
    <cellStyle name="Output 2 3 2 3 2_Sheet1" xfId="47648"/>
    <cellStyle name="Output 2 3 2 3 3" xfId="47649"/>
    <cellStyle name="Output 2 3 2 3_Sheet1" xfId="47650"/>
    <cellStyle name="Output 2 3 2 4" xfId="47651"/>
    <cellStyle name="Output 2 3 2 4 2" xfId="47652"/>
    <cellStyle name="Output 2 3 2 4 2 2" xfId="47653"/>
    <cellStyle name="Output 2 3 2 4 2_Sheet1" xfId="47654"/>
    <cellStyle name="Output 2 3 2 4 3" xfId="47655"/>
    <cellStyle name="Output 2 3 2 4_Sheet1" xfId="47656"/>
    <cellStyle name="Output 2 3 2 5" xfId="47657"/>
    <cellStyle name="Output 2 3 2_Sheet1" xfId="47658"/>
    <cellStyle name="Output 2 3 3" xfId="47659"/>
    <cellStyle name="Output 2 3 3 2" xfId="47660"/>
    <cellStyle name="Output 2 3 3 2 2" xfId="47661"/>
    <cellStyle name="Output 2 3 3 2 2 2" xfId="47662"/>
    <cellStyle name="Output 2 3 3 2 2_Sheet1" xfId="47663"/>
    <cellStyle name="Output 2 3 3 2 3" xfId="47664"/>
    <cellStyle name="Output 2 3 3 2_Sheet1" xfId="47665"/>
    <cellStyle name="Output 2 3 3 3" xfId="47666"/>
    <cellStyle name="Output 2 3 3 3 2" xfId="47667"/>
    <cellStyle name="Output 2 3 3 3 2 2" xfId="47668"/>
    <cellStyle name="Output 2 3 3 3 2_Sheet1" xfId="47669"/>
    <cellStyle name="Output 2 3 3 3 3" xfId="47670"/>
    <cellStyle name="Output 2 3 3 3_Sheet1" xfId="47671"/>
    <cellStyle name="Output 2 3 3 4" xfId="47672"/>
    <cellStyle name="Output 2 3 3 4 2" xfId="47673"/>
    <cellStyle name="Output 2 3 3 4 2 2" xfId="47674"/>
    <cellStyle name="Output 2 3 3 4 2_Sheet1" xfId="47675"/>
    <cellStyle name="Output 2 3 3 4 3" xfId="47676"/>
    <cellStyle name="Output 2 3 3 4_Sheet1" xfId="47677"/>
    <cellStyle name="Output 2 3 3 5" xfId="47678"/>
    <cellStyle name="Output 2 3 3_Sheet1" xfId="47679"/>
    <cellStyle name="Output 2 3 4" xfId="47680"/>
    <cellStyle name="Output 2 3 4 2" xfId="47681"/>
    <cellStyle name="Output 2 3 4 2 2" xfId="47682"/>
    <cellStyle name="Output 2 3 4 2 2 2" xfId="47683"/>
    <cellStyle name="Output 2 3 4 2 2_Sheet1" xfId="47684"/>
    <cellStyle name="Output 2 3 4 2 3" xfId="47685"/>
    <cellStyle name="Output 2 3 4 2_Sheet1" xfId="47686"/>
    <cellStyle name="Output 2 3 4 3" xfId="47687"/>
    <cellStyle name="Output 2 3 4 3 2" xfId="47688"/>
    <cellStyle name="Output 2 3 4 3 2 2" xfId="47689"/>
    <cellStyle name="Output 2 3 4 3 2_Sheet1" xfId="47690"/>
    <cellStyle name="Output 2 3 4 3 3" xfId="47691"/>
    <cellStyle name="Output 2 3 4 3_Sheet1" xfId="47692"/>
    <cellStyle name="Output 2 3 4 4" xfId="47693"/>
    <cellStyle name="Output 2 3 4 4 2" xfId="47694"/>
    <cellStyle name="Output 2 3 4 4 2 2" xfId="47695"/>
    <cellStyle name="Output 2 3 4 4 2_Sheet1" xfId="47696"/>
    <cellStyle name="Output 2 3 4 4 3" xfId="47697"/>
    <cellStyle name="Output 2 3 4 4_Sheet1" xfId="47698"/>
    <cellStyle name="Output 2 3 4 5" xfId="47699"/>
    <cellStyle name="Output 2 3 4_Sheet1" xfId="47700"/>
    <cellStyle name="Output 2 3 5" xfId="47701"/>
    <cellStyle name="Output 2 3 5 2" xfId="47702"/>
    <cellStyle name="Output 2 3 5 2 2" xfId="47703"/>
    <cellStyle name="Output 2 3 5 2 2 2" xfId="47704"/>
    <cellStyle name="Output 2 3 5 2 2_Sheet1" xfId="47705"/>
    <cellStyle name="Output 2 3 5 2 3" xfId="47706"/>
    <cellStyle name="Output 2 3 5 2_Sheet1" xfId="47707"/>
    <cellStyle name="Output 2 3 5 3" xfId="47708"/>
    <cellStyle name="Output 2 3 5 3 2" xfId="47709"/>
    <cellStyle name="Output 2 3 5 3 2 2" xfId="47710"/>
    <cellStyle name="Output 2 3 5 3 2_Sheet1" xfId="47711"/>
    <cellStyle name="Output 2 3 5 3 3" xfId="47712"/>
    <cellStyle name="Output 2 3 5 3_Sheet1" xfId="47713"/>
    <cellStyle name="Output 2 3 5 4" xfId="47714"/>
    <cellStyle name="Output 2 3 5 4 2" xfId="47715"/>
    <cellStyle name="Output 2 3 5 4 2 2" xfId="47716"/>
    <cellStyle name="Output 2 3 5 4 2_Sheet1" xfId="47717"/>
    <cellStyle name="Output 2 3 5 4 3" xfId="47718"/>
    <cellStyle name="Output 2 3 5 4_Sheet1" xfId="47719"/>
    <cellStyle name="Output 2 3 5 5" xfId="47720"/>
    <cellStyle name="Output 2 3 5_Sheet1" xfId="47721"/>
    <cellStyle name="Output 2 3 6" xfId="47722"/>
    <cellStyle name="Output 2 3 6 2" xfId="47723"/>
    <cellStyle name="Output 2 3 6 2 2" xfId="47724"/>
    <cellStyle name="Output 2 3 6 2 2 2" xfId="47725"/>
    <cellStyle name="Output 2 3 6 2 2_Sheet1" xfId="47726"/>
    <cellStyle name="Output 2 3 6 2 3" xfId="47727"/>
    <cellStyle name="Output 2 3 6 2_Sheet1" xfId="47728"/>
    <cellStyle name="Output 2 3 6 3" xfId="47729"/>
    <cellStyle name="Output 2 3 6 3 2" xfId="47730"/>
    <cellStyle name="Output 2 3 6 3 2 2" xfId="47731"/>
    <cellStyle name="Output 2 3 6 3 2_Sheet1" xfId="47732"/>
    <cellStyle name="Output 2 3 6 3 3" xfId="47733"/>
    <cellStyle name="Output 2 3 6 3_Sheet1" xfId="47734"/>
    <cellStyle name="Output 2 3 6 4" xfId="47735"/>
    <cellStyle name="Output 2 3 6 4 2" xfId="47736"/>
    <cellStyle name="Output 2 3 6 4 2 2" xfId="47737"/>
    <cellStyle name="Output 2 3 6 4 2_Sheet1" xfId="47738"/>
    <cellStyle name="Output 2 3 6 4 3" xfId="47739"/>
    <cellStyle name="Output 2 3 6 4_Sheet1" xfId="47740"/>
    <cellStyle name="Output 2 3 6 5" xfId="47741"/>
    <cellStyle name="Output 2 3 6_Sheet1" xfId="47742"/>
    <cellStyle name="Output 2 3 7" xfId="47743"/>
    <cellStyle name="Output 2 3 7 2" xfId="47744"/>
    <cellStyle name="Output 2 3 7 2 2" xfId="47745"/>
    <cellStyle name="Output 2 3 7 2 2 2" xfId="47746"/>
    <cellStyle name="Output 2 3 7 2 2_Sheet1" xfId="47747"/>
    <cellStyle name="Output 2 3 7 2 3" xfId="47748"/>
    <cellStyle name="Output 2 3 7 2_Sheet1" xfId="47749"/>
    <cellStyle name="Output 2 3 7 3" xfId="47750"/>
    <cellStyle name="Output 2 3 7 3 2" xfId="47751"/>
    <cellStyle name="Output 2 3 7 3 2 2" xfId="47752"/>
    <cellStyle name="Output 2 3 7 3 2_Sheet1" xfId="47753"/>
    <cellStyle name="Output 2 3 7 3 3" xfId="47754"/>
    <cellStyle name="Output 2 3 7 3_Sheet1" xfId="47755"/>
    <cellStyle name="Output 2 3 7 4" xfId="47756"/>
    <cellStyle name="Output 2 3 7 4 2" xfId="47757"/>
    <cellStyle name="Output 2 3 7 4 2 2" xfId="47758"/>
    <cellStyle name="Output 2 3 7 4 2_Sheet1" xfId="47759"/>
    <cellStyle name="Output 2 3 7 4 3" xfId="47760"/>
    <cellStyle name="Output 2 3 7 4_Sheet1" xfId="47761"/>
    <cellStyle name="Output 2 3 7 5" xfId="47762"/>
    <cellStyle name="Output 2 3 7_Sheet1" xfId="47763"/>
    <cellStyle name="Output 2 3 8" xfId="47764"/>
    <cellStyle name="Output 2 3 8 2" xfId="47765"/>
    <cellStyle name="Output 2 3 8 2 2" xfId="47766"/>
    <cellStyle name="Output 2 3 8 2 2 2" xfId="47767"/>
    <cellStyle name="Output 2 3 8 2 2_Sheet1" xfId="47768"/>
    <cellStyle name="Output 2 3 8 2 3" xfId="47769"/>
    <cellStyle name="Output 2 3 8 2_Sheet1" xfId="47770"/>
    <cellStyle name="Output 2 3 8 3" xfId="47771"/>
    <cellStyle name="Output 2 3 8 3 2" xfId="47772"/>
    <cellStyle name="Output 2 3 8 3 2 2" xfId="47773"/>
    <cellStyle name="Output 2 3 8 3 2_Sheet1" xfId="47774"/>
    <cellStyle name="Output 2 3 8 3 3" xfId="47775"/>
    <cellStyle name="Output 2 3 8 3_Sheet1" xfId="47776"/>
    <cellStyle name="Output 2 3 8 4" xfId="47777"/>
    <cellStyle name="Output 2 3 8 4 2" xfId="47778"/>
    <cellStyle name="Output 2 3 8 4 2 2" xfId="47779"/>
    <cellStyle name="Output 2 3 8 4 2_Sheet1" xfId="47780"/>
    <cellStyle name="Output 2 3 8 4 3" xfId="47781"/>
    <cellStyle name="Output 2 3 8 4_Sheet1" xfId="47782"/>
    <cellStyle name="Output 2 3 8 5" xfId="47783"/>
    <cellStyle name="Output 2 3 8_Sheet1" xfId="47784"/>
    <cellStyle name="Output 2 3 9" xfId="47785"/>
    <cellStyle name="Output 2 3 9 2" xfId="47786"/>
    <cellStyle name="Output 2 3 9 2 2" xfId="47787"/>
    <cellStyle name="Output 2 3 9 2 2 2" xfId="47788"/>
    <cellStyle name="Output 2 3 9 2 2_Sheet1" xfId="47789"/>
    <cellStyle name="Output 2 3 9 2 3" xfId="47790"/>
    <cellStyle name="Output 2 3 9 2_Sheet1" xfId="47791"/>
    <cellStyle name="Output 2 3 9 3" xfId="47792"/>
    <cellStyle name="Output 2 3 9 3 2" xfId="47793"/>
    <cellStyle name="Output 2 3 9 3 2 2" xfId="47794"/>
    <cellStyle name="Output 2 3 9 3 2_Sheet1" xfId="47795"/>
    <cellStyle name="Output 2 3 9 3 3" xfId="47796"/>
    <cellStyle name="Output 2 3 9 3_Sheet1" xfId="47797"/>
    <cellStyle name="Output 2 3 9 4" xfId="47798"/>
    <cellStyle name="Output 2 3 9 4 2" xfId="47799"/>
    <cellStyle name="Output 2 3 9 4 2 2" xfId="47800"/>
    <cellStyle name="Output 2 3 9 4 2_Sheet1" xfId="47801"/>
    <cellStyle name="Output 2 3 9 4 3" xfId="47802"/>
    <cellStyle name="Output 2 3 9 4_Sheet1" xfId="47803"/>
    <cellStyle name="Output 2 3 9 5" xfId="47804"/>
    <cellStyle name="Output 2 3 9_Sheet1" xfId="47805"/>
    <cellStyle name="Output 2 3_Sheet1" xfId="47806"/>
    <cellStyle name="Output 2 30" xfId="47807"/>
    <cellStyle name="Output 2 30 2" xfId="47808"/>
    <cellStyle name="Output 2 30 2 2" xfId="47809"/>
    <cellStyle name="Output 2 30 2 2 2" xfId="47810"/>
    <cellStyle name="Output 2 30 2 2_Sheet1" xfId="47811"/>
    <cellStyle name="Output 2 30 2 3" xfId="47812"/>
    <cellStyle name="Output 2 30 2_Sheet1" xfId="47813"/>
    <cellStyle name="Output 2 30 3" xfId="47814"/>
    <cellStyle name="Output 2 30 3 2" xfId="47815"/>
    <cellStyle name="Output 2 30 3 2 2" xfId="47816"/>
    <cellStyle name="Output 2 30 3 2_Sheet1" xfId="47817"/>
    <cellStyle name="Output 2 30 3 3" xfId="47818"/>
    <cellStyle name="Output 2 30 3_Sheet1" xfId="47819"/>
    <cellStyle name="Output 2 30 4" xfId="47820"/>
    <cellStyle name="Output 2 30 4 2" xfId="47821"/>
    <cellStyle name="Output 2 30 4 2 2" xfId="47822"/>
    <cellStyle name="Output 2 30 4 2_Sheet1" xfId="47823"/>
    <cellStyle name="Output 2 30 4 3" xfId="47824"/>
    <cellStyle name="Output 2 30 4_Sheet1" xfId="47825"/>
    <cellStyle name="Output 2 30 5" xfId="47826"/>
    <cellStyle name="Output 2 30_Sheet1" xfId="47827"/>
    <cellStyle name="Output 2 31" xfId="47828"/>
    <cellStyle name="Output 2 31 2" xfId="47829"/>
    <cellStyle name="Output 2 31 2 2" xfId="47830"/>
    <cellStyle name="Output 2 31 2 2 2" xfId="47831"/>
    <cellStyle name="Output 2 31 2 2_Sheet1" xfId="47832"/>
    <cellStyle name="Output 2 31 2 3" xfId="47833"/>
    <cellStyle name="Output 2 31 2_Sheet1" xfId="47834"/>
    <cellStyle name="Output 2 31 3" xfId="47835"/>
    <cellStyle name="Output 2 31 3 2" xfId="47836"/>
    <cellStyle name="Output 2 31 3 2 2" xfId="47837"/>
    <cellStyle name="Output 2 31 3 2_Sheet1" xfId="47838"/>
    <cellStyle name="Output 2 31 3 3" xfId="47839"/>
    <cellStyle name="Output 2 31 3_Sheet1" xfId="47840"/>
    <cellStyle name="Output 2 31 4" xfId="47841"/>
    <cellStyle name="Output 2 31 4 2" xfId="47842"/>
    <cellStyle name="Output 2 31 4 2 2" xfId="47843"/>
    <cellStyle name="Output 2 31 4 2_Sheet1" xfId="47844"/>
    <cellStyle name="Output 2 31 4 3" xfId="47845"/>
    <cellStyle name="Output 2 31 4_Sheet1" xfId="47846"/>
    <cellStyle name="Output 2 31 5" xfId="47847"/>
    <cellStyle name="Output 2 31_Sheet1" xfId="47848"/>
    <cellStyle name="Output 2 32" xfId="47849"/>
    <cellStyle name="Output 2 32 2" xfId="47850"/>
    <cellStyle name="Output 2 32 2 2" xfId="47851"/>
    <cellStyle name="Output 2 32 2 2 2" xfId="47852"/>
    <cellStyle name="Output 2 32 2 2_Sheet1" xfId="47853"/>
    <cellStyle name="Output 2 32 2 3" xfId="47854"/>
    <cellStyle name="Output 2 32 2_Sheet1" xfId="47855"/>
    <cellStyle name="Output 2 32 3" xfId="47856"/>
    <cellStyle name="Output 2 32 3 2" xfId="47857"/>
    <cellStyle name="Output 2 32 3 2 2" xfId="47858"/>
    <cellStyle name="Output 2 32 3 2_Sheet1" xfId="47859"/>
    <cellStyle name="Output 2 32 3 3" xfId="47860"/>
    <cellStyle name="Output 2 32 3_Sheet1" xfId="47861"/>
    <cellStyle name="Output 2 32 4" xfId="47862"/>
    <cellStyle name="Output 2 32 4 2" xfId="47863"/>
    <cellStyle name="Output 2 32 4 2 2" xfId="47864"/>
    <cellStyle name="Output 2 32 4 2_Sheet1" xfId="47865"/>
    <cellStyle name="Output 2 32 4 3" xfId="47866"/>
    <cellStyle name="Output 2 32 4_Sheet1" xfId="47867"/>
    <cellStyle name="Output 2 32 5" xfId="47868"/>
    <cellStyle name="Output 2 32_Sheet1" xfId="47869"/>
    <cellStyle name="Output 2 33" xfId="47870"/>
    <cellStyle name="Output 2 33 2" xfId="47871"/>
    <cellStyle name="Output 2 33 2 2" xfId="47872"/>
    <cellStyle name="Output 2 33 2 2 2" xfId="47873"/>
    <cellStyle name="Output 2 33 2 2_Sheet1" xfId="47874"/>
    <cellStyle name="Output 2 33 2 3" xfId="47875"/>
    <cellStyle name="Output 2 33 2_Sheet1" xfId="47876"/>
    <cellStyle name="Output 2 33 3" xfId="47877"/>
    <cellStyle name="Output 2 33 3 2" xfId="47878"/>
    <cellStyle name="Output 2 33 3 2 2" xfId="47879"/>
    <cellStyle name="Output 2 33 3 2_Sheet1" xfId="47880"/>
    <cellStyle name="Output 2 33 3 3" xfId="47881"/>
    <cellStyle name="Output 2 33 3_Sheet1" xfId="47882"/>
    <cellStyle name="Output 2 33 4" xfId="47883"/>
    <cellStyle name="Output 2 33 4 2" xfId="47884"/>
    <cellStyle name="Output 2 33 4 2 2" xfId="47885"/>
    <cellStyle name="Output 2 33 4 2_Sheet1" xfId="47886"/>
    <cellStyle name="Output 2 33 4 3" xfId="47887"/>
    <cellStyle name="Output 2 33 4_Sheet1" xfId="47888"/>
    <cellStyle name="Output 2 33 5" xfId="47889"/>
    <cellStyle name="Output 2 33_Sheet1" xfId="47890"/>
    <cellStyle name="Output 2 34" xfId="47891"/>
    <cellStyle name="Output 2 34 2" xfId="47892"/>
    <cellStyle name="Output 2 34 2 2" xfId="47893"/>
    <cellStyle name="Output 2 34 2 2 2" xfId="47894"/>
    <cellStyle name="Output 2 34 2 2_Sheet1" xfId="47895"/>
    <cellStyle name="Output 2 34 2 3" xfId="47896"/>
    <cellStyle name="Output 2 34 2_Sheet1" xfId="47897"/>
    <cellStyle name="Output 2 34 3" xfId="47898"/>
    <cellStyle name="Output 2 34 3 2" xfId="47899"/>
    <cellStyle name="Output 2 34 3 2 2" xfId="47900"/>
    <cellStyle name="Output 2 34 3 2_Sheet1" xfId="47901"/>
    <cellStyle name="Output 2 34 3 3" xfId="47902"/>
    <cellStyle name="Output 2 34 3_Sheet1" xfId="47903"/>
    <cellStyle name="Output 2 34 4" xfId="47904"/>
    <cellStyle name="Output 2 34 4 2" xfId="47905"/>
    <cellStyle name="Output 2 34 4 2 2" xfId="47906"/>
    <cellStyle name="Output 2 34 4 2_Sheet1" xfId="47907"/>
    <cellStyle name="Output 2 34 4 3" xfId="47908"/>
    <cellStyle name="Output 2 34 4_Sheet1" xfId="47909"/>
    <cellStyle name="Output 2 34 5" xfId="47910"/>
    <cellStyle name="Output 2 34_Sheet1" xfId="47911"/>
    <cellStyle name="Output 2 35" xfId="47912"/>
    <cellStyle name="Output 2 35 2" xfId="47913"/>
    <cellStyle name="Output 2 35 2 2" xfId="47914"/>
    <cellStyle name="Output 2 35 2 2 2" xfId="47915"/>
    <cellStyle name="Output 2 35 2 2_Sheet1" xfId="47916"/>
    <cellStyle name="Output 2 35 2 3" xfId="47917"/>
    <cellStyle name="Output 2 35 2_Sheet1" xfId="47918"/>
    <cellStyle name="Output 2 35 3" xfId="47919"/>
    <cellStyle name="Output 2 35 3 2" xfId="47920"/>
    <cellStyle name="Output 2 35 3 2 2" xfId="47921"/>
    <cellStyle name="Output 2 35 3 2_Sheet1" xfId="47922"/>
    <cellStyle name="Output 2 35 3 3" xfId="47923"/>
    <cellStyle name="Output 2 35 3_Sheet1" xfId="47924"/>
    <cellStyle name="Output 2 35 4" xfId="47925"/>
    <cellStyle name="Output 2 35 4 2" xfId="47926"/>
    <cellStyle name="Output 2 35 4 2 2" xfId="47927"/>
    <cellStyle name="Output 2 35 4 2_Sheet1" xfId="47928"/>
    <cellStyle name="Output 2 35 4 3" xfId="47929"/>
    <cellStyle name="Output 2 35 4_Sheet1" xfId="47930"/>
    <cellStyle name="Output 2 35 5" xfId="47931"/>
    <cellStyle name="Output 2 35_Sheet1" xfId="47932"/>
    <cellStyle name="Output 2 36" xfId="47933"/>
    <cellStyle name="Output 2 36 2" xfId="47934"/>
    <cellStyle name="Output 2 36 2 2" xfId="47935"/>
    <cellStyle name="Output 2 36 2 2 2" xfId="47936"/>
    <cellStyle name="Output 2 36 2 2_Sheet1" xfId="47937"/>
    <cellStyle name="Output 2 36 2 3" xfId="47938"/>
    <cellStyle name="Output 2 36 2_Sheet1" xfId="47939"/>
    <cellStyle name="Output 2 36 3" xfId="47940"/>
    <cellStyle name="Output 2 36 3 2" xfId="47941"/>
    <cellStyle name="Output 2 36 3 2 2" xfId="47942"/>
    <cellStyle name="Output 2 36 3 2_Sheet1" xfId="47943"/>
    <cellStyle name="Output 2 36 3 3" xfId="47944"/>
    <cellStyle name="Output 2 36 3_Sheet1" xfId="47945"/>
    <cellStyle name="Output 2 36 4" xfId="47946"/>
    <cellStyle name="Output 2 36 4 2" xfId="47947"/>
    <cellStyle name="Output 2 36 4 2 2" xfId="47948"/>
    <cellStyle name="Output 2 36 4 2_Sheet1" xfId="47949"/>
    <cellStyle name="Output 2 36 4 3" xfId="47950"/>
    <cellStyle name="Output 2 36 4_Sheet1" xfId="47951"/>
    <cellStyle name="Output 2 36 5" xfId="47952"/>
    <cellStyle name="Output 2 36_Sheet1" xfId="47953"/>
    <cellStyle name="Output 2 37" xfId="47954"/>
    <cellStyle name="Output 2 37 2" xfId="47955"/>
    <cellStyle name="Output 2 37 2 2" xfId="47956"/>
    <cellStyle name="Output 2 37 2_Sheet1" xfId="47957"/>
    <cellStyle name="Output 2 37 3" xfId="47958"/>
    <cellStyle name="Output 2 37_Sheet1" xfId="47959"/>
    <cellStyle name="Output 2 38" xfId="47960"/>
    <cellStyle name="Output 2 38 2" xfId="47961"/>
    <cellStyle name="Output 2 38 2 2" xfId="47962"/>
    <cellStyle name="Output 2 38 2_Sheet1" xfId="47963"/>
    <cellStyle name="Output 2 38 3" xfId="47964"/>
    <cellStyle name="Output 2 38_Sheet1" xfId="47965"/>
    <cellStyle name="Output 2 39" xfId="47966"/>
    <cellStyle name="Output 2 39 2" xfId="47967"/>
    <cellStyle name="Output 2 39 2 2" xfId="47968"/>
    <cellStyle name="Output 2 39 2_Sheet1" xfId="47969"/>
    <cellStyle name="Output 2 39 3" xfId="47970"/>
    <cellStyle name="Output 2 39_Sheet1" xfId="47971"/>
    <cellStyle name="Output 2 4" xfId="47972"/>
    <cellStyle name="Output 2 4 10" xfId="47973"/>
    <cellStyle name="Output 2 4 10 2" xfId="47974"/>
    <cellStyle name="Output 2 4 10 2 2" xfId="47975"/>
    <cellStyle name="Output 2 4 10 2_Sheet1" xfId="47976"/>
    <cellStyle name="Output 2 4 10 3" xfId="47977"/>
    <cellStyle name="Output 2 4 10_Sheet1" xfId="47978"/>
    <cellStyle name="Output 2 4 11" xfId="47979"/>
    <cellStyle name="Output 2 4 11 2" xfId="47980"/>
    <cellStyle name="Output 2 4 11 2 2" xfId="47981"/>
    <cellStyle name="Output 2 4 11 2_Sheet1" xfId="47982"/>
    <cellStyle name="Output 2 4 11 3" xfId="47983"/>
    <cellStyle name="Output 2 4 11_Sheet1" xfId="47984"/>
    <cellStyle name="Output 2 4 12" xfId="47985"/>
    <cellStyle name="Output 2 4 12 2" xfId="47986"/>
    <cellStyle name="Output 2 4 12 2 2" xfId="47987"/>
    <cellStyle name="Output 2 4 12 2_Sheet1" xfId="47988"/>
    <cellStyle name="Output 2 4 12 3" xfId="47989"/>
    <cellStyle name="Output 2 4 12_Sheet1" xfId="47990"/>
    <cellStyle name="Output 2 4 13" xfId="47991"/>
    <cellStyle name="Output 2 4 2" xfId="47992"/>
    <cellStyle name="Output 2 4 2 2" xfId="47993"/>
    <cellStyle name="Output 2 4 2 2 2" xfId="47994"/>
    <cellStyle name="Output 2 4 2 2 2 2" xfId="47995"/>
    <cellStyle name="Output 2 4 2 2 2_Sheet1" xfId="47996"/>
    <cellStyle name="Output 2 4 2 2 3" xfId="47997"/>
    <cellStyle name="Output 2 4 2 2_Sheet1" xfId="47998"/>
    <cellStyle name="Output 2 4 2 3" xfId="47999"/>
    <cellStyle name="Output 2 4 2 3 2" xfId="48000"/>
    <cellStyle name="Output 2 4 2 3 2 2" xfId="48001"/>
    <cellStyle name="Output 2 4 2 3 2_Sheet1" xfId="48002"/>
    <cellStyle name="Output 2 4 2 3 3" xfId="48003"/>
    <cellStyle name="Output 2 4 2 3_Sheet1" xfId="48004"/>
    <cellStyle name="Output 2 4 2 4" xfId="48005"/>
    <cellStyle name="Output 2 4 2 4 2" xfId="48006"/>
    <cellStyle name="Output 2 4 2 4 2 2" xfId="48007"/>
    <cellStyle name="Output 2 4 2 4 2_Sheet1" xfId="48008"/>
    <cellStyle name="Output 2 4 2 4 3" xfId="48009"/>
    <cellStyle name="Output 2 4 2 4_Sheet1" xfId="48010"/>
    <cellStyle name="Output 2 4 2 5" xfId="48011"/>
    <cellStyle name="Output 2 4 2_Sheet1" xfId="48012"/>
    <cellStyle name="Output 2 4 3" xfId="48013"/>
    <cellStyle name="Output 2 4 3 2" xfId="48014"/>
    <cellStyle name="Output 2 4 3 2 2" xfId="48015"/>
    <cellStyle name="Output 2 4 3 2 2 2" xfId="48016"/>
    <cellStyle name="Output 2 4 3 2 2_Sheet1" xfId="48017"/>
    <cellStyle name="Output 2 4 3 2 3" xfId="48018"/>
    <cellStyle name="Output 2 4 3 2_Sheet1" xfId="48019"/>
    <cellStyle name="Output 2 4 3 3" xfId="48020"/>
    <cellStyle name="Output 2 4 3 3 2" xfId="48021"/>
    <cellStyle name="Output 2 4 3 3 2 2" xfId="48022"/>
    <cellStyle name="Output 2 4 3 3 2_Sheet1" xfId="48023"/>
    <cellStyle name="Output 2 4 3 3 3" xfId="48024"/>
    <cellStyle name="Output 2 4 3 3_Sheet1" xfId="48025"/>
    <cellStyle name="Output 2 4 3 4" xfId="48026"/>
    <cellStyle name="Output 2 4 3 4 2" xfId="48027"/>
    <cellStyle name="Output 2 4 3 4 2 2" xfId="48028"/>
    <cellStyle name="Output 2 4 3 4 2_Sheet1" xfId="48029"/>
    <cellStyle name="Output 2 4 3 4 3" xfId="48030"/>
    <cellStyle name="Output 2 4 3 4_Sheet1" xfId="48031"/>
    <cellStyle name="Output 2 4 3 5" xfId="48032"/>
    <cellStyle name="Output 2 4 3_Sheet1" xfId="48033"/>
    <cellStyle name="Output 2 4 4" xfId="48034"/>
    <cellStyle name="Output 2 4 4 2" xfId="48035"/>
    <cellStyle name="Output 2 4 4 2 2" xfId="48036"/>
    <cellStyle name="Output 2 4 4 2 2 2" xfId="48037"/>
    <cellStyle name="Output 2 4 4 2 2_Sheet1" xfId="48038"/>
    <cellStyle name="Output 2 4 4 2 3" xfId="48039"/>
    <cellStyle name="Output 2 4 4 2_Sheet1" xfId="48040"/>
    <cellStyle name="Output 2 4 4 3" xfId="48041"/>
    <cellStyle name="Output 2 4 4 3 2" xfId="48042"/>
    <cellStyle name="Output 2 4 4 3 2 2" xfId="48043"/>
    <cellStyle name="Output 2 4 4 3 2_Sheet1" xfId="48044"/>
    <cellStyle name="Output 2 4 4 3 3" xfId="48045"/>
    <cellStyle name="Output 2 4 4 3_Sheet1" xfId="48046"/>
    <cellStyle name="Output 2 4 4 4" xfId="48047"/>
    <cellStyle name="Output 2 4 4 4 2" xfId="48048"/>
    <cellStyle name="Output 2 4 4 4 2 2" xfId="48049"/>
    <cellStyle name="Output 2 4 4 4 2_Sheet1" xfId="48050"/>
    <cellStyle name="Output 2 4 4 4 3" xfId="48051"/>
    <cellStyle name="Output 2 4 4 4_Sheet1" xfId="48052"/>
    <cellStyle name="Output 2 4 4 5" xfId="48053"/>
    <cellStyle name="Output 2 4 4_Sheet1" xfId="48054"/>
    <cellStyle name="Output 2 4 5" xfId="48055"/>
    <cellStyle name="Output 2 4 5 2" xfId="48056"/>
    <cellStyle name="Output 2 4 5 2 2" xfId="48057"/>
    <cellStyle name="Output 2 4 5 2 2 2" xfId="48058"/>
    <cellStyle name="Output 2 4 5 2 2_Sheet1" xfId="48059"/>
    <cellStyle name="Output 2 4 5 2 3" xfId="48060"/>
    <cellStyle name="Output 2 4 5 2_Sheet1" xfId="48061"/>
    <cellStyle name="Output 2 4 5 3" xfId="48062"/>
    <cellStyle name="Output 2 4 5 3 2" xfId="48063"/>
    <cellStyle name="Output 2 4 5 3 2 2" xfId="48064"/>
    <cellStyle name="Output 2 4 5 3 2_Sheet1" xfId="48065"/>
    <cellStyle name="Output 2 4 5 3 3" xfId="48066"/>
    <cellStyle name="Output 2 4 5 3_Sheet1" xfId="48067"/>
    <cellStyle name="Output 2 4 5 4" xfId="48068"/>
    <cellStyle name="Output 2 4 5 4 2" xfId="48069"/>
    <cellStyle name="Output 2 4 5 4 2 2" xfId="48070"/>
    <cellStyle name="Output 2 4 5 4 2_Sheet1" xfId="48071"/>
    <cellStyle name="Output 2 4 5 4 3" xfId="48072"/>
    <cellStyle name="Output 2 4 5 4_Sheet1" xfId="48073"/>
    <cellStyle name="Output 2 4 5 5" xfId="48074"/>
    <cellStyle name="Output 2 4 5_Sheet1" xfId="48075"/>
    <cellStyle name="Output 2 4 6" xfId="48076"/>
    <cellStyle name="Output 2 4 6 2" xfId="48077"/>
    <cellStyle name="Output 2 4 6 2 2" xfId="48078"/>
    <cellStyle name="Output 2 4 6 2 2 2" xfId="48079"/>
    <cellStyle name="Output 2 4 6 2 2_Sheet1" xfId="48080"/>
    <cellStyle name="Output 2 4 6 2 3" xfId="48081"/>
    <cellStyle name="Output 2 4 6 2_Sheet1" xfId="48082"/>
    <cellStyle name="Output 2 4 6 3" xfId="48083"/>
    <cellStyle name="Output 2 4 6 3 2" xfId="48084"/>
    <cellStyle name="Output 2 4 6 3 2 2" xfId="48085"/>
    <cellStyle name="Output 2 4 6 3 2_Sheet1" xfId="48086"/>
    <cellStyle name="Output 2 4 6 3 3" xfId="48087"/>
    <cellStyle name="Output 2 4 6 3_Sheet1" xfId="48088"/>
    <cellStyle name="Output 2 4 6 4" xfId="48089"/>
    <cellStyle name="Output 2 4 6 4 2" xfId="48090"/>
    <cellStyle name="Output 2 4 6 4 2 2" xfId="48091"/>
    <cellStyle name="Output 2 4 6 4 2_Sheet1" xfId="48092"/>
    <cellStyle name="Output 2 4 6 4 3" xfId="48093"/>
    <cellStyle name="Output 2 4 6 4_Sheet1" xfId="48094"/>
    <cellStyle name="Output 2 4 6 5" xfId="48095"/>
    <cellStyle name="Output 2 4 6_Sheet1" xfId="48096"/>
    <cellStyle name="Output 2 4 7" xfId="48097"/>
    <cellStyle name="Output 2 4 7 2" xfId="48098"/>
    <cellStyle name="Output 2 4 7 2 2" xfId="48099"/>
    <cellStyle name="Output 2 4 7 2 2 2" xfId="48100"/>
    <cellStyle name="Output 2 4 7 2 2_Sheet1" xfId="48101"/>
    <cellStyle name="Output 2 4 7 2 3" xfId="48102"/>
    <cellStyle name="Output 2 4 7 2_Sheet1" xfId="48103"/>
    <cellStyle name="Output 2 4 7 3" xfId="48104"/>
    <cellStyle name="Output 2 4 7 3 2" xfId="48105"/>
    <cellStyle name="Output 2 4 7 3 2 2" xfId="48106"/>
    <cellStyle name="Output 2 4 7 3 2_Sheet1" xfId="48107"/>
    <cellStyle name="Output 2 4 7 3 3" xfId="48108"/>
    <cellStyle name="Output 2 4 7 3_Sheet1" xfId="48109"/>
    <cellStyle name="Output 2 4 7 4" xfId="48110"/>
    <cellStyle name="Output 2 4 7 4 2" xfId="48111"/>
    <cellStyle name="Output 2 4 7 4 2 2" xfId="48112"/>
    <cellStyle name="Output 2 4 7 4 2_Sheet1" xfId="48113"/>
    <cellStyle name="Output 2 4 7 4 3" xfId="48114"/>
    <cellStyle name="Output 2 4 7 4_Sheet1" xfId="48115"/>
    <cellStyle name="Output 2 4 7 5" xfId="48116"/>
    <cellStyle name="Output 2 4 7_Sheet1" xfId="48117"/>
    <cellStyle name="Output 2 4 8" xfId="48118"/>
    <cellStyle name="Output 2 4 8 2" xfId="48119"/>
    <cellStyle name="Output 2 4 8 2 2" xfId="48120"/>
    <cellStyle name="Output 2 4 8 2 2 2" xfId="48121"/>
    <cellStyle name="Output 2 4 8 2 2_Sheet1" xfId="48122"/>
    <cellStyle name="Output 2 4 8 2 3" xfId="48123"/>
    <cellStyle name="Output 2 4 8 2_Sheet1" xfId="48124"/>
    <cellStyle name="Output 2 4 8 3" xfId="48125"/>
    <cellStyle name="Output 2 4 8 3 2" xfId="48126"/>
    <cellStyle name="Output 2 4 8 3 2 2" xfId="48127"/>
    <cellStyle name="Output 2 4 8 3 2_Sheet1" xfId="48128"/>
    <cellStyle name="Output 2 4 8 3 3" xfId="48129"/>
    <cellStyle name="Output 2 4 8 3_Sheet1" xfId="48130"/>
    <cellStyle name="Output 2 4 8 4" xfId="48131"/>
    <cellStyle name="Output 2 4 8 4 2" xfId="48132"/>
    <cellStyle name="Output 2 4 8 4 2 2" xfId="48133"/>
    <cellStyle name="Output 2 4 8 4 2_Sheet1" xfId="48134"/>
    <cellStyle name="Output 2 4 8 4 3" xfId="48135"/>
    <cellStyle name="Output 2 4 8 4_Sheet1" xfId="48136"/>
    <cellStyle name="Output 2 4 8 5" xfId="48137"/>
    <cellStyle name="Output 2 4 8_Sheet1" xfId="48138"/>
    <cellStyle name="Output 2 4 9" xfId="48139"/>
    <cellStyle name="Output 2 4 9 2" xfId="48140"/>
    <cellStyle name="Output 2 4 9 2 2" xfId="48141"/>
    <cellStyle name="Output 2 4 9 2 2 2" xfId="48142"/>
    <cellStyle name="Output 2 4 9 2 2_Sheet1" xfId="48143"/>
    <cellStyle name="Output 2 4 9 2 3" xfId="48144"/>
    <cellStyle name="Output 2 4 9 2_Sheet1" xfId="48145"/>
    <cellStyle name="Output 2 4 9 3" xfId="48146"/>
    <cellStyle name="Output 2 4 9 3 2" xfId="48147"/>
    <cellStyle name="Output 2 4 9 3 2 2" xfId="48148"/>
    <cellStyle name="Output 2 4 9 3 2_Sheet1" xfId="48149"/>
    <cellStyle name="Output 2 4 9 3 3" xfId="48150"/>
    <cellStyle name="Output 2 4 9 3_Sheet1" xfId="48151"/>
    <cellStyle name="Output 2 4 9 4" xfId="48152"/>
    <cellStyle name="Output 2 4 9 4 2" xfId="48153"/>
    <cellStyle name="Output 2 4 9 4 2 2" xfId="48154"/>
    <cellStyle name="Output 2 4 9 4 2_Sheet1" xfId="48155"/>
    <cellStyle name="Output 2 4 9 4 3" xfId="48156"/>
    <cellStyle name="Output 2 4 9 4_Sheet1" xfId="48157"/>
    <cellStyle name="Output 2 4 9 5" xfId="48158"/>
    <cellStyle name="Output 2 4 9_Sheet1" xfId="48159"/>
    <cellStyle name="Output 2 4_Sheet1" xfId="48160"/>
    <cellStyle name="Output 2 40" xfId="48161"/>
    <cellStyle name="Output 2 5" xfId="48162"/>
    <cellStyle name="Output 2 5 10" xfId="48163"/>
    <cellStyle name="Output 2 5 10 2" xfId="48164"/>
    <cellStyle name="Output 2 5 10 2 2" xfId="48165"/>
    <cellStyle name="Output 2 5 10 2_Sheet1" xfId="48166"/>
    <cellStyle name="Output 2 5 10 3" xfId="48167"/>
    <cellStyle name="Output 2 5 10_Sheet1" xfId="48168"/>
    <cellStyle name="Output 2 5 11" xfId="48169"/>
    <cellStyle name="Output 2 5 11 2" xfId="48170"/>
    <cellStyle name="Output 2 5 11 2 2" xfId="48171"/>
    <cellStyle name="Output 2 5 11 2_Sheet1" xfId="48172"/>
    <cellStyle name="Output 2 5 11 3" xfId="48173"/>
    <cellStyle name="Output 2 5 11_Sheet1" xfId="48174"/>
    <cellStyle name="Output 2 5 12" xfId="48175"/>
    <cellStyle name="Output 2 5 12 2" xfId="48176"/>
    <cellStyle name="Output 2 5 12 2 2" xfId="48177"/>
    <cellStyle name="Output 2 5 12 2_Sheet1" xfId="48178"/>
    <cellStyle name="Output 2 5 12 3" xfId="48179"/>
    <cellStyle name="Output 2 5 12_Sheet1" xfId="48180"/>
    <cellStyle name="Output 2 5 13" xfId="48181"/>
    <cellStyle name="Output 2 5 2" xfId="48182"/>
    <cellStyle name="Output 2 5 2 2" xfId="48183"/>
    <cellStyle name="Output 2 5 2 2 2" xfId="48184"/>
    <cellStyle name="Output 2 5 2 2 2 2" xfId="48185"/>
    <cellStyle name="Output 2 5 2 2 2_Sheet1" xfId="48186"/>
    <cellStyle name="Output 2 5 2 2 3" xfId="48187"/>
    <cellStyle name="Output 2 5 2 2_Sheet1" xfId="48188"/>
    <cellStyle name="Output 2 5 2 3" xfId="48189"/>
    <cellStyle name="Output 2 5 2 3 2" xfId="48190"/>
    <cellStyle name="Output 2 5 2 3 2 2" xfId="48191"/>
    <cellStyle name="Output 2 5 2 3 2_Sheet1" xfId="48192"/>
    <cellStyle name="Output 2 5 2 3 3" xfId="48193"/>
    <cellStyle name="Output 2 5 2 3_Sheet1" xfId="48194"/>
    <cellStyle name="Output 2 5 2 4" xfId="48195"/>
    <cellStyle name="Output 2 5 2 4 2" xfId="48196"/>
    <cellStyle name="Output 2 5 2 4 2 2" xfId="48197"/>
    <cellStyle name="Output 2 5 2 4 2_Sheet1" xfId="48198"/>
    <cellStyle name="Output 2 5 2 4 3" xfId="48199"/>
    <cellStyle name="Output 2 5 2 4_Sheet1" xfId="48200"/>
    <cellStyle name="Output 2 5 2 5" xfId="48201"/>
    <cellStyle name="Output 2 5 2_Sheet1" xfId="48202"/>
    <cellStyle name="Output 2 5 3" xfId="48203"/>
    <cellStyle name="Output 2 5 3 2" xfId="48204"/>
    <cellStyle name="Output 2 5 3 2 2" xfId="48205"/>
    <cellStyle name="Output 2 5 3 2 2 2" xfId="48206"/>
    <cellStyle name="Output 2 5 3 2 2_Sheet1" xfId="48207"/>
    <cellStyle name="Output 2 5 3 2 3" xfId="48208"/>
    <cellStyle name="Output 2 5 3 2_Sheet1" xfId="48209"/>
    <cellStyle name="Output 2 5 3 3" xfId="48210"/>
    <cellStyle name="Output 2 5 3 3 2" xfId="48211"/>
    <cellStyle name="Output 2 5 3 3 2 2" xfId="48212"/>
    <cellStyle name="Output 2 5 3 3 2_Sheet1" xfId="48213"/>
    <cellStyle name="Output 2 5 3 3 3" xfId="48214"/>
    <cellStyle name="Output 2 5 3 3_Sheet1" xfId="48215"/>
    <cellStyle name="Output 2 5 3 4" xfId="48216"/>
    <cellStyle name="Output 2 5 3 4 2" xfId="48217"/>
    <cellStyle name="Output 2 5 3 4 2 2" xfId="48218"/>
    <cellStyle name="Output 2 5 3 4 2_Sheet1" xfId="48219"/>
    <cellStyle name="Output 2 5 3 4 3" xfId="48220"/>
    <cellStyle name="Output 2 5 3 4_Sheet1" xfId="48221"/>
    <cellStyle name="Output 2 5 3 5" xfId="48222"/>
    <cellStyle name="Output 2 5 3_Sheet1" xfId="48223"/>
    <cellStyle name="Output 2 5 4" xfId="48224"/>
    <cellStyle name="Output 2 5 4 2" xfId="48225"/>
    <cellStyle name="Output 2 5 4 2 2" xfId="48226"/>
    <cellStyle name="Output 2 5 4 2 2 2" xfId="48227"/>
    <cellStyle name="Output 2 5 4 2 2_Sheet1" xfId="48228"/>
    <cellStyle name="Output 2 5 4 2 3" xfId="48229"/>
    <cellStyle name="Output 2 5 4 2_Sheet1" xfId="48230"/>
    <cellStyle name="Output 2 5 4 3" xfId="48231"/>
    <cellStyle name="Output 2 5 4 3 2" xfId="48232"/>
    <cellStyle name="Output 2 5 4 3 2 2" xfId="48233"/>
    <cellStyle name="Output 2 5 4 3 2_Sheet1" xfId="48234"/>
    <cellStyle name="Output 2 5 4 3 3" xfId="48235"/>
    <cellStyle name="Output 2 5 4 3_Sheet1" xfId="48236"/>
    <cellStyle name="Output 2 5 4 4" xfId="48237"/>
    <cellStyle name="Output 2 5 4 4 2" xfId="48238"/>
    <cellStyle name="Output 2 5 4 4 2 2" xfId="48239"/>
    <cellStyle name="Output 2 5 4 4 2_Sheet1" xfId="48240"/>
    <cellStyle name="Output 2 5 4 4 3" xfId="48241"/>
    <cellStyle name="Output 2 5 4 4_Sheet1" xfId="48242"/>
    <cellStyle name="Output 2 5 4 5" xfId="48243"/>
    <cellStyle name="Output 2 5 4_Sheet1" xfId="48244"/>
    <cellStyle name="Output 2 5 5" xfId="48245"/>
    <cellStyle name="Output 2 5 5 2" xfId="48246"/>
    <cellStyle name="Output 2 5 5 2 2" xfId="48247"/>
    <cellStyle name="Output 2 5 5 2 2 2" xfId="48248"/>
    <cellStyle name="Output 2 5 5 2 2_Sheet1" xfId="48249"/>
    <cellStyle name="Output 2 5 5 2 3" xfId="48250"/>
    <cellStyle name="Output 2 5 5 2_Sheet1" xfId="48251"/>
    <cellStyle name="Output 2 5 5 3" xfId="48252"/>
    <cellStyle name="Output 2 5 5 3 2" xfId="48253"/>
    <cellStyle name="Output 2 5 5 3 2 2" xfId="48254"/>
    <cellStyle name="Output 2 5 5 3 2_Sheet1" xfId="48255"/>
    <cellStyle name="Output 2 5 5 3 3" xfId="48256"/>
    <cellStyle name="Output 2 5 5 3_Sheet1" xfId="48257"/>
    <cellStyle name="Output 2 5 5 4" xfId="48258"/>
    <cellStyle name="Output 2 5 5 4 2" xfId="48259"/>
    <cellStyle name="Output 2 5 5 4 2 2" xfId="48260"/>
    <cellStyle name="Output 2 5 5 4 2_Sheet1" xfId="48261"/>
    <cellStyle name="Output 2 5 5 4 3" xfId="48262"/>
    <cellStyle name="Output 2 5 5 4_Sheet1" xfId="48263"/>
    <cellStyle name="Output 2 5 5 5" xfId="48264"/>
    <cellStyle name="Output 2 5 5_Sheet1" xfId="48265"/>
    <cellStyle name="Output 2 5 6" xfId="48266"/>
    <cellStyle name="Output 2 5 6 2" xfId="48267"/>
    <cellStyle name="Output 2 5 6 2 2" xfId="48268"/>
    <cellStyle name="Output 2 5 6 2 2 2" xfId="48269"/>
    <cellStyle name="Output 2 5 6 2 2_Sheet1" xfId="48270"/>
    <cellStyle name="Output 2 5 6 2 3" xfId="48271"/>
    <cellStyle name="Output 2 5 6 2_Sheet1" xfId="48272"/>
    <cellStyle name="Output 2 5 6 3" xfId="48273"/>
    <cellStyle name="Output 2 5 6 3 2" xfId="48274"/>
    <cellStyle name="Output 2 5 6 3 2 2" xfId="48275"/>
    <cellStyle name="Output 2 5 6 3 2_Sheet1" xfId="48276"/>
    <cellStyle name="Output 2 5 6 3 3" xfId="48277"/>
    <cellStyle name="Output 2 5 6 3_Sheet1" xfId="48278"/>
    <cellStyle name="Output 2 5 6 4" xfId="48279"/>
    <cellStyle name="Output 2 5 6 4 2" xfId="48280"/>
    <cellStyle name="Output 2 5 6 4 2 2" xfId="48281"/>
    <cellStyle name="Output 2 5 6 4 2_Sheet1" xfId="48282"/>
    <cellStyle name="Output 2 5 6 4 3" xfId="48283"/>
    <cellStyle name="Output 2 5 6 4_Sheet1" xfId="48284"/>
    <cellStyle name="Output 2 5 6 5" xfId="48285"/>
    <cellStyle name="Output 2 5 6_Sheet1" xfId="48286"/>
    <cellStyle name="Output 2 5 7" xfId="48287"/>
    <cellStyle name="Output 2 5 7 2" xfId="48288"/>
    <cellStyle name="Output 2 5 7 2 2" xfId="48289"/>
    <cellStyle name="Output 2 5 7 2 2 2" xfId="48290"/>
    <cellStyle name="Output 2 5 7 2 2_Sheet1" xfId="48291"/>
    <cellStyle name="Output 2 5 7 2 3" xfId="48292"/>
    <cellStyle name="Output 2 5 7 2_Sheet1" xfId="48293"/>
    <cellStyle name="Output 2 5 7 3" xfId="48294"/>
    <cellStyle name="Output 2 5 7 3 2" xfId="48295"/>
    <cellStyle name="Output 2 5 7 3 2 2" xfId="48296"/>
    <cellStyle name="Output 2 5 7 3 2_Sheet1" xfId="48297"/>
    <cellStyle name="Output 2 5 7 3 3" xfId="48298"/>
    <cellStyle name="Output 2 5 7 3_Sheet1" xfId="48299"/>
    <cellStyle name="Output 2 5 7 4" xfId="48300"/>
    <cellStyle name="Output 2 5 7 4 2" xfId="48301"/>
    <cellStyle name="Output 2 5 7 4 2 2" xfId="48302"/>
    <cellStyle name="Output 2 5 7 4 2_Sheet1" xfId="48303"/>
    <cellStyle name="Output 2 5 7 4 3" xfId="48304"/>
    <cellStyle name="Output 2 5 7 4_Sheet1" xfId="48305"/>
    <cellStyle name="Output 2 5 7 5" xfId="48306"/>
    <cellStyle name="Output 2 5 7_Sheet1" xfId="48307"/>
    <cellStyle name="Output 2 5 8" xfId="48308"/>
    <cellStyle name="Output 2 5 8 2" xfId="48309"/>
    <cellStyle name="Output 2 5 8 2 2" xfId="48310"/>
    <cellStyle name="Output 2 5 8 2 2 2" xfId="48311"/>
    <cellStyle name="Output 2 5 8 2 2_Sheet1" xfId="48312"/>
    <cellStyle name="Output 2 5 8 2 3" xfId="48313"/>
    <cellStyle name="Output 2 5 8 2_Sheet1" xfId="48314"/>
    <cellStyle name="Output 2 5 8 3" xfId="48315"/>
    <cellStyle name="Output 2 5 8 3 2" xfId="48316"/>
    <cellStyle name="Output 2 5 8 3 2 2" xfId="48317"/>
    <cellStyle name="Output 2 5 8 3 2_Sheet1" xfId="48318"/>
    <cellStyle name="Output 2 5 8 3 3" xfId="48319"/>
    <cellStyle name="Output 2 5 8 3_Sheet1" xfId="48320"/>
    <cellStyle name="Output 2 5 8 4" xfId="48321"/>
    <cellStyle name="Output 2 5 8 4 2" xfId="48322"/>
    <cellStyle name="Output 2 5 8 4 2 2" xfId="48323"/>
    <cellStyle name="Output 2 5 8 4 2_Sheet1" xfId="48324"/>
    <cellStyle name="Output 2 5 8 4 3" xfId="48325"/>
    <cellStyle name="Output 2 5 8 4_Sheet1" xfId="48326"/>
    <cellStyle name="Output 2 5 8 5" xfId="48327"/>
    <cellStyle name="Output 2 5 8_Sheet1" xfId="48328"/>
    <cellStyle name="Output 2 5 9" xfId="48329"/>
    <cellStyle name="Output 2 5 9 2" xfId="48330"/>
    <cellStyle name="Output 2 5 9 2 2" xfId="48331"/>
    <cellStyle name="Output 2 5 9 2 2 2" xfId="48332"/>
    <cellStyle name="Output 2 5 9 2 2_Sheet1" xfId="48333"/>
    <cellStyle name="Output 2 5 9 2 3" xfId="48334"/>
    <cellStyle name="Output 2 5 9 2_Sheet1" xfId="48335"/>
    <cellStyle name="Output 2 5 9 3" xfId="48336"/>
    <cellStyle name="Output 2 5 9 3 2" xfId="48337"/>
    <cellStyle name="Output 2 5 9 3 2 2" xfId="48338"/>
    <cellStyle name="Output 2 5 9 3 2_Sheet1" xfId="48339"/>
    <cellStyle name="Output 2 5 9 3 3" xfId="48340"/>
    <cellStyle name="Output 2 5 9 3_Sheet1" xfId="48341"/>
    <cellStyle name="Output 2 5 9 4" xfId="48342"/>
    <cellStyle name="Output 2 5 9 4 2" xfId="48343"/>
    <cellStyle name="Output 2 5 9 4 2 2" xfId="48344"/>
    <cellStyle name="Output 2 5 9 4 2_Sheet1" xfId="48345"/>
    <cellStyle name="Output 2 5 9 4 3" xfId="48346"/>
    <cellStyle name="Output 2 5 9 4_Sheet1" xfId="48347"/>
    <cellStyle name="Output 2 5 9 5" xfId="48348"/>
    <cellStyle name="Output 2 5 9_Sheet1" xfId="48349"/>
    <cellStyle name="Output 2 5_Sheet1" xfId="48350"/>
    <cellStyle name="Output 2 6" xfId="48351"/>
    <cellStyle name="Output 2 6 10" xfId="48352"/>
    <cellStyle name="Output 2 6 10 2" xfId="48353"/>
    <cellStyle name="Output 2 6 10 2 2" xfId="48354"/>
    <cellStyle name="Output 2 6 10 2_Sheet1" xfId="48355"/>
    <cellStyle name="Output 2 6 10 3" xfId="48356"/>
    <cellStyle name="Output 2 6 10_Sheet1" xfId="48357"/>
    <cellStyle name="Output 2 6 11" xfId="48358"/>
    <cellStyle name="Output 2 6 11 2" xfId="48359"/>
    <cellStyle name="Output 2 6 11 2 2" xfId="48360"/>
    <cellStyle name="Output 2 6 11 2_Sheet1" xfId="48361"/>
    <cellStyle name="Output 2 6 11 3" xfId="48362"/>
    <cellStyle name="Output 2 6 11_Sheet1" xfId="48363"/>
    <cellStyle name="Output 2 6 12" xfId="48364"/>
    <cellStyle name="Output 2 6 12 2" xfId="48365"/>
    <cellStyle name="Output 2 6 12 2 2" xfId="48366"/>
    <cellStyle name="Output 2 6 12 2_Sheet1" xfId="48367"/>
    <cellStyle name="Output 2 6 12 3" xfId="48368"/>
    <cellStyle name="Output 2 6 12_Sheet1" xfId="48369"/>
    <cellStyle name="Output 2 6 13" xfId="48370"/>
    <cellStyle name="Output 2 6 2" xfId="48371"/>
    <cellStyle name="Output 2 6 2 2" xfId="48372"/>
    <cellStyle name="Output 2 6 2 2 2" xfId="48373"/>
    <cellStyle name="Output 2 6 2 2 2 2" xfId="48374"/>
    <cellStyle name="Output 2 6 2 2 2_Sheet1" xfId="48375"/>
    <cellStyle name="Output 2 6 2 2 3" xfId="48376"/>
    <cellStyle name="Output 2 6 2 2_Sheet1" xfId="48377"/>
    <cellStyle name="Output 2 6 2 3" xfId="48378"/>
    <cellStyle name="Output 2 6 2 3 2" xfId="48379"/>
    <cellStyle name="Output 2 6 2 3 2 2" xfId="48380"/>
    <cellStyle name="Output 2 6 2 3 2_Sheet1" xfId="48381"/>
    <cellStyle name="Output 2 6 2 3 3" xfId="48382"/>
    <cellStyle name="Output 2 6 2 3_Sheet1" xfId="48383"/>
    <cellStyle name="Output 2 6 2 4" xfId="48384"/>
    <cellStyle name="Output 2 6 2 4 2" xfId="48385"/>
    <cellStyle name="Output 2 6 2 4 2 2" xfId="48386"/>
    <cellStyle name="Output 2 6 2 4 2_Sheet1" xfId="48387"/>
    <cellStyle name="Output 2 6 2 4 3" xfId="48388"/>
    <cellStyle name="Output 2 6 2 4_Sheet1" xfId="48389"/>
    <cellStyle name="Output 2 6 2 5" xfId="48390"/>
    <cellStyle name="Output 2 6 2_Sheet1" xfId="48391"/>
    <cellStyle name="Output 2 6 3" xfId="48392"/>
    <cellStyle name="Output 2 6 3 2" xfId="48393"/>
    <cellStyle name="Output 2 6 3 2 2" xfId="48394"/>
    <cellStyle name="Output 2 6 3 2 2 2" xfId="48395"/>
    <cellStyle name="Output 2 6 3 2 2_Sheet1" xfId="48396"/>
    <cellStyle name="Output 2 6 3 2 3" xfId="48397"/>
    <cellStyle name="Output 2 6 3 2_Sheet1" xfId="48398"/>
    <cellStyle name="Output 2 6 3 3" xfId="48399"/>
    <cellStyle name="Output 2 6 3 3 2" xfId="48400"/>
    <cellStyle name="Output 2 6 3 3 2 2" xfId="48401"/>
    <cellStyle name="Output 2 6 3 3 2_Sheet1" xfId="48402"/>
    <cellStyle name="Output 2 6 3 3 3" xfId="48403"/>
    <cellStyle name="Output 2 6 3 3_Sheet1" xfId="48404"/>
    <cellStyle name="Output 2 6 3 4" xfId="48405"/>
    <cellStyle name="Output 2 6 3 4 2" xfId="48406"/>
    <cellStyle name="Output 2 6 3 4 2 2" xfId="48407"/>
    <cellStyle name="Output 2 6 3 4 2_Sheet1" xfId="48408"/>
    <cellStyle name="Output 2 6 3 4 3" xfId="48409"/>
    <cellStyle name="Output 2 6 3 4_Sheet1" xfId="48410"/>
    <cellStyle name="Output 2 6 3 5" xfId="48411"/>
    <cellStyle name="Output 2 6 3_Sheet1" xfId="48412"/>
    <cellStyle name="Output 2 6 4" xfId="48413"/>
    <cellStyle name="Output 2 6 4 2" xfId="48414"/>
    <cellStyle name="Output 2 6 4 2 2" xfId="48415"/>
    <cellStyle name="Output 2 6 4 2 2 2" xfId="48416"/>
    <cellStyle name="Output 2 6 4 2 2_Sheet1" xfId="48417"/>
    <cellStyle name="Output 2 6 4 2 3" xfId="48418"/>
    <cellStyle name="Output 2 6 4 2_Sheet1" xfId="48419"/>
    <cellStyle name="Output 2 6 4 3" xfId="48420"/>
    <cellStyle name="Output 2 6 4 3 2" xfId="48421"/>
    <cellStyle name="Output 2 6 4 3 2 2" xfId="48422"/>
    <cellStyle name="Output 2 6 4 3 2_Sheet1" xfId="48423"/>
    <cellStyle name="Output 2 6 4 3 3" xfId="48424"/>
    <cellStyle name="Output 2 6 4 3_Sheet1" xfId="48425"/>
    <cellStyle name="Output 2 6 4 4" xfId="48426"/>
    <cellStyle name="Output 2 6 4 4 2" xfId="48427"/>
    <cellStyle name="Output 2 6 4 4 2 2" xfId="48428"/>
    <cellStyle name="Output 2 6 4 4 2_Sheet1" xfId="48429"/>
    <cellStyle name="Output 2 6 4 4 3" xfId="48430"/>
    <cellStyle name="Output 2 6 4 4_Sheet1" xfId="48431"/>
    <cellStyle name="Output 2 6 4 5" xfId="48432"/>
    <cellStyle name="Output 2 6 4_Sheet1" xfId="48433"/>
    <cellStyle name="Output 2 6 5" xfId="48434"/>
    <cellStyle name="Output 2 6 5 2" xfId="48435"/>
    <cellStyle name="Output 2 6 5 2 2" xfId="48436"/>
    <cellStyle name="Output 2 6 5 2 2 2" xfId="48437"/>
    <cellStyle name="Output 2 6 5 2 2_Sheet1" xfId="48438"/>
    <cellStyle name="Output 2 6 5 2 3" xfId="48439"/>
    <cellStyle name="Output 2 6 5 2_Sheet1" xfId="48440"/>
    <cellStyle name="Output 2 6 5 3" xfId="48441"/>
    <cellStyle name="Output 2 6 5 3 2" xfId="48442"/>
    <cellStyle name="Output 2 6 5 3 2 2" xfId="48443"/>
    <cellStyle name="Output 2 6 5 3 2_Sheet1" xfId="48444"/>
    <cellStyle name="Output 2 6 5 3 3" xfId="48445"/>
    <cellStyle name="Output 2 6 5 3_Sheet1" xfId="48446"/>
    <cellStyle name="Output 2 6 5 4" xfId="48447"/>
    <cellStyle name="Output 2 6 5 4 2" xfId="48448"/>
    <cellStyle name="Output 2 6 5 4 2 2" xfId="48449"/>
    <cellStyle name="Output 2 6 5 4 2_Sheet1" xfId="48450"/>
    <cellStyle name="Output 2 6 5 4 3" xfId="48451"/>
    <cellStyle name="Output 2 6 5 4_Sheet1" xfId="48452"/>
    <cellStyle name="Output 2 6 5 5" xfId="48453"/>
    <cellStyle name="Output 2 6 5_Sheet1" xfId="48454"/>
    <cellStyle name="Output 2 6 6" xfId="48455"/>
    <cellStyle name="Output 2 6 6 2" xfId="48456"/>
    <cellStyle name="Output 2 6 6 2 2" xfId="48457"/>
    <cellStyle name="Output 2 6 6 2 2 2" xfId="48458"/>
    <cellStyle name="Output 2 6 6 2 2_Sheet1" xfId="48459"/>
    <cellStyle name="Output 2 6 6 2 3" xfId="48460"/>
    <cellStyle name="Output 2 6 6 2_Sheet1" xfId="48461"/>
    <cellStyle name="Output 2 6 6 3" xfId="48462"/>
    <cellStyle name="Output 2 6 6 3 2" xfId="48463"/>
    <cellStyle name="Output 2 6 6 3 2 2" xfId="48464"/>
    <cellStyle name="Output 2 6 6 3 2_Sheet1" xfId="48465"/>
    <cellStyle name="Output 2 6 6 3 3" xfId="48466"/>
    <cellStyle name="Output 2 6 6 3_Sheet1" xfId="48467"/>
    <cellStyle name="Output 2 6 6 4" xfId="48468"/>
    <cellStyle name="Output 2 6 6 4 2" xfId="48469"/>
    <cellStyle name="Output 2 6 6 4 2 2" xfId="48470"/>
    <cellStyle name="Output 2 6 6 4 2_Sheet1" xfId="48471"/>
    <cellStyle name="Output 2 6 6 4 3" xfId="48472"/>
    <cellStyle name="Output 2 6 6 4_Sheet1" xfId="48473"/>
    <cellStyle name="Output 2 6 6 5" xfId="48474"/>
    <cellStyle name="Output 2 6 6_Sheet1" xfId="48475"/>
    <cellStyle name="Output 2 6 7" xfId="48476"/>
    <cellStyle name="Output 2 6 7 2" xfId="48477"/>
    <cellStyle name="Output 2 6 7 2 2" xfId="48478"/>
    <cellStyle name="Output 2 6 7 2 2 2" xfId="48479"/>
    <cellStyle name="Output 2 6 7 2 2_Sheet1" xfId="48480"/>
    <cellStyle name="Output 2 6 7 2 3" xfId="48481"/>
    <cellStyle name="Output 2 6 7 2_Sheet1" xfId="48482"/>
    <cellStyle name="Output 2 6 7 3" xfId="48483"/>
    <cellStyle name="Output 2 6 7 3 2" xfId="48484"/>
    <cellStyle name="Output 2 6 7 3 2 2" xfId="48485"/>
    <cellStyle name="Output 2 6 7 3 2_Sheet1" xfId="48486"/>
    <cellStyle name="Output 2 6 7 3 3" xfId="48487"/>
    <cellStyle name="Output 2 6 7 3_Sheet1" xfId="48488"/>
    <cellStyle name="Output 2 6 7 4" xfId="48489"/>
    <cellStyle name="Output 2 6 7 4 2" xfId="48490"/>
    <cellStyle name="Output 2 6 7 4 2 2" xfId="48491"/>
    <cellStyle name="Output 2 6 7 4 2_Sheet1" xfId="48492"/>
    <cellStyle name="Output 2 6 7 4 3" xfId="48493"/>
    <cellStyle name="Output 2 6 7 4_Sheet1" xfId="48494"/>
    <cellStyle name="Output 2 6 7 5" xfId="48495"/>
    <cellStyle name="Output 2 6 7_Sheet1" xfId="48496"/>
    <cellStyle name="Output 2 6 8" xfId="48497"/>
    <cellStyle name="Output 2 6 8 2" xfId="48498"/>
    <cellStyle name="Output 2 6 8 2 2" xfId="48499"/>
    <cellStyle name="Output 2 6 8 2 2 2" xfId="48500"/>
    <cellStyle name="Output 2 6 8 2 2_Sheet1" xfId="48501"/>
    <cellStyle name="Output 2 6 8 2 3" xfId="48502"/>
    <cellStyle name="Output 2 6 8 2_Sheet1" xfId="48503"/>
    <cellStyle name="Output 2 6 8 3" xfId="48504"/>
    <cellStyle name="Output 2 6 8 3 2" xfId="48505"/>
    <cellStyle name="Output 2 6 8 3 2 2" xfId="48506"/>
    <cellStyle name="Output 2 6 8 3 2_Sheet1" xfId="48507"/>
    <cellStyle name="Output 2 6 8 3 3" xfId="48508"/>
    <cellStyle name="Output 2 6 8 3_Sheet1" xfId="48509"/>
    <cellStyle name="Output 2 6 8 4" xfId="48510"/>
    <cellStyle name="Output 2 6 8 4 2" xfId="48511"/>
    <cellStyle name="Output 2 6 8 4 2 2" xfId="48512"/>
    <cellStyle name="Output 2 6 8 4 2_Sheet1" xfId="48513"/>
    <cellStyle name="Output 2 6 8 4 3" xfId="48514"/>
    <cellStyle name="Output 2 6 8 4_Sheet1" xfId="48515"/>
    <cellStyle name="Output 2 6 8 5" xfId="48516"/>
    <cellStyle name="Output 2 6 8_Sheet1" xfId="48517"/>
    <cellStyle name="Output 2 6 9" xfId="48518"/>
    <cellStyle name="Output 2 6 9 2" xfId="48519"/>
    <cellStyle name="Output 2 6 9 2 2" xfId="48520"/>
    <cellStyle name="Output 2 6 9 2 2 2" xfId="48521"/>
    <cellStyle name="Output 2 6 9 2 2_Sheet1" xfId="48522"/>
    <cellStyle name="Output 2 6 9 2 3" xfId="48523"/>
    <cellStyle name="Output 2 6 9 2_Sheet1" xfId="48524"/>
    <cellStyle name="Output 2 6 9 3" xfId="48525"/>
    <cellStyle name="Output 2 6 9 3 2" xfId="48526"/>
    <cellStyle name="Output 2 6 9 3 2 2" xfId="48527"/>
    <cellStyle name="Output 2 6 9 3 2_Sheet1" xfId="48528"/>
    <cellStyle name="Output 2 6 9 3 3" xfId="48529"/>
    <cellStyle name="Output 2 6 9 3_Sheet1" xfId="48530"/>
    <cellStyle name="Output 2 6 9 4" xfId="48531"/>
    <cellStyle name="Output 2 6 9 4 2" xfId="48532"/>
    <cellStyle name="Output 2 6 9 4 2 2" xfId="48533"/>
    <cellStyle name="Output 2 6 9 4 2_Sheet1" xfId="48534"/>
    <cellStyle name="Output 2 6 9 4 3" xfId="48535"/>
    <cellStyle name="Output 2 6 9 4_Sheet1" xfId="48536"/>
    <cellStyle name="Output 2 6 9 5" xfId="48537"/>
    <cellStyle name="Output 2 6 9_Sheet1" xfId="48538"/>
    <cellStyle name="Output 2 6_Sheet1" xfId="48539"/>
    <cellStyle name="Output 2 7" xfId="48540"/>
    <cellStyle name="Output 2 7 2" xfId="48541"/>
    <cellStyle name="Output 2 7 2 2" xfId="48542"/>
    <cellStyle name="Output 2 7 2 2 2" xfId="48543"/>
    <cellStyle name="Output 2 7 2 2_Sheet1" xfId="48544"/>
    <cellStyle name="Output 2 7 2 3" xfId="48545"/>
    <cellStyle name="Output 2 7 2_Sheet1" xfId="48546"/>
    <cellStyle name="Output 2 7 3" xfId="48547"/>
    <cellStyle name="Output 2 7 3 2" xfId="48548"/>
    <cellStyle name="Output 2 7 3 2 2" xfId="48549"/>
    <cellStyle name="Output 2 7 3 2_Sheet1" xfId="48550"/>
    <cellStyle name="Output 2 7 3 3" xfId="48551"/>
    <cellStyle name="Output 2 7 3_Sheet1" xfId="48552"/>
    <cellStyle name="Output 2 7 4" xfId="48553"/>
    <cellStyle name="Output 2 7 4 2" xfId="48554"/>
    <cellStyle name="Output 2 7 4 2 2" xfId="48555"/>
    <cellStyle name="Output 2 7 4 2_Sheet1" xfId="48556"/>
    <cellStyle name="Output 2 7 4 3" xfId="48557"/>
    <cellStyle name="Output 2 7 4_Sheet1" xfId="48558"/>
    <cellStyle name="Output 2 7 5" xfId="48559"/>
    <cellStyle name="Output 2 7_Sheet1" xfId="48560"/>
    <cellStyle name="Output 2 8" xfId="48561"/>
    <cellStyle name="Output 2 8 2" xfId="48562"/>
    <cellStyle name="Output 2 8 2 2" xfId="48563"/>
    <cellStyle name="Output 2 8 2 2 2" xfId="48564"/>
    <cellStyle name="Output 2 8 2 2_Sheet1" xfId="48565"/>
    <cellStyle name="Output 2 8 2 3" xfId="48566"/>
    <cellStyle name="Output 2 8 2_Sheet1" xfId="48567"/>
    <cellStyle name="Output 2 8 3" xfId="48568"/>
    <cellStyle name="Output 2 8 3 2" xfId="48569"/>
    <cellStyle name="Output 2 8 3 2 2" xfId="48570"/>
    <cellStyle name="Output 2 8 3 2_Sheet1" xfId="48571"/>
    <cellStyle name="Output 2 8 3 3" xfId="48572"/>
    <cellStyle name="Output 2 8 3_Sheet1" xfId="48573"/>
    <cellStyle name="Output 2 8 4" xfId="48574"/>
    <cellStyle name="Output 2 8 4 2" xfId="48575"/>
    <cellStyle name="Output 2 8 4 2 2" xfId="48576"/>
    <cellStyle name="Output 2 8 4 2_Sheet1" xfId="48577"/>
    <cellStyle name="Output 2 8 4 3" xfId="48578"/>
    <cellStyle name="Output 2 8 4_Sheet1" xfId="48579"/>
    <cellStyle name="Output 2 8 5" xfId="48580"/>
    <cellStyle name="Output 2 8_Sheet1" xfId="48581"/>
    <cellStyle name="Output 2 9" xfId="48582"/>
    <cellStyle name="Output 2 9 2" xfId="48583"/>
    <cellStyle name="Output 2 9 2 2" xfId="48584"/>
    <cellStyle name="Output 2 9 2 2 2" xfId="48585"/>
    <cellStyle name="Output 2 9 2 2_Sheet1" xfId="48586"/>
    <cellStyle name="Output 2 9 2 3" xfId="48587"/>
    <cellStyle name="Output 2 9 2_Sheet1" xfId="48588"/>
    <cellStyle name="Output 2 9 3" xfId="48589"/>
    <cellStyle name="Output 2 9 3 2" xfId="48590"/>
    <cellStyle name="Output 2 9 3 2 2" xfId="48591"/>
    <cellStyle name="Output 2 9 3 2_Sheet1" xfId="48592"/>
    <cellStyle name="Output 2 9 3 3" xfId="48593"/>
    <cellStyle name="Output 2 9 3_Sheet1" xfId="48594"/>
    <cellStyle name="Output 2 9 4" xfId="48595"/>
    <cellStyle name="Output 2 9 4 2" xfId="48596"/>
    <cellStyle name="Output 2 9 4 2 2" xfId="48597"/>
    <cellStyle name="Output 2 9 4 2_Sheet1" xfId="48598"/>
    <cellStyle name="Output 2 9 4 3" xfId="48599"/>
    <cellStyle name="Output 2 9 4_Sheet1" xfId="48600"/>
    <cellStyle name="Output 2 9 5" xfId="48601"/>
    <cellStyle name="Output 2 9_Sheet1" xfId="48602"/>
    <cellStyle name="Output 2_Laporan Aspal Per Bulan 2009" xfId="48603"/>
    <cellStyle name="Output 3" xfId="48604"/>
    <cellStyle name="Output 3 2" xfId="48605"/>
    <cellStyle name="Output 3 2 2" xfId="48606"/>
    <cellStyle name="Output 3 2 2 2" xfId="48607"/>
    <cellStyle name="Output 3 2 2 2 2" xfId="48608"/>
    <cellStyle name="Output 3 2 2 2_Sheet1" xfId="48609"/>
    <cellStyle name="Output 3 2 2 3" xfId="48610"/>
    <cellStyle name="Output 3 2 2_Sheet1" xfId="48611"/>
    <cellStyle name="Output 3 2 3" xfId="48612"/>
    <cellStyle name="Output 3 2 3 2" xfId="48613"/>
    <cellStyle name="Output 3 2 3 2 2" xfId="48614"/>
    <cellStyle name="Output 3 2 3 2_Sheet1" xfId="48615"/>
    <cellStyle name="Output 3 2 3 3" xfId="48616"/>
    <cellStyle name="Output 3 2 3_Sheet1" xfId="48617"/>
    <cellStyle name="Output 3 2 4" xfId="48618"/>
    <cellStyle name="Output 3 2 4 2" xfId="48619"/>
    <cellStyle name="Output 3 2 4 2 2" xfId="48620"/>
    <cellStyle name="Output 3 2 4 2_Sheet1" xfId="48621"/>
    <cellStyle name="Output 3 2 4 3" xfId="48622"/>
    <cellStyle name="Output 3 2 4_Sheet1" xfId="48623"/>
    <cellStyle name="Output 3 2 5" xfId="48624"/>
    <cellStyle name="Output 3 2_Sheet1" xfId="48625"/>
    <cellStyle name="Output 3 3" xfId="48626"/>
    <cellStyle name="Output 3 3 2" xfId="48627"/>
    <cellStyle name="Output 3 3 2 2" xfId="48628"/>
    <cellStyle name="Output 3 3 2 2 2" xfId="48629"/>
    <cellStyle name="Output 3 3 2 2_Sheet1" xfId="48630"/>
    <cellStyle name="Output 3 3 2 3" xfId="48631"/>
    <cellStyle name="Output 3 3 2_Sheet1" xfId="48632"/>
    <cellStyle name="Output 3 3 3" xfId="48633"/>
    <cellStyle name="Output 3 3 3 2" xfId="48634"/>
    <cellStyle name="Output 3 3 3 2 2" xfId="48635"/>
    <cellStyle name="Output 3 3 3 2_Sheet1" xfId="48636"/>
    <cellStyle name="Output 3 3 3 3" xfId="48637"/>
    <cellStyle name="Output 3 3 3_Sheet1" xfId="48638"/>
    <cellStyle name="Output 3 3 4" xfId="48639"/>
    <cellStyle name="Output 3 3 4 2" xfId="48640"/>
    <cellStyle name="Output 3 3 4 2 2" xfId="48641"/>
    <cellStyle name="Output 3 3 4 2_Sheet1" xfId="48642"/>
    <cellStyle name="Output 3 3 4 3" xfId="48643"/>
    <cellStyle name="Output 3 3 4_Sheet1" xfId="48644"/>
    <cellStyle name="Output 3 3 5" xfId="48645"/>
    <cellStyle name="Output 3 3_Sheet1" xfId="48646"/>
    <cellStyle name="Output 3 4" xfId="48647"/>
    <cellStyle name="Output 3 4 2" xfId="48648"/>
    <cellStyle name="Output 3 4 2 2" xfId="48649"/>
    <cellStyle name="Output 3 4 2 2 2" xfId="48650"/>
    <cellStyle name="Output 3 4 2 2_Sheet1" xfId="48651"/>
    <cellStyle name="Output 3 4 2 3" xfId="48652"/>
    <cellStyle name="Output 3 4 2_Sheet1" xfId="48653"/>
    <cellStyle name="Output 3 4 3" xfId="48654"/>
    <cellStyle name="Output 3 4 3 2" xfId="48655"/>
    <cellStyle name="Output 3 4 3 2 2" xfId="48656"/>
    <cellStyle name="Output 3 4 3 2_Sheet1" xfId="48657"/>
    <cellStyle name="Output 3 4 3 3" xfId="48658"/>
    <cellStyle name="Output 3 4 3_Sheet1" xfId="48659"/>
    <cellStyle name="Output 3 4 4" xfId="48660"/>
    <cellStyle name="Output 3 4 4 2" xfId="48661"/>
    <cellStyle name="Output 3 4 4 2 2" xfId="48662"/>
    <cellStyle name="Output 3 4 4 2_Sheet1" xfId="48663"/>
    <cellStyle name="Output 3 4 4 3" xfId="48664"/>
    <cellStyle name="Output 3 4 4_Sheet1" xfId="48665"/>
    <cellStyle name="Output 3 4 5" xfId="48666"/>
    <cellStyle name="Output 3 4_Sheet1" xfId="48667"/>
    <cellStyle name="Output 3 5" xfId="48668"/>
    <cellStyle name="Output 3 5 2" xfId="48669"/>
    <cellStyle name="Output 3 5 2 2" xfId="48670"/>
    <cellStyle name="Output 3 5 2 2 2" xfId="48671"/>
    <cellStyle name="Output 3 5 2 2_Sheet1" xfId="48672"/>
    <cellStyle name="Output 3 5 2 3" xfId="48673"/>
    <cellStyle name="Output 3 5 2_Sheet1" xfId="48674"/>
    <cellStyle name="Output 3 5 3" xfId="48675"/>
    <cellStyle name="Output 3 5 3 2" xfId="48676"/>
    <cellStyle name="Output 3 5 3 2 2" xfId="48677"/>
    <cellStyle name="Output 3 5 3 2_Sheet1" xfId="48678"/>
    <cellStyle name="Output 3 5 3 3" xfId="48679"/>
    <cellStyle name="Output 3 5 3_Sheet1" xfId="48680"/>
    <cellStyle name="Output 3 5 4" xfId="48681"/>
    <cellStyle name="Output 3 5 4 2" xfId="48682"/>
    <cellStyle name="Output 3 5 4 2 2" xfId="48683"/>
    <cellStyle name="Output 3 5 4 2_Sheet1" xfId="48684"/>
    <cellStyle name="Output 3 5 4 3" xfId="48685"/>
    <cellStyle name="Output 3 5 4_Sheet1" xfId="48686"/>
    <cellStyle name="Output 3 5 5" xfId="48687"/>
    <cellStyle name="Output 3 5_Sheet1" xfId="48688"/>
    <cellStyle name="Output 3 6" xfId="48689"/>
    <cellStyle name="Output 3 6 2" xfId="48690"/>
    <cellStyle name="Output 3 6 2 2" xfId="48691"/>
    <cellStyle name="Output 3 6 2_Sheet1" xfId="48692"/>
    <cellStyle name="Output 3 6 3" xfId="48693"/>
    <cellStyle name="Output 3 6_Sheet1" xfId="48694"/>
    <cellStyle name="Output 3 7" xfId="48695"/>
    <cellStyle name="Output 3 7 2" xfId="48696"/>
    <cellStyle name="Output 3 7 2 2" xfId="48697"/>
    <cellStyle name="Output 3 7 2_Sheet1" xfId="48698"/>
    <cellStyle name="Output 3 7 3" xfId="48699"/>
    <cellStyle name="Output 3 7_Sheet1" xfId="48700"/>
    <cellStyle name="Output 3 8" xfId="48701"/>
    <cellStyle name="Output 3 8 2" xfId="48702"/>
    <cellStyle name="Output 3 8 2 2" xfId="48703"/>
    <cellStyle name="Output 3 8 2_Sheet1" xfId="48704"/>
    <cellStyle name="Output 3 8 3" xfId="48705"/>
    <cellStyle name="Output 3 8_Sheet1" xfId="48706"/>
    <cellStyle name="Output 3 9" xfId="48707"/>
    <cellStyle name="Output 3_Laporan Aspal Per Bulan 2009" xfId="48708"/>
    <cellStyle name="Output 4" xfId="48709"/>
    <cellStyle name="Output 4 2" xfId="48710"/>
    <cellStyle name="Output 4 2 2" xfId="48711"/>
    <cellStyle name="Output 4 2 2 2" xfId="48712"/>
    <cellStyle name="Output 4 2 2 2 2" xfId="48713"/>
    <cellStyle name="Output 4 2 2 2_Sheet1" xfId="48714"/>
    <cellStyle name="Output 4 2 2 3" xfId="48715"/>
    <cellStyle name="Output 4 2 2_Sheet1" xfId="48716"/>
    <cellStyle name="Output 4 2 3" xfId="48717"/>
    <cellStyle name="Output 4 2 3 2" xfId="48718"/>
    <cellStyle name="Output 4 2 3 2 2" xfId="48719"/>
    <cellStyle name="Output 4 2 3 2_Sheet1" xfId="48720"/>
    <cellStyle name="Output 4 2 3 3" xfId="48721"/>
    <cellStyle name="Output 4 2 3_Sheet1" xfId="48722"/>
    <cellStyle name="Output 4 2 4" xfId="48723"/>
    <cellStyle name="Output 4 2 4 2" xfId="48724"/>
    <cellStyle name="Output 4 2 4 2 2" xfId="48725"/>
    <cellStyle name="Output 4 2 4 2_Sheet1" xfId="48726"/>
    <cellStyle name="Output 4 2 4 3" xfId="48727"/>
    <cellStyle name="Output 4 2 4_Sheet1" xfId="48728"/>
    <cellStyle name="Output 4 2 5" xfId="48729"/>
    <cellStyle name="Output 4 2_Sheet1" xfId="48730"/>
    <cellStyle name="Output 4 3" xfId="48731"/>
    <cellStyle name="Output 4 3 2" xfId="48732"/>
    <cellStyle name="Output 4 3 2 2" xfId="48733"/>
    <cellStyle name="Output 4 3 2 2 2" xfId="48734"/>
    <cellStyle name="Output 4 3 2 2_Sheet1" xfId="48735"/>
    <cellStyle name="Output 4 3 2 3" xfId="48736"/>
    <cellStyle name="Output 4 3 2_Sheet1" xfId="48737"/>
    <cellStyle name="Output 4 3 3" xfId="48738"/>
    <cellStyle name="Output 4 3 3 2" xfId="48739"/>
    <cellStyle name="Output 4 3 3 2 2" xfId="48740"/>
    <cellStyle name="Output 4 3 3 2_Sheet1" xfId="48741"/>
    <cellStyle name="Output 4 3 3 3" xfId="48742"/>
    <cellStyle name="Output 4 3 3_Sheet1" xfId="48743"/>
    <cellStyle name="Output 4 3 4" xfId="48744"/>
    <cellStyle name="Output 4 3 4 2" xfId="48745"/>
    <cellStyle name="Output 4 3 4 2 2" xfId="48746"/>
    <cellStyle name="Output 4 3 4 2_Sheet1" xfId="48747"/>
    <cellStyle name="Output 4 3 4 3" xfId="48748"/>
    <cellStyle name="Output 4 3 4_Sheet1" xfId="48749"/>
    <cellStyle name="Output 4 3 5" xfId="48750"/>
    <cellStyle name="Output 4 3_Sheet1" xfId="48751"/>
    <cellStyle name="Output 4 4" xfId="48752"/>
    <cellStyle name="Output 4 4 2" xfId="48753"/>
    <cellStyle name="Output 4 4 2 2" xfId="48754"/>
    <cellStyle name="Output 4 4 2 2 2" xfId="48755"/>
    <cellStyle name="Output 4 4 2 2_Sheet1" xfId="48756"/>
    <cellStyle name="Output 4 4 2 3" xfId="48757"/>
    <cellStyle name="Output 4 4 2_Sheet1" xfId="48758"/>
    <cellStyle name="Output 4 4 3" xfId="48759"/>
    <cellStyle name="Output 4 4 3 2" xfId="48760"/>
    <cellStyle name="Output 4 4 3 2 2" xfId="48761"/>
    <cellStyle name="Output 4 4 3 2_Sheet1" xfId="48762"/>
    <cellStyle name="Output 4 4 3 3" xfId="48763"/>
    <cellStyle name="Output 4 4 3_Sheet1" xfId="48764"/>
    <cellStyle name="Output 4 4 4" xfId="48765"/>
    <cellStyle name="Output 4 4 4 2" xfId="48766"/>
    <cellStyle name="Output 4 4 4 2 2" xfId="48767"/>
    <cellStyle name="Output 4 4 4 2_Sheet1" xfId="48768"/>
    <cellStyle name="Output 4 4 4 3" xfId="48769"/>
    <cellStyle name="Output 4 4 4_Sheet1" xfId="48770"/>
    <cellStyle name="Output 4 4 5" xfId="48771"/>
    <cellStyle name="Output 4 4_Sheet1" xfId="48772"/>
    <cellStyle name="Output 4 5" xfId="48773"/>
    <cellStyle name="Output 4 5 2" xfId="48774"/>
    <cellStyle name="Output 4 5 2 2" xfId="48775"/>
    <cellStyle name="Output 4 5 2_Sheet1" xfId="48776"/>
    <cellStyle name="Output 4 5 3" xfId="48777"/>
    <cellStyle name="Output 4 5_Sheet1" xfId="48778"/>
    <cellStyle name="Output 4 6" xfId="48779"/>
    <cellStyle name="Output 4 6 2" xfId="48780"/>
    <cellStyle name="Output 4 6 2 2" xfId="48781"/>
    <cellStyle name="Output 4 6 2_Sheet1" xfId="48782"/>
    <cellStyle name="Output 4 6 3" xfId="48783"/>
    <cellStyle name="Output 4 6_Sheet1" xfId="48784"/>
    <cellStyle name="Output 4 7" xfId="48785"/>
    <cellStyle name="Output 4 7 2" xfId="48786"/>
    <cellStyle name="Output 4 7 2 2" xfId="48787"/>
    <cellStyle name="Output 4 7 2_Sheet1" xfId="48788"/>
    <cellStyle name="Output 4 7 3" xfId="48789"/>
    <cellStyle name="Output 4 7_Sheet1" xfId="48790"/>
    <cellStyle name="Output 4 8" xfId="48791"/>
    <cellStyle name="Output 4_Laporan Aspal Per Bulan 2009" xfId="48792"/>
    <cellStyle name="Output 5" xfId="48793"/>
    <cellStyle name="Output 5 2" xfId="48794"/>
    <cellStyle name="Output 5 2 2" xfId="48795"/>
    <cellStyle name="Output 5 2 2 2" xfId="48796"/>
    <cellStyle name="Output 5 2 2 2 2" xfId="48797"/>
    <cellStyle name="Output 5 2 2 2_Sheet1" xfId="48798"/>
    <cellStyle name="Output 5 2 2 3" xfId="48799"/>
    <cellStyle name="Output 5 2 2_Sheet1" xfId="48800"/>
    <cellStyle name="Output 5 2 3" xfId="48801"/>
    <cellStyle name="Output 5 2 3 2" xfId="48802"/>
    <cellStyle name="Output 5 2 3 2 2" xfId="48803"/>
    <cellStyle name="Output 5 2 3 2_Sheet1" xfId="48804"/>
    <cellStyle name="Output 5 2 3 3" xfId="48805"/>
    <cellStyle name="Output 5 2 3_Sheet1" xfId="48806"/>
    <cellStyle name="Output 5 2 4" xfId="48807"/>
    <cellStyle name="Output 5 2 4 2" xfId="48808"/>
    <cellStyle name="Output 5 2 4 2 2" xfId="48809"/>
    <cellStyle name="Output 5 2 4 2_Sheet1" xfId="48810"/>
    <cellStyle name="Output 5 2 4 3" xfId="48811"/>
    <cellStyle name="Output 5 2 4_Sheet1" xfId="48812"/>
    <cellStyle name="Output 5 2 5" xfId="48813"/>
    <cellStyle name="Output 5 2_Sheet1" xfId="48814"/>
    <cellStyle name="Output 5 3" xfId="48815"/>
    <cellStyle name="Output 5 3 2" xfId="48816"/>
    <cellStyle name="Output 5 3 2 2" xfId="48817"/>
    <cellStyle name="Output 5 3 2 2 2" xfId="48818"/>
    <cellStyle name="Output 5 3 2 2_Sheet1" xfId="48819"/>
    <cellStyle name="Output 5 3 2 3" xfId="48820"/>
    <cellStyle name="Output 5 3 2_Sheet1" xfId="48821"/>
    <cellStyle name="Output 5 3 3" xfId="48822"/>
    <cellStyle name="Output 5 3 3 2" xfId="48823"/>
    <cellStyle name="Output 5 3 3 2 2" xfId="48824"/>
    <cellStyle name="Output 5 3 3 2_Sheet1" xfId="48825"/>
    <cellStyle name="Output 5 3 3 3" xfId="48826"/>
    <cellStyle name="Output 5 3 3_Sheet1" xfId="48827"/>
    <cellStyle name="Output 5 3 4" xfId="48828"/>
    <cellStyle name="Output 5 3 4 2" xfId="48829"/>
    <cellStyle name="Output 5 3 4 2 2" xfId="48830"/>
    <cellStyle name="Output 5 3 4 2_Sheet1" xfId="48831"/>
    <cellStyle name="Output 5 3 4 3" xfId="48832"/>
    <cellStyle name="Output 5 3 4_Sheet1" xfId="48833"/>
    <cellStyle name="Output 5 3 5" xfId="48834"/>
    <cellStyle name="Output 5 3_Sheet1" xfId="48835"/>
    <cellStyle name="Output 5 4" xfId="48836"/>
    <cellStyle name="Output 5 4 2" xfId="48837"/>
    <cellStyle name="Output 5 4 2 2" xfId="48838"/>
    <cellStyle name="Output 5 4 2_Sheet1" xfId="48839"/>
    <cellStyle name="Output 5 4 3" xfId="48840"/>
    <cellStyle name="Output 5 4_Sheet1" xfId="48841"/>
    <cellStyle name="Output 5 5" xfId="48842"/>
    <cellStyle name="Output 5 5 2" xfId="48843"/>
    <cellStyle name="Output 5 5 2 2" xfId="48844"/>
    <cellStyle name="Output 5 5 2_Sheet1" xfId="48845"/>
    <cellStyle name="Output 5 5 3" xfId="48846"/>
    <cellStyle name="Output 5 5_Sheet1" xfId="48847"/>
    <cellStyle name="Output 5 6" xfId="48848"/>
    <cellStyle name="Output 5 6 2" xfId="48849"/>
    <cellStyle name="Output 5 6 2 2" xfId="48850"/>
    <cellStyle name="Output 5 6 2_Sheet1" xfId="48851"/>
    <cellStyle name="Output 5 6 3" xfId="48852"/>
    <cellStyle name="Output 5 6_Sheet1" xfId="48853"/>
    <cellStyle name="Output 5 7" xfId="48854"/>
    <cellStyle name="Output 5_Sheet1" xfId="48855"/>
    <cellStyle name="Output 6" xfId="48856"/>
    <cellStyle name="Output 6 2" xfId="48857"/>
    <cellStyle name="Output 6 2 2" xfId="48858"/>
    <cellStyle name="Output 6 2 2 2" xfId="48859"/>
    <cellStyle name="Output 6 2 2 2 2" xfId="48860"/>
    <cellStyle name="Output 6 2 2 2_Sheet1" xfId="48861"/>
    <cellStyle name="Output 6 2 2 3" xfId="48862"/>
    <cellStyle name="Output 6 2 2_Sheet1" xfId="48863"/>
    <cellStyle name="Output 6 2 3" xfId="48864"/>
    <cellStyle name="Output 6 2 3 2" xfId="48865"/>
    <cellStyle name="Output 6 2 3 2 2" xfId="48866"/>
    <cellStyle name="Output 6 2 3 2_Sheet1" xfId="48867"/>
    <cellStyle name="Output 6 2 3 3" xfId="48868"/>
    <cellStyle name="Output 6 2 3_Sheet1" xfId="48869"/>
    <cellStyle name="Output 6 2 4" xfId="48870"/>
    <cellStyle name="Output 6 2 4 2" xfId="48871"/>
    <cellStyle name="Output 6 2 4 2 2" xfId="48872"/>
    <cellStyle name="Output 6 2 4 2_Sheet1" xfId="48873"/>
    <cellStyle name="Output 6 2 4 3" xfId="48874"/>
    <cellStyle name="Output 6 2 4_Sheet1" xfId="48875"/>
    <cellStyle name="Output 6 2 5" xfId="48876"/>
    <cellStyle name="Output 6 2_Sheet1" xfId="48877"/>
    <cellStyle name="Output 6 3" xfId="48878"/>
    <cellStyle name="Output 6 3 2" xfId="48879"/>
    <cellStyle name="Output 6 3 2 2" xfId="48880"/>
    <cellStyle name="Output 6 3 2_Sheet1" xfId="48881"/>
    <cellStyle name="Output 6 3 3" xfId="48882"/>
    <cellStyle name="Output 6 3_Sheet1" xfId="48883"/>
    <cellStyle name="Output 6 4" xfId="48884"/>
    <cellStyle name="Output 6 4 2" xfId="48885"/>
    <cellStyle name="Output 6 4 2 2" xfId="48886"/>
    <cellStyle name="Output 6 4 2_Sheet1" xfId="48887"/>
    <cellStyle name="Output 6 4 3" xfId="48888"/>
    <cellStyle name="Output 6 4_Sheet1" xfId="48889"/>
    <cellStyle name="Output 6 5" xfId="48890"/>
    <cellStyle name="Output 6 5 2" xfId="48891"/>
    <cellStyle name="Output 6 5 2 2" xfId="48892"/>
    <cellStyle name="Output 6 5 2_Sheet1" xfId="48893"/>
    <cellStyle name="Output 6 5 3" xfId="48894"/>
    <cellStyle name="Output 6 5_Sheet1" xfId="48895"/>
    <cellStyle name="Output 6 6" xfId="48896"/>
    <cellStyle name="Output 6_Sheet1" xfId="48897"/>
    <cellStyle name="Output 7" xfId="48898"/>
    <cellStyle name="Output 7 2" xfId="48899"/>
    <cellStyle name="Output 7 2 2" xfId="48900"/>
    <cellStyle name="Output 7 2 2 2" xfId="48901"/>
    <cellStyle name="Output 7 2 2_Sheet1" xfId="48902"/>
    <cellStyle name="Output 7 2 3" xfId="48903"/>
    <cellStyle name="Output 7 2_Sheet1" xfId="48904"/>
    <cellStyle name="Output 7 3" xfId="48905"/>
    <cellStyle name="Output 7 3 2" xfId="48906"/>
    <cellStyle name="Output 7 3 2 2" xfId="48907"/>
    <cellStyle name="Output 7 3 2_Sheet1" xfId="48908"/>
    <cellStyle name="Output 7 3 3" xfId="48909"/>
    <cellStyle name="Output 7 3_Sheet1" xfId="48910"/>
    <cellStyle name="Output 7 4" xfId="48911"/>
    <cellStyle name="Output 7 4 2" xfId="48912"/>
    <cellStyle name="Output 7 4 2 2" xfId="48913"/>
    <cellStyle name="Output 7 4 2_Sheet1" xfId="48914"/>
    <cellStyle name="Output 7 4 3" xfId="48915"/>
    <cellStyle name="Output 7 4_Sheet1" xfId="48916"/>
    <cellStyle name="Output 7 5" xfId="48917"/>
    <cellStyle name="Output 7_Sheet1" xfId="48918"/>
    <cellStyle name="Output 8" xfId="48919"/>
    <cellStyle name="Output 8 2" xfId="48920"/>
    <cellStyle name="Output 8 2 2" xfId="48921"/>
    <cellStyle name="Output 8 2 2 2" xfId="48922"/>
    <cellStyle name="Output 8 2 2_Sheet1" xfId="48923"/>
    <cellStyle name="Output 8 2 3" xfId="48924"/>
    <cellStyle name="Output 8 2_Sheet1" xfId="48925"/>
    <cellStyle name="Output 8 3" xfId="48926"/>
    <cellStyle name="Output 8 3 2" xfId="48927"/>
    <cellStyle name="Output 8 3 2 2" xfId="48928"/>
    <cellStyle name="Output 8 3 2_Sheet1" xfId="48929"/>
    <cellStyle name="Output 8 3 3" xfId="48930"/>
    <cellStyle name="Output 8 3_Sheet1" xfId="48931"/>
    <cellStyle name="Output 8 4" xfId="48932"/>
    <cellStyle name="Output 8 4 2" xfId="48933"/>
    <cellStyle name="Output 8 4 2 2" xfId="48934"/>
    <cellStyle name="Output 8 4 2_Sheet1" xfId="48935"/>
    <cellStyle name="Output 8 4 3" xfId="48936"/>
    <cellStyle name="Output 8 4_Sheet1" xfId="48937"/>
    <cellStyle name="Output 8 5" xfId="48938"/>
    <cellStyle name="Output 8_Sheet1" xfId="48939"/>
    <cellStyle name="OUTPUT AMOUNTS" xfId="48940"/>
    <cellStyle name="OUTPUT AMOUNTS 2" xfId="48941"/>
    <cellStyle name="OUTPUT AMOUNTS_Sheet1" xfId="48942"/>
    <cellStyle name="OUTPUT COLUMN HEADINGS" xfId="48943"/>
    <cellStyle name="OUTPUT COLUMN HEADINGS 2" xfId="48944"/>
    <cellStyle name="OUTPUT COLUMN HEADINGS_Sheet1" xfId="48945"/>
    <cellStyle name="OUTPUT LINE ITEMS" xfId="48946"/>
    <cellStyle name="OUTPUT LINE ITEMS 2" xfId="48947"/>
    <cellStyle name="OUTPUT LINE ITEMS_Sheet1" xfId="48948"/>
    <cellStyle name="OUTPUT REPORT HEADING" xfId="48949"/>
    <cellStyle name="OUTPUT REPORT HEADING 2" xfId="48950"/>
    <cellStyle name="OUTPUT REPORT HEADING_Sheet1" xfId="48951"/>
    <cellStyle name="OUTPUT REPORT TITLE" xfId="48952"/>
    <cellStyle name="OUTPUT REPORT TITLE 2" xfId="48953"/>
    <cellStyle name="OUTPUT REPORT TITLE_Sheet1" xfId="48954"/>
    <cellStyle name="pc1" xfId="48955"/>
    <cellStyle name="pc1 2" xfId="48956"/>
    <cellStyle name="pc1_Sheet1" xfId="48957"/>
    <cellStyle name="per.style" xfId="48958"/>
    <cellStyle name="Percent" xfId="49416" builtinId="5"/>
    <cellStyle name="Percent [0]" xfId="48959"/>
    <cellStyle name="Percent [0] 2" xfId="48960"/>
    <cellStyle name="Percent [0] 3" xfId="48961"/>
    <cellStyle name="Percent [0] 3 2" xfId="48962"/>
    <cellStyle name="Percent [0] 3_Sheet1" xfId="48963"/>
    <cellStyle name="Percent [0] 4" xfId="48964"/>
    <cellStyle name="Percent [0]_04. OB Hauling Distance" xfId="48965"/>
    <cellStyle name="Percent [00]" xfId="48966"/>
    <cellStyle name="Percent [00] 2" xfId="48967"/>
    <cellStyle name="Percent [00] 3" xfId="48968"/>
    <cellStyle name="Percent [00] 3 2" xfId="48969"/>
    <cellStyle name="Percent [00] 3_Sheet1" xfId="48970"/>
    <cellStyle name="Percent [00] 4" xfId="48971"/>
    <cellStyle name="Percent [00]_04. OB Hauling Distance" xfId="48972"/>
    <cellStyle name="Percent [1]" xfId="48973"/>
    <cellStyle name="Percent [2]" xfId="48974"/>
    <cellStyle name="Percent [2] 2" xfId="48975"/>
    <cellStyle name="Percent [2] 3" xfId="48976"/>
    <cellStyle name="Percent [2] U" xfId="48977"/>
    <cellStyle name="Percent [2] U 2" xfId="48978"/>
    <cellStyle name="Percent [2] U_Sheet1" xfId="48979"/>
    <cellStyle name="Percent [2]_081015 Project Costs - Operational and Captial - Thiessv4 inclu Meandu Capital" xfId="48980"/>
    <cellStyle name="Percent 10" xfId="48981"/>
    <cellStyle name="Percent 10 10" xfId="48982"/>
    <cellStyle name="Percent 10 2" xfId="48983"/>
    <cellStyle name="Percent 10 2 2" xfId="48984"/>
    <cellStyle name="Percent 10 2_Sheet1" xfId="48985"/>
    <cellStyle name="Percent 10 3" xfId="48986"/>
    <cellStyle name="Percent 10 3 2" xfId="48987"/>
    <cellStyle name="Percent 10 3_Sheet1" xfId="48988"/>
    <cellStyle name="Percent 10 4" xfId="48989"/>
    <cellStyle name="Percent 10 4 2" xfId="48990"/>
    <cellStyle name="Percent 10 4_Sheet1" xfId="48991"/>
    <cellStyle name="Percent 10 5" xfId="48992"/>
    <cellStyle name="Percent 10 5 2" xfId="48993"/>
    <cellStyle name="Percent 10 5 3" xfId="48994"/>
    <cellStyle name="Percent 10 5 4" xfId="48995"/>
    <cellStyle name="Percent 10 5 5" xfId="48996"/>
    <cellStyle name="Percent 10 5 6" xfId="48997"/>
    <cellStyle name="Percent 10 5_Sheet1" xfId="48998"/>
    <cellStyle name="Percent 10 6" xfId="48999"/>
    <cellStyle name="Percent 10 7" xfId="49000"/>
    <cellStyle name="Percent 10 8" xfId="49001"/>
    <cellStyle name="Percent 10 9" xfId="49002"/>
    <cellStyle name="Percent 10_Sheet1" xfId="49003"/>
    <cellStyle name="Percent 11" xfId="49004"/>
    <cellStyle name="Percent 11 2" xfId="49005"/>
    <cellStyle name="Percent 11 2 2" xfId="49006"/>
    <cellStyle name="Percent 11 2 3" xfId="49007"/>
    <cellStyle name="Percent 11 2 4" xfId="49008"/>
    <cellStyle name="Percent 11 2 5" xfId="49009"/>
    <cellStyle name="Percent 11 2 6" xfId="49010"/>
    <cellStyle name="Percent 11 2_Sheet1" xfId="49011"/>
    <cellStyle name="Percent 11 3" xfId="49012"/>
    <cellStyle name="Percent 11 4" xfId="49013"/>
    <cellStyle name="Percent 11 5" xfId="49014"/>
    <cellStyle name="Percent 11 6" xfId="49015"/>
    <cellStyle name="Percent 11 7" xfId="49016"/>
    <cellStyle name="Percent 11_Sheet1" xfId="49017"/>
    <cellStyle name="Percent 12" xfId="49018"/>
    <cellStyle name="Percent 13" xfId="49019"/>
    <cellStyle name="Percent 14" xfId="49020"/>
    <cellStyle name="Percent 14 2" xfId="49021"/>
    <cellStyle name="Percent 14 3" xfId="49022"/>
    <cellStyle name="Percent 14_Sheet1" xfId="49023"/>
    <cellStyle name="Percent 15" xfId="49024"/>
    <cellStyle name="Percent 16" xfId="49025"/>
    <cellStyle name="Percent 17" xfId="49026"/>
    <cellStyle name="Percent 17 2" xfId="49027"/>
    <cellStyle name="Percent 18" xfId="49028"/>
    <cellStyle name="Percent 19" xfId="49029"/>
    <cellStyle name="Percent 2" xfId="49030"/>
    <cellStyle name="Percent 2 10" xfId="49031"/>
    <cellStyle name="Percent 2 10 2" xfId="49032"/>
    <cellStyle name="Percent 2 10_Sheet1" xfId="49033"/>
    <cellStyle name="Percent 2 11" xfId="49034"/>
    <cellStyle name="Percent 2 11 2" xfId="49035"/>
    <cellStyle name="Percent 2 11_Sheet1" xfId="49036"/>
    <cellStyle name="Percent 2 12" xfId="49037"/>
    <cellStyle name="Percent 2 12 2" xfId="49038"/>
    <cellStyle name="Percent 2 12_Sheet1" xfId="49039"/>
    <cellStyle name="Percent 2 13" xfId="49040"/>
    <cellStyle name="Percent 2 13 2" xfId="49041"/>
    <cellStyle name="Percent 2 13_Sheet1" xfId="49042"/>
    <cellStyle name="Percent 2 14" xfId="49043"/>
    <cellStyle name="Percent 2 14 2" xfId="49044"/>
    <cellStyle name="Percent 2 14_Sheet1" xfId="49045"/>
    <cellStyle name="Percent 2 15" xfId="49046"/>
    <cellStyle name="Percent 2 15 2" xfId="49047"/>
    <cellStyle name="Percent 2 15_Sheet1" xfId="49048"/>
    <cellStyle name="Percent 2 16" xfId="49049"/>
    <cellStyle name="Percent 2 16 2" xfId="49050"/>
    <cellStyle name="Percent 2 16_Sheet1" xfId="49051"/>
    <cellStyle name="Percent 2 17" xfId="49052"/>
    <cellStyle name="Percent 2 17 2" xfId="49053"/>
    <cellStyle name="Percent 2 17_Sheet1" xfId="49054"/>
    <cellStyle name="Percent 2 18" xfId="49055"/>
    <cellStyle name="Percent 2 18 2" xfId="49056"/>
    <cellStyle name="Percent 2 18_Sheet1" xfId="49057"/>
    <cellStyle name="Percent 2 19" xfId="49058"/>
    <cellStyle name="Percent 2 19 2" xfId="49059"/>
    <cellStyle name="Percent 2 19 3" xfId="49060"/>
    <cellStyle name="Percent 2 19 4" xfId="49061"/>
    <cellStyle name="Percent 2 19 5" xfId="49062"/>
    <cellStyle name="Percent 2 19 6" xfId="49063"/>
    <cellStyle name="Percent 2 19_Sheet1" xfId="49064"/>
    <cellStyle name="Percent 2 2" xfId="49065"/>
    <cellStyle name="Percent 2 2 2" xfId="49066"/>
    <cellStyle name="Percent 2 2 2 2" xfId="49067"/>
    <cellStyle name="Percent 2 2 2_Sheet1" xfId="49068"/>
    <cellStyle name="Percent 2 2 3" xfId="49069"/>
    <cellStyle name="Percent 2 2 4" xfId="49070"/>
    <cellStyle name="Percent 2 2 5" xfId="49071"/>
    <cellStyle name="Percent 2 2_Sheet1" xfId="49072"/>
    <cellStyle name="Percent 2 20" xfId="49073"/>
    <cellStyle name="Percent 2 20 2" xfId="49074"/>
    <cellStyle name="Percent 2 20 3" xfId="49075"/>
    <cellStyle name="Percent 2 20 4" xfId="49076"/>
    <cellStyle name="Percent 2 20 5" xfId="49077"/>
    <cellStyle name="Percent 2 20 6" xfId="49078"/>
    <cellStyle name="Percent 2 20_Sheet1" xfId="49079"/>
    <cellStyle name="Percent 2 21" xfId="49080"/>
    <cellStyle name="Percent 2 22" xfId="49081"/>
    <cellStyle name="Percent 2 23" xfId="49082"/>
    <cellStyle name="Percent 2 24" xfId="49083"/>
    <cellStyle name="Percent 2 25" xfId="49084"/>
    <cellStyle name="Percent 2 26" xfId="49085"/>
    <cellStyle name="Percent 2 27" xfId="49086"/>
    <cellStyle name="Percent 2 28" xfId="49087"/>
    <cellStyle name="Percent 2 29" xfId="49088"/>
    <cellStyle name="Percent 2 3" xfId="49089"/>
    <cellStyle name="Percent 2 3 2" xfId="49090"/>
    <cellStyle name="Percent 2 3 3" xfId="49091"/>
    <cellStyle name="Percent 2 3_Sheet1" xfId="49092"/>
    <cellStyle name="Percent 2 30" xfId="49093"/>
    <cellStyle name="Percent 2 31" xfId="49094"/>
    <cellStyle name="Percent 2 32" xfId="49095"/>
    <cellStyle name="Percent 2 33" xfId="49096"/>
    <cellStyle name="Percent 2 34" xfId="49097"/>
    <cellStyle name="Percent 2 35" xfId="49098"/>
    <cellStyle name="Percent 2 36" xfId="49099"/>
    <cellStyle name="Percent 2 37" xfId="49100"/>
    <cellStyle name="Percent 2 38" xfId="49101"/>
    <cellStyle name="Percent 2 39" xfId="49102"/>
    <cellStyle name="Percent 2 4" xfId="49103"/>
    <cellStyle name="Percent 2 4 2" xfId="49104"/>
    <cellStyle name="Percent 2 4_Sheet1" xfId="49105"/>
    <cellStyle name="Percent 2 40" xfId="49106"/>
    <cellStyle name="Percent 2 41" xfId="49107"/>
    <cellStyle name="Percent 2 42" xfId="49108"/>
    <cellStyle name="Percent 2 43" xfId="49109"/>
    <cellStyle name="Percent 2 44" xfId="49110"/>
    <cellStyle name="Percent 2 45" xfId="49111"/>
    <cellStyle name="Percent 2 46" xfId="49112"/>
    <cellStyle name="Percent 2 47" xfId="49113"/>
    <cellStyle name="Percent 2 48" xfId="49114"/>
    <cellStyle name="Percent 2 49" xfId="49115"/>
    <cellStyle name="Percent 2 5" xfId="49116"/>
    <cellStyle name="Percent 2 5 2" xfId="49117"/>
    <cellStyle name="Percent 2 5_Sheet1" xfId="49118"/>
    <cellStyle name="Percent 2 50" xfId="49119"/>
    <cellStyle name="Percent 2 51" xfId="49120"/>
    <cellStyle name="Percent 2 52" xfId="49121"/>
    <cellStyle name="Percent 2 53" xfId="49122"/>
    <cellStyle name="Percent 2 53 2" xfId="49123"/>
    <cellStyle name="Percent 2 53 2 2" xfId="49124"/>
    <cellStyle name="Percent 2 53 2 2 2" xfId="49125"/>
    <cellStyle name="Percent 2 53 2 2 2 2" xfId="49126"/>
    <cellStyle name="Percent 2 53 2 3" xfId="49127"/>
    <cellStyle name="Percent 2 53 2 3 2" xfId="49128"/>
    <cellStyle name="Percent 2 53 3" xfId="49129"/>
    <cellStyle name="Percent 2 53 3 2" xfId="49130"/>
    <cellStyle name="Percent 2 53 3 2 2" xfId="49131"/>
    <cellStyle name="Percent 2 6" xfId="49132"/>
    <cellStyle name="Percent 2 6 2" xfId="49133"/>
    <cellStyle name="Percent 2 6 2 2" xfId="49134"/>
    <cellStyle name="Percent 2 6 2 3" xfId="49135"/>
    <cellStyle name="Percent 2 6 2 4" xfId="49136"/>
    <cellStyle name="Percent 2 6 2 5" xfId="49137"/>
    <cellStyle name="Percent 2 6 2 6" xfId="49138"/>
    <cellStyle name="Percent 2 6 2_Sheet1" xfId="49139"/>
    <cellStyle name="Percent 2 6_Sheet1" xfId="49140"/>
    <cellStyle name="Percent 2 7" xfId="49141"/>
    <cellStyle name="Percent 2 7 2" xfId="49142"/>
    <cellStyle name="Percent 2 7_Sheet1" xfId="49143"/>
    <cellStyle name="Percent 2 8" xfId="49144"/>
    <cellStyle name="Percent 2 8 2" xfId="49145"/>
    <cellStyle name="Percent 2 8_Sheet1" xfId="49146"/>
    <cellStyle name="Percent 2 9" xfId="49147"/>
    <cellStyle name="Percent 2 9 2" xfId="49148"/>
    <cellStyle name="Percent 2 9_Sheet1" xfId="49149"/>
    <cellStyle name="Percent 2_Sheet1" xfId="49150"/>
    <cellStyle name="Percent 23" xfId="49151"/>
    <cellStyle name="Percent 3" xfId="49152"/>
    <cellStyle name="Percent 3 2" xfId="49153"/>
    <cellStyle name="Percent 3 2 2" xfId="49154"/>
    <cellStyle name="Percent 3 2 3" xfId="49155"/>
    <cellStyle name="Percent 3 2 3 2" xfId="49156"/>
    <cellStyle name="Percent 3 2 3 3" xfId="49157"/>
    <cellStyle name="Percent 3 2 3 4" xfId="49158"/>
    <cellStyle name="Percent 3 2 3 5" xfId="49159"/>
    <cellStyle name="Percent 3 2 3 6" xfId="49160"/>
    <cellStyle name="Percent 3 2 3_Sheet1" xfId="49161"/>
    <cellStyle name="Percent 3 2 4" xfId="49162"/>
    <cellStyle name="Percent 3 2 4 2" xfId="49163"/>
    <cellStyle name="Percent 3 2 4 3" xfId="49164"/>
    <cellStyle name="Percent 3 2 4 4" xfId="49165"/>
    <cellStyle name="Percent 3 2 4 5" xfId="49166"/>
    <cellStyle name="Percent 3 2 4 6" xfId="49167"/>
    <cellStyle name="Percent 3 2 4_Sheet1" xfId="49168"/>
    <cellStyle name="Percent 3 2 5" xfId="49169"/>
    <cellStyle name="Percent 3 2 6" xfId="49170"/>
    <cellStyle name="Percent 3 2 7" xfId="49171"/>
    <cellStyle name="Percent 3 2 8" xfId="49172"/>
    <cellStyle name="Percent 3 2 9" xfId="49173"/>
    <cellStyle name="Percent 3 2_Sheet1" xfId="49174"/>
    <cellStyle name="Percent 3 3" xfId="49175"/>
    <cellStyle name="Percent 3 3 2" xfId="49176"/>
    <cellStyle name="Percent 3 3_Sheet1" xfId="49177"/>
    <cellStyle name="Percent 3 4" xfId="49178"/>
    <cellStyle name="Percent 3 5" xfId="49179"/>
    <cellStyle name="Percent 3 6" xfId="49180"/>
    <cellStyle name="Percent 3 7" xfId="49181"/>
    <cellStyle name="Percent 3 8" xfId="49182"/>
    <cellStyle name="Percent 3 86" xfId="49183"/>
    <cellStyle name="Percent 3_Sheet1" xfId="49184"/>
    <cellStyle name="Percent 4" xfId="49185"/>
    <cellStyle name="Percent 4 10" xfId="49186"/>
    <cellStyle name="Percent 4 10 2" xfId="49187"/>
    <cellStyle name="Percent 4 10_Sheet1" xfId="49188"/>
    <cellStyle name="Percent 4 11" xfId="49189"/>
    <cellStyle name="Percent 4 11 2" xfId="49190"/>
    <cellStyle name="Percent 4 11_Sheet1" xfId="49191"/>
    <cellStyle name="Percent 4 12" xfId="49192"/>
    <cellStyle name="Percent 4 12 2" xfId="49193"/>
    <cellStyle name="Percent 4 12_Sheet1" xfId="49194"/>
    <cellStyle name="Percent 4 13" xfId="49195"/>
    <cellStyle name="Percent 4 13 2" xfId="49196"/>
    <cellStyle name="Percent 4 13_Sheet1" xfId="49197"/>
    <cellStyle name="Percent 4 14" xfId="49198"/>
    <cellStyle name="Percent 4 14 2" xfId="49199"/>
    <cellStyle name="Percent 4 14_Sheet1" xfId="49200"/>
    <cellStyle name="Percent 4 15" xfId="49201"/>
    <cellStyle name="Percent 4 15 2" xfId="49202"/>
    <cellStyle name="Percent 4 15_Sheet1" xfId="49203"/>
    <cellStyle name="Percent 4 16" xfId="49204"/>
    <cellStyle name="Percent 4 16 2" xfId="49205"/>
    <cellStyle name="Percent 4 16_Sheet1" xfId="49206"/>
    <cellStyle name="Percent 4 17" xfId="49207"/>
    <cellStyle name="Percent 4 17 2" xfId="49208"/>
    <cellStyle name="Percent 4 17_Sheet1" xfId="49209"/>
    <cellStyle name="Percent 4 18" xfId="49210"/>
    <cellStyle name="Percent 4 19" xfId="49211"/>
    <cellStyle name="Percent 4 2" xfId="49212"/>
    <cellStyle name="Percent 4 2 2" xfId="49213"/>
    <cellStyle name="Percent 4 2 3" xfId="49214"/>
    <cellStyle name="Percent 4 2_Sheet1" xfId="49215"/>
    <cellStyle name="Percent 4 20" xfId="49216"/>
    <cellStyle name="Percent 4 3" xfId="49217"/>
    <cellStyle name="Percent 4 3 2" xfId="49218"/>
    <cellStyle name="Percent 4 3_Sheet1" xfId="49219"/>
    <cellStyle name="Percent 4 4" xfId="49220"/>
    <cellStyle name="Percent 4 4 2" xfId="49221"/>
    <cellStyle name="Percent 4 4_Sheet1" xfId="49222"/>
    <cellStyle name="Percent 4 5" xfId="49223"/>
    <cellStyle name="Percent 4 5 2" xfId="49224"/>
    <cellStyle name="Percent 4 5_Sheet1" xfId="49225"/>
    <cellStyle name="Percent 4 6" xfId="49226"/>
    <cellStyle name="Percent 4 6 2" xfId="49227"/>
    <cellStyle name="Percent 4 6_Sheet1" xfId="49228"/>
    <cellStyle name="Percent 4 7" xfId="49229"/>
    <cellStyle name="Percent 4 7 2" xfId="49230"/>
    <cellStyle name="Percent 4 7_Sheet1" xfId="49231"/>
    <cellStyle name="Percent 4 8" xfId="49232"/>
    <cellStyle name="Percent 4 8 2" xfId="49233"/>
    <cellStyle name="Percent 4 8_Sheet1" xfId="49234"/>
    <cellStyle name="Percent 4 9" xfId="49235"/>
    <cellStyle name="Percent 4 9 2" xfId="49236"/>
    <cellStyle name="Percent 4 9_Sheet1" xfId="49237"/>
    <cellStyle name="Percent 4_Sheet1" xfId="49238"/>
    <cellStyle name="Percent 5" xfId="49239"/>
    <cellStyle name="Percent 5 10" xfId="49240"/>
    <cellStyle name="Percent 5 10 2" xfId="49241"/>
    <cellStyle name="Percent 5 10_Sheet1" xfId="49242"/>
    <cellStyle name="Percent 5 11" xfId="49243"/>
    <cellStyle name="Percent 5 11 2" xfId="49244"/>
    <cellStyle name="Percent 5 11_Sheet1" xfId="49245"/>
    <cellStyle name="Percent 5 12" xfId="49246"/>
    <cellStyle name="Percent 5 12 2" xfId="49247"/>
    <cellStyle name="Percent 5 12_Sheet1" xfId="49248"/>
    <cellStyle name="Percent 5 13" xfId="49249"/>
    <cellStyle name="Percent 5 13 2" xfId="49250"/>
    <cellStyle name="Percent 5 13_Sheet1" xfId="49251"/>
    <cellStyle name="Percent 5 14" xfId="49252"/>
    <cellStyle name="Percent 5 14 2" xfId="49253"/>
    <cellStyle name="Percent 5 14_Sheet1" xfId="49254"/>
    <cellStyle name="Percent 5 15" xfId="49255"/>
    <cellStyle name="Percent 5 15 2" xfId="49256"/>
    <cellStyle name="Percent 5 15_Sheet1" xfId="49257"/>
    <cellStyle name="Percent 5 16" xfId="49258"/>
    <cellStyle name="Percent 5 16 2" xfId="49259"/>
    <cellStyle name="Percent 5 16_Sheet1" xfId="49260"/>
    <cellStyle name="Percent 5 17" xfId="49261"/>
    <cellStyle name="Percent 5 17 2" xfId="49262"/>
    <cellStyle name="Percent 5 17_Sheet1" xfId="49263"/>
    <cellStyle name="Percent 5 18" xfId="49264"/>
    <cellStyle name="Percent 5 19" xfId="49265"/>
    <cellStyle name="Percent 5 2" xfId="49266"/>
    <cellStyle name="Percent 5 3" xfId="49267"/>
    <cellStyle name="Percent 5 3 2" xfId="49268"/>
    <cellStyle name="Percent 5 3_Sheet1" xfId="49269"/>
    <cellStyle name="Percent 5 4" xfId="49270"/>
    <cellStyle name="Percent 5 4 2" xfId="49271"/>
    <cellStyle name="Percent 5 4_Sheet1" xfId="49272"/>
    <cellStyle name="Percent 5 5" xfId="49273"/>
    <cellStyle name="Percent 5 5 2" xfId="49274"/>
    <cellStyle name="Percent 5 5_Sheet1" xfId="49275"/>
    <cellStyle name="Percent 5 6" xfId="49276"/>
    <cellStyle name="Percent 5 6 2" xfId="49277"/>
    <cellStyle name="Percent 5 6_Sheet1" xfId="49278"/>
    <cellStyle name="Percent 5 7" xfId="49279"/>
    <cellStyle name="Percent 5 7 2" xfId="49280"/>
    <cellStyle name="Percent 5 7_Sheet1" xfId="49281"/>
    <cellStyle name="Percent 5 8" xfId="49282"/>
    <cellStyle name="Percent 5 8 2" xfId="49283"/>
    <cellStyle name="Percent 5 8_Sheet1" xfId="49284"/>
    <cellStyle name="Percent 5 9" xfId="49285"/>
    <cellStyle name="Percent 5 9 2" xfId="49286"/>
    <cellStyle name="Percent 5 9_Sheet1" xfId="49287"/>
    <cellStyle name="Percent 5_Sheet1" xfId="49288"/>
    <cellStyle name="Percent 6" xfId="49289"/>
    <cellStyle name="Percent 6 2" xfId="49290"/>
    <cellStyle name="Percent 6 2 2" xfId="49291"/>
    <cellStyle name="Percent 6 2 3" xfId="49292"/>
    <cellStyle name="Percent 6 2 4" xfId="49293"/>
    <cellStyle name="Percent 6 2 5" xfId="49294"/>
    <cellStyle name="Percent 6 2 6" xfId="49295"/>
    <cellStyle name="Percent 6 2 7" xfId="49296"/>
    <cellStyle name="Percent 6 2 8" xfId="49297"/>
    <cellStyle name="Percent 6 2_Sheet1" xfId="49298"/>
    <cellStyle name="Percent 6 3" xfId="49299"/>
    <cellStyle name="Percent 6 4" xfId="49300"/>
    <cellStyle name="Percent 6 5" xfId="49301"/>
    <cellStyle name="Percent 6_Sheet1" xfId="49302"/>
    <cellStyle name="Percent 7" xfId="49303"/>
    <cellStyle name="Percent 7 2" xfId="49304"/>
    <cellStyle name="Percent 7 2 2" xfId="49305"/>
    <cellStyle name="Percent 7 2 3" xfId="49306"/>
    <cellStyle name="Percent 7 2 4" xfId="49307"/>
    <cellStyle name="Percent 7 2 5" xfId="49308"/>
    <cellStyle name="Percent 7 2 6" xfId="49309"/>
    <cellStyle name="Percent 7 2 7" xfId="49310"/>
    <cellStyle name="Percent 7 2_Sheet1" xfId="49311"/>
    <cellStyle name="Percent 7 3" xfId="49312"/>
    <cellStyle name="Percent 7 3 2" xfId="49313"/>
    <cellStyle name="Percent 7 3 2 2" xfId="49314"/>
    <cellStyle name="Percent 7 3 2 3" xfId="49315"/>
    <cellStyle name="Percent 7 3 2 4" xfId="49316"/>
    <cellStyle name="Percent 7 3 2 5" xfId="49317"/>
    <cellStyle name="Percent 7 3 2 6" xfId="49318"/>
    <cellStyle name="Percent 7 3 2 7" xfId="49319"/>
    <cellStyle name="Percent 7 3 2_Sheet1" xfId="49320"/>
    <cellStyle name="Percent 7 3 3" xfId="49321"/>
    <cellStyle name="Percent 7 3 4" xfId="49322"/>
    <cellStyle name="Percent 7 3 5" xfId="49323"/>
    <cellStyle name="Percent 7 3 6" xfId="49324"/>
    <cellStyle name="Percent 7 3 7" xfId="49325"/>
    <cellStyle name="Percent 7 3 8" xfId="49326"/>
    <cellStyle name="Percent 7 3_Sheet1" xfId="49327"/>
    <cellStyle name="Percent 7 4" xfId="49328"/>
    <cellStyle name="Percent 7_Sheet1" xfId="49329"/>
    <cellStyle name="Percent 8" xfId="49330"/>
    <cellStyle name="Percent 8 2" xfId="49331"/>
    <cellStyle name="Percent 8_Sheet1" xfId="49332"/>
    <cellStyle name="Percent 9" xfId="49333"/>
    <cellStyle name="Percent 9 2" xfId="49334"/>
    <cellStyle name="Percent 9_Sheet1" xfId="49335"/>
    <cellStyle name="PERCENTAGE" xfId="49336"/>
    <cellStyle name="PERCENTAGE 2" xfId="49337"/>
    <cellStyle name="PERCENTAGE 2 2" xfId="49338"/>
    <cellStyle name="PERCENTAGE 2 2 2" xfId="49339"/>
    <cellStyle name="PERCENTAGE 2 2_Sheet1" xfId="49340"/>
    <cellStyle name="PERCENTAGE 2 3" xfId="49341"/>
    <cellStyle name="PERCENTAGE 2_Sheet1" xfId="49342"/>
    <cellStyle name="PERCENTAGE 3" xfId="49343"/>
    <cellStyle name="PERCENTAGE 3 2" xfId="49344"/>
    <cellStyle name="PERCENTAGE 3 2 2" xfId="49345"/>
    <cellStyle name="PERCENTAGE 3 2 3" xfId="49346"/>
    <cellStyle name="PERCENTAGE 3 2_Sheet1" xfId="49347"/>
    <cellStyle name="PERCENTAGE 3 3" xfId="49348"/>
    <cellStyle name="PERCENTAGE 3_Sheet1" xfId="49349"/>
    <cellStyle name="PERCENTAGE 4" xfId="49350"/>
    <cellStyle name="PERCENTAGE 4 2" xfId="49351"/>
    <cellStyle name="PERCENTAGE 4 3" xfId="49352"/>
    <cellStyle name="PERCENTAGE 4_Sheet1" xfId="49353"/>
    <cellStyle name="PERCENTAGE 5" xfId="49354"/>
    <cellStyle name="PERCENTAGE 6" xfId="49355"/>
    <cellStyle name="PERCENTAGE_Sheet1" xfId="49356"/>
    <cellStyle name="PercentSales" xfId="49357"/>
    <cellStyle name="PercentSales 2" xfId="49358"/>
    <cellStyle name="PercentSales_Sheet1" xfId="49359"/>
    <cellStyle name="PgLen" xfId="49360"/>
    <cellStyle name="Porcentaje" xfId="49361"/>
    <cellStyle name="pound_mu" xfId="49362"/>
    <cellStyle name="PrePop Currency (0)" xfId="49363"/>
    <cellStyle name="PrePop Currency (0) 2" xfId="49364"/>
    <cellStyle name="PrePop Currency (0) 3" xfId="49365"/>
    <cellStyle name="PrePop Currency (0) 3 2" xfId="49366"/>
    <cellStyle name="PrePop Currency (0) 3_Sheet1" xfId="49367"/>
    <cellStyle name="PrePop Currency (0) 4" xfId="49368"/>
    <cellStyle name="PrePop Currency (0)_01. Lati Mine Operation" xfId="49369"/>
    <cellStyle name="PrePop Currency (2)" xfId="49370"/>
    <cellStyle name="PrePop Currency (2) 2" xfId="49371"/>
    <cellStyle name="PrePop Currency (2) 3" xfId="49372"/>
    <cellStyle name="PrePop Currency (2)_01. Lati Mine Operation" xfId="49373"/>
    <cellStyle name="PrePop Units (0)" xfId="49374"/>
    <cellStyle name="PrePop Units (0) 2" xfId="49375"/>
    <cellStyle name="PrePop Units (0) 3" xfId="49376"/>
    <cellStyle name="PrePop Units (0) 3 2" xfId="49377"/>
    <cellStyle name="PrePop Units (0) 3_Sheet1" xfId="49378"/>
    <cellStyle name="PrePop Units (0) 4" xfId="49379"/>
    <cellStyle name="PrePop Units (0)_01. Lati Mine Operation" xfId="49380"/>
    <cellStyle name="PrePop Units (1)" xfId="49381"/>
    <cellStyle name="PrePop Units (1) 2" xfId="49382"/>
    <cellStyle name="PrePop Units (1) 3" xfId="49383"/>
    <cellStyle name="PrePop Units (1) 3 2" xfId="49384"/>
    <cellStyle name="PrePop Units (1) 3_Sheet1" xfId="49385"/>
    <cellStyle name="PrePop Units (1) 4" xfId="49386"/>
    <cellStyle name="PrePop Units (1)_01. Lati Mine Operation" xfId="49387"/>
    <cellStyle name="PrePop Units (2)" xfId="49388"/>
    <cellStyle name="PrePop Units (2) 2" xfId="49389"/>
    <cellStyle name="PrePop Units (2) 3" xfId="49390"/>
    <cellStyle name="PrePop Units (2)_01. Lati Mine Operation" xfId="49391"/>
    <cellStyle name="PwC" xfId="49392"/>
    <cellStyle name="PwC 2" xfId="49393"/>
    <cellStyle name="PwC_Sheet1" xfId="49394"/>
    <cellStyle name="Rate" xfId="49395"/>
    <cellStyle name="RateBold" xfId="49396"/>
    <cellStyle name="Red font" xfId="49397"/>
    <cellStyle name="regstoresfromspecstores" xfId="49398"/>
    <cellStyle name="Reset  - Style7" xfId="49399"/>
    <cellStyle name="Reset range style to defaults" xfId="49400"/>
    <cellStyle name="Result 1" xfId="49401"/>
    <cellStyle name="RevList" xfId="49402"/>
    <cellStyle name="RevList 2" xfId="49403"/>
    <cellStyle name="RevList_Sheet1" xfId="49404"/>
    <cellStyle name="sbt2" xfId="49405"/>
    <cellStyle name="Style 1" xfId="49406"/>
    <cellStyle name="subt1" xfId="49407"/>
    <cellStyle name="Text Indent A" xfId="49408"/>
    <cellStyle name="Text Indent B" xfId="49409"/>
    <cellStyle name="Text Indent B 2" xfId="49410"/>
    <cellStyle name="Text Indent C" xfId="49411"/>
    <cellStyle name="Text Indent C 2" xfId="4941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externalLink" Target="externalLinks/externalLink11.xml"/><Relationship Id="rId21" Type="http://schemas.openxmlformats.org/officeDocument/2006/relationships/externalLink" Target="externalLinks/externalLink6.xml"/><Relationship Id="rId34" Type="http://schemas.openxmlformats.org/officeDocument/2006/relationships/externalLink" Target="externalLinks/externalLink1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32" Type="http://schemas.openxmlformats.org/officeDocument/2006/relationships/externalLink" Target="externalLinks/externalLink17.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4.xml"/><Relationship Id="rId31" Type="http://schemas.openxmlformats.org/officeDocument/2006/relationships/externalLink" Target="externalLinks/externalLink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30" Type="http://schemas.openxmlformats.org/officeDocument/2006/relationships/externalLink" Target="externalLinks/externalLink15.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160001\target%20kpi%20o\Budhi\Form%208-9%20(Operation)\My%20Documents\bahan%20buku\form-pm.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di\proposal\SHARE\CAMCO\LOADING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It-37qu1t3rxc8m\D\Planning%20Data\Raker\Report%20To%20Jkt\Lap%20Monthly%202005\February\Production\Prod_Coal-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suhdi\Local%20Settings\Temporary%20Internet%20Files\OLK243\Documents%20and%20Settings\KMRAO\Local%20Settings\Temporary%20Internet%20Files\OLK10\B1.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JK000396\aws\Documents%20and%20Settings\RINTZA\My%20Documents\the%20client\Darma%20Henwa\Audit%20June%202002\WP\O\DHJune_02Forex%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ser\d\TEMPO\lintec-sumico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TEMP\windows\TEMP\CKM\NAV-DISC.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I:\kerjaan\TENDER%20DOKUMEN\final-smo-bwest-tender-doc\final%20completed%20document\support%20document\Data%20Curah%20Hujan%20Sambarata%201990-200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034.136\c\unzipped\kpi%20petangis\kpi.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Mine_syahril\mine\WINDOWS\TEMP\Book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dbase_BOD.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JCI_MCAP\Jci.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dbsvi-fs04\research$\CNCONOTE\CSDC\1138-char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windows\TEMP\C.Lotus.Notes.Data\SMRT.coy%20-%20April%20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Users\bakhtiar.isrori\AppData\Roaming\Microsoft\Excel\KLM_COAL_HAULING_2013_Phase%205%20(agreed)%20(2)%20(version%201).xlsb"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Lati_qa02\MONITORING%20S\Documents%20and%20Settings\Pit%20Control%20Lati\Local%20Settings\Temp\NB065%20&amp;%20NB061.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C:\Users\vmariana\AppData\Local\Microsoft\Windows\Temporary%20Internet%20Files\Content.Outlook\17TGWF2P\Jkt%20Setiabudi%20One\Priwa\my%20Doc%20!!\Duta%20SC\Timas\data\bk-besar.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New%20Folder\Analisa%20&amp;%20.RAB.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azwar.fanani\AppData\Local\Microsoft\Windows\INetCache\Content.Outlook\PBR3YB1A\Documents%20and%20Settings\fitri%20sukarti\Desktop\fa-11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cean voyage"/>
      <sheetName val="5y pm"/>
      <sheetName val="1y pm "/>
      <sheetName val="act plan 1y"/>
      <sheetName val="R &amp; M COST"/>
      <sheetName val="PERIODE NOV'11"/>
      <sheetName val="PRODUKSI"/>
      <sheetName val="oceanvoyage"/>
      <sheetName val="Sheet1"/>
      <sheetName val="Tunas Motor"/>
      <sheetName val="Bali Sena Motor"/>
      <sheetName val="Prima Jaya Motor"/>
      <sheetName val="Setia Motor"/>
      <sheetName val="Akur Motor Ps"/>
      <sheetName val="Akur Motor Tlp"/>
      <sheetName val="Intan Motor"/>
      <sheetName val="Surya Sari Motor"/>
      <sheetName val="Jaya Motor"/>
      <sheetName val="Bhinneka Motor"/>
      <sheetName val="Bhinneka Motor 2"/>
      <sheetName val="Tunas Baru Motor"/>
      <sheetName val="Lumayan Motor"/>
      <sheetName val="Salim Jaya Motor"/>
      <sheetName val="Rona Motor"/>
      <sheetName val="Istana Motor"/>
      <sheetName val="Honda Motor"/>
      <sheetName val="Lampung Motor Bk"/>
      <sheetName val="Lampung Motor U2"/>
      <sheetName val="Surya Kencana Motor"/>
      <sheetName val="Metro Motor"/>
      <sheetName val="Tunas Muda Motor"/>
      <sheetName val="Tunas Dwipa Matra"/>
      <sheetName val="DAILY DIST"/>
      <sheetName val="ACT1"/>
      <sheetName val="ACT2"/>
      <sheetName val="ACT3"/>
      <sheetName val="TTLACT"/>
      <sheetName val="AHM"/>
      <sheetName val="Types"/>
      <sheetName val="SA"/>
      <sheetName val="Dist Dealer per tgl"/>
      <sheetName val="Distribution Analysis"/>
      <sheetName val="10"/>
      <sheetName val="11-20"/>
      <sheetName val="20"/>
      <sheetName val="21-30"/>
      <sheetName val="30"/>
      <sheetName val="dealer1"/>
      <sheetName val="dealer2"/>
      <sheetName val="type"/>
      <sheetName val="RFS-10"/>
      <sheetName val="RFS-20"/>
      <sheetName val="RFS-30"/>
      <sheetName val="RFS-DLR"/>
      <sheetName val="RFS-TYP"/>
      <sheetName val="Chartsales"/>
      <sheetName val="DailySales"/>
      <sheetName val="Contribution"/>
      <sheetName val="general info "/>
      <sheetName val="porter"/>
      <sheetName val="swot"/>
      <sheetName val="winning-concept"/>
      <sheetName val="5 YRs POLICY"/>
      <sheetName val="STRG INITIATIVES 2004-2008"/>
      <sheetName val="STRG INITIATIVES 04"/>
      <sheetName val="Activity Plan"/>
      <sheetName val="Juklak Act. Plan"/>
      <sheetName val="2003"/>
      <sheetName val="2004"/>
      <sheetName val="JAN"/>
      <sheetName val="PEB"/>
      <sheetName val="MART"/>
      <sheetName val="APRL"/>
      <sheetName val="MEI"/>
      <sheetName val="JUN"/>
      <sheetName val="JUL"/>
      <sheetName val="AGST"/>
      <sheetName val="SEPT"/>
      <sheetName val="OKT"/>
      <sheetName val="NOV"/>
      <sheetName val="DES"/>
      <sheetName val="QUALITY"/>
      <sheetName val="COST"/>
      <sheetName val="DELIVERY"/>
      <sheetName val="MORAL"/>
      <sheetName val="#REF"/>
      <sheetName val="listnya"/>
      <sheetName val="Parameter"/>
      <sheetName val="Graph Var"/>
      <sheetName val="FL2016"/>
      <sheetName val="Input Parameter"/>
      <sheetName val="Bank Charges"/>
      <sheetName val="Posisi Bank"/>
      <sheetName val="Cash In &amp; Out"/>
      <sheetName val="Rekon Bank"/>
      <sheetName val="7. Traits"/>
      <sheetName val="WHY 2"/>
      <sheetName val="LPA OB"/>
      <sheetName val="A"/>
      <sheetName val="ocean_voyage"/>
      <sheetName val="5y_pm"/>
      <sheetName val="1y_pm_"/>
      <sheetName val="act_plan_1y"/>
      <sheetName val="PERIODE_NOV'11"/>
      <sheetName val="R_&amp;_M_COST"/>
      <sheetName val="Graph_Var"/>
      <sheetName val="Tunas_Motor"/>
      <sheetName val="Bali_Sena_Motor"/>
      <sheetName val="Prima_Jaya_Motor"/>
      <sheetName val="Setia_Motor"/>
      <sheetName val="Akur_Motor_Ps"/>
      <sheetName val="Akur_Motor_Tlp"/>
      <sheetName val="Intan_Motor"/>
      <sheetName val="Surya_Sari_Motor"/>
      <sheetName val="Jaya_Motor"/>
      <sheetName val="Bhinneka_Motor"/>
      <sheetName val="Bhinneka_Motor_2"/>
      <sheetName val="Tunas_Baru_Motor"/>
      <sheetName val="Lumayan_Motor"/>
      <sheetName val="Salim_Jaya_Motor"/>
      <sheetName val="Rona_Motor"/>
      <sheetName val="Istana_Motor"/>
      <sheetName val="Honda_Motor"/>
      <sheetName val="Lampung_Motor_Bk"/>
      <sheetName val="Lampung_Motor_U2"/>
      <sheetName val="Surya_Kencana_Motor"/>
      <sheetName val="Metro_Motor"/>
      <sheetName val="Tunas_Muda_Motor"/>
      <sheetName val="Tunas_Dwipa_Matra"/>
      <sheetName val="DAILY_DIST"/>
      <sheetName val="Dist_Dealer_per_tgl"/>
      <sheetName val="Distribution_Analysis"/>
      <sheetName val="general_info_"/>
      <sheetName val="5_YRs_POLICY"/>
      <sheetName val="STRG_INITIATIVES_2004-2008"/>
      <sheetName val="STRG_INITIATIVES_04"/>
      <sheetName val="Activity_Plan"/>
      <sheetName val="Juklak_Act__Plan"/>
      <sheetName val="Input_Parameter"/>
      <sheetName val="Bank_Charges"/>
      <sheetName val="Posisi_Bank"/>
      <sheetName val="Cash_In_&amp;_Out"/>
      <sheetName val="Rekon_Bank"/>
      <sheetName val="7__Traits"/>
      <sheetName val="WHY_2"/>
      <sheetName val="LPA_OB"/>
      <sheetName val="REPORT"/>
      <sheetName val="Asumsi"/>
      <sheetName val="PS"/>
      <sheetName val="SUM (2)"/>
      <sheetName val="ocean_voyage1"/>
      <sheetName val="5y_pm1"/>
      <sheetName val="1y_pm_1"/>
      <sheetName val="act_plan_1y1"/>
      <sheetName val="R_&amp;_M_COST1"/>
      <sheetName val="PERIODE_NOV'111"/>
      <sheetName val="Graph_Var1"/>
      <sheetName val="Tunas_Motor1"/>
      <sheetName val="Bali_Sena_Motor1"/>
      <sheetName val="Prima_Jaya_Motor1"/>
      <sheetName val="Setia_Motor1"/>
      <sheetName val="Akur_Motor_Ps1"/>
      <sheetName val="Akur_Motor_Tlp1"/>
      <sheetName val="Intan_Motor1"/>
      <sheetName val="Surya_Sari_Motor1"/>
      <sheetName val="Jaya_Motor1"/>
      <sheetName val="Bhinneka_Motor1"/>
      <sheetName val="Bhinneka_Motor_21"/>
      <sheetName val="Tunas_Baru_Motor1"/>
      <sheetName val="Lumayan_Motor1"/>
      <sheetName val="Salim_Jaya_Motor1"/>
      <sheetName val="Rona_Motor1"/>
      <sheetName val="Istana_Motor1"/>
      <sheetName val="Honda_Motor1"/>
      <sheetName val="Lampung_Motor_Bk1"/>
      <sheetName val="Lampung_Motor_U21"/>
      <sheetName val="Surya_Kencana_Motor1"/>
      <sheetName val="Metro_Motor1"/>
      <sheetName val="Tunas_Muda_Motor1"/>
      <sheetName val="Tunas_Dwipa_Matra1"/>
      <sheetName val="DAILY_DIST1"/>
      <sheetName val="Dist_Dealer_per_tgl1"/>
      <sheetName val="Distribution_Analysis1"/>
      <sheetName val="general_info_1"/>
      <sheetName val="5_YRs_POLICY1"/>
      <sheetName val="STRG_INITIATIVES_2004-20081"/>
      <sheetName val="STRG_INITIATIVES_041"/>
      <sheetName val="Activity_Plan1"/>
      <sheetName val="Juklak_Act__Plan1"/>
      <sheetName val="Input_Parameter1"/>
      <sheetName val="Bank_Charges1"/>
      <sheetName val="Posisi_Bank1"/>
      <sheetName val="Cash_In_&amp;_Out1"/>
      <sheetName val="Rekon_Bank1"/>
      <sheetName val="7__Traits1"/>
      <sheetName val="WHY_21"/>
      <sheetName val="LPA_OB1"/>
      <sheetName val="Glossary"/>
      <sheetName val="Master"/>
      <sheetName val="ocean_voyage2"/>
      <sheetName val="5y_pm2"/>
      <sheetName val="1y_pm_2"/>
      <sheetName val="act_plan_1y2"/>
      <sheetName val="PERIODE_NOV'112"/>
      <sheetName val="R_&amp;_M_COST2"/>
      <sheetName val="Graph_Var2"/>
      <sheetName val="Tunas_Motor2"/>
      <sheetName val="Bali_Sena_Motor2"/>
      <sheetName val="Prima_Jaya_Motor2"/>
      <sheetName val="Setia_Motor2"/>
      <sheetName val="Akur_Motor_Ps2"/>
      <sheetName val="Akur_Motor_Tlp2"/>
      <sheetName val="Intan_Motor2"/>
      <sheetName val="Surya_Sari_Motor2"/>
      <sheetName val="Jaya_Motor2"/>
      <sheetName val="Bhinneka_Motor2"/>
      <sheetName val="Bhinneka_Motor_22"/>
      <sheetName val="Tunas_Baru_Motor2"/>
      <sheetName val="Lumayan_Motor2"/>
      <sheetName val="Salim_Jaya_Motor2"/>
      <sheetName val="Rona_Motor2"/>
      <sheetName val="Istana_Motor2"/>
      <sheetName val="Honda_Motor2"/>
      <sheetName val="Lampung_Motor_Bk2"/>
      <sheetName val="Lampung_Motor_U22"/>
      <sheetName val="Surya_Kencana_Motor2"/>
      <sheetName val="Metro_Motor2"/>
      <sheetName val="Tunas_Muda_Motor2"/>
      <sheetName val="Tunas_Dwipa_Matra2"/>
      <sheetName val="DAILY_DIST2"/>
      <sheetName val="Dist_Dealer_per_tgl2"/>
      <sheetName val="Distribution_Analysis2"/>
      <sheetName val="general_info_2"/>
      <sheetName val="5_YRs_POLICY2"/>
      <sheetName val="STRG_INITIATIVES_2004-20082"/>
      <sheetName val="STRG_INITIATIVES_042"/>
      <sheetName val="Activity_Plan2"/>
      <sheetName val="Juklak_Act__Plan2"/>
      <sheetName val="Input_Parameter2"/>
      <sheetName val="Bank_Charges2"/>
      <sheetName val="Posisi_Bank2"/>
      <sheetName val="Cash_In_&amp;_Out2"/>
      <sheetName val="Rekon_Bank2"/>
      <sheetName val="7__Traits2"/>
      <sheetName val="WHY_22"/>
      <sheetName val="LPA_OB2"/>
      <sheetName val="SUM_(2)"/>
      <sheetName val="Validasi ketidaksesuaian"/>
      <sheetName val="ocean_voyage3"/>
      <sheetName val="5y_pm3"/>
      <sheetName val="1y_pm_3"/>
      <sheetName val="act_plan_1y3"/>
      <sheetName val="PERIODE_NOV'113"/>
      <sheetName val="R_&amp;_M_COST3"/>
      <sheetName val="Graph_Var3"/>
      <sheetName val="Tunas_Motor3"/>
      <sheetName val="Bali_Sena_Motor3"/>
      <sheetName val="Prima_Jaya_Motor3"/>
      <sheetName val="Setia_Motor3"/>
      <sheetName val="Akur_Motor_Ps3"/>
      <sheetName val="Akur_Motor_Tlp3"/>
      <sheetName val="Intan_Motor3"/>
      <sheetName val="Surya_Sari_Motor3"/>
      <sheetName val="Jaya_Motor3"/>
      <sheetName val="Bhinneka_Motor3"/>
      <sheetName val="Bhinneka_Motor_23"/>
      <sheetName val="Tunas_Baru_Motor3"/>
      <sheetName val="Lumayan_Motor3"/>
      <sheetName val="Salim_Jaya_Motor3"/>
      <sheetName val="Rona_Motor3"/>
      <sheetName val="Istana_Motor3"/>
      <sheetName val="Honda_Motor3"/>
      <sheetName val="Lampung_Motor_Bk3"/>
      <sheetName val="Lampung_Motor_U23"/>
      <sheetName val="Surya_Kencana_Motor3"/>
      <sheetName val="Metro_Motor3"/>
      <sheetName val="Tunas_Muda_Motor3"/>
      <sheetName val="Tunas_Dwipa_Matra3"/>
      <sheetName val="DAILY_DIST3"/>
      <sheetName val="Dist_Dealer_per_tgl3"/>
      <sheetName val="Distribution_Analysis3"/>
      <sheetName val="general_info_3"/>
      <sheetName val="5_YRs_POLICY3"/>
      <sheetName val="STRG_INITIATIVES_2004-20083"/>
      <sheetName val="STRG_INITIATIVES_043"/>
      <sheetName val="Activity_Plan3"/>
      <sheetName val="Juklak_Act__Plan3"/>
      <sheetName val="Input_Parameter3"/>
      <sheetName val="Bank_Charges3"/>
      <sheetName val="Posisi_Bank3"/>
      <sheetName val="Cash_In_&amp;_Out3"/>
      <sheetName val="Rekon_Bank3"/>
      <sheetName val="7__Traits3"/>
      <sheetName val="WHY_23"/>
      <sheetName val="LPA_OB3"/>
      <sheetName val="SUM_(2)1"/>
      <sheetName val="Validasi_ketidaksesuaian"/>
      <sheetName val="Jenis Pengembangan"/>
      <sheetName val=""/>
      <sheetName val="19a"/>
      <sheetName val="23a"/>
      <sheetName val="PRO_COAL"/>
      <sheetName val="data"/>
      <sheetName val="LIST"/>
      <sheetName val="Waterfall"/>
      <sheetName val="OVERBURDEN"/>
      <sheetName val="SUBKON"/>
      <sheetName val="MAINTENANCE"/>
      <sheetName val="Code"/>
      <sheetName val="Resume MTD"/>
      <sheetName val="dbase"/>
      <sheetName val="2019"/>
      <sheetName val="D"/>
      <sheetName val="MH Mar"/>
      <sheetName val="MH"/>
      <sheetName val="M"/>
      <sheetName val="S"/>
      <sheetName val="D2"/>
      <sheetName val="D3"/>
      <sheetName val="Plan vs Aktual PI"/>
      <sheetName val="Akurasi stock PI"/>
      <sheetName val="Plan VS Aktual beban PTPL"/>
      <sheetName val="Part mth"/>
      <sheetName val="Stk Mth Akt"/>
      <sheetName val="FG PTPL"/>
      <sheetName val="Stk FG PTPL Akt"/>
      <sheetName val="Rim &amp; Plt"/>
      <sheetName val="Wheel Assy 1"/>
      <sheetName val="MP S1"/>
      <sheetName val="MP S2"/>
      <sheetName val="MP S3"/>
      <sheetName val="Plan Vs Actual"/>
      <sheetName val="FEB 05"/>
      <sheetName val="KPB"/>
      <sheetName val="BUDGET_1999"/>
      <sheetName val="Training"/>
      <sheetName val="QCC"/>
      <sheetName val="SS"/>
      <sheetName val="2002"/>
      <sheetName val="CustomerList"/>
      <sheetName val="ｺﾝY条件BD"/>
      <sheetName val="PERF TEST Pre MP"/>
      <sheetName val="Original+CC"/>
      <sheetName val="MECH-TRAINING &amp; pdi"/>
      <sheetName val="Asset"/>
      <sheetName val="Indr"/>
      <sheetName val="Sheet8"/>
      <sheetName val="SHEET2"/>
      <sheetName val="SHEET6"/>
      <sheetName val="Beli Mtr"/>
      <sheetName val="Beli Mtr 08"/>
      <sheetName val="GBY_C企"/>
      <sheetName val="Bandung"/>
      <sheetName val="Cirebon"/>
      <sheetName val="Karawang"/>
      <sheetName val="H2"/>
      <sheetName val="GBY.C企"/>
      <sheetName val="Calendar"/>
      <sheetName val="C100-KICK"/>
      <sheetName val="INDEX"/>
      <sheetName val="Form"/>
      <sheetName val="Analisa WWT"/>
      <sheetName val="RSM Total"/>
      <sheetName val="CALCULATION"/>
      <sheetName val="Agustus 2007"/>
      <sheetName val="AHQIC"/>
      <sheetName val="Kepri"/>
      <sheetName val="RIDAR"/>
      <sheetName val="JLSNER-HD99_"/>
      <sheetName val="karylengkap"/>
      <sheetName val="Report7"/>
      <sheetName val="RADIO CONTROLS"/>
      <sheetName val="ANGGARAN"/>
      <sheetName val="SM-13仕様一覧"/>
      <sheetName val="原単位表00M"/>
      <sheetName val="EPS ALL ITEM"/>
      <sheetName val="Status Q"/>
      <sheetName val="pola prod"/>
      <sheetName val="JLSNER_HD99_"/>
      <sheetName val="Original_CC"/>
      <sheetName val="Resume"/>
      <sheetName val="機種別実績"/>
      <sheetName val="form-pm"/>
      <sheetName val="1"/>
      <sheetName val="AHASS BINTANG"/>
      <sheetName val="Dt_ Act Mech H2"/>
      <sheetName val="Grp_ Turn Over"/>
      <sheetName val="Mech_Out"/>
      <sheetName val="Dt_ Act Mech PDI"/>
      <sheetName val="Grp_Mech &amp; PDI Man trg"/>
      <sheetName val="MH_Mar"/>
      <sheetName val="Plan_vs_Aktual_PI"/>
      <sheetName val="Akurasi_stock_PI"/>
      <sheetName val="Plan_VS_Aktual_beban_PTPL"/>
      <sheetName val="Part_mth"/>
      <sheetName val="Stk_Mth_Akt"/>
      <sheetName val="FG_PTPL"/>
      <sheetName val="Stk_FG_PTPL_Akt"/>
      <sheetName val="Rim_&amp;_Plt"/>
      <sheetName val="Wheel_Assy_1"/>
      <sheetName val="MP_S1"/>
      <sheetName val="MP_S2"/>
      <sheetName val="MP_S3"/>
      <sheetName val="Plan_Vs_Actual"/>
      <sheetName val="FEB_05"/>
      <sheetName val="Analisa_WWT"/>
      <sheetName val="RSM_Total"/>
      <sheetName val="RADIO_CONTROLS"/>
      <sheetName val="Agustus_2007"/>
      <sheetName val="PERF_TEST_Pre_MP"/>
      <sheetName val="Master H1"/>
      <sheetName val="Master H2"/>
      <sheetName val="Master H3"/>
      <sheetName val="Dt_Act Mek"/>
      <sheetName val="Grp_ Time S_ Mech trg"/>
      <sheetName val="M3-07-14"/>
      <sheetName val="MH_Mar1"/>
      <sheetName val="Plan_vs_Aktual_PI1"/>
      <sheetName val="Akurasi_stock_PI1"/>
      <sheetName val="Plan_VS_Aktual_beban_PTPL1"/>
      <sheetName val="Part_mth1"/>
      <sheetName val="Stk_Mth_Akt1"/>
      <sheetName val="FG_PTPL1"/>
      <sheetName val="Stk_FG_PTPL_Akt1"/>
      <sheetName val="Rim_&amp;_Plt1"/>
      <sheetName val="Wheel_Assy_11"/>
      <sheetName val="MP_S11"/>
      <sheetName val="MP_S21"/>
      <sheetName val="MP_S31"/>
      <sheetName val="Plan_Vs_Actual1"/>
      <sheetName val="FEB_051"/>
      <sheetName val="Analisa_WWT1"/>
      <sheetName val="RSM_Total1"/>
      <sheetName val="Agustus_20071"/>
      <sheetName val="RADIO_CONTROLS1"/>
      <sheetName val="MECH-TRAINING_&amp;_pdi"/>
      <sheetName val="PERF_TEST_Pre_MP1"/>
      <sheetName val="pola_prod"/>
      <sheetName val="EPS_ALL_ITEM"/>
      <sheetName val="Status_Q"/>
      <sheetName val="COE AHM"/>
      <sheetName val="_x0000_£f_x0006__x0002_Q"/>
      <sheetName val="TTP STNK"/>
      <sheetName val="CompSal"/>
      <sheetName val="Polreg Series"/>
      <sheetName val="Ner"/>
      <sheetName val="grafik distribusu trhotle cable"/>
      <sheetName val="?£f_x0006__x0002_Q"/>
      <sheetName val="SPD AP"/>
      <sheetName val="ph"/>
      <sheetName val="GRAFIK "/>
      <sheetName val="KVBS PROJECT"/>
      <sheetName val="kerylengkap"/>
      <sheetName val="SOURCE"/>
      <sheetName val="Nop_05"/>
      <sheetName val="_x005f_x0000_£f_x005f_x0006__x005f_x0002_Q"/>
      <sheetName val="_x005f_x0000__x005f_x0000__x005f_x0000__x005f_x0000__x0"/>
      <sheetName val="_£f_x005f_x0006__x005f_x0002_Q"/>
      <sheetName val="___________L_x005f_x001e___b~__x0002"/>
      <sheetName val="Service Rate"/>
      <sheetName val="dbH1"/>
      <sheetName val="Wulan"/>
      <sheetName val="MH_Mar2"/>
      <sheetName val="Plan_vs_Aktual_PI2"/>
      <sheetName val="Akurasi_stock_PI2"/>
      <sheetName val="Plan_VS_Aktual_beban_PTPL2"/>
      <sheetName val="Part_mth2"/>
      <sheetName val="Stk_Mth_Akt2"/>
      <sheetName val="FG_PTPL2"/>
      <sheetName val="Stk_FG_PTPL_Akt2"/>
      <sheetName val="Rim_&amp;_Plt2"/>
      <sheetName val="Wheel_Assy_12"/>
      <sheetName val="MP_S12"/>
      <sheetName val="MP_S22"/>
      <sheetName val="MP_S32"/>
      <sheetName val="Plan_Vs_Actual2"/>
      <sheetName val="FEB_052"/>
      <sheetName val="Analisa_WWT2"/>
      <sheetName val="RSM_Total2"/>
      <sheetName val="Agustus_20072"/>
      <sheetName val="RADIO_CONTROLS2"/>
      <sheetName val="PERF_TEST_Pre_MP2"/>
      <sheetName val="MECH-TRAINING_&amp;_pdi1"/>
      <sheetName val="pola_prod1"/>
      <sheetName val="Beli_Mtr"/>
      <sheetName val="Beli_Mtr_08"/>
      <sheetName val="GBY_C企1"/>
      <sheetName val="EPS_ALL_ITEM1"/>
      <sheetName val="Status_Q1"/>
      <sheetName val="COE_AHM"/>
      <sheetName val="AHASS_BINTANG"/>
      <sheetName val="Dt_Act_Mek"/>
      <sheetName val="Grp__Time_S__Mech_trg"/>
      <sheetName val="Master_H1"/>
      <sheetName val="Master_H2"/>
      <sheetName val="Master_H3"/>
      <sheetName val="_x005f_x005f_x005f_x0000_£f_x005f_x005f_x005f_x0006__x0"/>
      <sheetName val="_x005f_x005f_x005f_x0000__x005f_x005f_x005f_x0000__x005"/>
      <sheetName val="BS Consol"/>
      <sheetName val="AR Karyawan"/>
      <sheetName val="100. SUMBER JAYA MAHA SAKTI I"/>
      <sheetName val="97. GARUDA MOTOR I JAJAG"/>
      <sheetName val="99. SUMBER JAYA MAHA SAKTI II"/>
      <sheetName val="94. KARUNIA SEJAHTERA I"/>
      <sheetName val="89. KARUNIA SEJAHTERA II"/>
      <sheetName val="1. MPM SIMPANG"/>
      <sheetName val="12. EKAJAYA KARUNIA"/>
      <sheetName val="16. LUMENINDO"/>
      <sheetName val="3. MPM NGAGEL"/>
      <sheetName val="10. VICTORY"/>
      <sheetName val="9. VICTORY II"/>
      <sheetName val="13. KENCANASARI II"/>
      <sheetName val="19. SETYA WIJAYA"/>
      <sheetName val="7. UTOMO CIPTO"/>
      <sheetName val="18. WIN"/>
      <sheetName val="15. DUNIA MEGAH"/>
      <sheetName val="17. MENUR BEJO"/>
      <sheetName val="14. PILAR MAS"/>
      <sheetName val="2. RAMAYANA"/>
      <sheetName val="6. BUDI UTAMA"/>
      <sheetName val="23. KURNIA ABADI II BATU"/>
      <sheetName val="22. EKA JAYA SEJAHTERA"/>
      <sheetName val="25. MPM BASUKI RACHMAD"/>
      <sheetName val="32. MPM SUKUN"/>
      <sheetName val="21. TIARA MEGAH INDAH JAYA"/>
      <sheetName val="36. PANJI PUTRA HANJAY II TUREN"/>
      <sheetName val="24. KURNIA ABADI MALANG"/>
      <sheetName val="20. MITRA KENCANA PERKASA"/>
      <sheetName val="27. CHANDRA"/>
      <sheetName val="31. MKP DINOYO"/>
      <sheetName val="34. PANJI PUTRA HANJAYA KPANJEN"/>
      <sheetName val="33. CENTRATAMA"/>
      <sheetName val="30. PRO MOTOR AGA"/>
      <sheetName val="35. SARANA KARTIKA"/>
      <sheetName val="39. TIRTO AGUNG BLITAR"/>
      <sheetName val="111. ANUGERAH JAYA"/>
      <sheetName val="106. SURYA AGUNG"/>
      <sheetName val="109. SUMA PAMENANG"/>
      <sheetName val="126. ARIES MOTOR PUTRA"/>
      <sheetName val="120. PRIMA PERDANA"/>
      <sheetName val="116. CAHAYA BONANZA ABADI II"/>
      <sheetName val="117. MAHARANI CITRA ABADI"/>
      <sheetName val="75. WIN PANDAAN"/>
      <sheetName val="160. CUN II"/>
      <sheetName val="43. CENTRATAMA SDA"/>
      <sheetName val="56. TIRTO AGUNG I"/>
      <sheetName val="49. DELTA SARI AGUNG"/>
      <sheetName val="45. PRATAMA METROPOLIS"/>
      <sheetName val="42. MPM GATEWAY"/>
      <sheetName val="52. MPM LARANGAN"/>
      <sheetName val="neraca okt"/>
      <sheetName val="SERKAM 20 JAN"/>
      <sheetName val="C"/>
      <sheetName val="EPS_ALL_IT䵲"/>
      <sheetName val="GRAFIK_"/>
      <sheetName val="KVBS_PROJECT"/>
      <sheetName val="UE 2011"/>
      <sheetName val="SERKAM ENREKAN"/>
      <sheetName val="Q"/>
      <sheetName val="5TL F"/>
      <sheetName val="Produksi Juli08"/>
      <sheetName val="_£f_x0006__x0002_Q"/>
      <sheetName val="___________L_x001e___b~__x0002_Q_x001e__V¦Í_x0004__x000b___"/>
      <sheetName val="AHASS PROFILE"/>
      <sheetName val="By Act Cd-CE"/>
      <sheetName val="?£f_x005f_x0006__x005f_x0002_Q"/>
      <sheetName val="_£f_x005f_x005f_x005f_x0006__x005f_x005f_x005f_x0002_Q"/>
      <sheetName val="___________L_x005f_x005f_x005f_x001e___b~_"/>
      <sheetName val="SETTINGS"/>
      <sheetName val="TOTALSLS_CY"/>
      <sheetName val="TOTALSLS_LY"/>
      <sheetName val="TOTALSLS_LY2"/>
      <sheetName val="grafik"/>
      <sheetName val="DATA PO"/>
      <sheetName val="Bantul"/>
      <sheetName val="Tabel-tabel"/>
      <sheetName val="DEALER"/>
      <sheetName val="indv_ grading KJ1_4"/>
      <sheetName val="BCA_01"/>
      <sheetName val="Komisi All Driver"/>
      <sheetName val="HONDA"/>
      <sheetName val="List Area"/>
      <sheetName val="#REF!"/>
      <sheetName val="FO"/>
      <sheetName val="Complaint Report Jan-Des"/>
      <sheetName val="PT"/>
      <sheetName val="habis Sep 2005"/>
      <sheetName val="工程計画"/>
      <sheetName val="コストＡ"/>
      <sheetName val="Detail"/>
      <sheetName val="GROUP A"/>
      <sheetName val="TIRE DIVISION"/>
      <sheetName val="INPUT"/>
      <sheetName val="1.Total"/>
      <sheetName val="Résultats"/>
      <sheetName val="_x005f_x005f_x005f_x005f_x005f_x005f_x005f_x0000_£f_x00"/>
      <sheetName val="_x005f_x005f_x005f_x005f_x005f_x005f_x005f_x0000__x005f"/>
      <sheetName val="_£f_x005f_x005f_x005f_x005f_x005f_x005f_x005f_x0006__x0"/>
      <sheetName val="___________L_x005f_x005f_x005f_x005f_x005f"/>
      <sheetName val="Sheet3"/>
      <sheetName val="Daftar Validasi"/>
      <sheetName val="NOTE"/>
      <sheetName val="HSO"/>
      <sheetName val="D-Base_D3_S1"/>
      <sheetName val="form baru"/>
      <sheetName val="Validation List"/>
      <sheetName val="521_1"/>
      <sheetName val="521_2"/>
      <sheetName val="table"/>
      <sheetName val="Setting"/>
      <sheetName val="MH_Mar3"/>
      <sheetName val="Plan_vs_Aktual_PI3"/>
      <sheetName val="Akurasi_stock_PI3"/>
      <sheetName val="Plan_VS_Aktual_beban_PTPL3"/>
      <sheetName val="Part_mth3"/>
      <sheetName val="Stk_Mth_Akt3"/>
      <sheetName val="FG_PTPL3"/>
      <sheetName val="Stk_FG_PTPL_Akt3"/>
      <sheetName val="Rim_&amp;_Plt3"/>
      <sheetName val="Wheel_Assy_13"/>
      <sheetName val="MP_S13"/>
      <sheetName val="MP_S23"/>
      <sheetName val="MP_S33"/>
      <sheetName val="FEB_053"/>
      <sheetName val="Plan_Vs_Actual3"/>
      <sheetName val="MECH-TRAINING_&amp;_pdi2"/>
      <sheetName val="PERF_TEST_Pre_MP3"/>
      <sheetName val="Analisa_WWT3"/>
      <sheetName val="RSM_Total3"/>
      <sheetName val="Agustus_20073"/>
      <sheetName val="Beli_Mtr1"/>
      <sheetName val="Beli_Mtr_081"/>
      <sheetName val="RADIO_CONTROLS3"/>
      <sheetName val="GBY_C企2"/>
      <sheetName val="pola_prod2"/>
      <sheetName val="EPS_ALL_ITEM2"/>
      <sheetName val="Status_Q2"/>
      <sheetName val="AHASS_BINTANG1"/>
      <sheetName val="Dt__Act_Mech_H2"/>
      <sheetName val="Grp__Turn_Over"/>
      <sheetName val="Dt__Act_Mech_PDI"/>
      <sheetName val="Grp_Mech_&amp;_PDI_Man_trg"/>
      <sheetName val="Master_H11"/>
      <sheetName val="Master_H21"/>
      <sheetName val="Master_H31"/>
      <sheetName val="Dt_Act_Mek1"/>
      <sheetName val="Grp__Time_S__Mech_trg1"/>
      <sheetName val="SERKAM_ENREKAN"/>
      <sheetName val="SERKAM_20_JAN"/>
      <sheetName val="COE_AHM1"/>
      <sheetName val="£fQ"/>
      <sheetName val="?£fQ"/>
      <sheetName val="Polreg_Series"/>
      <sheetName val="SPD_AP"/>
      <sheetName val="TTP_STNK"/>
      <sheetName val="grafik_distribusu_trhotle_cable"/>
      <sheetName val="Service_Rate"/>
      <sheetName val="_£fQ"/>
      <sheetName val="___________L__b~_Q_V¦Í__"/>
      <sheetName val="BS_Consol"/>
      <sheetName val="AR_Karyawan"/>
      <sheetName val="UE_2011"/>
      <sheetName val="Baya Motor"/>
      <sheetName val="01"/>
      <sheetName val="COGM-Cast 1,2&amp;3"/>
      <sheetName val="見極①"/>
      <sheetName val="kevf"/>
      <sheetName val="1A"/>
      <sheetName val="___________˜L_x005f_x001e___b~__x0002"/>
      <sheetName val="___________˜L_x001e___b~__x0002_Q_x001e__V¦Í_x0004__x000b___"/>
      <sheetName val="___________˜L_x005f_x005f_x005f_x001e___b~_"/>
      <sheetName val="KATEGORI"/>
      <sheetName val="def"/>
      <sheetName val="MASTER CHOICE"/>
      <sheetName val="KAMUS"/>
      <sheetName val="TARGET NS NSS DAN NSC GABUNGAN"/>
      <sheetName val="MASA AKTIF-RIDAR"/>
      <sheetName val="ACT PROD"/>
      <sheetName val="PLAN PROD"/>
      <sheetName val="Assump"/>
      <sheetName val="dft bns"/>
      <sheetName val="1.SETUP"/>
      <sheetName val="SD"/>
      <sheetName val="Mar"/>
      <sheetName val="ACT_PROD"/>
      <sheetName val="PLAN_PROD"/>
      <sheetName val="?£f_x005f_x005f_x005f_x0006__x005f_x005f_x005f_x0002_Q"/>
      <sheetName val="PICA FAK BQ"/>
      <sheetName val="ocean_voyage4"/>
      <sheetName val="5y_pm4"/>
      <sheetName val="1y_pm_4"/>
      <sheetName val="act_plan_1y4"/>
      <sheetName val="Tunas_Motor4"/>
      <sheetName val="Bali_Sena_Motor4"/>
      <sheetName val="Prima_Jaya_Motor4"/>
      <sheetName val="Setia_Motor4"/>
      <sheetName val="Akur_Motor_Ps4"/>
      <sheetName val="Akur_Motor_Tlp4"/>
      <sheetName val="Intan_Motor4"/>
      <sheetName val="Surya_Sari_Motor4"/>
      <sheetName val="Jaya_Motor4"/>
      <sheetName val="Bhinneka_Motor4"/>
      <sheetName val="Bhinneka_Motor_24"/>
      <sheetName val="Tunas_Baru_Motor4"/>
      <sheetName val="Lumayan_Motor4"/>
      <sheetName val="Salim_Jaya_Motor4"/>
      <sheetName val="Rona_Motor4"/>
      <sheetName val="Istana_Motor4"/>
      <sheetName val="Honda_Motor4"/>
      <sheetName val="Lampung_Motor_Bk4"/>
      <sheetName val="Lampung_Motor_U24"/>
      <sheetName val="Surya_Kencana_Motor4"/>
      <sheetName val="Metro_Motor4"/>
      <sheetName val="Tunas_Muda_Motor4"/>
      <sheetName val="Tunas_Dwipa_Matra4"/>
      <sheetName val="DAILY_DIST4"/>
      <sheetName val="Dist_Dealer_per_tgl4"/>
      <sheetName val="Distribution_Analysis4"/>
      <sheetName val="general_info_4"/>
      <sheetName val="5_YRs_POLICY4"/>
      <sheetName val="STRG_INITIATIVES_2004-20084"/>
      <sheetName val="STRG_INITIATIVES_044"/>
      <sheetName val="Activity_Plan4"/>
      <sheetName val="Juklak_Act__Plan4"/>
      <sheetName val="MH_Mar4"/>
      <sheetName val="Plan_vs_Aktual_PI4"/>
      <sheetName val="Akurasi_stock_PI4"/>
      <sheetName val="Plan_VS_Aktual_beban_PTPL4"/>
      <sheetName val="Part_mth4"/>
      <sheetName val="Stk_Mth_Akt4"/>
      <sheetName val="FG_PTPL4"/>
      <sheetName val="Stk_FG_PTPL_Akt4"/>
      <sheetName val="Rim_&amp;_Plt4"/>
      <sheetName val="Wheel_Assy_14"/>
      <sheetName val="MP_S14"/>
      <sheetName val="MP_S24"/>
      <sheetName val="MP_S34"/>
      <sheetName val="FEB_054"/>
      <sheetName val="Plan_Vs_Actual4"/>
      <sheetName val="SERKAM_20_JAN1"/>
      <sheetName val="MECH-TRAINING_&amp;_pdi3"/>
      <sheetName val="PERF_TEST_Pre_MP4"/>
      <sheetName val="Analisa_WWT4"/>
      <sheetName val="RSM_Total4"/>
      <sheetName val="Agustus_20074"/>
      <sheetName val="Beli_Mtr2"/>
      <sheetName val="Beli_Mtr_082"/>
      <sheetName val="RADIO_CONTROLS4"/>
      <sheetName val="GBY_C企3"/>
      <sheetName val="pola_prod3"/>
      <sheetName val="EPS_ALL_ITEM3"/>
      <sheetName val="Status_Q3"/>
      <sheetName val="AHASS_BINTANG2"/>
      <sheetName val="Dt__Act_Mech_H21"/>
      <sheetName val="Grp__Turn_Over1"/>
      <sheetName val="Dt__Act_Mech_PDI1"/>
      <sheetName val="Grp_Mech_&amp;_PDI_Man_trg1"/>
      <sheetName val="Master_H12"/>
      <sheetName val="Master_H22"/>
      <sheetName val="Master_H32"/>
      <sheetName val="Dt_Act_Mek2"/>
      <sheetName val="Grp__Time_S__Mech_trg2"/>
      <sheetName val="SERKAM_ENREKAN1"/>
      <sheetName val="COE_AHM2"/>
      <sheetName val="Polreg_Series1"/>
      <sheetName val="SPD_AP1"/>
      <sheetName val="TTP_STNK1"/>
      <sheetName val="grafik_distribusu_trhotle_cabl1"/>
      <sheetName val="GRAFIK_1"/>
      <sheetName val="KVBS_PROJECT1"/>
      <sheetName val="Service_Rate1"/>
      <sheetName val="BS_Consol1"/>
      <sheetName val="AR_Karyawan1"/>
      <sheetName val="UE_20111"/>
      <sheetName val="5TL_F"/>
      <sheetName val="AHASS_PROFILE"/>
      <sheetName val="Produksi_Juli08"/>
      <sheetName val="Baya_Motor"/>
      <sheetName val="DATA_PO"/>
      <sheetName val="indv__grading_KJ1_4"/>
      <sheetName val="Komisi_All_Driver"/>
      <sheetName val="List_Area"/>
      <sheetName val="Complaint_Report_Jan-Des"/>
      <sheetName val="habis_Sep_2005"/>
      <sheetName val="GROUP_A"/>
      <sheetName val="TIRE_DIVISION"/>
      <sheetName val="1_Total"/>
      <sheetName val="By_Act_Cd-CE"/>
      <sheetName val="100__SUMBER_JAYA_MAHA_SAKTI_I"/>
      <sheetName val="97__GARUDA_MOTOR_I_JAJAG"/>
      <sheetName val="99__SUMBER_JAYA_MAHA_SAKTI_II"/>
      <sheetName val="94__KARUNIA_SEJAHTERA_I"/>
      <sheetName val="89__KARUNIA_SEJAHTERA_II"/>
      <sheetName val="1__MPM_SIMPANG"/>
      <sheetName val="12__EKAJAYA_KARUNIA"/>
      <sheetName val="16__LUMENINDO"/>
      <sheetName val="3__MPM_NGAGEL"/>
      <sheetName val="10__VICTORY"/>
      <sheetName val="9__VICTORY_II"/>
      <sheetName val="13__KENCANASARI_II"/>
      <sheetName val="19__SETYA_WIJAYA"/>
      <sheetName val="7__UTOMO_CIPTO"/>
      <sheetName val="18__WIN"/>
      <sheetName val="15__DUNIA_MEGAH"/>
      <sheetName val="17__MENUR_BEJO"/>
      <sheetName val="14__PILAR_MAS"/>
      <sheetName val="2__RAMAYANA"/>
      <sheetName val="6__BUDI_UTAMA"/>
      <sheetName val="23__KURNIA_ABADI_II_BATU"/>
      <sheetName val="22__EKA_JAYA_SEJAHTERA"/>
      <sheetName val="25__MPM_BASUKI_RACHMAD"/>
      <sheetName val="32__MPM_SUKUN"/>
      <sheetName val="21__TIARA_MEGAH_INDAH_JAYA"/>
      <sheetName val="36__PANJI_PUTRA_HANJAY_II_TUREN"/>
      <sheetName val="24__KURNIA_ABADI_MALANG"/>
      <sheetName val="20__MITRA_KENCANA_PERKASA"/>
      <sheetName val="27__CHANDRA"/>
      <sheetName val="31__MKP_DINOYO"/>
      <sheetName val="34__PANJI_PUTRA_HANJAYA_KPANJEN"/>
      <sheetName val="33__CENTRATAMA"/>
      <sheetName val="30__PRO_MOTOR_AGA"/>
      <sheetName val="35__SARANA_KARTIKA"/>
      <sheetName val="39__TIRTO_AGUNG_BLITAR"/>
      <sheetName val="111__ANUGERAH_JAYA"/>
      <sheetName val="106__SURYA_AGUNG"/>
      <sheetName val="109__SUMA_PAMENANG"/>
      <sheetName val="126__ARIES_MOTOR_PUTRA"/>
      <sheetName val="120__PRIMA_PERDANA"/>
      <sheetName val="116__CAHAYA_BONANZA_ABADI_II"/>
      <sheetName val="117__MAHARANI_CITRA_ABADI"/>
      <sheetName val="75__WIN_PANDAAN"/>
      <sheetName val="160__CUN_II"/>
      <sheetName val="43__CENTRATAMA_SDA"/>
      <sheetName val="56__TIRTO_AGUNG_I"/>
      <sheetName val="49__DELTA_SARI_AGUNG"/>
      <sheetName val="45__PRATAMA_METROPOLIS"/>
      <sheetName val="42__MPM_GATEWAY"/>
      <sheetName val="52__MPM_LARANGAN"/>
      <sheetName val="Daftar_Validasi"/>
      <sheetName val="Absensi"/>
      <sheetName val="Header_2"/>
      <sheetName val="MASTER_AREA"/>
      <sheetName val="Divisi_2"/>
      <sheetName val="By_Act_Cd-CE2"/>
      <sheetName val="PPRT_GIANT_MARGOREJO"/>
      <sheetName val="KPI_GM"/>
      <sheetName val="HC"/>
      <sheetName val="EvalFeb"/>
      <sheetName val="Assumes"/>
      <sheetName val="JOURNAL UMUM"/>
      <sheetName val="AE_DM"/>
      <sheetName val="Chart Monthly"/>
      <sheetName val="Grafik1"/>
      <sheetName val="0220"/>
      <sheetName val="OPEX Parent"/>
      <sheetName val="COGS var fix"/>
      <sheetName val="Cont Mc"/>
      <sheetName val="97RAW"/>
      <sheetName val="Estimasi"/>
      <sheetName val="BASE"/>
      <sheetName val="FC"/>
      <sheetName val="ﾊﾟﾚｻｲｽﾞ"/>
      <sheetName val="Sum"/>
      <sheetName val="wire"/>
      <sheetName val="ISPART"/>
      <sheetName val="IMV"/>
      <sheetName val="Permanent info"/>
      <sheetName val="Asumsi Market"/>
      <sheetName val="MATERIALFINAL"/>
      <sheetName val="FG0298"/>
      <sheetName val="Saleplan"/>
      <sheetName val="AUS_EX432"/>
      <sheetName val="DATA WP"/>
      <sheetName val="TB0"/>
      <sheetName val="Rates"/>
      <sheetName val="工数データ"/>
      <sheetName val="____"/>
      <sheetName val="ma-pt"/>
      <sheetName val="DI-ESTI"/>
      <sheetName val="Sales"/>
      <sheetName val="ｸﾞﾗﾌﾃﾞｰﾀ"/>
      <sheetName val="form-pm.xls"/>
      <sheetName val="IBASE"/>
      <sheetName val="Production Plan 2006"/>
      <sheetName val="Năng lưc -2010-2S"/>
      <sheetName val="Using Jig"/>
      <sheetName val="56ARE04"/>
      <sheetName val="3(bsheet)"/>
      <sheetName val="FISIK RAB 2000"/>
      <sheetName val="Summary"/>
      <sheetName val="BP1_23"/>
      <sheetName val="VAT out"/>
      <sheetName val="V5.20"/>
      <sheetName val="janflash"/>
      <sheetName val="Pendukung"/>
      <sheetName val="PLACEME"/>
      <sheetName val="A.4.3"/>
      <sheetName val="FEB"/>
      <sheetName val="Side mold "/>
      <sheetName val="07"/>
      <sheetName val="KAP listrik per lini per plant"/>
      <sheetName val="fisik 94"/>
      <sheetName val="Surat Gnb"/>
      <sheetName val="Renc.prod"/>
      <sheetName val="Olah"/>
      <sheetName val="Cust"/>
      <sheetName val="Variables"/>
      <sheetName val="PAKO CW"/>
      <sheetName val="COVER"/>
      <sheetName val="SELISIHKURSSOURCE"/>
      <sheetName val="Invoice"/>
      <sheetName val="BAL.SH (1)"/>
      <sheetName val="ASUNSUB1"/>
      <sheetName val="AS1MODD"/>
      <sheetName val="COPPER ACCESS"/>
      <sheetName val="PO"/>
      <sheetName val="PABRIK (2)"/>
      <sheetName val="PABRIK_(2)"/>
      <sheetName val="PK"/>
      <sheetName val="List PT"/>
      <sheetName val="Register Nop 13"/>
      <sheetName val="Rekap pemakaian bahan-Rudi"/>
      <sheetName val="Zahir - BS"/>
      <sheetName val="Mesin"/>
      <sheetName val="Neraca"/>
      <sheetName val="Customer"/>
      <sheetName val="V5.12"/>
      <sheetName val="NAP"/>
      <sheetName val="TBM"/>
      <sheetName val="tabel nilai"/>
      <sheetName val="ROSS LIST"/>
      <sheetName val="wpl"/>
      <sheetName val="Penyusutan Kendaraan"/>
      <sheetName val="WBS1"/>
      <sheetName val="sched 13"/>
      <sheetName val="02-Ikhtisar Keuangan-1&amp;2-i"/>
      <sheetName val="PPH1298S"/>
      <sheetName val="Rate"/>
      <sheetName val="FKT_PJK"/>
      <sheetName val="NRC"/>
      <sheetName val="KET. KATEGORI FU"/>
      <sheetName val="H1 to H2"/>
      <sheetName val="H2 to H1"/>
      <sheetName val="_x0000__x0000__x0000__x0000__x0"/>
      <sheetName val="___________L_x001e___b~__x0002"/>
      <sheetName val="_x005f_x0000_£f_x005f_x0006__x0"/>
      <sheetName val="_x005f_x0000__x005f_x0000__x005"/>
      <sheetName val="___________L_x005f_x001e___b~_"/>
      <sheetName val="_x005f_x005f_x005f_x0000_£f_x00"/>
      <sheetName val="_x005f_x005f_x005f_x0000__x005f"/>
      <sheetName val="L_b~_QV¦Í"/>
      <sheetName val="_£f_x005f_x005f_x005f_x0006__x0"/>
      <sheetName val="___________L_x005f_x005f_x005f"/>
      <sheetName val="_x005f_x005f_x005f_x005f_"/>
      <sheetName val="_£f_x005f_x005f_x005f_x005f_x00"/>
      <sheetName val="Holiday"/>
      <sheetName val="IP1.FPTK"/>
      <sheetName val="DriverID"/>
      <sheetName val="Truck"/>
      <sheetName val="Master Item Part"/>
      <sheetName val="popmc"/>
      <sheetName val="Customer Code"/>
      <sheetName val="STOCK LIST don't use"/>
      <sheetName val="部品精度"/>
      <sheetName val="２２,５億の配分案"/>
      <sheetName val="REJECT3"/>
      <sheetName val="5y_p!1"/>
      <sheetName val="11"/>
      <sheetName val="DwgDetail"/>
      <sheetName val="対比9-19"/>
      <sheetName val="PRTOSHI"/>
      <sheetName val="県別ﾏﾙﾁ"/>
      <sheetName val="Reactions"/>
      <sheetName val="dongia (2)"/>
      <sheetName val="INDEKS"/>
      <sheetName val="_x005f_x005f_x005f_x005f_x005f_x005f_x005f_x005f_x005f_x005f_"/>
      <sheetName val="lookup"/>
      <sheetName val="01-15"/>
      <sheetName val="[form-pm.xls][form-pm.xls]__922"/>
      <sheetName val="[form-pm.xls]_x0000__x0000__x0000__x0000__x0000__x0000__x0000__x0000__x0000__x0000__x0000_L_x001e__x0000_[b~"/>
      <sheetName val="[form-pm.xls]???????????L_x001e_?[b~"/>
      <sheetName val="[form-pm.xls]____________L_4736"/>
      <sheetName val="[form-pm.xls]____________L_4737"/>
      <sheetName val="[form-pm.xls]____________L_4738"/>
      <sheetName val="[form-pm.xls]L[b~/QV¦Í"/>
      <sheetName val="[form-pm.xls]____________L_4739"/>
      <sheetName val="[form-pm.xls]____________L_4740"/>
      <sheetName val="[form-pm.xls]____________L_4741"/>
      <sheetName val="[form-pm.xls]____________L_4742"/>
      <sheetName val="[form-pm.xls]____________L_4743"/>
      <sheetName val="Jenis Bahaya"/>
      <sheetName val="Master_Data"/>
      <sheetName val="asli2"/>
      <sheetName val="input evaluasi"/>
      <sheetName val="KPI electric"/>
      <sheetName val="Data Effisiensi"/>
      <sheetName val="Project"/>
      <sheetName val="Data List"/>
      <sheetName val="NO1PUMP FRONT NC AT FULL STROKE"/>
      <sheetName val="NO1PUMP FRONT NC RH TRACK2"/>
      <sheetName val="NO1PUMPREARNC ALL LEVERSNEUTRAL"/>
      <sheetName val="NO1PUMP REARNC LH TRACK2"/>
      <sheetName val="NO1PUMP REARNC FULL STROKE"/>
      <sheetName val="NO2PUMP REARNC ALL LEVER NEUTRA"/>
      <sheetName val="NO2REARNCPUMP SWING FULL STRUK "/>
      <sheetName val="NO2PUMP REAR DURING SWINGING"/>
      <sheetName val="NO1PUMP FRONTCO BOOM RAISE.FNC"/>
      <sheetName val="NO1PUMPFRONT COBOOM RAISE.RNC"/>
      <sheetName val="NO1PUMPFRONTCO SWING RELIEF FNC"/>
      <sheetName val="NO1PUMPSWING RELIEFRNC"/>
      <sheetName val="SWING ENG FULL RELIEF LH"/>
      <sheetName val="SWING ENG FULL RELIEF RH"/>
      <sheetName val="BOMRAISE ALHEAVY SWITCH.OFF"/>
      <sheetName val="BOMRAISEATHEAVYSWITCH.ON"/>
      <sheetName val="LH TRAVEL FOR_REV FRONT PUMP"/>
      <sheetName val="LH TRAVELFOR&amp;REV REAR PUMP"/>
      <sheetName val="RH TRAVEL FOR&amp;REV FRONTPUMP"/>
      <sheetName val="RHTRAVEL FOR&amp;REV REAR PUMP"/>
      <sheetName val="NO1PUMPFRONT LEVERSAT NEUTRAL"/>
      <sheetName val="Eng_Full"/>
      <sheetName val="LH TRAVEL UNDER P6 MAIN"/>
      <sheetName val="LH TRAVEL FORWAD P6 MAIN"/>
      <sheetName val="LHTRAVEL REVERSE P6 MAIN"/>
      <sheetName val="AUTO OFF P7 CONC"/>
      <sheetName val="BOOM RAISE OFF P7CONC"/>
      <sheetName val="AUTO OFF P8 MAIN"/>
      <sheetName val="BOOM RAISE OFF P8MAIN"/>
      <sheetName val="SWING UNDER P7CONC"/>
      <sheetName val="SWING UNDER P8 MAIN"/>
      <sheetName val="RH SWING P8 MAIN"/>
      <sheetName val="LH SWING P8 MAIN "/>
      <sheetName val="REMARKS"/>
      <sheetName val="Sheet22"/>
      <sheetName val="DATE"/>
      <sheetName val="BLOW BAY PRSS"/>
      <sheetName val="LUB OIL PRES_ ENG FULL"/>
      <sheetName val="LUB OIL PRES_ ENG LOW"/>
      <sheetName val="EXHAUST_GAS"/>
      <sheetName val="BOOM RAISE ENGINE FULL"/>
      <sheetName val="SP SPEC ARM IN"/>
      <sheetName val="SP SPEC BUCKET CURL"/>
      <sheetName val="TVC SWING RELIEF"/>
      <sheetName val="tot versi pak anta ( 69 )"/>
      <sheetName val="Original"/>
      <sheetName val="MP1"/>
      <sheetName val="MP"/>
      <sheetName val="I-ME"/>
      <sheetName val="PICA"/>
      <sheetName val="43. CENTRATAMA S_x0000__x0000_"/>
      <sheetName val="FRN"/>
      <sheetName val="HM"/>
      <sheetName val="NCBD"/>
      <sheetName val="YAMAHA"/>
      <sheetName val="data_val"/>
      <sheetName val="Validasi"/>
      <sheetName val="Material Delay Idle Prob. Prdty"/>
      <sheetName val="ENS MACHINE"/>
      <sheetName val="pribumi"/>
      <sheetName val="Reff"/>
      <sheetName val="DOWN LINK"/>
      <sheetName val="Busang2"/>
      <sheetName val="Busang3"/>
      <sheetName val="Busang1"/>
      <sheetName val="Jonggon1"/>
      <sheetName val="Jonggon2"/>
      <sheetName val="Jonggon3"/>
      <sheetName val="Coal"/>
      <sheetName val="Block"/>
      <sheetName val="CondDaily"/>
      <sheetName val="epei "/>
      <sheetName val="Input2"/>
      <sheetName val="DaiRep"/>
      <sheetName val="Safety"/>
      <sheetName val="CondMonthly"/>
      <sheetName val="Weather"/>
      <sheetName val="OB asta"/>
      <sheetName val="Master DPR"/>
      <sheetName val="SUMMARY ZPM02"/>
      <sheetName val="DISTANCE ASTA"/>
      <sheetName val="OB PPA"/>
      <sheetName val="Engine"/>
      <sheetName val="DAILY PROBLEM OB"/>
      <sheetName val="DAILY PROBLEM PRODUCTIVITY"/>
      <sheetName val="Plan CB"/>
      <sheetName val="List_Spv_Oprt_Drv"/>
      <sheetName val="Param_List"/>
      <sheetName val="List_Unit"/>
      <sheetName val="Param_Raw"/>
      <sheetName val="Param_List (2)"/>
      <sheetName val="iwhard"/>
      <sheetName val="30 May 2013"/>
      <sheetName val="Scoring methodology"/>
      <sheetName val="LIST UNIT"/>
      <sheetName val="LIST FUEL TRUCK"/>
      <sheetName val="Fuel Activity"/>
      <sheetName val="[form-pm.xls][form-pm.xls]_L__7"/>
      <sheetName val="[form-pm.xls]____________L___18"/>
      <sheetName val="[form-pm.xls]____________L___19"/>
      <sheetName val="[form-pm.xls]____________L_x_14"/>
      <sheetName val="[form-pm.xls][form-pm.xls]_L__8"/>
      <sheetName val="[form-pm.xls]____________L__b_6"/>
      <sheetName val="[form-pm.xls]____________L___20"/>
      <sheetName val="[form-pm.xls]____________L___21"/>
      <sheetName val="[form-pm.xls]____________L_x_15"/>
      <sheetName val="[form-pm.xls]____________L_x_16"/>
      <sheetName val="[form-pm.xls][form-pm.xls]_L__2"/>
      <sheetName val="[form-pm.xls]____________L____2"/>
      <sheetName val="[form-pm.xls]____________L____3"/>
      <sheetName val="[form-pm.xls]____________L_x0_2"/>
      <sheetName val="[form-pm.xls]____________L__b_2"/>
      <sheetName val="[form-pm.xls]____________L____4"/>
      <sheetName val="[form-pm.xls]____________L____5"/>
      <sheetName val="[form-pm.xls]____________L_x0_3"/>
      <sheetName val="[form-pm.xls]____________L_x0_4"/>
      <sheetName val="[form-pm.xls][form-pm.xls]_L__4"/>
      <sheetName val="[form-pm.xls]____________L___10"/>
      <sheetName val="[form-pm.xls]____________L___11"/>
      <sheetName val="[form-pm.xls]____________L_x0_8"/>
      <sheetName val="[form-pm.xls]____________L__b_4"/>
      <sheetName val="[form-pm.xls]____________L___12"/>
      <sheetName val="[form-pm.xls]____________L___13"/>
      <sheetName val="[form-pm.xls]____________L_x0_9"/>
      <sheetName val="[form-pm.xls]____________L_x_10"/>
      <sheetName val="[form-pm.xls][form-pm.xls]_L__3"/>
      <sheetName val="[form-pm.xls]____________L____6"/>
      <sheetName val="[form-pm.xls]____________L____7"/>
      <sheetName val="[form-pm.xls]____________L_x0_5"/>
      <sheetName val="[form-pm.xls]____________L__b_3"/>
      <sheetName val="[form-pm.xls]____________L____8"/>
      <sheetName val="[form-pm.xls]____________L____9"/>
      <sheetName val="[form-pm.xls]____________L_x0_6"/>
      <sheetName val="[form-pm.xls]____________L_x0_7"/>
      <sheetName val="[form-pm.xls][form-pm.xls]_L__5"/>
      <sheetName val="[form-pm.xls][form-pm.xls]_L__6"/>
      <sheetName val="[form-pm.xls]____________L___14"/>
      <sheetName val="[form-pm.xls]____________L___15"/>
      <sheetName val="[form-pm.xls]____________L_x_11"/>
      <sheetName val="[form-pm.xls]____________L__b_5"/>
      <sheetName val="[form-pm.xls]____________L___16"/>
      <sheetName val="[form-pm.xls]____________L___17"/>
      <sheetName val="[form-pm.xls]____________L_x_12"/>
      <sheetName val="[form-pm.xls]____________L_x_13"/>
      <sheetName val="[form-pm.xls][form-pm.xls]_L__9"/>
      <sheetName val="[form-pm.xls]____________L___26"/>
      <sheetName val="[form-pm.xls]____________L___27"/>
      <sheetName val="[form-pm.xls]____________L_x_20"/>
      <sheetName val="[form-pm.xls][form-pm.xls]_L_11"/>
      <sheetName val="[form-pm.xls]____________L__b_8"/>
      <sheetName val="[form-pm.xls]____________L___28"/>
      <sheetName val="[form-pm.xls]____________L___29"/>
      <sheetName val="[form-pm.xls]____________L_x_21"/>
      <sheetName val="[form-pm.xls]____________L_x_22"/>
      <sheetName val="[form-pm.xls]____________L___22"/>
      <sheetName val="[form-pm.xls]____________L___23"/>
      <sheetName val="[form-pm.xls]____________L_x_17"/>
      <sheetName val="[form-pm.xls]____________L__b_7"/>
      <sheetName val="[form-pm.xls]____________L___24"/>
      <sheetName val="[form-pm.xls]____________L___25"/>
      <sheetName val="[form-pm.xls]____________L_x_18"/>
      <sheetName val="[form-pm.xls]____________L_x_19"/>
      <sheetName val="[form-pm.xls]____________L___34"/>
      <sheetName val="[form-pm.xls]____________L___35"/>
      <sheetName val="[form-pm.xls]____________L_x_26"/>
      <sheetName val="[form-pm.xls]____________L___36"/>
      <sheetName val="[form-pm.xls]____________L___37"/>
      <sheetName val="[form-pm.xls]____________L___38"/>
      <sheetName val="[form-pm.xls]____________L_x_27"/>
      <sheetName val="[form-pm.xls]____________L_x_28"/>
      <sheetName val="[form-pm.xls][form-pm.xls]_L_10"/>
      <sheetName val="[form-pm.xls]____________L___30"/>
      <sheetName val="[form-pm.xls]____________L___31"/>
      <sheetName val="[form-pm.xls]____________L_x_23"/>
      <sheetName val="[form-pm.xls]____________L__b_9"/>
      <sheetName val="[form-pm.xls]____________L___32"/>
      <sheetName val="[form-pm.xls]____________L___33"/>
      <sheetName val="[form-pm.xls]____________L_x_24"/>
      <sheetName val="[form-pm.xls]____________L_x_25"/>
      <sheetName val="[form-pm.xls][form-pm.xls]_L_17"/>
      <sheetName val="[form-pm.xls]____________L___54"/>
      <sheetName val="[form-pm.xls]____________L___55"/>
      <sheetName val="[form-pm.xls]____________L_x_38"/>
      <sheetName val="[form-pm.xls][form-pm.xls]__445"/>
      <sheetName val="[form-pm.xls]____________L___56"/>
      <sheetName val="[form-pm.xls]____________L___57"/>
      <sheetName val="[form-pm.xls]____________L___58"/>
      <sheetName val="[form-pm.xls]____________L_x_39"/>
      <sheetName val="[form-pm.xls]____________L_x_40"/>
      <sheetName val="[form-pm.xls][form-pm.xls]_L_14"/>
      <sheetName val="[form-pm.xls][form-pm.xls]_L_12"/>
      <sheetName val="[form-pm.xls]____________L___39"/>
      <sheetName val="[form-pm.xls]____________L___40"/>
      <sheetName val="[form-pm.xls]____________L_x_29"/>
      <sheetName val="[form-pm.xls]____________L___41"/>
      <sheetName val="[form-pm.xls]____________L___42"/>
      <sheetName val="[form-pm.xls]____________L___43"/>
      <sheetName val="[form-pm.xls]____________L_x_30"/>
      <sheetName val="[form-pm.xls]____________L_x_31"/>
      <sheetName val="[form-pm.xls][form-pm.xls]_L_13"/>
      <sheetName val="[form-pm.xls][form-pm.xls]_L_15"/>
      <sheetName val="[form-pm.xls]____________L___44"/>
      <sheetName val="[form-pm.xls]____________L___45"/>
      <sheetName val="[form-pm.xls]____________L_x_32"/>
      <sheetName val="[form-pm.xls]____________L___46"/>
      <sheetName val="[form-pm.xls]____________L___47"/>
      <sheetName val="[form-pm.xls]____________L___48"/>
      <sheetName val="[form-pm.xls]____________L_x_33"/>
      <sheetName val="[form-pm.xls]____________L_x_34"/>
      <sheetName val="[form-pm.xls][form-pm.xls]_L_16"/>
      <sheetName val="[form-pm.xls]____________L___49"/>
      <sheetName val="[form-pm.xls]____________L___50"/>
      <sheetName val="[form-pm.xls]____________L_x_35"/>
      <sheetName val="[form-pm.xls]____________L___51"/>
      <sheetName val="[form-pm.xls]____________L___52"/>
      <sheetName val="[form-pm.xls]____________L___53"/>
      <sheetName val="[form-pm.xls]____________L_x_36"/>
      <sheetName val="[form-pm.xls]____________L_x_37"/>
      <sheetName val="[form-pm.xls][form-pm.xls]_L_18"/>
      <sheetName val="[form-pm.xls]____________L___59"/>
      <sheetName val="[form-pm.xls]____________L___60"/>
      <sheetName val="[form-pm.xls]____________L_x_41"/>
      <sheetName val="[form-pm.xls]____________L___61"/>
      <sheetName val="[form-pm.xls]____________L___62"/>
      <sheetName val="[form-pm.xls]____________L___63"/>
      <sheetName val="[form-pm.xls]____________L_x_42"/>
      <sheetName val="[form-pm.xls]____________L_x_43"/>
      <sheetName val="[form-pm.xls]___________˜L____2"/>
      <sheetName val="[form-pm.xls]___________˜L____3"/>
      <sheetName val="[form-pm.xls]___________˜L_x0_2"/>
      <sheetName val="[form-pm.xls][form-pm.xls]_L_20"/>
      <sheetName val="[form-pm.xls]____________L___69"/>
      <sheetName val="[form-pm.xls]____________L___70"/>
      <sheetName val="[form-pm.xls]____________L_x_47"/>
      <sheetName val="[form-pm.xls][form-pm.xls]_L_21"/>
      <sheetName val="[form-pm.xls]____________L___71"/>
      <sheetName val="[form-pm.xls]____________L___72"/>
      <sheetName val="[form-pm.xls]____________L___73"/>
      <sheetName val="[form-pm.xls]____________L_x_48"/>
      <sheetName val="[form-pm.xls]____________L_x_49"/>
      <sheetName val="[form-pm.xls][form-pm.xls]_L_19"/>
      <sheetName val="[form-pm.xls]____________L___64"/>
      <sheetName val="[form-pm.xls]____________L___65"/>
      <sheetName val="[form-pm.xls]____________L_x_44"/>
      <sheetName val="[form-pm.xls]____________L___66"/>
      <sheetName val="[form-pm.xls]____________L___67"/>
      <sheetName val="[form-pm.xls]____________L___68"/>
      <sheetName val="[form-pm.xls]____________L_x_45"/>
      <sheetName val="[form-pm.xls]____________L_x_46"/>
      <sheetName val="[form-pm.xls]____________L_2496"/>
      <sheetName val="[form-pm.xls]____________L_2497"/>
      <sheetName val="[form-pm.xls]____________L_2498"/>
      <sheetName val="[form-pm.xls][form-pm.xls]__446"/>
      <sheetName val="[form-pm.xls]____________L_2499"/>
      <sheetName val="[form-pm.xls]____________L_2500"/>
      <sheetName val="[form-pm.xls]____________L_2501"/>
      <sheetName val="[form-pm.xls]____________L_2502"/>
      <sheetName val="[form-pm.xls]____________L_2503"/>
      <sheetName val="[form-pm.xls][form-pm.xls]_L_48"/>
      <sheetName val="[form-pm.xls][form-pm.xls]_L_22"/>
      <sheetName val="[form-pm.xls][form-pm.xls]_L_23"/>
      <sheetName val="[form-pm.xls][form-pm.xls]_L_47"/>
      <sheetName val="[form-pm.xls]____________L__107"/>
      <sheetName val="[form-pm.xls]____________L__108"/>
      <sheetName val="[form-pm.xls]____________L_x_75"/>
      <sheetName val="[form-pm.xls]____________L__109"/>
      <sheetName val="[form-pm.xls]___________˜L___62"/>
      <sheetName val="[form-pm.xls]___________˜L___63"/>
      <sheetName val="[form-pm.xls]___________˜L_x_32"/>
      <sheetName val="[form-pm.xls]____________L_x_76"/>
      <sheetName val="[form-pm.xls][form-pm.xls]_L_38"/>
      <sheetName val="[form-pm.xls][form-pm.xls]_L_25"/>
      <sheetName val="[form-pm.xls]___________˜L___12"/>
      <sheetName val="[form-pm.xls]___________˜L___13"/>
      <sheetName val="[form-pm.xls]___________˜L_x0_7"/>
      <sheetName val="[form-pm.xls]___________˜L____6"/>
      <sheetName val="[form-pm.xls]___________˜L____7"/>
      <sheetName val="[form-pm.xls]___________˜L_x0_4"/>
      <sheetName val="[form-pm.xls]___________˜L____4"/>
      <sheetName val="[form-pm.xls]___________˜L____5"/>
      <sheetName val="[form-pm.xls]___________˜L_x0_3"/>
      <sheetName val="[form-pm.xls]___________˜L____8"/>
      <sheetName val="[form-pm.xls]___________˜L____9"/>
      <sheetName val="[form-pm.xls]___________˜L_x0_5"/>
      <sheetName val="[form-pm.xls]___________˜L___10"/>
      <sheetName val="[form-pm.xls]___________˜L___11"/>
      <sheetName val="[form-pm.xls]___________˜L_x0_6"/>
      <sheetName val="[form-pm.xls]___________˜L___16"/>
      <sheetName val="[form-pm.xls]___________˜L___17"/>
      <sheetName val="[form-pm.xls]___________˜L_x0_9"/>
      <sheetName val="[form-pm.xls]___________˜L___14"/>
      <sheetName val="[form-pm.xls]___________˜L___15"/>
      <sheetName val="[form-pm.xls]___________˜L_x0_8"/>
      <sheetName val="[form-pm.xls]___________˜L___32"/>
      <sheetName val="[form-pm.xls]___________˜L___33"/>
      <sheetName val="[form-pm.xls]___________˜L_x_17"/>
      <sheetName val="[form-pm.xls]___________˜L___20"/>
      <sheetName val="[form-pm.xls]___________˜L___21"/>
      <sheetName val="[form-pm.xls]___________˜L_x_11"/>
      <sheetName val="[form-pm.xls]___________˜L___18"/>
      <sheetName val="[form-pm.xls]___________˜L___19"/>
      <sheetName val="[form-pm.xls]___________˜L_x_10"/>
      <sheetName val="[form-pm.xls]___________˜L___26"/>
      <sheetName val="[form-pm.xls]___________˜L___27"/>
      <sheetName val="[form-pm.xls]___________˜L_x_14"/>
      <sheetName val="[form-pm.xls]___________˜L___24"/>
      <sheetName val="[form-pm.xls]___________˜L___25"/>
      <sheetName val="[form-pm.xls]___________˜L_x_13"/>
      <sheetName val="[form-pm.xls]___________˜L___22"/>
      <sheetName val="[form-pm.xls]___________˜L___23"/>
      <sheetName val="[form-pm.xls]___________˜L_x_12"/>
      <sheetName val="[form-pm.xls]___________˜L___28"/>
      <sheetName val="[form-pm.xls]___________˜L___29"/>
      <sheetName val="[form-pm.xls]___________˜L_x_15"/>
      <sheetName val="[form-pm.xls]___________˜L___30"/>
      <sheetName val="[form-pm.xls]___________˜L___31"/>
      <sheetName val="[form-pm.xls]___________˜L_x_16"/>
      <sheetName val="[form-pm.xls][form-pm.xls]_L_24"/>
      <sheetName val="[form-pm.xls][form-pm.xls]_L_28"/>
      <sheetName val="[form-pm.xls]___________˜L___34"/>
      <sheetName val="[form-pm.xls]___________˜L___35"/>
      <sheetName val="[form-pm.xls]___________˜L_x_18"/>
      <sheetName val="[form-pm.xls][form-pm.xls]_L_27"/>
      <sheetName val="[form-pm.xls]___________˜L___36"/>
      <sheetName val="[form-pm.xls]___________˜L___37"/>
      <sheetName val="[form-pm.xls]___________˜L_x_19"/>
      <sheetName val="[form-pm.xls]____________L_x_50"/>
      <sheetName val="[form-pm.xls][form-pm.xls]_L_26"/>
      <sheetName val="[form-pm.xls][form-pm.xls]_L_29"/>
      <sheetName val="[form-pm.xls]____________L_x_51"/>
      <sheetName val="[form-pm.xls][form-pm.xls]_L_30"/>
      <sheetName val="[form-pm.xls]___________˜L___38"/>
      <sheetName val="[form-pm.xls]___________˜L___39"/>
      <sheetName val="[form-pm.xls]___________˜L_x_20"/>
      <sheetName val="[form-pm.xls]____________L_x_52"/>
      <sheetName val="[form-pm.xls][form-pm.xls]_L_31"/>
      <sheetName val="[form-pm.xls]____________L___74"/>
      <sheetName val="[form-pm.xls]____________L___75"/>
      <sheetName val="[form-pm.xls]____________L_x_53"/>
      <sheetName val="[form-pm.xls][form-pm.xls]_L_32"/>
      <sheetName val="[form-pm.xls]____________L___76"/>
      <sheetName val="[form-pm.xls]___________˜L___40"/>
      <sheetName val="[form-pm.xls]___________˜L___41"/>
      <sheetName val="[form-pm.xls]___________˜L_x_21"/>
      <sheetName val="[form-pm.xls]____________L_x_54"/>
      <sheetName val="[form-pm.xls][form-pm.xls]_L_37"/>
      <sheetName val="[form-pm.xls]____________L___77"/>
      <sheetName val="[form-pm.xls]____________L___78"/>
      <sheetName val="[form-pm.xls]____________L_x_55"/>
      <sheetName val="[form-pm.xls]____________L___79"/>
      <sheetName val="[form-pm.xls]___________˜L___42"/>
      <sheetName val="[form-pm.xls]___________˜L___43"/>
      <sheetName val="[form-pm.xls]___________˜L_x_22"/>
      <sheetName val="[form-pm.xls]____________L_x_56"/>
      <sheetName val="[form-pm.xls][form-pm.xls]_L_36"/>
      <sheetName val="[form-pm.xls]____________L___83"/>
      <sheetName val="[form-pm.xls]____________L___84"/>
      <sheetName val="[form-pm.xls]____________L_x_59"/>
      <sheetName val="[form-pm.xls]____________L___85"/>
      <sheetName val="[form-pm.xls]___________˜L___46"/>
      <sheetName val="[form-pm.xls]___________˜L___47"/>
      <sheetName val="[form-pm.xls]___________˜L_x_24"/>
      <sheetName val="[form-pm.xls]____________L_x_60"/>
      <sheetName val="[form-pm.xls][form-pm.xls]_L_34"/>
      <sheetName val="[form-pm.xls]____________L___80"/>
      <sheetName val="[form-pm.xls]____________L___81"/>
      <sheetName val="[form-pm.xls]____________L_x_57"/>
      <sheetName val="[form-pm.xls][form-pm.xls]_L_35"/>
      <sheetName val="[form-pm.xls]____________L___82"/>
      <sheetName val="[form-pm.xls]___________˜L___44"/>
      <sheetName val="[form-pm.xls]___________˜L___45"/>
      <sheetName val="[form-pm.xls]___________˜L_x_23"/>
      <sheetName val="[form-pm.xls]____________L_x_58"/>
      <sheetName val="[form-pm.xls][form-pm.xls]_L_33"/>
      <sheetName val="[form-pm.xls][form-pm.xls]_L_39"/>
      <sheetName val="[form-pm.xls]____________L___86"/>
      <sheetName val="[form-pm.xls]____________L___87"/>
      <sheetName val="[form-pm.xls]____________L_x_61"/>
      <sheetName val="[form-pm.xls][form-pm.xls]_L_41"/>
      <sheetName val="[form-pm.xls]____________L___88"/>
      <sheetName val="[form-pm.xls]___________˜L___48"/>
      <sheetName val="[form-pm.xls]___________˜L___49"/>
      <sheetName val="[form-pm.xls]___________˜L_x_25"/>
      <sheetName val="[form-pm.xls]____________L_x_62"/>
      <sheetName val="[form-pm.xls]____________L___92"/>
      <sheetName val="[form-pm.xls]____________L___93"/>
      <sheetName val="[form-pm.xls]____________L_x_65"/>
      <sheetName val="[form-pm.xls][form-pm.xls]_L_42"/>
      <sheetName val="[form-pm.xls]____________L___94"/>
      <sheetName val="[form-pm.xls]___________˜L___52"/>
      <sheetName val="[form-pm.xls]___________˜L___53"/>
      <sheetName val="[form-pm.xls]___________˜L_x_27"/>
      <sheetName val="[form-pm.xls]____________L_x_66"/>
      <sheetName val="[form-pm.xls][form-pm.xls]_L_40"/>
      <sheetName val="[form-pm.xls]____________L___89"/>
      <sheetName val="[form-pm.xls]____________L___90"/>
      <sheetName val="[form-pm.xls]____________L_x_63"/>
      <sheetName val="[form-pm.xls]____________L___91"/>
      <sheetName val="[form-pm.xls]___________˜L___50"/>
      <sheetName val="[form-pm.xls]___________˜L___51"/>
      <sheetName val="[form-pm.xls]___________˜L_x_26"/>
      <sheetName val="[form-pm.xls]____________L_x_64"/>
      <sheetName val="[form-pm.xls][form-pm.xls]_L_43"/>
      <sheetName val="[form-pm.xls]____________L___95"/>
      <sheetName val="[form-pm.xls]____________L___96"/>
      <sheetName val="[form-pm.xls]____________L_x_67"/>
      <sheetName val="[form-pm.xls][form-pm.xls]_L_44"/>
      <sheetName val="[form-pm.xls]____________L___97"/>
      <sheetName val="[form-pm.xls]___________˜L___54"/>
      <sheetName val="[form-pm.xls]___________˜L___55"/>
      <sheetName val="[form-pm.xls]___________˜L_x_28"/>
      <sheetName val="[form-pm.xls]____________L_x_68"/>
      <sheetName val="[form-pm.xls]____________L___98"/>
      <sheetName val="[form-pm.xls]____________L___99"/>
      <sheetName val="[form-pm.xls]____________L_x_69"/>
      <sheetName val="[form-pm.xls]____________L__100"/>
      <sheetName val="[form-pm.xls]___________˜L___56"/>
      <sheetName val="[form-pm.xls]___________˜L___57"/>
      <sheetName val="[form-pm.xls]___________˜L_x_29"/>
      <sheetName val="[form-pm.xls]____________L_x_70"/>
      <sheetName val="[form-pm.xls][form-pm.xls]_L_45"/>
      <sheetName val="[form-pm.xls]____________L__101"/>
      <sheetName val="[form-pm.xls]____________L__102"/>
      <sheetName val="[form-pm.xls]____________L_x_71"/>
      <sheetName val="[form-pm.xls]____________L__103"/>
      <sheetName val="[form-pm.xls]___________˜L___58"/>
      <sheetName val="[form-pm.xls]___________˜L___59"/>
      <sheetName val="[form-pm.xls]___________˜L_x_30"/>
      <sheetName val="[form-pm.xls]____________L_x_72"/>
      <sheetName val="[form-pm.xls][form-pm.xls]_L_46"/>
      <sheetName val="[form-pm.xls]____________L__104"/>
      <sheetName val="[form-pm.xls]____________L__105"/>
      <sheetName val="[form-pm.xls]____________L_x_73"/>
      <sheetName val="[form-pm.xls]____________L__106"/>
      <sheetName val="[form-pm.xls]___________˜L___60"/>
      <sheetName val="[form-pm.xls]___________˜L___61"/>
      <sheetName val="[form-pm.xls]___________˜L_x_31"/>
      <sheetName val="[form-pm.xls]____________L_x_74"/>
      <sheetName val="[form-pm.xls]____________L__149"/>
      <sheetName val="[form-pm.xls]____________L__150"/>
      <sheetName val="[form-pm.xls]____________L_x_95"/>
      <sheetName val="[form-pm.xls]____________L__151"/>
      <sheetName val="[form-pm.xls]____________L__152"/>
      <sheetName val="[form-pm.xls]____________L__153"/>
      <sheetName val="[form-pm.xls]____________L_x_96"/>
      <sheetName val="[form-pm.xls]____________L_x_97"/>
      <sheetName val="[form-pm.xls]____________L__110"/>
      <sheetName val="[form-pm.xls]____________L__111"/>
      <sheetName val="[form-pm.xls]____________L__112"/>
      <sheetName val="[form-pm.xls]____________L__113"/>
      <sheetName val="[form-pm.xls]____________L__119"/>
      <sheetName val="[form-pm.xls]____________L__120"/>
      <sheetName val="[form-pm.xls]____________L_x_77"/>
      <sheetName val="[form-pm.xls]____________L__121"/>
      <sheetName val="[form-pm.xls]____________L__122"/>
      <sheetName val="[form-pm.xls]____________L__123"/>
      <sheetName val="[form-pm.xls]____________L_x_78"/>
      <sheetName val="[form-pm.xls]____________L_x_79"/>
      <sheetName val="[form-pm.xls]____________L__114"/>
      <sheetName val="[form-pm.xls]____________L__115"/>
      <sheetName val="[form-pm.xls]____________L__116"/>
      <sheetName val="[form-pm.xls]____________L__117"/>
      <sheetName val="[form-pm.xls]____________L__118"/>
      <sheetName val="[form-pm.xls]____________L__134"/>
      <sheetName val="[form-pm.xls]____________L__135"/>
      <sheetName val="[form-pm.xls]____________L_x_86"/>
      <sheetName val="[form-pm.xls]____________L__136"/>
      <sheetName val="[form-pm.xls]____________L__137"/>
      <sheetName val="[form-pm.xls]____________L__138"/>
      <sheetName val="[form-pm.xls]____________L_x_87"/>
      <sheetName val="[form-pm.xls]____________L_x_88"/>
      <sheetName val="[form-pm.xls]____________L__129"/>
      <sheetName val="[form-pm.xls]____________L__130"/>
      <sheetName val="[form-pm.xls]____________L_x_83"/>
      <sheetName val="[form-pm.xls]____________L__131"/>
      <sheetName val="[form-pm.xls]____________L__132"/>
      <sheetName val="[form-pm.xls]____________L__133"/>
      <sheetName val="[form-pm.xls]____________L_x_84"/>
      <sheetName val="[form-pm.xls]____________L_x_85"/>
      <sheetName val="[form-pm.xls]____________L__124"/>
      <sheetName val="[form-pm.xls]____________L__125"/>
      <sheetName val="[form-pm.xls]____________L_x_80"/>
      <sheetName val="[form-pm.xls]____________L__126"/>
      <sheetName val="[form-pm.xls]____________L__127"/>
      <sheetName val="[form-pm.xls]____________L__128"/>
      <sheetName val="[form-pm.xls]____________L_x_81"/>
      <sheetName val="[form-pm.xls]____________L_x_82"/>
      <sheetName val="[form-pm.xls]____________L__139"/>
      <sheetName val="[form-pm.xls]____________L__140"/>
      <sheetName val="[form-pm.xls]____________L_x_89"/>
      <sheetName val="[form-pm.xls]____________L__141"/>
      <sheetName val="[form-pm.xls]____________L__142"/>
      <sheetName val="[form-pm.xls]____________L__143"/>
      <sheetName val="[form-pm.xls]____________L_x_90"/>
      <sheetName val="[form-pm.xls]____________L_x_91"/>
      <sheetName val="[form-pm.xls]____________L__144"/>
      <sheetName val="[form-pm.xls]____________L__145"/>
      <sheetName val="[form-pm.xls]____________L_x_92"/>
      <sheetName val="[form-pm.xls]____________L__146"/>
      <sheetName val="[form-pm.xls]____________L__147"/>
      <sheetName val="[form-pm.xls]____________L__148"/>
      <sheetName val="[form-pm.xls]____________L_x_93"/>
      <sheetName val="[form-pm.xls]____________L_x_94"/>
      <sheetName val="[form-pm.xls]____________L__154"/>
      <sheetName val="[form-pm.xls]____________L__155"/>
      <sheetName val="[form-pm.xls]____________L_x_98"/>
      <sheetName val="[form-pm.xls]____________L__156"/>
      <sheetName val="[form-pm.xls]____________L__157"/>
      <sheetName val="[form-pm.xls]____________L__158"/>
      <sheetName val="[form-pm.xls]____________L_x_99"/>
      <sheetName val="[form-pm.xls]____________L__159"/>
      <sheetName val="[form-pm.xls]____________L__160"/>
      <sheetName val="[form-pm.xls]____________L__161"/>
      <sheetName val="[form-pm.xls]____________L__162"/>
      <sheetName val="[form-pm.xls]____________L__163"/>
      <sheetName val="[form-pm.xls]____________L__164"/>
      <sheetName val="[form-pm.xls]____________L__165"/>
      <sheetName val="[form-pm.xls]____________L__166"/>
      <sheetName val="[form-pm.xls]____________L__167"/>
      <sheetName val="[form-pm.xls][form-pm.xls]_L_50"/>
      <sheetName val="[form-pm.xls]____________L__176"/>
      <sheetName val="[form-pm.xls]____________L__177"/>
      <sheetName val="[form-pm.xls]____________L__178"/>
      <sheetName val="[form-pm.xls]____________L__179"/>
      <sheetName val="[form-pm.xls]____________L__180"/>
      <sheetName val="[form-pm.xls]____________L__181"/>
      <sheetName val="[form-pm.xls]____________L__182"/>
      <sheetName val="[form-pm.xls]____________L__183"/>
      <sheetName val="[form-pm.xls]____________L__168"/>
      <sheetName val="[form-pm.xls]____________L__169"/>
      <sheetName val="[form-pm.xls]____________L__170"/>
      <sheetName val="[form-pm.xls][form-pm.xls]_L_49"/>
      <sheetName val="[form-pm.xls]____________L__171"/>
      <sheetName val="[form-pm.xls]____________L__172"/>
      <sheetName val="[form-pm.xls]____________L__173"/>
      <sheetName val="[form-pm.xls]____________L__174"/>
      <sheetName val="[form-pm.xls]____________L__175"/>
      <sheetName val="[form-pm.xls][form-pm.xls]_L_51"/>
      <sheetName val="[form-pm.xls][form-pm.xls]_L_52"/>
      <sheetName val="[form-pm.xls]____________L__184"/>
      <sheetName val="[form-pm.xls]____________L__185"/>
      <sheetName val="[form-pm.xls]____________L__186"/>
      <sheetName val="[form-pm.xls][form-pm.xls]_L_53"/>
      <sheetName val="[form-pm.xls]____________L__187"/>
      <sheetName val="[form-pm.xls]____________L__188"/>
      <sheetName val="[form-pm.xls]____________L__189"/>
      <sheetName val="[form-pm.xls]____________L__190"/>
      <sheetName val="[form-pm.xls]____________L__191"/>
      <sheetName val="[form-pm.xls]____________L__192"/>
      <sheetName val="[form-pm.xls]____________L__193"/>
      <sheetName val="[form-pm.xls]____________L__194"/>
      <sheetName val="[form-pm.xls][form-pm.xls]_L_54"/>
      <sheetName val="[form-pm.xls]____________L__195"/>
      <sheetName val="[form-pm.xls]____________L__196"/>
      <sheetName val="[form-pm.xls]____________L__197"/>
      <sheetName val="[form-pm.xls]____________L__198"/>
      <sheetName val="[form-pm.xls]____________L__199"/>
      <sheetName val="[form-pm.xls]____________L__200"/>
      <sheetName val="[form-pm.xls]____________L__201"/>
      <sheetName val="[form-pm.xls]____________L__202"/>
      <sheetName val="[form-pm.xls][form-pm.xls]_L_55"/>
      <sheetName val="[form-pm.xls]____________L__203"/>
      <sheetName val="[form-pm.xls]____________L__204"/>
      <sheetName val="[form-pm.xls]____________L__205"/>
      <sheetName val="[form-pm.xls]____________L__206"/>
      <sheetName val="[form-pm.xls]____________L__207"/>
      <sheetName val="[form-pm.xls][form-pm.xls]_L_81"/>
      <sheetName val="[form-pm.xls][form-pm.xls]_L_75"/>
      <sheetName val="[form-pm.xls][form-pm.xls]_L_72"/>
      <sheetName val="[form-pm.xls][form-pm.xls]_L_68"/>
      <sheetName val="[form-pm.xls][form-pm.xls]_L_67"/>
      <sheetName val="[form-pm.xls][form-pm.xls]_L_65"/>
      <sheetName val="[form-pm.xls][form-pm.xls]_L_59"/>
      <sheetName val="[form-pm.xls][form-pm.xls]_L_56"/>
      <sheetName val="[form-pm.xls]____________L__208"/>
      <sheetName val="[form-pm.xls]____________L__209"/>
      <sheetName val="[form-pm.xls]____________L__210"/>
      <sheetName val="[form-pm.xls][form-pm.xls]_L_57"/>
      <sheetName val="[form-pm.xls]____________L__211"/>
      <sheetName val="[form-pm.xls]____________L__212"/>
      <sheetName val="[form-pm.xls]____________L__213"/>
      <sheetName val="[form-pm.xls]____________L__214"/>
      <sheetName val="[form-pm.xls]____________L__215"/>
      <sheetName val="[form-pm.xls]____________L__216"/>
      <sheetName val="[form-pm.xls]____________L__217"/>
      <sheetName val="[form-pm.xls]____________L__218"/>
      <sheetName val="[form-pm.xls][form-pm.xls]_L_58"/>
      <sheetName val="[form-pm.xls]____________L__219"/>
      <sheetName val="[form-pm.xls]____________L__220"/>
      <sheetName val="[form-pm.xls]____________L__221"/>
      <sheetName val="[form-pm.xls]____________L__222"/>
      <sheetName val="[form-pm.xls]____________L__223"/>
      <sheetName val="[form-pm.xls]____________L__224"/>
      <sheetName val="[form-pm.xls]____________L__225"/>
      <sheetName val="[form-pm.xls]____________L__226"/>
      <sheetName val="[form-pm.xls]____________L__227"/>
      <sheetName val="[form-pm.xls]____________L__228"/>
      <sheetName val="[form-pm.xls]____________L__229"/>
      <sheetName val="[form-pm.xls]____________L__230"/>
      <sheetName val="[form-pm.xls]____________L__231"/>
      <sheetName val="[form-pm.xls]____________L__248"/>
      <sheetName val="[form-pm.xls]____________L__249"/>
      <sheetName val="[form-pm.xls]____________L__250"/>
      <sheetName val="[form-pm.xls]____________L__251"/>
      <sheetName val="[form-pm.xls]____________L__252"/>
      <sheetName val="[form-pm.xls]____________L__253"/>
      <sheetName val="[form-pm.xls]____________L__254"/>
      <sheetName val="[form-pm.xls]____________L__255"/>
      <sheetName val="[form-pm.xls][form-pm.xls]_L_62"/>
      <sheetName val="[form-pm.xls][form-pm.xls]_L_60"/>
      <sheetName val="[form-pm.xls]____________L__232"/>
      <sheetName val="[form-pm.xls]____________L__233"/>
      <sheetName val="[form-pm.xls]____________L__234"/>
      <sheetName val="[form-pm.xls][form-pm.xls]_L_61"/>
      <sheetName val="[form-pm.xls]____________L__235"/>
      <sheetName val="[form-pm.xls]____________L__236"/>
      <sheetName val="[form-pm.xls]____________L__237"/>
      <sheetName val="[form-pm.xls]____________L__238"/>
      <sheetName val="[form-pm.xls]____________L__239"/>
      <sheetName val="[form-pm.xls][form-pm.xls]_L_63"/>
      <sheetName val="[form-pm.xls]____________L__240"/>
      <sheetName val="[form-pm.xls]____________L__241"/>
      <sheetName val="[form-pm.xls]____________L__242"/>
      <sheetName val="[form-pm.xls][form-pm.xls]_L_64"/>
      <sheetName val="[form-pm.xls]____________L__243"/>
      <sheetName val="[form-pm.xls]____________L__244"/>
      <sheetName val="[form-pm.xls]____________L__245"/>
      <sheetName val="[form-pm.xls]____________L__246"/>
      <sheetName val="[form-pm.xls]____________L__247"/>
      <sheetName val="[form-pm.xls][form-pm.xls]_L_66"/>
      <sheetName val="[form-pm.xls]____________L__256"/>
      <sheetName val="[form-pm.xls]____________L__257"/>
      <sheetName val="[form-pm.xls]____________L__258"/>
      <sheetName val="[form-pm.xls][form-pm.xls]_L_70"/>
      <sheetName val="[form-pm.xls]____________L__259"/>
      <sheetName val="[form-pm.xls]____________L__260"/>
      <sheetName val="[form-pm.xls]____________L__261"/>
      <sheetName val="[form-pm.xls]____________L__262"/>
      <sheetName val="[form-pm.xls]____________L__263"/>
      <sheetName val="[form-pm.xls]____________L__272"/>
      <sheetName val="[form-pm.xls]____________L__273"/>
      <sheetName val="[form-pm.xls]____________L__274"/>
      <sheetName val="[form-pm.xls][form-pm.xls]_L_71"/>
      <sheetName val="[form-pm.xls]____________L__275"/>
      <sheetName val="[form-pm.xls]____________L__276"/>
      <sheetName val="[form-pm.xls]____________L__277"/>
      <sheetName val="[form-pm.xls]____________L__278"/>
      <sheetName val="[form-pm.xls]____________L__279"/>
      <sheetName val="[form-pm.xls][form-pm.xls]_L_69"/>
      <sheetName val="[form-pm.xls]____________L__264"/>
      <sheetName val="[form-pm.xls]____________L__265"/>
      <sheetName val="[form-pm.xls]____________L__266"/>
      <sheetName val="[form-pm.xls]____________L__267"/>
      <sheetName val="[form-pm.xls]____________L__268"/>
      <sheetName val="[form-pm.xls]____________L__269"/>
      <sheetName val="[form-pm.xls]____________L__270"/>
      <sheetName val="[form-pm.xls]____________L__271"/>
      <sheetName val="[form-pm.xls]____________L__280"/>
      <sheetName val="[form-pm.xls]____________L__281"/>
      <sheetName val="[form-pm.xls]____________L__282"/>
      <sheetName val="[form-pm.xls][form-pm.xls]_L_73"/>
      <sheetName val="[form-pm.xls]____________L__283"/>
      <sheetName val="[form-pm.xls]____________L__284"/>
      <sheetName val="[form-pm.xls]____________L__285"/>
      <sheetName val="[form-pm.xls]____________L__286"/>
      <sheetName val="[form-pm.xls]____________L__287"/>
      <sheetName val="[form-pm.xls][form-pm.xls]_L_74"/>
      <sheetName val="[form-pm.xls]____________L__288"/>
      <sheetName val="[form-pm.xls]____________L__289"/>
      <sheetName val="[form-pm.xls]____________L__290"/>
      <sheetName val="[form-pm.xls]____________L__291"/>
      <sheetName val="[form-pm.xls]____________L__292"/>
      <sheetName val="[form-pm.xls]____________L__293"/>
      <sheetName val="[form-pm.xls]____________L__294"/>
      <sheetName val="[form-pm.xls]____________L__295"/>
      <sheetName val="[form-pm.xls]____________L__328"/>
      <sheetName val="[form-pm.xls]____________L__329"/>
      <sheetName val="[form-pm.xls]____________L__330"/>
      <sheetName val="[form-pm.xls][form-pm.xls]_L_82"/>
      <sheetName val="[form-pm.xls]____________L__331"/>
      <sheetName val="[form-pm.xls]____________L__332"/>
      <sheetName val="[form-pm.xls]____________L__333"/>
      <sheetName val="[form-pm.xls]____________L__334"/>
      <sheetName val="[form-pm.xls]____________L__335"/>
      <sheetName val="[form-pm.xls][form-pm.xls]_L_80"/>
      <sheetName val="[form-pm.xls][form-pm.xls]_L_79"/>
      <sheetName val="[form-pm.xls][form-pm.xls]_L_77"/>
      <sheetName val="[form-pm.xls][form-pm.xls]_L_76"/>
      <sheetName val="[form-pm.xls]____________L__296"/>
      <sheetName val="[form-pm.xls]____________L__297"/>
      <sheetName val="[form-pm.xls]____________L__298"/>
      <sheetName val="[form-pm.xls]____________L__299"/>
      <sheetName val="[form-pm.xls]____________L__300"/>
      <sheetName val="[form-pm.xls]____________L__301"/>
      <sheetName val="[form-pm.xls]____________L__302"/>
      <sheetName val="[form-pm.xls]____________L__303"/>
      <sheetName val="[form-pm.xls]____________L__304"/>
      <sheetName val="[form-pm.xls]____________L__305"/>
      <sheetName val="[form-pm.xls]____________L__306"/>
      <sheetName val="[form-pm.xls][form-pm.xls]_L_78"/>
      <sheetName val="[form-pm.xls]____________L__307"/>
      <sheetName val="[form-pm.xls]____________L__308"/>
      <sheetName val="[form-pm.xls]____________L__309"/>
      <sheetName val="[form-pm.xls]____________L__310"/>
      <sheetName val="[form-pm.xls]____________L__311"/>
      <sheetName val="[form-pm.xls]____________L__320"/>
      <sheetName val="[form-pm.xls]____________L__321"/>
      <sheetName val="[form-pm.xls]____________L__322"/>
      <sheetName val="[form-pm.xls]____________L__323"/>
      <sheetName val="[form-pm.xls]____________L__324"/>
      <sheetName val="[form-pm.xls]____________L__325"/>
      <sheetName val="[form-pm.xls]____________L__326"/>
      <sheetName val="[form-pm.xls]____________L__327"/>
      <sheetName val="[form-pm.xls]____________L__312"/>
      <sheetName val="[form-pm.xls]____________L__313"/>
      <sheetName val="[form-pm.xls]____________L__314"/>
      <sheetName val="[form-pm.xls]____________L__315"/>
      <sheetName val="[form-pm.xls]____________L__316"/>
      <sheetName val="[form-pm.xls]____________L__317"/>
      <sheetName val="[form-pm.xls]____________L__318"/>
      <sheetName val="[form-pm.xls]____________L__319"/>
      <sheetName val="[form-pm.xls][form-pm.xls]_L_86"/>
      <sheetName val="[form-pm.xls]____________L__360"/>
      <sheetName val="[form-pm.xls]____________L__361"/>
      <sheetName val="[form-pm.xls]____________L__362"/>
      <sheetName val="[form-pm.xls]____________L__363"/>
      <sheetName val="[form-pm.xls]____________L__364"/>
      <sheetName val="[form-pm.xls]____________L__365"/>
      <sheetName val="[form-pm.xls]____________L__366"/>
      <sheetName val="[form-pm.xls]____________L__367"/>
      <sheetName val="[form-pm.xls][form-pm.xls]_L_84"/>
      <sheetName val="[form-pm.xls]____________L__344"/>
      <sheetName val="[form-pm.xls]____________L__345"/>
      <sheetName val="[form-pm.xls]____________L__346"/>
      <sheetName val="[form-pm.xls]____________L__347"/>
      <sheetName val="[form-pm.xls]____________L__348"/>
      <sheetName val="[form-pm.xls]____________L__349"/>
      <sheetName val="[form-pm.xls]____________L__350"/>
      <sheetName val="[form-pm.xls]____________L__351"/>
      <sheetName val="[form-pm.xls][form-pm.xls]_L_83"/>
      <sheetName val="[form-pm.xls]____________L__336"/>
      <sheetName val="[form-pm.xls]____________L__337"/>
      <sheetName val="[form-pm.xls]____________L__338"/>
      <sheetName val="[form-pm.xls]____________L__339"/>
      <sheetName val="[form-pm.xls]____________L__340"/>
      <sheetName val="[form-pm.xls]____________L__341"/>
      <sheetName val="[form-pm.xls]____________L__342"/>
      <sheetName val="[form-pm.xls]____________L__343"/>
      <sheetName val="[form-pm.xls][form-pm.xls]_L_85"/>
      <sheetName val="[form-pm.xls]____________L__352"/>
      <sheetName val="[form-pm.xls]____________L__353"/>
      <sheetName val="[form-pm.xls]____________L__354"/>
      <sheetName val="[form-pm.xls]____________L__355"/>
      <sheetName val="[form-pm.xls]____________L__356"/>
      <sheetName val="[form-pm.xls]____________L__357"/>
      <sheetName val="[form-pm.xls]____________L__358"/>
      <sheetName val="[form-pm.xls]____________L__359"/>
      <sheetName val="[form-pm.xls][form-pm.xls]_L_88"/>
      <sheetName val="[form-pm.xls]____________L__376"/>
      <sheetName val="[form-pm.xls]____________L__377"/>
      <sheetName val="[form-pm.xls]____________L__378"/>
      <sheetName val="[form-pm.xls][form-pm.xls]_L_89"/>
      <sheetName val="[form-pm.xls]____________L__379"/>
      <sheetName val="[form-pm.xls]____________L__380"/>
      <sheetName val="[form-pm.xls]____________L__381"/>
      <sheetName val="[form-pm.xls]____________L__382"/>
      <sheetName val="[form-pm.xls]____________L__383"/>
      <sheetName val="[form-pm.xls][form-pm.xls]_L_87"/>
      <sheetName val="[form-pm.xls]____________L__368"/>
      <sheetName val="[form-pm.xls]____________L__369"/>
      <sheetName val="[form-pm.xls]____________L__370"/>
      <sheetName val="[form-pm.xls]____________L__371"/>
      <sheetName val="[form-pm.xls]____________L__372"/>
      <sheetName val="[form-pm.xls]____________L__373"/>
      <sheetName val="[form-pm.xls]____________L__374"/>
      <sheetName val="[form-pm.xls]____________L__375"/>
      <sheetName val="[form-pm.xls]____________L__384"/>
      <sheetName val="[form-pm.xls]____________L__385"/>
      <sheetName val="[form-pm.xls]____________L__386"/>
      <sheetName val="[form-pm.xls]____________L__387"/>
      <sheetName val="[form-pm.xls]____________L__388"/>
      <sheetName val="[form-pm.xls]____________L__389"/>
      <sheetName val="[form-pm.xls]____________L__390"/>
      <sheetName val="[form-pm.xls]____________L__391"/>
      <sheetName val="[form-pm.xls][form-pm.xls]_L_92"/>
      <sheetName val="[form-pm.xls][form-pm.xls]_L_90"/>
      <sheetName val="[form-pm.xls][form-pm.xls]_L_91"/>
      <sheetName val="[form-pm.xls]____________L__392"/>
      <sheetName val="[form-pm.xls]____________L__393"/>
      <sheetName val="[form-pm.xls]____________L__394"/>
      <sheetName val="[form-pm.xls]____________L__395"/>
      <sheetName val="[form-pm.xls]____________L__396"/>
      <sheetName val="[form-pm.xls]____________L__397"/>
      <sheetName val="[form-pm.xls]____________L__398"/>
      <sheetName val="[form-pm.xls]____________L__399"/>
      <sheetName val="[form-pm.xls][form-pm.xls]_L_93"/>
      <sheetName val="[form-pm.xls][form-pm.xls]_L_94"/>
      <sheetName val="[form-pm.xls]____________L__400"/>
      <sheetName val="[form-pm.xls]____________L__401"/>
      <sheetName val="[form-pm.xls]____________L__402"/>
      <sheetName val="[form-pm.xls][form-pm.xls]_L_95"/>
      <sheetName val="[form-pm.xls]____________L__403"/>
      <sheetName val="[form-pm.xls]____________L__404"/>
      <sheetName val="[form-pm.xls]____________L__405"/>
      <sheetName val="[form-pm.xls]____________L__406"/>
      <sheetName val="[form-pm.xls]____________L__407"/>
      <sheetName val="[form-pm.xls][form-pm.xls]_L_96"/>
      <sheetName val="[form-pm.xls]____________L__408"/>
      <sheetName val="[form-pm.xls]____________L__409"/>
      <sheetName val="[form-pm.xls]____________L__410"/>
      <sheetName val="[form-pm.xls]____________L__411"/>
      <sheetName val="[form-pm.xls]____________L__412"/>
      <sheetName val="[form-pm.xls]____________L__413"/>
      <sheetName val="[form-pm.xls]____________L__414"/>
      <sheetName val="[form-pm.xls]____________L__415"/>
      <sheetName val="[form-pm.xls][form-pm.xls]_L_99"/>
      <sheetName val="[form-pm.xls]____________L__424"/>
      <sheetName val="[form-pm.xls]____________L__425"/>
      <sheetName val="[form-pm.xls]____________L__426"/>
      <sheetName val="[form-pm.xls]____________L__427"/>
      <sheetName val="[form-pm.xls]____________L__428"/>
      <sheetName val="[form-pm.xls]____________L__429"/>
      <sheetName val="[form-pm.xls]____________L__430"/>
      <sheetName val="[form-pm.xls]____________L__431"/>
      <sheetName val="[form-pm.xls][form-pm.xls]_L_97"/>
      <sheetName val="[form-pm.xls]____________L__416"/>
      <sheetName val="[form-pm.xls]____________L__417"/>
      <sheetName val="[form-pm.xls]____________L__418"/>
      <sheetName val="[form-pm.xls][form-pm.xls]_L_98"/>
      <sheetName val="[form-pm.xls]____________L__419"/>
      <sheetName val="[form-pm.xls]____________L__420"/>
      <sheetName val="[form-pm.xls]____________L__421"/>
      <sheetName val="[form-pm.xls]____________L__422"/>
      <sheetName val="[form-pm.xls]____________L__423"/>
      <sheetName val="[form-pm.xls][form-pm.xls]__100"/>
      <sheetName val="[form-pm.xls][form-pm.xls]__101"/>
      <sheetName val="[form-pm.xls]____________L__432"/>
      <sheetName val="[form-pm.xls]____________L__433"/>
      <sheetName val="[form-pm.xls]____________L__434"/>
      <sheetName val="[form-pm.xls]____________L__435"/>
      <sheetName val="[form-pm.xls]____________L__436"/>
      <sheetName val="[form-pm.xls]____________L__437"/>
      <sheetName val="[form-pm.xls]____________L__438"/>
      <sheetName val="[form-pm.xls]____________L__439"/>
      <sheetName val="[form-pm.xls][form-pm.xls]__113"/>
      <sheetName val="[form-pm.xls][form-pm.xls]__106"/>
      <sheetName val="[form-pm.xls]____________L__456"/>
      <sheetName val="[form-pm.xls]____________L__457"/>
      <sheetName val="[form-pm.xls]____________L__458"/>
      <sheetName val="[form-pm.xls][form-pm.xls]__107"/>
      <sheetName val="[form-pm.xls]____________L__459"/>
      <sheetName val="[form-pm.xls]____________L__460"/>
      <sheetName val="[form-pm.xls]____________L__461"/>
      <sheetName val="[form-pm.xls]____________L__462"/>
      <sheetName val="[form-pm.xls]____________L__463"/>
      <sheetName val="[form-pm.xls][form-pm.xls]__105"/>
      <sheetName val="[form-pm.xls][form-pm.xls]__102"/>
      <sheetName val="[form-pm.xls]____________L__440"/>
      <sheetName val="[form-pm.xls]____________L__441"/>
      <sheetName val="[form-pm.xls]____________L__442"/>
      <sheetName val="[form-pm.xls][form-pm.xls]__103"/>
      <sheetName val="[form-pm.xls]____________L__443"/>
      <sheetName val="[form-pm.xls]____________L__444"/>
      <sheetName val="[form-pm.xls]____________L__445"/>
      <sheetName val="[form-pm.xls]____________L__446"/>
      <sheetName val="[form-pm.xls]____________L__447"/>
      <sheetName val="[form-pm.xls][form-pm.xls]__104"/>
      <sheetName val="[form-pm.xls]____________L__448"/>
      <sheetName val="[form-pm.xls]____________L__449"/>
      <sheetName val="[form-pm.xls]____________L__450"/>
      <sheetName val="[form-pm.xls]____________L__451"/>
      <sheetName val="[form-pm.xls]____________L__452"/>
      <sheetName val="[form-pm.xls]____________L__453"/>
      <sheetName val="[form-pm.xls]____________L__454"/>
      <sheetName val="[form-pm.xls]____________L__455"/>
      <sheetName val="[form-pm.xls]____________L__488"/>
      <sheetName val="[form-pm.xls]____________L__489"/>
      <sheetName val="[form-pm.xls]____________L__490"/>
      <sheetName val="[form-pm.xls][form-pm.xls]__114"/>
      <sheetName val="[form-pm.xls]____________L__491"/>
      <sheetName val="[form-pm.xls]____________L__492"/>
      <sheetName val="[form-pm.xls]____________L__493"/>
      <sheetName val="[form-pm.xls]____________L__494"/>
      <sheetName val="[form-pm.xls]____________L__495"/>
      <sheetName val="[form-pm.xls][form-pm.xls]__108"/>
      <sheetName val="[form-pm.xls]____________L__464"/>
      <sheetName val="[form-pm.xls]____________L__465"/>
      <sheetName val="[form-pm.xls]____________L__466"/>
      <sheetName val="[form-pm.xls]____________L__467"/>
      <sheetName val="[form-pm.xls]____________L__468"/>
      <sheetName val="[form-pm.xls]____________L__469"/>
      <sheetName val="[form-pm.xls]____________L__470"/>
      <sheetName val="[form-pm.xls]____________L__471"/>
      <sheetName val="[form-pm.xls][form-pm.xls]__112"/>
      <sheetName val="[form-pm.xls][form-pm.xls]__110"/>
      <sheetName val="[form-pm.xls]____________L__480"/>
      <sheetName val="[form-pm.xls]____________L__481"/>
      <sheetName val="[form-pm.xls]____________L__482"/>
      <sheetName val="[form-pm.xls][form-pm.xls]__111"/>
      <sheetName val="[form-pm.xls]____________L__483"/>
      <sheetName val="[form-pm.xls]____________L__484"/>
      <sheetName val="[form-pm.xls]____________L__485"/>
      <sheetName val="[form-pm.xls]____________L__486"/>
      <sheetName val="[form-pm.xls]____________L__487"/>
      <sheetName val="[form-pm.xls][form-pm.xls]__109"/>
      <sheetName val="[form-pm.xls]____________L__472"/>
      <sheetName val="[form-pm.xls]____________L__473"/>
      <sheetName val="[form-pm.xls]____________L__474"/>
      <sheetName val="[form-pm.xls]____________L__475"/>
      <sheetName val="[form-pm.xls]____________L__476"/>
      <sheetName val="[form-pm.xls]____________L__477"/>
      <sheetName val="[form-pm.xls]____________L__478"/>
      <sheetName val="[form-pm.xls]____________L__479"/>
      <sheetName val="[form-pm.xls]____________L__496"/>
      <sheetName val="[form-pm.xls]____________L__497"/>
      <sheetName val="[form-pm.xls]____________L__498"/>
      <sheetName val="[form-pm.xls][form-pm.xls]__115"/>
      <sheetName val="[form-pm.xls]____________L__499"/>
      <sheetName val="[form-pm.xls]____________L__500"/>
      <sheetName val="[form-pm.xls]____________L__501"/>
      <sheetName val="[form-pm.xls]____________L__502"/>
      <sheetName val="[form-pm.xls]____________L__503"/>
      <sheetName val="[form-pm.xls][form-pm.xls]__116"/>
      <sheetName val="[form-pm.xls]____________L__504"/>
      <sheetName val="[form-pm.xls]____________L__505"/>
      <sheetName val="[form-pm.xls]____________L__506"/>
      <sheetName val="[form-pm.xls]____________L__507"/>
      <sheetName val="[form-pm.xls]____________L__508"/>
      <sheetName val="[form-pm.xls]____________L__509"/>
      <sheetName val="[form-pm.xls]____________L__510"/>
      <sheetName val="[form-pm.xls]____________L__511"/>
      <sheetName val="[form-pm.xls][form-pm.xls]__117"/>
      <sheetName val="[form-pm.xls]____________L__512"/>
      <sheetName val="[form-pm.xls]____________L__513"/>
      <sheetName val="[form-pm.xls]____________L__514"/>
      <sheetName val="[form-pm.xls]____________L__515"/>
      <sheetName val="[form-pm.xls]____________L__516"/>
      <sheetName val="[form-pm.xls]____________L__517"/>
      <sheetName val="[form-pm.xls]____________L__518"/>
      <sheetName val="[form-pm.xls]____________L__519"/>
      <sheetName val="[form-pm.xls][form-pm.xls]__120"/>
      <sheetName val="[form-pm.xls]____________L__536"/>
      <sheetName val="[form-pm.xls]____________L__537"/>
      <sheetName val="[form-pm.xls]____________L__538"/>
      <sheetName val="[form-pm.xls]____________L__539"/>
      <sheetName val="[form-pm.xls]____________L__540"/>
      <sheetName val="[form-pm.xls]____________L__541"/>
      <sheetName val="[form-pm.xls]____________L__542"/>
      <sheetName val="[form-pm.xls]____________L__543"/>
      <sheetName val="[form-pm.xls][form-pm.xls]__118"/>
      <sheetName val="[form-pm.xls]____________L__520"/>
      <sheetName val="[form-pm.xls]____________L__521"/>
      <sheetName val="[form-pm.xls]____________L__522"/>
      <sheetName val="[form-pm.xls][form-pm.xls]__119"/>
      <sheetName val="[form-pm.xls]____________L__523"/>
      <sheetName val="[form-pm.xls]____________L__524"/>
      <sheetName val="[form-pm.xls]____________L__525"/>
      <sheetName val="[form-pm.xls]____________L__526"/>
      <sheetName val="[form-pm.xls]____________L__527"/>
      <sheetName val="[form-pm.xls]____________L__528"/>
      <sheetName val="[form-pm.xls]____________L__529"/>
      <sheetName val="[form-pm.xls]____________L__530"/>
      <sheetName val="[form-pm.xls]____________L__531"/>
      <sheetName val="[form-pm.xls]____________L__532"/>
      <sheetName val="[form-pm.xls]____________L__533"/>
      <sheetName val="[form-pm.xls]____________L__534"/>
      <sheetName val="[form-pm.xls]____________L__535"/>
      <sheetName val="[form-pm.xls][form-pm.xls]__159"/>
      <sheetName val="[form-pm.xls]____________L__768"/>
      <sheetName val="[form-pm.xls]____________L__769"/>
      <sheetName val="[form-pm.xls]____________L__770"/>
      <sheetName val="[form-pm.xls][form-pm.xls]__163"/>
      <sheetName val="[form-pm.xls]____________L__771"/>
      <sheetName val="[form-pm.xls]____________L__772"/>
      <sheetName val="[form-pm.xls]____________L__773"/>
      <sheetName val="[form-pm.xls]____________L__774"/>
      <sheetName val="[form-pm.xls]____________L__775"/>
      <sheetName val="[form-pm.xls][form-pm.xls]__123"/>
      <sheetName val="[form-pm.xls]____________L__552"/>
      <sheetName val="[form-pm.xls]____________L__553"/>
      <sheetName val="[form-pm.xls]____________L__554"/>
      <sheetName val="[form-pm.xls]____________L__555"/>
      <sheetName val="[form-pm.xls]____________L__556"/>
      <sheetName val="[form-pm.xls]____________L__557"/>
      <sheetName val="[form-pm.xls]____________L__558"/>
      <sheetName val="[form-pm.xls]____________L__559"/>
      <sheetName val="[form-pm.xls][form-pm.xls]__121"/>
      <sheetName val="[form-pm.xls]____________L__544"/>
      <sheetName val="[form-pm.xls]____________L__545"/>
      <sheetName val="[form-pm.xls]____________L__546"/>
      <sheetName val="[form-pm.xls][form-pm.xls]__122"/>
      <sheetName val="[form-pm.xls]____________L__547"/>
      <sheetName val="[form-pm.xls]____________L__548"/>
      <sheetName val="[form-pm.xls]____________L__549"/>
      <sheetName val="[form-pm.xls]____________L__550"/>
      <sheetName val="[form-pm.xls]____________L__551"/>
      <sheetName val="[form-pm.xls][form-pm.xls]__136"/>
      <sheetName val="[form-pm.xls]____________L__632"/>
      <sheetName val="[form-pm.xls]____________L__633"/>
      <sheetName val="[form-pm.xls]____________L__634"/>
      <sheetName val="[form-pm.xls]____________L__635"/>
      <sheetName val="[form-pm.xls]____________L__636"/>
      <sheetName val="[form-pm.xls]____________L__637"/>
      <sheetName val="[form-pm.xls]____________L__638"/>
      <sheetName val="[form-pm.xls]____________L__639"/>
      <sheetName val="[form-pm.xls][form-pm.xls]__134"/>
      <sheetName val="[form-pm.xls]____________L__624"/>
      <sheetName val="[form-pm.xls]____________L__625"/>
      <sheetName val="[form-pm.xls]____________L__626"/>
      <sheetName val="[form-pm.xls][form-pm.xls]__135"/>
      <sheetName val="[form-pm.xls]____________L__627"/>
      <sheetName val="[form-pm.xls]____________L__628"/>
      <sheetName val="[form-pm.xls]____________L__629"/>
      <sheetName val="[form-pm.xls]____________L__630"/>
      <sheetName val="[form-pm.xls]____________L__631"/>
      <sheetName val="[form-pm.xls][form-pm.xls]__132"/>
      <sheetName val="[form-pm.xls]____________L__616"/>
      <sheetName val="[form-pm.xls]____________L__617"/>
      <sheetName val="[form-pm.xls]____________L__618"/>
      <sheetName val="[form-pm.xls][form-pm.xls]__133"/>
      <sheetName val="[form-pm.xls]____________L__619"/>
      <sheetName val="[form-pm.xls]____________L__620"/>
      <sheetName val="[form-pm.xls]____________L__621"/>
      <sheetName val="[form-pm.xls]____________L__622"/>
      <sheetName val="[form-pm.xls]____________L__623"/>
      <sheetName val="[form-pm.xls][form-pm.xls]__130"/>
      <sheetName val="[form-pm.xls]____________L__600"/>
      <sheetName val="[form-pm.xls]____________L__601"/>
      <sheetName val="[form-pm.xls]____________L__602"/>
      <sheetName val="[form-pm.xls][form-pm.xls]__131"/>
      <sheetName val="[form-pm.xls]____________L__603"/>
      <sheetName val="[form-pm.xls]____________L__604"/>
      <sheetName val="[form-pm.xls]____________L__605"/>
      <sheetName val="[form-pm.xls]____________L__606"/>
      <sheetName val="[form-pm.xls]____________L__607"/>
      <sheetName val="[form-pm.xls][form-pm.xls]__129"/>
      <sheetName val="[form-pm.xls]____________L__592"/>
      <sheetName val="[form-pm.xls]____________L__593"/>
      <sheetName val="[form-pm.xls]____________L__594"/>
      <sheetName val="[form-pm.xls]____________L__595"/>
      <sheetName val="[form-pm.xls]____________L__596"/>
      <sheetName val="[form-pm.xls]____________L__597"/>
      <sheetName val="[form-pm.xls]____________L__598"/>
      <sheetName val="[form-pm.xls]____________L__599"/>
      <sheetName val="[form-pm.xls][form-pm.xls]__125"/>
      <sheetName val="[form-pm.xls]____________L__568"/>
      <sheetName val="[form-pm.xls]____________L__569"/>
      <sheetName val="[form-pm.xls]____________L__570"/>
      <sheetName val="[form-pm.xls][form-pm.xls]__126"/>
      <sheetName val="[form-pm.xls]____________L__571"/>
      <sheetName val="[form-pm.xls]____________L__572"/>
      <sheetName val="[form-pm.xls]____________L__573"/>
      <sheetName val="[form-pm.xls]____________L__574"/>
      <sheetName val="[form-pm.xls]____________L__575"/>
      <sheetName val="[form-pm.xls][form-pm.xls]__124"/>
      <sheetName val="[form-pm.xls]____________L__560"/>
      <sheetName val="[form-pm.xls]____________L__561"/>
      <sheetName val="[form-pm.xls]____________L__562"/>
      <sheetName val="[form-pm.xls]____________L__563"/>
      <sheetName val="[form-pm.xls]____________L__564"/>
      <sheetName val="[form-pm.xls]____________L__565"/>
      <sheetName val="[form-pm.xls]____________L__566"/>
      <sheetName val="[form-pm.xls]____________L__567"/>
      <sheetName val="[form-pm.xls]____________L__576"/>
      <sheetName val="[form-pm.xls]____________L__577"/>
      <sheetName val="[form-pm.xls]____________L__578"/>
      <sheetName val="[form-pm.xls][form-pm.xls]__127"/>
      <sheetName val="[form-pm.xls]____________L__579"/>
      <sheetName val="[form-pm.xls]____________L__580"/>
      <sheetName val="[form-pm.xls]____________L__581"/>
      <sheetName val="[form-pm.xls]____________L__582"/>
      <sheetName val="[form-pm.xls]____________L__583"/>
      <sheetName val="[form-pm.xls][form-pm.xls]__128"/>
      <sheetName val="[form-pm.xls]____________L__584"/>
      <sheetName val="[form-pm.xls]____________L__585"/>
      <sheetName val="[form-pm.xls]____________L__586"/>
      <sheetName val="[form-pm.xls]____________L__587"/>
      <sheetName val="[form-pm.xls]____________L__588"/>
      <sheetName val="[form-pm.xls]____________L__589"/>
      <sheetName val="[form-pm.xls]____________L__590"/>
      <sheetName val="[form-pm.xls]____________L__591"/>
      <sheetName val="[form-pm.xls]____________L__608"/>
      <sheetName val="[form-pm.xls]____________L__609"/>
      <sheetName val="[form-pm.xls]____________L__610"/>
      <sheetName val="[form-pm.xls]____________L__611"/>
      <sheetName val="[form-pm.xls]____________L__612"/>
      <sheetName val="[form-pm.xls]____________L__613"/>
      <sheetName val="[form-pm.xls]____________L__614"/>
      <sheetName val="[form-pm.xls]____________L__615"/>
      <sheetName val="[form-pm.xls][form-pm.xls]__146"/>
      <sheetName val="[form-pm.xls]____________L__696"/>
      <sheetName val="[form-pm.xls]____________L__697"/>
      <sheetName val="[form-pm.xls]____________L__698"/>
      <sheetName val="[form-pm.xls][form-pm.xls]__147"/>
      <sheetName val="[form-pm.xls]____________L__699"/>
      <sheetName val="[form-pm.xls]____________L__700"/>
      <sheetName val="[form-pm.xls]____________L__701"/>
      <sheetName val="[form-pm.xls]____________L__702"/>
      <sheetName val="[form-pm.xls]____________L__703"/>
      <sheetName val="[form-pm.xls][form-pm.xls]__143"/>
      <sheetName val="[form-pm.xls]____________L__680"/>
      <sheetName val="[form-pm.xls]____________L__681"/>
      <sheetName val="[form-pm.xls]____________L__682"/>
      <sheetName val="[form-pm.xls][form-pm.xls]__144"/>
      <sheetName val="[form-pm.xls]____________L__683"/>
      <sheetName val="[form-pm.xls]____________L__684"/>
      <sheetName val="[form-pm.xls]____________L__685"/>
      <sheetName val="[form-pm.xls]____________L__686"/>
      <sheetName val="[form-pm.xls]____________L__687"/>
      <sheetName val="[form-pm.xls][form-pm.xls]__142"/>
      <sheetName val="[form-pm.xls]____________L__672"/>
      <sheetName val="[form-pm.xls]____________L__673"/>
      <sheetName val="[form-pm.xls]____________L__674"/>
      <sheetName val="[form-pm.xls]____________L__675"/>
      <sheetName val="[form-pm.xls]____________L__676"/>
      <sheetName val="[form-pm.xls]____________L__677"/>
      <sheetName val="[form-pm.xls]____________L__678"/>
      <sheetName val="[form-pm.xls]____________L__679"/>
      <sheetName val="[form-pm.xls][form-pm.xls]__139"/>
      <sheetName val="[form-pm.xls]____________L__656"/>
      <sheetName val="[form-pm.xls]____________L__657"/>
      <sheetName val="[form-pm.xls]____________L__658"/>
      <sheetName val="[form-pm.xls][form-pm.xls]__140"/>
      <sheetName val="[form-pm.xls]____________L__659"/>
      <sheetName val="[form-pm.xls]____________L__660"/>
      <sheetName val="[form-pm.xls]____________L__661"/>
      <sheetName val="[form-pm.xls]____________L__662"/>
      <sheetName val="[form-pm.xls]____________L__663"/>
      <sheetName val="[form-pm.xls][form-pm.xls]__137"/>
      <sheetName val="[form-pm.xls]____________L__640"/>
      <sheetName val="[form-pm.xls]____________L__641"/>
      <sheetName val="[form-pm.xls]____________L__642"/>
      <sheetName val="[form-pm.xls][form-pm.xls]__138"/>
      <sheetName val="[form-pm.xls]____________L__643"/>
      <sheetName val="[form-pm.xls]____________L__644"/>
      <sheetName val="[form-pm.xls]____________L__645"/>
      <sheetName val="[form-pm.xls]____________L__646"/>
      <sheetName val="[form-pm.xls]____________L__647"/>
      <sheetName val="[form-pm.xls]____________L__648"/>
      <sheetName val="[form-pm.xls]____________L__649"/>
      <sheetName val="[form-pm.xls]____________L__650"/>
      <sheetName val="[form-pm.xls]____________L__651"/>
      <sheetName val="[form-pm.xls]____________L__652"/>
      <sheetName val="[form-pm.xls]____________L__653"/>
      <sheetName val="[form-pm.xls]____________L__654"/>
      <sheetName val="[form-pm.xls]____________L__655"/>
      <sheetName val="[form-pm.xls]____________L__664"/>
      <sheetName val="[form-pm.xls]____________L__665"/>
      <sheetName val="[form-pm.xls]____________L__666"/>
      <sheetName val="[form-pm.xls][form-pm.xls]__141"/>
      <sheetName val="[form-pm.xls]____________L__667"/>
      <sheetName val="[form-pm.xls]____________L__668"/>
      <sheetName val="[form-pm.xls]____________L__669"/>
      <sheetName val="[form-pm.xls]____________L__670"/>
      <sheetName val="[form-pm.xls]____________L__671"/>
      <sheetName val="[form-pm.xls][form-pm.xls]__145"/>
      <sheetName val="[form-pm.xls]____________L__688"/>
      <sheetName val="[form-pm.xls]____________L__689"/>
      <sheetName val="[form-pm.xls]____________L__690"/>
      <sheetName val="[form-pm.xls]____________L__691"/>
      <sheetName val="[form-pm.xls]____________L__692"/>
      <sheetName val="[form-pm.xls]____________L__693"/>
      <sheetName val="[form-pm.xls]____________L__694"/>
      <sheetName val="[form-pm.xls]____________L__695"/>
      <sheetName val="[form-pm.xls][form-pm.xls]__149"/>
      <sheetName val="[form-pm.xls][form-pm.xls]__148"/>
      <sheetName val="[form-pm.xls][form-pm.xls]__157"/>
      <sheetName val="[form-pm.xls]____________L__760"/>
      <sheetName val="[form-pm.xls]____________L__761"/>
      <sheetName val="[form-pm.xls]____________L__762"/>
      <sheetName val="[form-pm.xls][form-pm.xls]__158"/>
      <sheetName val="[form-pm.xls]____________L__763"/>
      <sheetName val="[form-pm.xls]____________L__764"/>
      <sheetName val="[form-pm.xls]____________L__765"/>
      <sheetName val="[form-pm.xls]____________L__766"/>
      <sheetName val="[form-pm.xls]____________L__767"/>
      <sheetName val="[form-pm.xls][form-pm.xls]__155"/>
      <sheetName val="[form-pm.xls]____________L__752"/>
      <sheetName val="[form-pm.xls]____________L__753"/>
      <sheetName val="[form-pm.xls]____________L__754"/>
      <sheetName val="[form-pm.xls][form-pm.xls]__156"/>
      <sheetName val="[form-pm.xls]____________L__755"/>
      <sheetName val="[form-pm.xls]____________L__756"/>
      <sheetName val="[form-pm.xls]____________L__757"/>
      <sheetName val="[form-pm.xls]____________L__758"/>
      <sheetName val="[form-pm.xls]____________L__759"/>
      <sheetName val="[form-pm.xls][form-pm.xls]__153"/>
      <sheetName val="[form-pm.xls]____________L__736"/>
      <sheetName val="[form-pm.xls]____________L__737"/>
      <sheetName val="[form-pm.xls]____________L__738"/>
      <sheetName val="[form-pm.xls]____________L__739"/>
      <sheetName val="[form-pm.xls]____________L__740"/>
      <sheetName val="[form-pm.xls]____________L__741"/>
      <sheetName val="[form-pm.xls]____________L__742"/>
      <sheetName val="[form-pm.xls]____________L__743"/>
      <sheetName val="[form-pm.xls][form-pm.xls]__151"/>
      <sheetName val="[form-pm.xls]____________L__728"/>
      <sheetName val="[form-pm.xls]____________L__729"/>
      <sheetName val="[form-pm.xls]____________L__730"/>
      <sheetName val="[form-pm.xls][form-pm.xls]__152"/>
      <sheetName val="[form-pm.xls]____________L__731"/>
      <sheetName val="[form-pm.xls]____________L__732"/>
      <sheetName val="[form-pm.xls]____________L__733"/>
      <sheetName val="[form-pm.xls]____________L__734"/>
      <sheetName val="[form-pm.xls]____________L__735"/>
      <sheetName val="[form-pm.xls]____________L__704"/>
      <sheetName val="[form-pm.xls]____________L__705"/>
      <sheetName val="[form-pm.xls]____________L__706"/>
      <sheetName val="[form-pm.xls]____________L__707"/>
      <sheetName val="[form-pm.xls]____________L__708"/>
      <sheetName val="[form-pm.xls]____________L__709"/>
      <sheetName val="[form-pm.xls]____________L__710"/>
      <sheetName val="[form-pm.xls]____________L__711"/>
      <sheetName val="[form-pm.xls]____________L__712"/>
      <sheetName val="[form-pm.xls]____________L__713"/>
      <sheetName val="[form-pm.xls]____________L__714"/>
      <sheetName val="[form-pm.xls]____________L__715"/>
      <sheetName val="[form-pm.xls]____________L__716"/>
      <sheetName val="[form-pm.xls]____________L__717"/>
      <sheetName val="[form-pm.xls]____________L__718"/>
      <sheetName val="[form-pm.xls]____________L__719"/>
      <sheetName val="[form-pm.xls][form-pm.xls]__150"/>
      <sheetName val="[form-pm.xls]____________L__720"/>
      <sheetName val="[form-pm.xls]____________L__721"/>
      <sheetName val="[form-pm.xls]____________L__722"/>
      <sheetName val="[form-pm.xls]____________L__723"/>
      <sheetName val="[form-pm.xls]____________L__724"/>
      <sheetName val="[form-pm.xls]____________L__725"/>
      <sheetName val="[form-pm.xls]____________L__726"/>
      <sheetName val="[form-pm.xls]____________L__727"/>
      <sheetName val="[form-pm.xls][form-pm.xls]__154"/>
      <sheetName val="[form-pm.xls]____________L__744"/>
      <sheetName val="[form-pm.xls]____________L__745"/>
      <sheetName val="[form-pm.xls]____________L__746"/>
      <sheetName val="[form-pm.xls]____________L__747"/>
      <sheetName val="[form-pm.xls]____________L__748"/>
      <sheetName val="[form-pm.xls]____________L__749"/>
      <sheetName val="[form-pm.xls]____________L__750"/>
      <sheetName val="[form-pm.xls]____________L__751"/>
      <sheetName val="[form-pm.xls][form-pm.xls]__160"/>
      <sheetName val="[form-pm.xls]____________L__792"/>
      <sheetName val="[form-pm.xls]____________L__793"/>
      <sheetName val="[form-pm.xls]____________L__794"/>
      <sheetName val="[form-pm.xls][form-pm.xls]__165"/>
      <sheetName val="[form-pm.xls]____________L__795"/>
      <sheetName val="[form-pm.xls]____________L__796"/>
      <sheetName val="[form-pm.xls]____________L__797"/>
      <sheetName val="[form-pm.xls]____________L__798"/>
      <sheetName val="[form-pm.xls]____________L__799"/>
      <sheetName val="[form-pm.xls][form-pm.xls]__161"/>
      <sheetName val="[form-pm.xls]____________L__776"/>
      <sheetName val="[form-pm.xls]____________L__777"/>
      <sheetName val="[form-pm.xls]____________L__778"/>
      <sheetName val="[form-pm.xls]____________L__779"/>
      <sheetName val="[form-pm.xls]____________L__780"/>
      <sheetName val="[form-pm.xls]____________L__781"/>
      <sheetName val="[form-pm.xls]____________L__782"/>
      <sheetName val="[form-pm.xls]____________L__783"/>
      <sheetName val="[form-pm.xls][form-pm.xls]__162"/>
      <sheetName val="[form-pm.xls]____________L__784"/>
      <sheetName val="[form-pm.xls]____________L__785"/>
      <sheetName val="[form-pm.xls]____________L__786"/>
      <sheetName val="[form-pm.xls]____________L__787"/>
      <sheetName val="[form-pm.xls]____________L__788"/>
      <sheetName val="[form-pm.xls]____________L__789"/>
      <sheetName val="[form-pm.xls]____________L__790"/>
      <sheetName val="[form-pm.xls]____________L__791"/>
      <sheetName val="[form-pm.xls][form-pm.xls]__164"/>
      <sheetName val="[form-pm.xls][form-pm.xls]__167"/>
      <sheetName val="[form-pm.xls]____________L__808"/>
      <sheetName val="[form-pm.xls]____________L__809"/>
      <sheetName val="[form-pm.xls]____________L__810"/>
      <sheetName val="[form-pm.xls][form-pm.xls]__171"/>
      <sheetName val="[form-pm.xls]____________L__811"/>
      <sheetName val="[form-pm.xls]____________L__812"/>
      <sheetName val="[form-pm.xls]____________L__813"/>
      <sheetName val="[form-pm.xls]____________L__814"/>
      <sheetName val="[form-pm.xls]____________L__815"/>
      <sheetName val="[form-pm.xls][form-pm.xls]__166"/>
      <sheetName val="[form-pm.xls]____________L__800"/>
      <sheetName val="[form-pm.xls]____________L__801"/>
      <sheetName val="[form-pm.xls]____________L__802"/>
      <sheetName val="[form-pm.xls]____________L__803"/>
      <sheetName val="[form-pm.xls]____________L__804"/>
      <sheetName val="[form-pm.xls]____________L__805"/>
      <sheetName val="[form-pm.xls]____________L__806"/>
      <sheetName val="[form-pm.xls]____________L__807"/>
      <sheetName val="[form-pm.xls]____________L__832"/>
      <sheetName val="[form-pm.xls]____________L__833"/>
      <sheetName val="[form-pm.xls]____________L__834"/>
      <sheetName val="[form-pm.xls]____________L__835"/>
      <sheetName val="[form-pm.xls]____________L__836"/>
      <sheetName val="[form-pm.xls]____________L__837"/>
      <sheetName val="[form-pm.xls]____________L__838"/>
      <sheetName val="[form-pm.xls]____________L__839"/>
      <sheetName val="[form-pm.xls][form-pm.xls]__169"/>
      <sheetName val="[form-pm.xls]____________L__816"/>
      <sheetName val="[form-pm.xls]____________L__817"/>
      <sheetName val="[form-pm.xls]____________L__818"/>
      <sheetName val="[form-pm.xls]____________L__819"/>
      <sheetName val="[form-pm.xls]____________L__820"/>
      <sheetName val="[form-pm.xls]____________L__821"/>
      <sheetName val="[form-pm.xls]____________L__822"/>
      <sheetName val="[form-pm.xls]____________L__823"/>
      <sheetName val="[form-pm.xls][form-pm.xls]__168"/>
      <sheetName val="[form-pm.xls][form-pm.xls]__170"/>
      <sheetName val="[form-pm.xls]____________L__824"/>
      <sheetName val="[form-pm.xls]____________L__825"/>
      <sheetName val="[form-pm.xls]____________L__826"/>
      <sheetName val="[form-pm.xls]____________L__827"/>
      <sheetName val="[form-pm.xls]____________L__828"/>
      <sheetName val="[form-pm.xls]____________L__829"/>
      <sheetName val="[form-pm.xls]____________L__830"/>
      <sheetName val="[form-pm.xls]____________L__831"/>
      <sheetName val="[form-pm.xls][form-pm.xls]__172"/>
      <sheetName val="[form-pm.xls]____________L__840"/>
      <sheetName val="[form-pm.xls]____________L__841"/>
      <sheetName val="[form-pm.xls]____________L__842"/>
      <sheetName val="[form-pm.xls]____________L__843"/>
      <sheetName val="[form-pm.xls]____________L__844"/>
      <sheetName val="[form-pm.xls]____________L__845"/>
      <sheetName val="[form-pm.xls]____________L__846"/>
      <sheetName val="[form-pm.xls]____________L__847"/>
      <sheetName val="[form-pm.xls][form-pm.xls]__174"/>
      <sheetName val="[form-pm.xls]____________L__856"/>
      <sheetName val="[form-pm.xls]____________L__857"/>
      <sheetName val="[form-pm.xls]____________L__858"/>
      <sheetName val="[form-pm.xls]____________L__859"/>
      <sheetName val="[form-pm.xls]____________L__860"/>
      <sheetName val="[form-pm.xls]____________L__861"/>
      <sheetName val="[form-pm.xls]____________L__862"/>
      <sheetName val="[form-pm.xls]____________L__863"/>
      <sheetName val="[form-pm.xls][form-pm.xls]__173"/>
      <sheetName val="[form-pm.xls]____________L__848"/>
      <sheetName val="[form-pm.xls]____________L__849"/>
      <sheetName val="[form-pm.xls]____________L__850"/>
      <sheetName val="[form-pm.xls]____________L__851"/>
      <sheetName val="[form-pm.xls]____________L__852"/>
      <sheetName val="[form-pm.xls]____________L__853"/>
      <sheetName val="[form-pm.xls]____________L__854"/>
      <sheetName val="[form-pm.xls]____________L__855"/>
      <sheetName val="[form-pm.xls][form-pm.xls]__295"/>
      <sheetName val="[form-pm.xls]____________L_1536"/>
      <sheetName val="[form-pm.xls]____________L_1537"/>
      <sheetName val="[form-pm.xls]____________L_1538"/>
      <sheetName val="[form-pm.xls][form-pm.xls]__296"/>
      <sheetName val="[form-pm.xls]____________L_1539"/>
      <sheetName val="[form-pm.xls]____________L_1540"/>
      <sheetName val="[form-pm.xls]____________L_1541"/>
      <sheetName val="[form-pm.xls]____________L_1542"/>
      <sheetName val="[form-pm.xls]____________L_1543"/>
      <sheetName val="[form-pm.xls][form-pm.xls]__193"/>
      <sheetName val="[form-pm.xls]____________L__992"/>
      <sheetName val="[form-pm.xls]____________L__993"/>
      <sheetName val="[form-pm.xls]____________L__994"/>
      <sheetName val="[form-pm.xls]____________L__995"/>
      <sheetName val="[form-pm.xls]____________L__996"/>
      <sheetName val="[form-pm.xls]____________L__997"/>
      <sheetName val="[form-pm.xls]____________L__998"/>
      <sheetName val="[form-pm.xls]____________L__999"/>
      <sheetName val="[form-pm.xls][form-pm.xls]__191"/>
      <sheetName val="[form-pm.xls]____________L__976"/>
      <sheetName val="[form-pm.xls]____________L__977"/>
      <sheetName val="[form-pm.xls]____________L__978"/>
      <sheetName val="[form-pm.xls]____________L__979"/>
      <sheetName val="[form-pm.xls]____________L__980"/>
      <sheetName val="[form-pm.xls]____________L__981"/>
      <sheetName val="[form-pm.xls]____________L__982"/>
      <sheetName val="[form-pm.xls]____________L__983"/>
      <sheetName val="[form-pm.xls][form-pm.xls]__190"/>
      <sheetName val="[form-pm.xls]____________L__968"/>
      <sheetName val="[form-pm.xls]____________L__969"/>
      <sheetName val="[form-pm.xls]____________L__970"/>
      <sheetName val="[form-pm.xls]____________L__971"/>
      <sheetName val="[form-pm.xls]____________L__972"/>
      <sheetName val="[form-pm.xls]____________L__973"/>
      <sheetName val="[form-pm.xls]____________L__974"/>
      <sheetName val="[form-pm.xls]____________L__975"/>
      <sheetName val="[form-pm.xls][form-pm.xls]__188"/>
      <sheetName val="[form-pm.xls]____________L__960"/>
      <sheetName val="[form-pm.xls]____________L__961"/>
      <sheetName val="[form-pm.xls]____________L__962"/>
      <sheetName val="[form-pm.xls][form-pm.xls]__189"/>
      <sheetName val="[form-pm.xls]____________L__963"/>
      <sheetName val="[form-pm.xls]____________L__964"/>
      <sheetName val="[form-pm.xls]____________L__965"/>
      <sheetName val="[form-pm.xls]____________L__966"/>
      <sheetName val="[form-pm.xls]____________L__967"/>
      <sheetName val="[form-pm.xls][form-pm.xls]__185"/>
      <sheetName val="[form-pm.xls]____________L__936"/>
      <sheetName val="[form-pm.xls]____________L__937"/>
      <sheetName val="[form-pm.xls]____________L__938"/>
      <sheetName val="[form-pm.xls][form-pm.xls]__186"/>
      <sheetName val="[form-pm.xls]____________L__939"/>
      <sheetName val="[form-pm.xls]____________L__940"/>
      <sheetName val="[form-pm.xls]____________L__941"/>
      <sheetName val="[form-pm.xls]____________L__942"/>
      <sheetName val="[form-pm.xls]____________L__943"/>
      <sheetName val="[form-pm.xls][form-pm.xls]__176"/>
      <sheetName val="[form-pm.xls]____________L__872"/>
      <sheetName val="[form-pm.xls]____________L__873"/>
      <sheetName val="[form-pm.xls]____________L__874"/>
      <sheetName val="[form-pm.xls][form-pm.xls]__177"/>
      <sheetName val="[form-pm.xls]____________L__875"/>
      <sheetName val="[form-pm.xls]____________L__876"/>
      <sheetName val="[form-pm.xls]____________L__877"/>
      <sheetName val="[form-pm.xls]____________L__878"/>
      <sheetName val="[form-pm.xls]____________L__879"/>
      <sheetName val="[form-pm.xls][form-pm.xls]__175"/>
      <sheetName val="[form-pm.xls]____________L__864"/>
      <sheetName val="[form-pm.xls]____________L__865"/>
      <sheetName val="[form-pm.xls]____________L__866"/>
      <sheetName val="[form-pm.xls]____________L__867"/>
      <sheetName val="[form-pm.xls]____________L__868"/>
      <sheetName val="[form-pm.xls]____________L__869"/>
      <sheetName val="[form-pm.xls]____________L__870"/>
      <sheetName val="[form-pm.xls]____________L__871"/>
      <sheetName val="[form-pm.xls][form-pm.xls]__183"/>
      <sheetName val="[form-pm.xls]____________L__920"/>
      <sheetName val="[form-pm.xls]____________L__921"/>
      <sheetName val="[form-pm.xls]____________L__922"/>
      <sheetName val="[form-pm.xls][form-pm.xls]__184"/>
      <sheetName val="[form-pm.xls]____________L__923"/>
      <sheetName val="[form-pm.xls]____________L__924"/>
      <sheetName val="[form-pm.xls]____________L__925"/>
      <sheetName val="[form-pm.xls]____________L__926"/>
      <sheetName val="[form-pm.xls]____________L__927"/>
      <sheetName val="[form-pm.xls][form-pm.xls]__178"/>
      <sheetName val="[form-pm.xls]____________L__880"/>
      <sheetName val="[form-pm.xls]____________L__881"/>
      <sheetName val="[form-pm.xls]____________L__882"/>
      <sheetName val="[form-pm.xls]____________L__883"/>
      <sheetName val="[form-pm.xls]____________L__884"/>
      <sheetName val="[form-pm.xls]____________L__885"/>
      <sheetName val="[form-pm.xls]____________L__886"/>
      <sheetName val="[form-pm.xls]____________L__887"/>
      <sheetName val="[form-pm.xls][form-pm.xls]__179"/>
      <sheetName val="[form-pm.xls]____________L__888"/>
      <sheetName val="[form-pm.xls]____________L__889"/>
      <sheetName val="[form-pm.xls]____________L__890"/>
      <sheetName val="[form-pm.xls]____________L__891"/>
      <sheetName val="[form-pm.xls]____________L__892"/>
      <sheetName val="[form-pm.xls]____________L__893"/>
      <sheetName val="[form-pm.xls]____________L__894"/>
      <sheetName val="[form-pm.xls]____________L__895"/>
      <sheetName val="[form-pm.xls][form-pm.xls]__180"/>
      <sheetName val="[form-pm.xls]____________L__896"/>
      <sheetName val="[form-pm.xls]____________L__897"/>
      <sheetName val="[form-pm.xls]____________L__898"/>
      <sheetName val="[form-pm.xls]____________L__899"/>
      <sheetName val="[form-pm.xls]____________L__900"/>
      <sheetName val="[form-pm.xls]____________L__901"/>
      <sheetName val="[form-pm.xls]____________L__902"/>
      <sheetName val="[form-pm.xls]____________L__903"/>
      <sheetName val="[form-pm.xls][form-pm.xls]__181"/>
      <sheetName val="[form-pm.xls]____________L__904"/>
      <sheetName val="[form-pm.xls]____________L__905"/>
      <sheetName val="[form-pm.xls]____________L__906"/>
      <sheetName val="[form-pm.xls]____________L__907"/>
      <sheetName val="[form-pm.xls]____________L__908"/>
      <sheetName val="[form-pm.xls]____________L__909"/>
      <sheetName val="[form-pm.xls]____________L__910"/>
      <sheetName val="[form-pm.xls]____________L__911"/>
      <sheetName val="[form-pm.xls][form-pm.xls]__182"/>
      <sheetName val="[form-pm.xls]____________L__912"/>
      <sheetName val="[form-pm.xls]____________L__913"/>
      <sheetName val="[form-pm.xls]____________L__914"/>
      <sheetName val="[form-pm.xls]____________L__915"/>
      <sheetName val="[form-pm.xls]____________L__916"/>
      <sheetName val="[form-pm.xls]____________L__917"/>
      <sheetName val="[form-pm.xls]____________L__918"/>
      <sheetName val="[form-pm.xls]____________L__919"/>
      <sheetName val="[form-pm.xls]____________L__928"/>
      <sheetName val="[form-pm.xls]____________L__929"/>
      <sheetName val="[form-pm.xls]____________L__930"/>
      <sheetName val="[form-pm.xls]____________L__931"/>
      <sheetName val="[form-pm.xls]____________L__932"/>
      <sheetName val="[form-pm.xls]____________L__933"/>
      <sheetName val="[form-pm.xls]____________L__934"/>
      <sheetName val="[form-pm.xls]____________L__935"/>
      <sheetName val="[form-pm.xls]____________L__944"/>
      <sheetName val="[form-pm.xls]____________L__945"/>
      <sheetName val="[form-pm.xls]____________L__946"/>
      <sheetName val="[form-pm.xls][form-pm.xls]__187"/>
      <sheetName val="[form-pm.xls]____________L__947"/>
      <sheetName val="[form-pm.xls]____________L__948"/>
      <sheetName val="[form-pm.xls]____________L__949"/>
      <sheetName val="[form-pm.xls]____________L__950"/>
      <sheetName val="[form-pm.xls]____________L__951"/>
      <sheetName val="[form-pm.xls]____________L__952"/>
      <sheetName val="[form-pm.xls]____________L__953"/>
      <sheetName val="[form-pm.xls]____________L__954"/>
      <sheetName val="[form-pm.xls]____________L__955"/>
      <sheetName val="[form-pm.xls]____________L__956"/>
      <sheetName val="[form-pm.xls]____________L__957"/>
      <sheetName val="[form-pm.xls]____________L__958"/>
      <sheetName val="[form-pm.xls]____________L__959"/>
      <sheetName val="[form-pm.xls][form-pm.xls]__192"/>
      <sheetName val="[form-pm.xls]____________L__984"/>
      <sheetName val="[form-pm.xls]____________L__985"/>
      <sheetName val="[form-pm.xls]____________L__986"/>
      <sheetName val="[form-pm.xls]____________L__987"/>
      <sheetName val="[form-pm.xls]____________L__988"/>
      <sheetName val="[form-pm.xls]____________L__989"/>
      <sheetName val="[form-pm.xls]____________L__990"/>
      <sheetName val="[form-pm.xls]____________L__991"/>
      <sheetName val="[form-pm.xls][form-pm.xls]__194"/>
      <sheetName val="[form-pm.xls]____________L_1000"/>
      <sheetName val="[form-pm.xls]____________L_1001"/>
      <sheetName val="[form-pm.xls]____________L_1002"/>
      <sheetName val="[form-pm.xls][form-pm.xls]__195"/>
      <sheetName val="[form-pm.xls]____________L_1003"/>
      <sheetName val="[form-pm.xls]____________L_1004"/>
      <sheetName val="[form-pm.xls]____________L_1005"/>
      <sheetName val="[form-pm.xls]____________L_1006"/>
      <sheetName val="[form-pm.xls]____________L_1007"/>
      <sheetName val="[form-pm.xls][form-pm.xls]__229"/>
      <sheetName val="[form-pm.xls]____________L_1184"/>
      <sheetName val="[form-pm.xls]____________L_1185"/>
      <sheetName val="[form-pm.xls]____________L_1186"/>
      <sheetName val="[form-pm.xls]____________L_1187"/>
      <sheetName val="[form-pm.xls]____________L_1188"/>
      <sheetName val="[form-pm.xls]____________L_1189"/>
      <sheetName val="[form-pm.xls]____________L_1190"/>
      <sheetName val="[form-pm.xls]____________L_1191"/>
      <sheetName val="[form-pm.xls][form-pm.xls]__200"/>
      <sheetName val="[form-pm.xls]____________L_1024"/>
      <sheetName val="[form-pm.xls]____________L_1025"/>
      <sheetName val="[form-pm.xls]____________L_1026"/>
      <sheetName val="[form-pm.xls][form-pm.xls]__201"/>
      <sheetName val="[form-pm.xls]____________L_1027"/>
      <sheetName val="[form-pm.xls]____________L_1028"/>
      <sheetName val="[form-pm.xls]____________L_1029"/>
      <sheetName val="[form-pm.xls]____________L_1030"/>
      <sheetName val="[form-pm.xls]____________L_1031"/>
      <sheetName val="[form-pm.xls][form-pm.xls]__196"/>
      <sheetName val="[form-pm.xls]____________L_1008"/>
      <sheetName val="[form-pm.xls]____________L_1009"/>
      <sheetName val="[form-pm.xls]____________L_1010"/>
      <sheetName val="[form-pm.xls][form-pm.xls]__197"/>
      <sheetName val="[form-pm.xls]____________L_1011"/>
      <sheetName val="[form-pm.xls]____________L_1012"/>
      <sheetName val="[form-pm.xls]____________L_1013"/>
      <sheetName val="[form-pm.xls]____________L_1014"/>
      <sheetName val="[form-pm.xls]____________L_1015"/>
      <sheetName val="[form-pm.xls][form-pm.xls]__198"/>
      <sheetName val="[form-pm.xls]____________L_1016"/>
      <sheetName val="[form-pm.xls]____________L_1017"/>
      <sheetName val="[form-pm.xls]____________L_1018"/>
      <sheetName val="[form-pm.xls][form-pm.xls]__199"/>
      <sheetName val="[form-pm.xls]____________L_1019"/>
      <sheetName val="[form-pm.xls]____________L_1020"/>
      <sheetName val="[form-pm.xls]____________L_1021"/>
      <sheetName val="[form-pm.xls]____________L_1022"/>
      <sheetName val="[form-pm.xls]____________L_1023"/>
      <sheetName val="[form-pm.xls]____________L_1032"/>
      <sheetName val="[form-pm.xls]____________L_1033"/>
      <sheetName val="[form-pm.xls]____________L_1034"/>
      <sheetName val="[form-pm.xls]____________L_1035"/>
      <sheetName val="[form-pm.xls]____________L_1036"/>
      <sheetName val="[form-pm.xls]____________L_1037"/>
      <sheetName val="[form-pm.xls]____________L_1038"/>
      <sheetName val="[form-pm.xls]____________L_1039"/>
      <sheetName val="[form-pm.xls][form-pm.xls]__209"/>
      <sheetName val="[form-pm.xls]____________L_1072"/>
      <sheetName val="[form-pm.xls]____________L_1073"/>
      <sheetName val="[form-pm.xls]____________L_1074"/>
      <sheetName val="[form-pm.xls][form-pm.xls]__210"/>
      <sheetName val="[form-pm.xls]____________L_1075"/>
      <sheetName val="[form-pm.xls]____________L_1076"/>
      <sheetName val="[form-pm.xls]____________L_1077"/>
      <sheetName val="[form-pm.xls]____________L_1078"/>
      <sheetName val="[form-pm.xls]____________L_1079"/>
      <sheetName val="[form-pm.xls][form-pm.xls]__207"/>
      <sheetName val="[form-pm.xls]____________L_1064"/>
      <sheetName val="[form-pm.xls]____________L_1065"/>
      <sheetName val="[form-pm.xls]____________L_1066"/>
      <sheetName val="[form-pm.xls][form-pm.xls]__208"/>
      <sheetName val="[form-pm.xls]____________L_1067"/>
      <sheetName val="[form-pm.xls]____________L_1068"/>
      <sheetName val="[form-pm.xls]____________L_1069"/>
      <sheetName val="[form-pm.xls]____________L_1070"/>
      <sheetName val="[form-pm.xls]____________L_1071"/>
      <sheetName val="[form-pm.xls][form-pm.xls]__204"/>
      <sheetName val="[form-pm.xls]____________L_1048"/>
      <sheetName val="[form-pm.xls]____________L_1049"/>
      <sheetName val="[form-pm.xls]____________L_1050"/>
      <sheetName val="[form-pm.xls][form-pm.xls]__205"/>
      <sheetName val="[form-pm.xls]____________L_1051"/>
      <sheetName val="[form-pm.xls]____________L_1052"/>
      <sheetName val="[form-pm.xls]____________L_1053"/>
      <sheetName val="[form-pm.xls]____________L_1054"/>
      <sheetName val="[form-pm.xls]____________L_1055"/>
      <sheetName val="[form-pm.xls][form-pm.xls]__202"/>
      <sheetName val="[form-pm.xls]____________L_1040"/>
      <sheetName val="[form-pm.xls]____________L_1041"/>
      <sheetName val="[form-pm.xls]____________L_1042"/>
      <sheetName val="[form-pm.xls][form-pm.xls]__203"/>
      <sheetName val="[form-pm.xls]____________L_1043"/>
      <sheetName val="[form-pm.xls]____________L_1044"/>
      <sheetName val="[form-pm.xls]____________L_1045"/>
      <sheetName val="[form-pm.xls]____________L_1046"/>
      <sheetName val="[form-pm.xls]____________L_1047"/>
      <sheetName val="[form-pm.xls]____________L_1056"/>
      <sheetName val="[form-pm.xls]____________L_1057"/>
      <sheetName val="[form-pm.xls]____________L_1058"/>
      <sheetName val="[form-pm.xls][form-pm.xls]__206"/>
      <sheetName val="[form-pm.xls]____________L_1059"/>
      <sheetName val="[form-pm.xls]____________L_1060"/>
      <sheetName val="[form-pm.xls]____________L_1061"/>
      <sheetName val="[form-pm.xls]____________L_1062"/>
      <sheetName val="[form-pm.xls]____________L_1063"/>
      <sheetName val="[form-pm.xls]____________L_1080"/>
      <sheetName val="[form-pm.xls]____________L_1081"/>
      <sheetName val="[form-pm.xls]____________L_1082"/>
      <sheetName val="[form-pm.xls]____________L_1083"/>
      <sheetName val="[form-pm.xls]____________L_1084"/>
      <sheetName val="[form-pm.xls]____________L_1085"/>
      <sheetName val="[form-pm.xls]____________L_1086"/>
      <sheetName val="[form-pm.xls]____________L_1087"/>
      <sheetName val="[form-pm.xls][form-pm.xls]__220"/>
      <sheetName val="[form-pm.xls]____________L_1136"/>
      <sheetName val="[form-pm.xls]____________L_1137"/>
      <sheetName val="[form-pm.xls]____________L_1138"/>
      <sheetName val="[form-pm.xls][form-pm.xls]__221"/>
      <sheetName val="[form-pm.xls]____________L_1139"/>
      <sheetName val="[form-pm.xls]____________L_1140"/>
      <sheetName val="[form-pm.xls]____________L_1141"/>
      <sheetName val="[form-pm.xls]____________L_1142"/>
      <sheetName val="[form-pm.xls]____________L_1143"/>
      <sheetName val="[form-pm.xls][form-pm.xls]__218"/>
      <sheetName val="[form-pm.xls]____________L_1128"/>
      <sheetName val="[form-pm.xls]____________L_1129"/>
      <sheetName val="[form-pm.xls]____________L_1130"/>
      <sheetName val="[form-pm.xls][form-pm.xls]__219"/>
      <sheetName val="[form-pm.xls]____________L_1131"/>
      <sheetName val="[form-pm.xls]____________L_1132"/>
      <sheetName val="[form-pm.xls]____________L_1133"/>
      <sheetName val="[form-pm.xls]____________L_1134"/>
      <sheetName val="[form-pm.xls]____________L_1135"/>
      <sheetName val="[form-pm.xls][form-pm.xls]__215"/>
      <sheetName val="[form-pm.xls]____________L_1104"/>
      <sheetName val="[form-pm.xls]____________L_1105"/>
      <sheetName val="[form-pm.xls]____________L_1106"/>
      <sheetName val="[form-pm.xls][form-pm.xls]__217"/>
      <sheetName val="[form-pm.xls]____________L_1107"/>
      <sheetName val="[form-pm.xls]____________L_1108"/>
      <sheetName val="[form-pm.xls]____________L_1109"/>
      <sheetName val="[form-pm.xls]____________L_1110"/>
      <sheetName val="[form-pm.xls]____________L_1111"/>
      <sheetName val="[form-pm.xls][form-pm.xls]__211"/>
      <sheetName val="[form-pm.xls]____________L_1088"/>
      <sheetName val="[form-pm.xls]____________L_1089"/>
      <sheetName val="[form-pm.xls]____________L_1090"/>
      <sheetName val="[form-pm.xls][form-pm.xls]__212"/>
      <sheetName val="[form-pm.xls]____________L_1091"/>
      <sheetName val="[form-pm.xls]____________L_1092"/>
      <sheetName val="[form-pm.xls]____________L_1093"/>
      <sheetName val="[form-pm.xls]____________L_1094"/>
      <sheetName val="[form-pm.xls]____________L_1095"/>
      <sheetName val="[form-pm.xls][form-pm.xls]__213"/>
      <sheetName val="[form-pm.xls]____________L_1096"/>
      <sheetName val="[form-pm.xls]____________L_1097"/>
      <sheetName val="[form-pm.xls]____________L_1098"/>
      <sheetName val="[form-pm.xls][form-pm.xls]__214"/>
      <sheetName val="[form-pm.xls]____________L_1099"/>
      <sheetName val="[form-pm.xls]____________L_1100"/>
      <sheetName val="[form-pm.xls]____________L_1101"/>
      <sheetName val="[form-pm.xls]____________L_1102"/>
      <sheetName val="[form-pm.xls]____________L_1103"/>
      <sheetName val="[form-pm.xls]____________L_1120"/>
      <sheetName val="[form-pm.xls]____________L_1121"/>
      <sheetName val="[form-pm.xls]____________L_1122"/>
      <sheetName val="[form-pm.xls]____________L_1123"/>
      <sheetName val="[form-pm.xls]____________L_1124"/>
      <sheetName val="[form-pm.xls]____________L_1125"/>
      <sheetName val="[form-pm.xls]____________L_1126"/>
      <sheetName val="[form-pm.xls]____________L_1127"/>
      <sheetName val="[form-pm.xls][form-pm.xls]__216"/>
      <sheetName val="[form-pm.xls]____________L_1112"/>
      <sheetName val="[form-pm.xls]____________L_1113"/>
      <sheetName val="[form-pm.xls]____________L_1114"/>
      <sheetName val="[form-pm.xls]____________L_1115"/>
      <sheetName val="[form-pm.xls]____________L_1116"/>
      <sheetName val="[form-pm.xls]____________L_1117"/>
      <sheetName val="[form-pm.xls]____________L_1118"/>
      <sheetName val="[form-pm.xls]____________L_1119"/>
      <sheetName val="[form-pm.xls][form-pm.xls]__228"/>
      <sheetName val="[form-pm.xls]____________L_1176"/>
      <sheetName val="[form-pm.xls]____________L_1177"/>
      <sheetName val="[form-pm.xls]____________L_1178"/>
      <sheetName val="[form-pm.xls]____________L_1179"/>
      <sheetName val="[form-pm.xls]____________L_1180"/>
      <sheetName val="[form-pm.xls]____________L_1181"/>
      <sheetName val="[form-pm.xls]____________L_1182"/>
      <sheetName val="[form-pm.xls]____________L_1183"/>
      <sheetName val="[form-pm.xls][form-pm.xls]__226"/>
      <sheetName val="[form-pm.xls]____________L_1168"/>
      <sheetName val="[form-pm.xls]____________L_1169"/>
      <sheetName val="[form-pm.xls]____________L_1170"/>
      <sheetName val="[form-pm.xls][form-pm.xls]__227"/>
      <sheetName val="[form-pm.xls]____________L_1171"/>
      <sheetName val="[form-pm.xls]____________L_1172"/>
      <sheetName val="[form-pm.xls]____________L_1173"/>
      <sheetName val="[form-pm.xls]____________L_1174"/>
      <sheetName val="[form-pm.xls]____________L_1175"/>
      <sheetName val="[form-pm.xls][form-pm.xls]__225"/>
      <sheetName val="[form-pm.xls]____________L_1160"/>
      <sheetName val="[form-pm.xls]____________L_1161"/>
      <sheetName val="[form-pm.xls]____________L_1162"/>
      <sheetName val="[form-pm.xls]____________L_1163"/>
      <sheetName val="[form-pm.xls]____________L_1164"/>
      <sheetName val="[form-pm.xls]____________L_1165"/>
      <sheetName val="[form-pm.xls]____________L_1166"/>
      <sheetName val="[form-pm.xls]____________L_1167"/>
      <sheetName val="[form-pm.xls][form-pm.xls]__222"/>
      <sheetName val="[form-pm.xls]____________L_1144"/>
      <sheetName val="[form-pm.xls]____________L_1145"/>
      <sheetName val="[form-pm.xls]____________L_1146"/>
      <sheetName val="[form-pm.xls][form-pm.xls]__223"/>
      <sheetName val="[form-pm.xls]____________L_1147"/>
      <sheetName val="[form-pm.xls]____________L_1148"/>
      <sheetName val="[form-pm.xls]____________L_1149"/>
      <sheetName val="[form-pm.xls]____________L_1150"/>
      <sheetName val="[form-pm.xls]____________L_1151"/>
      <sheetName val="[form-pm.xls]____________L_1152"/>
      <sheetName val="[form-pm.xls]____________L_1153"/>
      <sheetName val="[form-pm.xls]____________L_1154"/>
      <sheetName val="[form-pm.xls][form-pm.xls]__224"/>
      <sheetName val="[form-pm.xls]____________L_1155"/>
      <sheetName val="[form-pm.xls]____________L_1156"/>
      <sheetName val="[form-pm.xls]____________L_1157"/>
      <sheetName val="[form-pm.xls]____________L_1158"/>
      <sheetName val="[form-pm.xls]____________L_1159"/>
      <sheetName val="[form-pm.xls][form-pm.xls]__231"/>
      <sheetName val="[form-pm.xls]____________L_1200"/>
      <sheetName val="[form-pm.xls]____________L_1201"/>
      <sheetName val="[form-pm.xls]____________L_1202"/>
      <sheetName val="[form-pm.xls]____________L_1203"/>
      <sheetName val="[form-pm.xls]____________L_1204"/>
      <sheetName val="[form-pm.xls]____________L_1205"/>
      <sheetName val="[form-pm.xls]____________L_1206"/>
      <sheetName val="[form-pm.xls]____________L_1207"/>
      <sheetName val="[form-pm.xls][form-pm.xls]__230"/>
      <sheetName val="[form-pm.xls]____________L_1192"/>
      <sheetName val="[form-pm.xls]____________L_1193"/>
      <sheetName val="[form-pm.xls]____________L_1194"/>
      <sheetName val="[form-pm.xls]____________L_1195"/>
      <sheetName val="[form-pm.xls]____________L_1196"/>
      <sheetName val="[form-pm.xls]____________L_1197"/>
      <sheetName val="[form-pm.xls]____________L_1198"/>
      <sheetName val="[form-pm.xls]____________L_1199"/>
      <sheetName val="[form-pm.xls][form-pm.xls]__294"/>
      <sheetName val="[form-pm.xls]____________L_1528"/>
      <sheetName val="[form-pm.xls]____________L_1529"/>
      <sheetName val="[form-pm.xls]____________L_1530"/>
      <sheetName val="[form-pm.xls]____________L_1531"/>
      <sheetName val="[form-pm.xls]____________L_1532"/>
      <sheetName val="[form-pm.xls]____________L_1533"/>
      <sheetName val="[form-pm.xls]____________L_1534"/>
      <sheetName val="[form-pm.xls]____________L_1535"/>
      <sheetName val="[form-pm.xls][form-pm.xls]__243"/>
      <sheetName val="[form-pm.xls]____________L_1272"/>
      <sheetName val="[form-pm.xls]____________L_1273"/>
      <sheetName val="[form-pm.xls]____________L_1274"/>
      <sheetName val="[form-pm.xls][form-pm.xls]__292"/>
      <sheetName val="[form-pm.xls]____________L_1275"/>
      <sheetName val="[form-pm.xls]____________L_1276"/>
      <sheetName val="[form-pm.xls]____________L_1277"/>
      <sheetName val="[form-pm.xls]____________L_1278"/>
      <sheetName val="[form-pm.xls]____________L_1279"/>
      <sheetName val="[form-pm.xls][form-pm.xls]__239"/>
      <sheetName val="[form-pm.xls]____________L_1248"/>
      <sheetName val="[form-pm.xls]____________L_1249"/>
      <sheetName val="[form-pm.xls]____________L_1250"/>
      <sheetName val="[form-pm.xls][form-pm.xls]__240"/>
      <sheetName val="[form-pm.xls]____________L_1251"/>
      <sheetName val="[form-pm.xls]____________L_1252"/>
      <sheetName val="[form-pm.xls]____________L_1253"/>
      <sheetName val="[form-pm.xls]____________L_1254"/>
      <sheetName val="[form-pm.xls]____________L_1255"/>
      <sheetName val="[form-pm.xls][form-pm.xls]__234"/>
      <sheetName val="[form-pm.xls]____________L_1224"/>
      <sheetName val="[form-pm.xls]____________L_1225"/>
      <sheetName val="[form-pm.xls]____________L_1226"/>
      <sheetName val="[form-pm.xls][form-pm.xls]__235"/>
      <sheetName val="[form-pm.xls]____________L_1227"/>
      <sheetName val="[form-pm.xls]____________L_1228"/>
      <sheetName val="[form-pm.xls]____________L_1229"/>
      <sheetName val="[form-pm.xls]____________L_1230"/>
      <sheetName val="[form-pm.xls]____________L_1231"/>
      <sheetName val="[form-pm.xls][form-pm.xls]__232"/>
      <sheetName val="[form-pm.xls]____________L_1208"/>
      <sheetName val="[form-pm.xls]____________L_1209"/>
      <sheetName val="[form-pm.xls]____________L_1210"/>
      <sheetName val="[form-pm.xls][form-pm.xls]__233"/>
      <sheetName val="[form-pm.xls]____________L_1211"/>
      <sheetName val="[form-pm.xls]____________L_1212"/>
      <sheetName val="[form-pm.xls]____________L_1213"/>
      <sheetName val="[form-pm.xls]____________L_1214"/>
      <sheetName val="[form-pm.xls]____________L_1215"/>
      <sheetName val="[form-pm.xls]____________L_1216"/>
      <sheetName val="[form-pm.xls]____________L_1217"/>
      <sheetName val="[form-pm.xls]____________L_1218"/>
      <sheetName val="[form-pm.xls]____________L_1219"/>
      <sheetName val="[form-pm.xls]____________L_1220"/>
      <sheetName val="[form-pm.xls]____________L_1221"/>
      <sheetName val="[form-pm.xls]____________L_1222"/>
      <sheetName val="[form-pm.xls]____________L_1223"/>
      <sheetName val="[form-pm.xls]____________L_1232"/>
      <sheetName val="[form-pm.xls]____________L_1233"/>
      <sheetName val="[form-pm.xls]____________L_1234"/>
      <sheetName val="[form-pm.xls][form-pm.xls]__236"/>
      <sheetName val="[form-pm.xls]____________L_1235"/>
      <sheetName val="[form-pm.xls]____________L_1236"/>
      <sheetName val="[form-pm.xls]____________L_1237"/>
      <sheetName val="[form-pm.xls]____________L_1238"/>
      <sheetName val="[form-pm.xls]____________L_1239"/>
      <sheetName val="[form-pm.xls][form-pm.xls]__237"/>
      <sheetName val="[form-pm.xls]____________L_1240"/>
      <sheetName val="[form-pm.xls]____________L_1241"/>
      <sheetName val="[form-pm.xls]____________L_1242"/>
      <sheetName val="[form-pm.xls][form-pm.xls]__238"/>
      <sheetName val="[form-pm.xls]____________L_1243"/>
      <sheetName val="[form-pm.xls]____________L_1244"/>
      <sheetName val="[form-pm.xls]____________L_1245"/>
      <sheetName val="[form-pm.xls]____________L_1246"/>
      <sheetName val="[form-pm.xls]____________L_1247"/>
      <sheetName val="[form-pm.xls][form-pm.xls]__242"/>
      <sheetName val="[form-pm.xls]____________L_1264"/>
      <sheetName val="[form-pm.xls]____________L_1265"/>
      <sheetName val="[form-pm.xls]____________L_1266"/>
      <sheetName val="[form-pm.xls]____________L_1267"/>
      <sheetName val="[form-pm.xls]____________L_1268"/>
      <sheetName val="[form-pm.xls]____________L_1269"/>
      <sheetName val="[form-pm.xls]____________L_1270"/>
      <sheetName val="[form-pm.xls]____________L_1271"/>
      <sheetName val="[form-pm.xls][form-pm.xls]__241"/>
      <sheetName val="[form-pm.xls]____________L_1256"/>
      <sheetName val="[form-pm.xls]____________L_1257"/>
      <sheetName val="[form-pm.xls]____________L_1258"/>
      <sheetName val="[form-pm.xls]____________L_1259"/>
      <sheetName val="[form-pm.xls]____________L_1260"/>
      <sheetName val="[form-pm.xls]____________L_1261"/>
      <sheetName val="[form-pm.xls]____________L_1262"/>
      <sheetName val="[form-pm.xls]____________L_1263"/>
      <sheetName val="[form-pm.xls]____________L_1520"/>
      <sheetName val="[form-pm.xls]____________L_1521"/>
      <sheetName val="[form-pm.xls]____________L_1522"/>
      <sheetName val="[form-pm.xls][form-pm.xls]__293"/>
      <sheetName val="[form-pm.xls]____________L_1523"/>
      <sheetName val="[form-pm.xls]____________L_1524"/>
      <sheetName val="[form-pm.xls]____________L_1525"/>
      <sheetName val="[form-pm.xls]____________L_1526"/>
      <sheetName val="[form-pm.xls]____________L_1527"/>
      <sheetName val="[form-pm.xls][form-pm.xls]__250"/>
      <sheetName val="[form-pm.xls]____________L_1304"/>
      <sheetName val="[form-pm.xls]____________L_1305"/>
      <sheetName val="[form-pm.xls]____________L_1306"/>
      <sheetName val="[form-pm.xls]____________L_1307"/>
      <sheetName val="[form-pm.xls]____________L_1308"/>
      <sheetName val="[form-pm.xls]____________L_1309"/>
      <sheetName val="[form-pm.xls]____________L_1310"/>
      <sheetName val="[form-pm.xls]____________L_1311"/>
      <sheetName val="[form-pm.xls][form-pm.xls]__246"/>
      <sheetName val="[form-pm.xls]____________L_1280"/>
      <sheetName val="[form-pm.xls]____________L_1281"/>
      <sheetName val="[form-pm.xls]____________L_1282"/>
      <sheetName val="[form-pm.xls][form-pm.xls]__247"/>
      <sheetName val="[form-pm.xls]____________L_1283"/>
      <sheetName val="[form-pm.xls]____________L_1284"/>
      <sheetName val="[form-pm.xls]____________L_1285"/>
      <sheetName val="[form-pm.xls]____________L_1286"/>
      <sheetName val="[form-pm.xls]____________L_1287"/>
      <sheetName val="[form-pm.xls][form-pm.xls]__244"/>
      <sheetName val="[form-pm.xls][form-pm.xls]__245"/>
      <sheetName val="[form-pm.xls]____________L_1288"/>
      <sheetName val="[form-pm.xls]____________L_1289"/>
      <sheetName val="[form-pm.xls]____________L_1290"/>
      <sheetName val="[form-pm.xls][form-pm.xls]__248"/>
      <sheetName val="[form-pm.xls]____________L_1291"/>
      <sheetName val="[form-pm.xls]____________L_1292"/>
      <sheetName val="[form-pm.xls]____________L_1293"/>
      <sheetName val="[form-pm.xls]____________L_1294"/>
      <sheetName val="[form-pm.xls]____________L_1295"/>
      <sheetName val="[form-pm.xls]____________L_1296"/>
      <sheetName val="[form-pm.xls]____________L_1297"/>
      <sheetName val="[form-pm.xls]____________L_1298"/>
      <sheetName val="[form-pm.xls][form-pm.xls]__249"/>
      <sheetName val="[form-pm.xls]____________L_1299"/>
      <sheetName val="[form-pm.xls]____________L_1300"/>
      <sheetName val="[form-pm.xls]____________L_1301"/>
      <sheetName val="[form-pm.xls]____________L_1302"/>
      <sheetName val="[form-pm.xls]____________L_1303"/>
      <sheetName val="[form-pm.xls][form-pm.xls]__257"/>
      <sheetName val="[form-pm.xls]____________L_1336"/>
      <sheetName val="[form-pm.xls]____________L_1337"/>
      <sheetName val="[form-pm.xls]____________L_1338"/>
      <sheetName val="[form-pm.xls][form-pm.xls]__258"/>
      <sheetName val="[form-pm.xls]____________L_1339"/>
      <sheetName val="[form-pm.xls]____________L_1340"/>
      <sheetName val="[form-pm.xls]____________L_1341"/>
      <sheetName val="[form-pm.xls]____________L_1342"/>
      <sheetName val="[form-pm.xls]____________L_1343"/>
      <sheetName val="[form-pm.xls][form-pm.xls]__254"/>
      <sheetName val="[form-pm.xls]____________L_1320"/>
      <sheetName val="[form-pm.xls]____________L_1321"/>
      <sheetName val="[form-pm.xls]____________L_1322"/>
      <sheetName val="[form-pm.xls][form-pm.xls]__255"/>
      <sheetName val="[form-pm.xls]____________L_1323"/>
      <sheetName val="[form-pm.xls]____________L_1324"/>
      <sheetName val="[form-pm.xls]____________L_1325"/>
      <sheetName val="[form-pm.xls]____________L_1326"/>
      <sheetName val="[form-pm.xls]____________L_1327"/>
      <sheetName val="[form-pm.xls][form-pm.xls]__252"/>
      <sheetName val="[form-pm.xls]____________L_1312"/>
      <sheetName val="[form-pm.xls]____________L_1313"/>
      <sheetName val="[form-pm.xls]____________L_1314"/>
      <sheetName val="[form-pm.xls][form-pm.xls]__253"/>
      <sheetName val="[form-pm.xls]____________L_1315"/>
      <sheetName val="[form-pm.xls]____________L_1316"/>
      <sheetName val="[form-pm.xls]____________L_1317"/>
      <sheetName val="[form-pm.xls]____________L_1318"/>
      <sheetName val="[form-pm.xls]____________L_1319"/>
      <sheetName val="[form-pm.xls][form-pm.xls]__251"/>
      <sheetName val="[form-pm.xls][form-pm.xls]__256"/>
      <sheetName val="[form-pm.xls]____________L_1328"/>
      <sheetName val="[form-pm.xls]____________L_1329"/>
      <sheetName val="[form-pm.xls]____________L_1330"/>
      <sheetName val="[form-pm.xls]____________L_1331"/>
      <sheetName val="[form-pm.xls]____________L_1332"/>
      <sheetName val="[form-pm.xls]____________L_1333"/>
      <sheetName val="[form-pm.xls]____________L_1334"/>
      <sheetName val="[form-pm.xls]____________L_1335"/>
      <sheetName val="[form-pm.xls]____________L_1344"/>
      <sheetName val="[form-pm.xls]____________L_1345"/>
      <sheetName val="[form-pm.xls]____________L_1346"/>
      <sheetName val="[form-pm.xls]____________L_1347"/>
      <sheetName val="[form-pm.xls]____________L_1348"/>
      <sheetName val="[form-pm.xls]____________L_1349"/>
      <sheetName val="[form-pm.xls]____________L_1350"/>
      <sheetName val="[form-pm.xls]____________L_1351"/>
      <sheetName val="[form-pm.xls][form-pm.xls]__259"/>
      <sheetName val="[form-pm.xls]____________L_1352"/>
      <sheetName val="[form-pm.xls]____________L_1353"/>
      <sheetName val="[form-pm.xls]____________L_1354"/>
      <sheetName val="[form-pm.xls][form-pm.xls]__260"/>
      <sheetName val="[form-pm.xls]____________L_1355"/>
      <sheetName val="[form-pm.xls]____________L_1356"/>
      <sheetName val="[form-pm.xls]____________L_1357"/>
      <sheetName val="[form-pm.xls]____________L_1358"/>
      <sheetName val="[form-pm.xls]____________L_1359"/>
      <sheetName val="[form-pm.xls][form-pm.xls]__263"/>
      <sheetName val="[form-pm.xls]____________L_1376"/>
      <sheetName val="[form-pm.xls]____________L_1377"/>
      <sheetName val="[form-pm.xls]____________L_1378"/>
      <sheetName val="[form-pm.xls][form-pm.xls]__265"/>
      <sheetName val="[form-pm.xls]____________L_1379"/>
      <sheetName val="[form-pm.xls]____________L_1380"/>
      <sheetName val="[form-pm.xls]____________L_1381"/>
      <sheetName val="[form-pm.xls]____________L_1382"/>
      <sheetName val="[form-pm.xls]____________L_1383"/>
      <sheetName val="[form-pm.xls]____________L_1360"/>
      <sheetName val="[form-pm.xls]____________L_1361"/>
      <sheetName val="[form-pm.xls]____________L_1362"/>
      <sheetName val="[form-pm.xls][form-pm.xls]__261"/>
      <sheetName val="[form-pm.xls]____________L_1363"/>
      <sheetName val="[form-pm.xls]____________L_1364"/>
      <sheetName val="[form-pm.xls]____________L_1365"/>
      <sheetName val="[form-pm.xls]____________L_1366"/>
      <sheetName val="[form-pm.xls]____________L_1367"/>
      <sheetName val="[form-pm.xls]____________L_1368"/>
      <sheetName val="[form-pm.xls]____________L_1369"/>
      <sheetName val="[form-pm.xls]____________L_1370"/>
      <sheetName val="[form-pm.xls][form-pm.xls]__262"/>
      <sheetName val="[form-pm.xls]____________L_1371"/>
      <sheetName val="[form-pm.xls]____________L_1372"/>
      <sheetName val="[form-pm.xls]____________L_1373"/>
      <sheetName val="[form-pm.xls]____________L_1374"/>
      <sheetName val="[form-pm.xls]____________L_1375"/>
      <sheetName val="[form-pm.xls]____________L_1392"/>
      <sheetName val="[form-pm.xls]____________L_1393"/>
      <sheetName val="[form-pm.xls]____________L_1394"/>
      <sheetName val="[form-pm.xls][form-pm.xls]__266"/>
      <sheetName val="[form-pm.xls]____________L_1395"/>
      <sheetName val="[form-pm.xls]____________L_1396"/>
      <sheetName val="[form-pm.xls]____________L_1397"/>
      <sheetName val="[form-pm.xls]____________L_1398"/>
      <sheetName val="[form-pm.xls]____________L_1399"/>
      <sheetName val="[form-pm.xls][form-pm.xls]__264"/>
      <sheetName val="[form-pm.xls]____________L_1384"/>
      <sheetName val="[form-pm.xls]____________L_1385"/>
      <sheetName val="[form-pm.xls]____________L_1386"/>
      <sheetName val="[form-pm.xls]____________L_1387"/>
      <sheetName val="[form-pm.xls]____________L_1388"/>
      <sheetName val="[form-pm.xls]____________L_1389"/>
      <sheetName val="[form-pm.xls]____________L_1390"/>
      <sheetName val="[form-pm.xls]____________L_1391"/>
      <sheetName val="[form-pm.xls][form-pm.xls]__267"/>
      <sheetName val="[form-pm.xls]____________L_1400"/>
      <sheetName val="[form-pm.xls]____________L_1401"/>
      <sheetName val="[form-pm.xls]____________L_1402"/>
      <sheetName val="[form-pm.xls][form-pm.xls]__268"/>
      <sheetName val="[form-pm.xls]____________L_1403"/>
      <sheetName val="[form-pm.xls]____________L_1404"/>
      <sheetName val="[form-pm.xls]____________L_1405"/>
      <sheetName val="[form-pm.xls]____________L_1406"/>
      <sheetName val="[form-pm.xls]____________L_1407"/>
      <sheetName val="[form-pm.xls][form-pm.xls]__287"/>
      <sheetName val="[form-pm.xls]____________L_1488"/>
      <sheetName val="[form-pm.xls]____________L_1489"/>
      <sheetName val="[form-pm.xls]____________L_1490"/>
      <sheetName val="[form-pm.xls][form-pm.xls]__288"/>
      <sheetName val="[form-pm.xls]____________L_1491"/>
      <sheetName val="[form-pm.xls]____________L_1492"/>
      <sheetName val="[form-pm.xls]____________L_1493"/>
      <sheetName val="[form-pm.xls]____________L_1494"/>
      <sheetName val="[form-pm.xls]____________L_1495"/>
      <sheetName val="[form-pm.xls][form-pm.xls]__285"/>
      <sheetName val="[form-pm.xls]____________L_1480"/>
      <sheetName val="[form-pm.xls]____________L_1481"/>
      <sheetName val="[form-pm.xls]____________L_1482"/>
      <sheetName val="[form-pm.xls][form-pm.xls]__286"/>
      <sheetName val="[form-pm.xls]____________L_1483"/>
      <sheetName val="[form-pm.xls]____________L_1484"/>
      <sheetName val="[form-pm.xls]____________L_1485"/>
      <sheetName val="[form-pm.xls]____________L_1486"/>
      <sheetName val="[form-pm.xls]____________L_1487"/>
      <sheetName val="[form-pm.xls][form-pm.xls]__284"/>
      <sheetName val="[form-pm.xls]____________L_1472"/>
      <sheetName val="[form-pm.xls]____________L_1473"/>
      <sheetName val="[form-pm.xls]____________L_1474"/>
      <sheetName val="[form-pm.xls]____________L_1475"/>
      <sheetName val="[form-pm.xls]____________L_1476"/>
      <sheetName val="[form-pm.xls]____________L_1477"/>
      <sheetName val="[form-pm.xls]____________L_1478"/>
      <sheetName val="[form-pm.xls]____________L_1479"/>
      <sheetName val="[form-pm.xls][form-pm.xls]__279"/>
      <sheetName val="[form-pm.xls]____________L_1448"/>
      <sheetName val="[form-pm.xls]____________L_1449"/>
      <sheetName val="[form-pm.xls]____________L_1450"/>
      <sheetName val="[form-pm.xls][form-pm.xls]__280"/>
      <sheetName val="[form-pm.xls]____________L_1451"/>
      <sheetName val="[form-pm.xls]____________L_1452"/>
      <sheetName val="[form-pm.xls]____________L_1453"/>
      <sheetName val="[form-pm.xls]____________L_1454"/>
      <sheetName val="[form-pm.xls]____________L_1455"/>
      <sheetName val="[form-pm.xls][form-pm.xls]__277"/>
      <sheetName val="[form-pm.xls]____________L_1440"/>
      <sheetName val="[form-pm.xls]____________L_1441"/>
      <sheetName val="[form-pm.xls]____________L_1442"/>
      <sheetName val="[form-pm.xls][form-pm.xls]__278"/>
      <sheetName val="[form-pm.xls]____________L_1443"/>
      <sheetName val="[form-pm.xls]____________L_1444"/>
      <sheetName val="[form-pm.xls]____________L_1445"/>
      <sheetName val="[form-pm.xls]____________L_1446"/>
      <sheetName val="[form-pm.xls]____________L_1447"/>
      <sheetName val="[form-pm.xls][form-pm.xls]__274"/>
      <sheetName val="[form-pm.xls]____________L_1432"/>
      <sheetName val="[form-pm.xls]____________L_1433"/>
      <sheetName val="[form-pm.xls]____________L_1434"/>
      <sheetName val="[form-pm.xls][form-pm.xls]__275"/>
      <sheetName val="[form-pm.xls]____________L_1435"/>
      <sheetName val="[form-pm.xls]____________L_1436"/>
      <sheetName val="[form-pm.xls]____________L_1437"/>
      <sheetName val="[form-pm.xls]____________L_1438"/>
      <sheetName val="[form-pm.xls]____________L_1439"/>
      <sheetName val="[form-pm.xls][form-pm.xls]__269"/>
      <sheetName val="[form-pm.xls]____________L_1408"/>
      <sheetName val="[form-pm.xls]____________L_1409"/>
      <sheetName val="[form-pm.xls]____________L_1410"/>
      <sheetName val="[form-pm.xls][form-pm.xls]__270"/>
      <sheetName val="[form-pm.xls]____________L_1411"/>
      <sheetName val="[form-pm.xls]____________L_1412"/>
      <sheetName val="[form-pm.xls]____________L_1413"/>
      <sheetName val="[form-pm.xls]____________L_1414"/>
      <sheetName val="[form-pm.xls]____________L_1415"/>
      <sheetName val="[form-pm.xls]____________L_1416"/>
      <sheetName val="[form-pm.xls]____________L_1417"/>
      <sheetName val="[form-pm.xls]____________L_1418"/>
      <sheetName val="[form-pm.xls][form-pm.xls]__272"/>
      <sheetName val="[form-pm.xls]____________L_1419"/>
      <sheetName val="[form-pm.xls]____________L_1420"/>
      <sheetName val="[form-pm.xls]____________L_1421"/>
      <sheetName val="[form-pm.xls]____________L_1422"/>
      <sheetName val="[form-pm.xls]____________L_1423"/>
      <sheetName val="[form-pm.xls]____________L_1424"/>
      <sheetName val="[form-pm.xls]____________L_1425"/>
      <sheetName val="[form-pm.xls]____________L_1426"/>
      <sheetName val="[form-pm.xls][form-pm.xls]__273"/>
      <sheetName val="[form-pm.xls]____________L_1427"/>
      <sheetName val="[form-pm.xls]____________L_1428"/>
      <sheetName val="[form-pm.xls]____________L_1429"/>
      <sheetName val="[form-pm.xls]____________L_1430"/>
      <sheetName val="[form-pm.xls]____________L_1431"/>
      <sheetName val="[form-pm.xls][form-pm.xls]__271"/>
      <sheetName val="[form-pm.xls][form-pm.xls]__276"/>
      <sheetName val="[form-pm.xls][form-pm.xls]__281"/>
      <sheetName val="[form-pm.xls]____________L_1456"/>
      <sheetName val="[form-pm.xls]____________L_1457"/>
      <sheetName val="[form-pm.xls]____________L_1458"/>
      <sheetName val="[form-pm.xls][form-pm.xls]__282"/>
      <sheetName val="[form-pm.xls]____________L_1459"/>
      <sheetName val="[form-pm.xls]____________L_1460"/>
      <sheetName val="[form-pm.xls]____________L_1461"/>
      <sheetName val="[form-pm.xls]____________L_1462"/>
      <sheetName val="[form-pm.xls]____________L_1463"/>
      <sheetName val="[form-pm.xls][form-pm.xls]__283"/>
      <sheetName val="[form-pm.xls]____________L_1464"/>
      <sheetName val="[form-pm.xls]____________L_1465"/>
      <sheetName val="[form-pm.xls]____________L_1466"/>
      <sheetName val="[form-pm.xls]____________L_1467"/>
      <sheetName val="[form-pm.xls]____________L_1468"/>
      <sheetName val="[form-pm.xls]____________L_1469"/>
      <sheetName val="[form-pm.xls]____________L_1470"/>
      <sheetName val="[form-pm.xls]____________L_1471"/>
      <sheetName val="[form-pm.xls]____________L_1504"/>
      <sheetName val="[form-pm.xls]____________L_1505"/>
      <sheetName val="[form-pm.xls]____________L_1506"/>
      <sheetName val="[form-pm.xls][form-pm.xls]__289"/>
      <sheetName val="[form-pm.xls]____________L_1507"/>
      <sheetName val="[form-pm.xls]____________L_1508"/>
      <sheetName val="[form-pm.xls]____________L_1509"/>
      <sheetName val="[form-pm.xls]____________L_1510"/>
      <sheetName val="[form-pm.xls]____________L_1511"/>
      <sheetName val="[form-pm.xls]____________L_1496"/>
      <sheetName val="[form-pm.xls]____________L_1497"/>
      <sheetName val="[form-pm.xls]____________L_1498"/>
      <sheetName val="[form-pm.xls]____________L_1499"/>
      <sheetName val="[form-pm.xls]____________L_1500"/>
      <sheetName val="[form-pm.xls]____________L_1501"/>
      <sheetName val="[form-pm.xls]____________L_1502"/>
      <sheetName val="[form-pm.xls]____________L_1503"/>
      <sheetName val="[form-pm.xls][form-pm.xls]__291"/>
      <sheetName val="[form-pm.xls][form-pm.xls]__290"/>
      <sheetName val="[form-pm.xls]____________L_1512"/>
      <sheetName val="[form-pm.xls]____________L_1513"/>
      <sheetName val="[form-pm.xls]____________L_1514"/>
      <sheetName val="[form-pm.xls]____________L_1515"/>
      <sheetName val="[form-pm.xls]____________L_1516"/>
      <sheetName val="[form-pm.xls]____________L_1517"/>
      <sheetName val="[form-pm.xls]____________L_1518"/>
      <sheetName val="[form-pm.xls]____________L_1519"/>
      <sheetName val="[form-pm.xls][form-pm.xls]__349"/>
      <sheetName val="[form-pm.xls]____________L_1856"/>
      <sheetName val="[form-pm.xls]____________L_1857"/>
      <sheetName val="[form-pm.xls]____________L_1858"/>
      <sheetName val="[form-pm.xls][form-pm.xls]__351"/>
      <sheetName val="[form-pm.xls]____________L_1859"/>
      <sheetName val="[form-pm.xls]____________L_1860"/>
      <sheetName val="[form-pm.xls]____________L_1861"/>
      <sheetName val="[form-pm.xls]____________L_1862"/>
      <sheetName val="[form-pm.xls]____________L_1863"/>
      <sheetName val="[form-pm.xls][form-pm.xls]__310"/>
      <sheetName val="[form-pm.xls]____________L_1600"/>
      <sheetName val="[form-pm.xls]____________L_1601"/>
      <sheetName val="[form-pm.xls]____________L_1602"/>
      <sheetName val="[form-pm.xls]____________L_1603"/>
      <sheetName val="[form-pm.xls]____________L_1604"/>
      <sheetName val="[form-pm.xls]____________L_1605"/>
      <sheetName val="[form-pm.xls]____________L_1606"/>
      <sheetName val="[form-pm.xls]____________L_1607"/>
      <sheetName val="[form-pm.xls][form-pm.xls]__300"/>
      <sheetName val="[form-pm.xls]____________L_1560"/>
      <sheetName val="[form-pm.xls]____________L_1561"/>
      <sheetName val="[form-pm.xls]____________L_1562"/>
      <sheetName val="[form-pm.xls][form-pm.xls]__301"/>
      <sheetName val="[form-pm.xls]____________L_1563"/>
      <sheetName val="[form-pm.xls]____________L_1564"/>
      <sheetName val="[form-pm.xls]____________L_1565"/>
      <sheetName val="[form-pm.xls]____________L_1566"/>
      <sheetName val="[form-pm.xls]____________L_1567"/>
      <sheetName val="[form-pm.xls][form-pm.xls]__298"/>
      <sheetName val="[form-pm.xls]____________L_1552"/>
      <sheetName val="[form-pm.xls]____________L_1553"/>
      <sheetName val="[form-pm.xls]____________L_1554"/>
      <sheetName val="[form-pm.xls][form-pm.xls]__299"/>
      <sheetName val="[form-pm.xls]____________L_1555"/>
      <sheetName val="[form-pm.xls]____________L_1556"/>
      <sheetName val="[form-pm.xls]____________L_1557"/>
      <sheetName val="[form-pm.xls]____________L_1558"/>
      <sheetName val="[form-pm.xls]____________L_1559"/>
      <sheetName val="[form-pm.xls][form-pm.xls]__297"/>
      <sheetName val="[form-pm.xls]____________L_1544"/>
      <sheetName val="[form-pm.xls]____________L_1545"/>
      <sheetName val="[form-pm.xls]____________L_1546"/>
      <sheetName val="[form-pm.xls]____________L_1547"/>
      <sheetName val="[form-pm.xls]____________L_1548"/>
      <sheetName val="[form-pm.xls]____________L_1549"/>
      <sheetName val="[form-pm.xls]____________L_1550"/>
      <sheetName val="[form-pm.xls]____________L_1551"/>
      <sheetName val="[form-pm.xls]____________L_1568"/>
      <sheetName val="[form-pm.xls]____________L_1569"/>
      <sheetName val="[form-pm.xls]____________L_1570"/>
      <sheetName val="[form-pm.xls][form-pm.xls]__303"/>
      <sheetName val="[form-pm.xls]____________L_1571"/>
      <sheetName val="[form-pm.xls]____________L_1572"/>
      <sheetName val="[form-pm.xls]____________L_1573"/>
      <sheetName val="[form-pm.xls]____________L_1574"/>
      <sheetName val="[form-pm.xls]____________L_1575"/>
      <sheetName val="[form-pm.xls][form-pm.xls]__302"/>
      <sheetName val="[form-pm.xls][form-pm.xls]__304"/>
      <sheetName val="[form-pm.xls]____________L_1576"/>
      <sheetName val="[form-pm.xls]____________L_1577"/>
      <sheetName val="[form-pm.xls]____________L_1578"/>
      <sheetName val="[form-pm.xls][form-pm.xls]__305"/>
      <sheetName val="[form-pm.xls]____________L_1579"/>
      <sheetName val="[form-pm.xls]____________L_1580"/>
      <sheetName val="[form-pm.xls]____________L_1581"/>
      <sheetName val="[form-pm.xls]____________L_1582"/>
      <sheetName val="[form-pm.xls]____________L_1583"/>
      <sheetName val="[form-pm.xls][form-pm.xls]__306"/>
      <sheetName val="[form-pm.xls][form-pm.xls]__307"/>
      <sheetName val="[form-pm.xls]____________L_1584"/>
      <sheetName val="[form-pm.xls]____________L_1585"/>
      <sheetName val="[form-pm.xls]____________L_1586"/>
      <sheetName val="[form-pm.xls][form-pm.xls]__308"/>
      <sheetName val="[form-pm.xls]____________L_1587"/>
      <sheetName val="[form-pm.xls]____________L_1588"/>
      <sheetName val="[form-pm.xls]____________L_1589"/>
      <sheetName val="[form-pm.xls]____________L_1590"/>
      <sheetName val="[form-pm.xls]____________L_1591"/>
      <sheetName val="[form-pm.xls][form-pm.xls]__309"/>
      <sheetName val="[form-pm.xls]____________L_1592"/>
      <sheetName val="[form-pm.xls]____________L_1593"/>
      <sheetName val="[form-pm.xls]____________L_1594"/>
      <sheetName val="[form-pm.xls]____________L_1595"/>
      <sheetName val="[form-pm.xls]____________L_1596"/>
      <sheetName val="[form-pm.xls]____________L_1597"/>
      <sheetName val="[form-pm.xls]____________L_1598"/>
      <sheetName val="[form-pm.xls]____________L_1599"/>
      <sheetName val="[form-pm.xls][form-pm.xls]__319"/>
      <sheetName val="[form-pm.xls]____________L_1648"/>
      <sheetName val="[form-pm.xls]____________L_1649"/>
      <sheetName val="[form-pm.xls]____________L_1650"/>
      <sheetName val="[form-pm.xls][form-pm.xls]__320"/>
      <sheetName val="[form-pm.xls]____________L_1651"/>
      <sheetName val="[form-pm.xls]____________L_1652"/>
      <sheetName val="[form-pm.xls]____________L_1653"/>
      <sheetName val="[form-pm.xls]____________L_1654"/>
      <sheetName val="[form-pm.xls]____________L_1655"/>
      <sheetName val="[form-pm.xls][form-pm.xls]__315"/>
      <sheetName val="[form-pm.xls]____________L_1624"/>
      <sheetName val="[form-pm.xls]____________L_1625"/>
      <sheetName val="[form-pm.xls]____________L_1626"/>
      <sheetName val="[form-pm.xls][form-pm.xls]__316"/>
      <sheetName val="[form-pm.xls]____________L_1627"/>
      <sheetName val="[form-pm.xls]____________L_1628"/>
      <sheetName val="[form-pm.xls]____________L_1629"/>
      <sheetName val="[form-pm.xls]____________L_1630"/>
      <sheetName val="[form-pm.xls]____________L_1631"/>
      <sheetName val="[form-pm.xls][form-pm.xls]__313"/>
      <sheetName val="[form-pm.xls]____________L_1616"/>
      <sheetName val="[form-pm.xls]____________L_1617"/>
      <sheetName val="[form-pm.xls]____________L_1618"/>
      <sheetName val="[form-pm.xls][form-pm.xls]__314"/>
      <sheetName val="[form-pm.xls]____________L_1619"/>
      <sheetName val="[form-pm.xls]____________L_1620"/>
      <sheetName val="[form-pm.xls]____________L_1621"/>
      <sheetName val="[form-pm.xls]____________L_1622"/>
      <sheetName val="[form-pm.xls]____________L_1623"/>
      <sheetName val="[form-pm.xls][form-pm.xls]__311"/>
      <sheetName val="[form-pm.xls]____________L_1608"/>
      <sheetName val="[form-pm.xls]____________L_1609"/>
      <sheetName val="[form-pm.xls]____________L_1610"/>
      <sheetName val="[form-pm.xls][form-pm.xls]__312"/>
      <sheetName val="[form-pm.xls]____________L_1611"/>
      <sheetName val="[form-pm.xls]____________L_1612"/>
      <sheetName val="[form-pm.xls]____________L_1613"/>
      <sheetName val="[form-pm.xls]____________L_1614"/>
      <sheetName val="[form-pm.xls]____________L_1615"/>
      <sheetName val="[form-pm.xls][form-pm.xls]__317"/>
      <sheetName val="[form-pm.xls]____________L_1632"/>
      <sheetName val="[form-pm.xls]____________L_1633"/>
      <sheetName val="[form-pm.xls]____________L_1634"/>
      <sheetName val="[form-pm.xls]____________L_1635"/>
      <sheetName val="[form-pm.xls]____________L_1636"/>
      <sheetName val="[form-pm.xls]____________L_1637"/>
      <sheetName val="[form-pm.xls]____________L_1638"/>
      <sheetName val="[form-pm.xls]____________L_1639"/>
      <sheetName val="[form-pm.xls][form-pm.xls]__318"/>
      <sheetName val="[form-pm.xls]____________L_1640"/>
      <sheetName val="[form-pm.xls]____________L_1641"/>
      <sheetName val="[form-pm.xls]____________L_1642"/>
      <sheetName val="[form-pm.xls]____________L_1643"/>
      <sheetName val="[form-pm.xls]____________L_1644"/>
      <sheetName val="[form-pm.xls]____________L_1645"/>
      <sheetName val="[form-pm.xls]____________L_1646"/>
      <sheetName val="[form-pm.xls]____________L_1647"/>
      <sheetName val="[form-pm.xls]____________L_1656"/>
      <sheetName val="[form-pm.xls]____________L_1657"/>
      <sheetName val="[form-pm.xls]____________L_1658"/>
      <sheetName val="[form-pm.xls]____________L_1659"/>
      <sheetName val="[form-pm.xls]____________L_1660"/>
      <sheetName val="[form-pm.xls]____________L_1661"/>
      <sheetName val="[form-pm.xls]____________L_1662"/>
      <sheetName val="[form-pm.xls]____________L_1663"/>
      <sheetName val="[form-pm.xls][form-pm.xls]__322"/>
      <sheetName val="[form-pm.xls]____________L_1672"/>
      <sheetName val="[form-pm.xls]____________L_1673"/>
      <sheetName val="[form-pm.xls]____________L_1674"/>
      <sheetName val="[form-pm.xls][form-pm.xls]__323"/>
      <sheetName val="[form-pm.xls]____________L_1675"/>
      <sheetName val="[form-pm.xls]____________L_1676"/>
      <sheetName val="[form-pm.xls]____________L_1677"/>
      <sheetName val="[form-pm.xls]____________L_1678"/>
      <sheetName val="[form-pm.xls]____________L_1679"/>
      <sheetName val="[form-pm.xls][form-pm.xls]__321"/>
      <sheetName val="[form-pm.xls]____________L_1664"/>
      <sheetName val="[form-pm.xls]____________L_1665"/>
      <sheetName val="[form-pm.xls]____________L_1666"/>
      <sheetName val="[form-pm.xls]____________L_1667"/>
      <sheetName val="[form-pm.xls]____________L_1668"/>
      <sheetName val="[form-pm.xls]____________L_1669"/>
      <sheetName val="[form-pm.xls]____________L_1670"/>
      <sheetName val="[form-pm.xls]____________L_1671"/>
      <sheetName val="[form-pm.xls]____________L_1680"/>
      <sheetName val="[form-pm.xls]____________L_1681"/>
      <sheetName val="[form-pm.xls]____________L_1682"/>
      <sheetName val="[form-pm.xls]____________L_1683"/>
      <sheetName val="[form-pm.xls]____________L_1684"/>
      <sheetName val="[form-pm.xls]____________L_1685"/>
      <sheetName val="[form-pm.xls]____________L_1686"/>
      <sheetName val="[form-pm.xls]____________L_1687"/>
      <sheetName val="[form-pm.xls][form-pm.xls]__325"/>
      <sheetName val="[form-pm.xls]____________L_1696"/>
      <sheetName val="[form-pm.xls]____________L_1697"/>
      <sheetName val="[form-pm.xls]____________L_1698"/>
      <sheetName val="[form-pm.xls][form-pm.xls]__326"/>
      <sheetName val="[form-pm.xls]____________L_1699"/>
      <sheetName val="[form-pm.xls]____________L_1700"/>
      <sheetName val="[form-pm.xls]____________L_1701"/>
      <sheetName val="[form-pm.xls]____________L_1702"/>
      <sheetName val="[form-pm.xls]____________L_1703"/>
      <sheetName val="[form-pm.xls][form-pm.xls]__324"/>
      <sheetName val="[form-pm.xls]____________L_1688"/>
      <sheetName val="[form-pm.xls]____________L_1689"/>
      <sheetName val="[form-pm.xls]____________L_1690"/>
      <sheetName val="[form-pm.xls]____________L_1691"/>
      <sheetName val="[form-pm.xls]____________L_1692"/>
      <sheetName val="[form-pm.xls]____________L_1693"/>
      <sheetName val="[form-pm.xls]____________L_1694"/>
      <sheetName val="[form-pm.xls]____________L_1695"/>
      <sheetName val="[form-pm.xls][form-pm.xls]__334"/>
      <sheetName val="[form-pm.xls]____________L_1744"/>
      <sheetName val="[form-pm.xls]____________L_1745"/>
      <sheetName val="[form-pm.xls]____________L_1746"/>
      <sheetName val="[form-pm.xls][form-pm.xls]__335"/>
      <sheetName val="[form-pm.xls]____________L_1747"/>
      <sheetName val="[form-pm.xls]____________L_1748"/>
      <sheetName val="[form-pm.xls]____________L_1749"/>
      <sheetName val="[form-pm.xls]____________L_1750"/>
      <sheetName val="[form-pm.xls]____________L_1751"/>
      <sheetName val="[form-pm.xls][form-pm.xls]__328"/>
      <sheetName val="[form-pm.xls]____________L_1712"/>
      <sheetName val="[form-pm.xls]____________L_1713"/>
      <sheetName val="[form-pm.xls]____________L_1714"/>
      <sheetName val="[form-pm.xls][form-pm.xls]__329"/>
      <sheetName val="[form-pm.xls]____________L_1715"/>
      <sheetName val="[form-pm.xls]____________L_1716"/>
      <sheetName val="[form-pm.xls]____________L_1717"/>
      <sheetName val="[form-pm.xls]____________L_1718"/>
      <sheetName val="[form-pm.xls]____________L_1719"/>
      <sheetName val="[form-pm.xls][form-pm.xls]__327"/>
      <sheetName val="[form-pm.xls]____________L_1704"/>
      <sheetName val="[form-pm.xls]____________L_1705"/>
      <sheetName val="[form-pm.xls]____________L_1706"/>
      <sheetName val="[form-pm.xls]____________L_1707"/>
      <sheetName val="[form-pm.xls]____________L_1708"/>
      <sheetName val="[form-pm.xls]____________L_1709"/>
      <sheetName val="[form-pm.xls]____________L_1710"/>
      <sheetName val="[form-pm.xls]____________L_1711"/>
      <sheetName val="[form-pm.xls][form-pm.xls]__330"/>
      <sheetName val="[form-pm.xls]____________L_1720"/>
      <sheetName val="[form-pm.xls]____________L_1721"/>
      <sheetName val="[form-pm.xls]____________L_1722"/>
      <sheetName val="[form-pm.xls][form-pm.xls]__331"/>
      <sheetName val="[form-pm.xls]____________L_1723"/>
      <sheetName val="[form-pm.xls]____________L_1724"/>
      <sheetName val="[form-pm.xls]____________L_1725"/>
      <sheetName val="[form-pm.xls]____________L_1726"/>
      <sheetName val="[form-pm.xls]____________L_1727"/>
      <sheetName val="[form-pm.xls][form-pm.xls]__332"/>
      <sheetName val="[form-pm.xls]____________L_1728"/>
      <sheetName val="[form-pm.xls]____________L_1729"/>
      <sheetName val="[form-pm.xls]____________L_1730"/>
      <sheetName val="[form-pm.xls]____________L_1731"/>
      <sheetName val="[form-pm.xls]____________L_1732"/>
      <sheetName val="[form-pm.xls]____________L_1733"/>
      <sheetName val="[form-pm.xls]____________L_1734"/>
      <sheetName val="[form-pm.xls]____________L_1735"/>
      <sheetName val="[form-pm.xls][form-pm.xls]__333"/>
      <sheetName val="[form-pm.xls]____________L_1736"/>
      <sheetName val="[form-pm.xls]____________L_1737"/>
      <sheetName val="[form-pm.xls]____________L_1738"/>
      <sheetName val="[form-pm.xls]____________L_1739"/>
      <sheetName val="[form-pm.xls]____________L_1740"/>
      <sheetName val="[form-pm.xls]____________L_1741"/>
      <sheetName val="[form-pm.xls]____________L_1742"/>
      <sheetName val="[form-pm.xls]____________L_1743"/>
      <sheetName val="[form-pm.xls][form-pm.xls]__348"/>
      <sheetName val="[form-pm.xls]____________L_1848"/>
      <sheetName val="[form-pm.xls]____________L_1849"/>
      <sheetName val="[form-pm.xls]____________L_1850"/>
      <sheetName val="[form-pm.xls]____________L_1851"/>
      <sheetName val="[form-pm.xls]____________L_1852"/>
      <sheetName val="[form-pm.xls]____________L_1853"/>
      <sheetName val="[form-pm.xls]____________L_1854"/>
      <sheetName val="[form-pm.xls]____________L_1855"/>
      <sheetName val="[form-pm.xls][form-pm.xls]__340"/>
      <sheetName val="[form-pm.xls]____________L_1784"/>
      <sheetName val="[form-pm.xls]____________L_1785"/>
      <sheetName val="[form-pm.xls]____________L_1786"/>
      <sheetName val="[form-pm.xls][form-pm.xls]__341"/>
      <sheetName val="[form-pm.xls]____________L_1787"/>
      <sheetName val="[form-pm.xls]____________L_1788"/>
      <sheetName val="[form-pm.xls]____________L_1789"/>
      <sheetName val="[form-pm.xls]____________L_1790"/>
      <sheetName val="[form-pm.xls]____________L_1791"/>
      <sheetName val="[form-pm.xls][form-pm.xls]__336"/>
      <sheetName val="[form-pm.xls]____________L_1752"/>
      <sheetName val="[form-pm.xls]____________L_1753"/>
      <sheetName val="[form-pm.xls]____________L_1754"/>
      <sheetName val="[form-pm.xls]____________L_1755"/>
      <sheetName val="[form-pm.xls]____________L_1756"/>
      <sheetName val="[form-pm.xls]____________L_1757"/>
      <sheetName val="[form-pm.xls]____________L_1758"/>
      <sheetName val="[form-pm.xls]____________L_1759"/>
      <sheetName val="[form-pm.xls][form-pm.xls]__339"/>
      <sheetName val="[form-pm.xls]____________L_1776"/>
      <sheetName val="[form-pm.xls]____________L_1777"/>
      <sheetName val="[form-pm.xls]____________L_1778"/>
      <sheetName val="[form-pm.xls]____________L_1779"/>
      <sheetName val="[form-pm.xls]____________L_1780"/>
      <sheetName val="[form-pm.xls]____________L_1781"/>
      <sheetName val="[form-pm.xls]____________L_1782"/>
      <sheetName val="[form-pm.xls]____________L_1783"/>
      <sheetName val="[form-pm.xls][form-pm.xls]__337"/>
      <sheetName val="[form-pm.xls]____________L_1760"/>
      <sheetName val="[form-pm.xls]____________L_1761"/>
      <sheetName val="[form-pm.xls]____________L_1762"/>
      <sheetName val="[form-pm.xls]____________L_1763"/>
      <sheetName val="[form-pm.xls]____________L_1764"/>
      <sheetName val="[form-pm.xls]____________L_1765"/>
      <sheetName val="[form-pm.xls]____________L_1766"/>
      <sheetName val="[form-pm.xls]____________L_1767"/>
      <sheetName val="[form-pm.xls][form-pm.xls]__338"/>
      <sheetName val="[form-pm.xls]____________L_1768"/>
      <sheetName val="[form-pm.xls]____________L_1769"/>
      <sheetName val="[form-pm.xls]____________L_1770"/>
      <sheetName val="[form-pm.xls]____________L_1771"/>
      <sheetName val="[form-pm.xls]____________L_1772"/>
      <sheetName val="[form-pm.xls]____________L_1773"/>
      <sheetName val="[form-pm.xls]____________L_1774"/>
      <sheetName val="[form-pm.xls]____________L_1775"/>
      <sheetName val="[form-pm.xls]____________L_1792"/>
      <sheetName val="[form-pm.xls]____________L_1793"/>
      <sheetName val="[form-pm.xls]____________L_1794"/>
      <sheetName val="[form-pm.xls][form-pm.xls]__344"/>
      <sheetName val="[form-pm.xls]____________L_1795"/>
      <sheetName val="[form-pm.xls]____________L_1796"/>
      <sheetName val="[form-pm.xls]____________L_1797"/>
      <sheetName val="[form-pm.xls]____________L_1798"/>
      <sheetName val="[form-pm.xls]____________L_1799"/>
      <sheetName val="[form-pm.xls][form-pm.xls]__342"/>
      <sheetName val="[form-pm.xls]____________L_1800"/>
      <sheetName val="[form-pm.xls]____________L_1801"/>
      <sheetName val="[form-pm.xls]____________L_1802"/>
      <sheetName val="[form-pm.xls][form-pm.xls]__343"/>
      <sheetName val="[form-pm.xls]____________L_1803"/>
      <sheetName val="[form-pm.xls]____________L_1804"/>
      <sheetName val="[form-pm.xls]____________L_1805"/>
      <sheetName val="[form-pm.xls]____________L_1806"/>
      <sheetName val="[form-pm.xls]____________L_1807"/>
      <sheetName val="[form-pm.xls]____________L_1808"/>
      <sheetName val="[form-pm.xls]____________L_1809"/>
      <sheetName val="[form-pm.xls]____________L_1810"/>
      <sheetName val="[form-pm.xls]____________L_1811"/>
      <sheetName val="[form-pm.xls]____________L_1812"/>
      <sheetName val="[form-pm.xls]____________L_1813"/>
      <sheetName val="[form-pm.xls]____________L_1814"/>
      <sheetName val="[form-pm.xls]____________L_1815"/>
      <sheetName val="[form-pm.xls]____________L_1816"/>
      <sheetName val="[form-pm.xls]____________L_1817"/>
      <sheetName val="[form-pm.xls]____________L_1818"/>
      <sheetName val="[form-pm.xls][form-pm.xls]__346"/>
      <sheetName val="[form-pm.xls]____________L_1819"/>
      <sheetName val="[form-pm.xls]____________L_1820"/>
      <sheetName val="[form-pm.xls]____________L_1821"/>
      <sheetName val="[form-pm.xls]____________L_1822"/>
      <sheetName val="[form-pm.xls]____________L_1823"/>
      <sheetName val="[form-pm.xls]____________L_1832"/>
      <sheetName val="[form-pm.xls]____________L_1833"/>
      <sheetName val="[form-pm.xls]____________L_1834"/>
      <sheetName val="[form-pm.xls][form-pm.xls]__347"/>
      <sheetName val="[form-pm.xls]____________L_1835"/>
      <sheetName val="[form-pm.xls]____________L_1836"/>
      <sheetName val="[form-pm.xls]____________L_1837"/>
      <sheetName val="[form-pm.xls]____________L_1838"/>
      <sheetName val="[form-pm.xls]____________L_1839"/>
      <sheetName val="[form-pm.xls][form-pm.xls]__345"/>
      <sheetName val="[form-pm.xls]____________L_1824"/>
      <sheetName val="[form-pm.xls]____________L_1825"/>
      <sheetName val="[form-pm.xls]____________L_1826"/>
      <sheetName val="[form-pm.xls]____________L_1827"/>
      <sheetName val="[form-pm.xls]____________L_1828"/>
      <sheetName val="[form-pm.xls]____________L_1829"/>
      <sheetName val="[form-pm.xls]____________L_1830"/>
      <sheetName val="[form-pm.xls]____________L_1831"/>
      <sheetName val="[form-pm.xls]____________L_1840"/>
      <sheetName val="[form-pm.xls]____________L_1841"/>
      <sheetName val="[form-pm.xls]____________L_1842"/>
      <sheetName val="[form-pm.xls]____________L_1843"/>
      <sheetName val="[form-pm.xls]____________L_1844"/>
      <sheetName val="[form-pm.xls]____________L_1845"/>
      <sheetName val="[form-pm.xls]____________L_1846"/>
      <sheetName val="[form-pm.xls]____________L_1847"/>
      <sheetName val="[form-pm.xls]____________L_1872"/>
      <sheetName val="[form-pm.xls]____________L_1873"/>
      <sheetName val="[form-pm.xls]____________L_1874"/>
      <sheetName val="[form-pm.xls][form-pm.xls]__353"/>
      <sheetName val="[form-pm.xls]____________L_1875"/>
      <sheetName val="[form-pm.xls]____________L_1876"/>
      <sheetName val="[form-pm.xls]____________L_1877"/>
      <sheetName val="[form-pm.xls]____________L_1878"/>
      <sheetName val="[form-pm.xls]____________L_1879"/>
      <sheetName val="[form-pm.xls][form-pm.xls]__350"/>
      <sheetName val="[form-pm.xls]____________L_1864"/>
      <sheetName val="[form-pm.xls]____________L_1865"/>
      <sheetName val="[form-pm.xls]____________L_1866"/>
      <sheetName val="[form-pm.xls]____________L_1867"/>
      <sheetName val="[form-pm.xls]____________L_1868"/>
      <sheetName val="[form-pm.xls]____________L_1869"/>
      <sheetName val="[form-pm.xls]____________L_1870"/>
      <sheetName val="[form-pm.xls]____________L_1871"/>
      <sheetName val="SETTING KELOMPOK"/>
      <sheetName val="[form-pm.xls][form-pm.xls]__352"/>
      <sheetName val="[form-pm.xls]____________L_1880"/>
      <sheetName val="[form-pm.xls]____________L_1881"/>
      <sheetName val="[form-pm.xls]____________L_1882"/>
      <sheetName val="[form-pm.xls]____________L_1883"/>
      <sheetName val="[form-pm.xls]____________L_1884"/>
      <sheetName val="[form-pm.xls]____________L_1885"/>
      <sheetName val="[form-pm.xls]____________L_1886"/>
      <sheetName val="[form-pm.xls]____________L_1887"/>
      <sheetName val="[form-pm.xls]____________L_1888"/>
      <sheetName val="[form-pm.xls]____________L_1889"/>
      <sheetName val="[form-pm.xls]____________L_1890"/>
      <sheetName val="[form-pm.xls][form-pm.xls]__354"/>
      <sheetName val="[form-pm.xls]____________L_1891"/>
      <sheetName val="[form-pm.xls]____________L_1892"/>
      <sheetName val="[form-pm.xls]____________L_1893"/>
      <sheetName val="[form-pm.xls]____________L_1894"/>
      <sheetName val="[form-pm.xls]____________L_1895"/>
      <sheetName val="[form-pm.xls]____________L_1896"/>
      <sheetName val="[form-pm.xls]____________L_1897"/>
      <sheetName val="[form-pm.xls]____________L_1898"/>
      <sheetName val="[form-pm.xls][form-pm.xls]__356"/>
      <sheetName val="[form-pm.xls]____________L_1899"/>
      <sheetName val="[form-pm.xls]____________L_1900"/>
      <sheetName val="[form-pm.xls]____________L_1901"/>
      <sheetName val="[form-pm.xls]____________L_1902"/>
      <sheetName val="[form-pm.xls]____________L_1903"/>
      <sheetName val="[form-pm.xls][form-pm.xls]__355"/>
      <sheetName val="[form-pm.xls]____________L_1904"/>
      <sheetName val="[form-pm.xls]____________L_1905"/>
      <sheetName val="[form-pm.xls]____________L_1906"/>
      <sheetName val="[form-pm.xls][form-pm.xls]__357"/>
      <sheetName val="[form-pm.xls]____________L_1907"/>
      <sheetName val="[form-pm.xls]____________L_1908"/>
      <sheetName val="[form-pm.xls]____________L_1909"/>
      <sheetName val="[form-pm.xls]____________L_1910"/>
      <sheetName val="[form-pm.xls]____________L_1911"/>
      <sheetName val="[form-pm.xls][form-pm.xls]__358"/>
      <sheetName val="[form-pm.xls]____________L_1912"/>
      <sheetName val="[form-pm.xls]____________L_1913"/>
      <sheetName val="[form-pm.xls]____________L_1914"/>
      <sheetName val="[form-pm.xls][form-pm.xls]__360"/>
      <sheetName val="[form-pm.xls]____________L_1915"/>
      <sheetName val="[form-pm.xls]____________L_1916"/>
      <sheetName val="[form-pm.xls]____________L_1917"/>
      <sheetName val="[form-pm.xls]____________L_1918"/>
      <sheetName val="[form-pm.xls]____________L_1919"/>
      <sheetName val="[form-pm.xls][form-pm.xls]__359"/>
      <sheetName val="[form-pm.xls]____________L_1920"/>
      <sheetName val="[form-pm.xls]____________L_1921"/>
      <sheetName val="[form-pm.xls]____________L_1922"/>
      <sheetName val="[form-pm.xls]____________L_1923"/>
      <sheetName val="[form-pm.xls]____________L_1924"/>
      <sheetName val="[form-pm.xls]____________L_1925"/>
      <sheetName val="[form-pm.xls]____________L_1926"/>
      <sheetName val="[form-pm.xls]____________L_1927"/>
      <sheetName val="[form-pm.xls][form-pm.xls]__433"/>
      <sheetName val="[form-pm.xls]____________L_2408"/>
      <sheetName val="[form-pm.xls]____________L_2409"/>
      <sheetName val="[form-pm.xls]____________L_2410"/>
      <sheetName val="[form-pm.xls][form-pm.xls]__434"/>
      <sheetName val="[form-pm.xls]____________L_2411"/>
      <sheetName val="[form-pm.xls]____________L_2412"/>
      <sheetName val="[form-pm.xls]____________L_2413"/>
      <sheetName val="[form-pm.xls]____________L_2414"/>
      <sheetName val="[form-pm.xls]____________L_2415"/>
      <sheetName val="[form-pm.xls][form-pm.xls]__364"/>
      <sheetName val="[form-pm.xls]____________L_1944"/>
      <sheetName val="[form-pm.xls]____________L_1945"/>
      <sheetName val="[form-pm.xls]____________L_1946"/>
      <sheetName val="[form-pm.xls]____________L_1947"/>
      <sheetName val="[form-pm.xls]____________L_1948"/>
      <sheetName val="[form-pm.xls]____________L_1949"/>
      <sheetName val="[form-pm.xls]____________L_1950"/>
      <sheetName val="[form-pm.xls]____________L_1951"/>
      <sheetName val="[form-pm.xls][form-pm.xls]__362"/>
      <sheetName val="[form-pm.xls]____________L_1936"/>
      <sheetName val="[form-pm.xls]____________L_1937"/>
      <sheetName val="[form-pm.xls]____________L_1938"/>
      <sheetName val="[form-pm.xls][form-pm.xls]__363"/>
      <sheetName val="[form-pm.xls]____________L_1939"/>
      <sheetName val="[form-pm.xls]____________L_1940"/>
      <sheetName val="[form-pm.xls]____________L_1941"/>
      <sheetName val="[form-pm.xls]____________L_1942"/>
      <sheetName val="[form-pm.xls]____________L_1943"/>
      <sheetName val="[form-pm.xls][form-pm.xls]__361"/>
      <sheetName val="[form-pm.xls]____________L_1928"/>
      <sheetName val="[form-pm.xls]____________L_1929"/>
      <sheetName val="[form-pm.xls]____________L_1930"/>
      <sheetName val="[form-pm.xls]____________L_1931"/>
      <sheetName val="[form-pm.xls]____________L_1932"/>
      <sheetName val="[form-pm.xls]____________L_1933"/>
      <sheetName val="[form-pm.xls]____________L_1934"/>
      <sheetName val="[form-pm.xls]____________L_1935"/>
      <sheetName val="[form-pm.xls][form-pm.xls]__384"/>
      <sheetName val="[form-pm.xls]____________L_2072"/>
      <sheetName val="[form-pm.xls]____________L_2073"/>
      <sheetName val="[form-pm.xls]____________L_2074"/>
      <sheetName val="[form-pm.xls][form-pm.xls]__385"/>
      <sheetName val="[form-pm.xls]____________L_2075"/>
      <sheetName val="[form-pm.xls]____________L_2076"/>
      <sheetName val="[form-pm.xls]____________L_2077"/>
      <sheetName val="[form-pm.xls]____________L_2078"/>
      <sheetName val="[form-pm.xls]____________L_2079"/>
      <sheetName val="[form-pm.xls][form-pm.xls]__378"/>
      <sheetName val="[form-pm.xls]____________L_2032"/>
      <sheetName val="[form-pm.xls]____________L_2033"/>
      <sheetName val="[form-pm.xls]____________L_2034"/>
      <sheetName val="[form-pm.xls][form-pm.xls]__380"/>
      <sheetName val="[form-pm.xls]____________L_2035"/>
      <sheetName val="[form-pm.xls]____________L_2036"/>
      <sheetName val="[form-pm.xls]____________L_2037"/>
      <sheetName val="[form-pm.xls]____________L_2038"/>
      <sheetName val="[form-pm.xls]____________L_2039"/>
      <sheetName val="[form-pm.xls][form-pm.xls]__374"/>
      <sheetName val="[form-pm.xls]____________L_2016"/>
      <sheetName val="[form-pm.xls]____________L_2017"/>
      <sheetName val="[form-pm.xls]____________L_2018"/>
      <sheetName val="[form-pm.xls][form-pm.xls]__375"/>
      <sheetName val="[form-pm.xls]____________L_2019"/>
      <sheetName val="[form-pm.xls]____________L_2020"/>
      <sheetName val="[form-pm.xls]____________L_2021"/>
      <sheetName val="[form-pm.xls]____________L_2022"/>
      <sheetName val="[form-pm.xls]____________L_2023"/>
      <sheetName val="[form-pm.xls][form-pm.xls]__373"/>
      <sheetName val="[form-pm.xls]____________L_2008"/>
      <sheetName val="[form-pm.xls]____________L_2009"/>
      <sheetName val="[form-pm.xls]____________L_2010"/>
      <sheetName val="[form-pm.xls]____________L_2011"/>
      <sheetName val="[form-pm.xls]____________L_2012"/>
      <sheetName val="[form-pm.xls]____________L_2013"/>
      <sheetName val="[form-pm.xls]____________L_2014"/>
      <sheetName val="[form-pm.xls]____________L_2015"/>
      <sheetName val="[form-pm.xls][form-pm.xls]__372"/>
      <sheetName val="[form-pm.xls]____________L_2000"/>
      <sheetName val="[form-pm.xls]____________L_2001"/>
      <sheetName val="[form-pm.xls]____________L_2002"/>
      <sheetName val="[form-pm.xls]____________L_2003"/>
      <sheetName val="[form-pm.xls]____________L_2004"/>
      <sheetName val="[form-pm.xls]____________L_2005"/>
      <sheetName val="[form-pm.xls]____________L_2006"/>
      <sheetName val="[form-pm.xls]____________L_2007"/>
      <sheetName val="[form-pm.xls][form-pm.xls]__370"/>
      <sheetName val="[form-pm.xls]____________L_1984"/>
      <sheetName val="[form-pm.xls]____________L_1985"/>
      <sheetName val="[form-pm.xls]____________L_1986"/>
      <sheetName val="[form-pm.xls][form-pm.xls]__371"/>
      <sheetName val="[form-pm.xls]____________L_1987"/>
      <sheetName val="[form-pm.xls]____________L_1988"/>
      <sheetName val="[form-pm.xls]____________L_1989"/>
      <sheetName val="[form-pm.xls]____________L_1990"/>
      <sheetName val="[form-pm.xls]____________L_1991"/>
      <sheetName val="[form-pm.xls][form-pm.xls]__368"/>
      <sheetName val="[form-pm.xls]____________L_1968"/>
      <sheetName val="[form-pm.xls]____________L_1969"/>
      <sheetName val="[form-pm.xls]____________L_1970"/>
      <sheetName val="[form-pm.xls]____________L_1971"/>
      <sheetName val="[form-pm.xls]____________L_1972"/>
      <sheetName val="[form-pm.xls]____________L_1973"/>
      <sheetName val="[form-pm.xls]____________L_1974"/>
      <sheetName val="[form-pm.xls]____________L_1975"/>
      <sheetName val="[form-pm.xls][form-pm.xls]__366"/>
      <sheetName val="[form-pm.xls]____________L_1952"/>
      <sheetName val="[form-pm.xls]____________L_1953"/>
      <sheetName val="[form-pm.xls]____________L_1954"/>
      <sheetName val="[form-pm.xls][form-pm.xls]__367"/>
      <sheetName val="[form-pm.xls]____________L_1955"/>
      <sheetName val="[form-pm.xls]____________L_1956"/>
      <sheetName val="[form-pm.xls]____________L_1957"/>
      <sheetName val="[form-pm.xls]____________L_1958"/>
      <sheetName val="[form-pm.xls]____________L_1959"/>
      <sheetName val="[form-pm.xls][form-pm.xls]__365"/>
      <sheetName val="[form-pm.xls]____________L_1960"/>
      <sheetName val="[form-pm.xls]____________L_1961"/>
      <sheetName val="[form-pm.xls]____________L_1962"/>
      <sheetName val="[form-pm.xls]____________L_1963"/>
      <sheetName val="[form-pm.xls]____________L_1964"/>
      <sheetName val="[form-pm.xls]____________L_1965"/>
      <sheetName val="[form-pm.xls]____________L_1966"/>
      <sheetName val="[form-pm.xls]____________L_1967"/>
      <sheetName val="[form-pm.xls][form-pm.xls]__369"/>
      <sheetName val="[form-pm.xls]____________L_1976"/>
      <sheetName val="[form-pm.xls]____________L_1977"/>
      <sheetName val="[form-pm.xls]____________L_1978"/>
      <sheetName val="[form-pm.xls]____________L_1979"/>
      <sheetName val="[form-pm.xls]____________L_1980"/>
      <sheetName val="[form-pm.xls]____________L_1981"/>
      <sheetName val="[form-pm.xls]____________L_1982"/>
      <sheetName val="[form-pm.xls]____________L_1983"/>
      <sheetName val="[form-pm.xls]____________L_1992"/>
      <sheetName val="[form-pm.xls]____________L_1993"/>
      <sheetName val="[form-pm.xls]____________L_1994"/>
      <sheetName val="[form-pm.xls]____________L_1995"/>
      <sheetName val="[form-pm.xls]____________L_1996"/>
      <sheetName val="[form-pm.xls]____________L_1997"/>
      <sheetName val="[form-pm.xls]____________L_1998"/>
      <sheetName val="[form-pm.xls]____________L_1999"/>
      <sheetName val="[form-pm.xls][form-pm.xls]__376"/>
      <sheetName val="[form-pm.xls]____________L_2024"/>
      <sheetName val="[form-pm.xls]____________L_2025"/>
      <sheetName val="[form-pm.xls]____________L_2026"/>
      <sheetName val="[form-pm.xls][form-pm.xls]__377"/>
      <sheetName val="[form-pm.xls]____________L_2027"/>
      <sheetName val="[form-pm.xls]____________L_2028"/>
      <sheetName val="[form-pm.xls]____________L_2029"/>
      <sheetName val="[form-pm.xls]____________L_2030"/>
      <sheetName val="[form-pm.xls]____________L_2031"/>
      <sheetName val="[form-pm.xls]____________L_2048"/>
      <sheetName val="[form-pm.xls]____________L_2049"/>
      <sheetName val="[form-pm.xls]____________L_2050"/>
      <sheetName val="[form-pm.xls][form-pm.xls]__381"/>
      <sheetName val="[form-pm.xls]____________L_2051"/>
      <sheetName val="[form-pm.xls]____________L_2052"/>
      <sheetName val="[form-pm.xls]____________L_2053"/>
      <sheetName val="[form-pm.xls]____________L_2054"/>
      <sheetName val="[form-pm.xls]____________L_2055"/>
      <sheetName val="[form-pm.xls][form-pm.xls]__379"/>
      <sheetName val="[form-pm.xls]____________L_2040"/>
      <sheetName val="[form-pm.xls]____________L_2041"/>
      <sheetName val="[form-pm.xls]____________L_2042"/>
      <sheetName val="[form-pm.xls]____________L_2043"/>
      <sheetName val="[form-pm.xls]____________L_2044"/>
      <sheetName val="[form-pm.xls]____________L_2045"/>
      <sheetName val="[form-pm.xls]____________L_2046"/>
      <sheetName val="[form-pm.xls]____________L_2047"/>
      <sheetName val="[form-pm.xls]____________L_2056"/>
      <sheetName val="[form-pm.xls]____________L_2057"/>
      <sheetName val="[form-pm.xls]____________L_2058"/>
      <sheetName val="[form-pm.xls][form-pm.xls]__382"/>
      <sheetName val="[form-pm.xls]____________L_2059"/>
      <sheetName val="[form-pm.xls]____________L_2060"/>
      <sheetName val="[form-pm.xls]____________L_2061"/>
      <sheetName val="[form-pm.xls]____________L_2062"/>
      <sheetName val="[form-pm.xls]____________L_2063"/>
      <sheetName val="[form-pm.xls][form-pm.xls]__383"/>
      <sheetName val="[form-pm.xls]____________L_2064"/>
      <sheetName val="[form-pm.xls]____________L_2065"/>
      <sheetName val="[form-pm.xls]____________L_2066"/>
      <sheetName val="[form-pm.xls]____________L_2067"/>
      <sheetName val="[form-pm.xls]____________L_2068"/>
      <sheetName val="[form-pm.xls]____________L_2069"/>
      <sheetName val="[form-pm.xls]____________L_2070"/>
      <sheetName val="[form-pm.xls]____________L_2071"/>
      <sheetName val="[form-pm.xls]____________L_2080"/>
      <sheetName val="[form-pm.xls]____________L_2081"/>
      <sheetName val="[form-pm.xls]____________L_2082"/>
      <sheetName val="[form-pm.xls][form-pm.xls]__387"/>
      <sheetName val="[form-pm.xls]____________L_2083"/>
      <sheetName val="[form-pm.xls]____________L_2084"/>
      <sheetName val="[form-pm.xls]____________L_2085"/>
      <sheetName val="[form-pm.xls]____________L_2086"/>
      <sheetName val="[form-pm.xls]____________L_2087"/>
      <sheetName val="[form-pm.xls]____________L_2088"/>
      <sheetName val="[form-pm.xls]____________L_2089"/>
      <sheetName val="[form-pm.xls]____________L_2090"/>
      <sheetName val="[form-pm.xls]____________L_2091"/>
      <sheetName val="[form-pm.xls]____________L_2092"/>
      <sheetName val="[form-pm.xls]____________L_2093"/>
      <sheetName val="[form-pm.xls]____________L_2094"/>
      <sheetName val="[form-pm.xls]____________L_2095"/>
      <sheetName val="[form-pm.xls][form-pm.xls]__386"/>
      <sheetName val="[form-pm.xls][form-pm.xls]__395"/>
      <sheetName val="[form-pm.xls]____________L_2144"/>
      <sheetName val="[form-pm.xls]____________L_2145"/>
      <sheetName val="[form-pm.xls]____________L_2146"/>
      <sheetName val="[form-pm.xls]____________L_2147"/>
      <sheetName val="[form-pm.xls]____________L_2148"/>
      <sheetName val="[form-pm.xls]____________L_2149"/>
      <sheetName val="[form-pm.xls]____________L_2150"/>
      <sheetName val="[form-pm.xls]____________L_2151"/>
      <sheetName val="[form-pm.xls][form-pm.xls]__392"/>
      <sheetName val="[form-pm.xls]____________L_2120"/>
      <sheetName val="[form-pm.xls]____________L_2121"/>
      <sheetName val="[form-pm.xls]____________L_2122"/>
      <sheetName val="[form-pm.xls][form-pm.xls]__394"/>
      <sheetName val="[form-pm.xls]____________L_2123"/>
      <sheetName val="[form-pm.xls]____________L_2124"/>
      <sheetName val="[form-pm.xls]____________L_2125"/>
      <sheetName val="[form-pm.xls]____________L_2126"/>
      <sheetName val="[form-pm.xls]____________L_2127"/>
      <sheetName val="[form-pm.xls][form-pm.xls]__391"/>
      <sheetName val="[form-pm.xls]____________L_2112"/>
      <sheetName val="[form-pm.xls]____________L_2113"/>
      <sheetName val="[form-pm.xls]____________L_2114"/>
      <sheetName val="[form-pm.xls]____________L_2115"/>
      <sheetName val="[form-pm.xls]____________L_2116"/>
      <sheetName val="[form-pm.xls]____________L_2117"/>
      <sheetName val="[form-pm.xls]____________L_2118"/>
      <sheetName val="[form-pm.xls]____________L_2119"/>
      <sheetName val="[form-pm.xls][form-pm.xls]__390"/>
      <sheetName val="[form-pm.xls]____________L_2104"/>
      <sheetName val="[form-pm.xls]____________L_2105"/>
      <sheetName val="[form-pm.xls]____________L_2106"/>
      <sheetName val="[form-pm.xls]____________L_2107"/>
      <sheetName val="[form-pm.xls]____________L_2108"/>
      <sheetName val="[form-pm.xls]____________L_2109"/>
      <sheetName val="[form-pm.xls]____________L_2110"/>
      <sheetName val="[form-pm.xls]____________L_2111"/>
      <sheetName val="[form-pm.xls][form-pm.xls]__388"/>
      <sheetName val="[form-pm.xls]____________L_2096"/>
      <sheetName val="[form-pm.xls]____________L_2097"/>
      <sheetName val="[form-pm.xls]____________L_2098"/>
      <sheetName val="[form-pm.xls][form-pm.xls]__389"/>
      <sheetName val="[form-pm.xls]____________L_2099"/>
      <sheetName val="[form-pm.xls]____________L_2100"/>
      <sheetName val="[form-pm.xls]____________L_2101"/>
      <sheetName val="[form-pm.xls]____________L_2102"/>
      <sheetName val="[form-pm.xls]____________L_2103"/>
      <sheetName val="[form-pm.xls]____________L_2136"/>
      <sheetName val="[form-pm.xls]____________L_2137"/>
      <sheetName val="[form-pm.xls]____________L_2138"/>
      <sheetName val="[form-pm.xls]____________L_2139"/>
      <sheetName val="[form-pm.xls]____________L_2140"/>
      <sheetName val="[form-pm.xls]____________L_2141"/>
      <sheetName val="[form-pm.xls]____________L_2142"/>
      <sheetName val="[form-pm.xls]____________L_2143"/>
      <sheetName val="[form-pm.xls][form-pm.xls]__393"/>
      <sheetName val="[form-pm.xls]____________L_2128"/>
      <sheetName val="[form-pm.xls]____________L_2129"/>
      <sheetName val="[form-pm.xls]____________L_2130"/>
      <sheetName val="[form-pm.xls]____________L_2131"/>
      <sheetName val="[form-pm.xls]____________L_2132"/>
      <sheetName val="[form-pm.xls]____________L_2133"/>
      <sheetName val="[form-pm.xls]____________L_2134"/>
      <sheetName val="[form-pm.xls]____________L_2135"/>
      <sheetName val="[form-pm.xls][form-pm.xls]__425"/>
      <sheetName val="[form-pm.xls]____________L_2360"/>
      <sheetName val="[form-pm.xls]____________L_2361"/>
      <sheetName val="[form-pm.xls]____________L_2362"/>
      <sheetName val="[form-pm.xls][form-pm.xls]__428"/>
      <sheetName val="[form-pm.xls]____________L_2363"/>
      <sheetName val="[form-pm.xls]____________L_2364"/>
      <sheetName val="[form-pm.xls]____________L_2365"/>
      <sheetName val="[form-pm.xls]____________L_2366"/>
      <sheetName val="[form-pm.xls]____________L_2367"/>
      <sheetName val="[form-pm.xls][form-pm.xls]__396"/>
      <sheetName val="[form-pm.xls]____________L_2152"/>
      <sheetName val="[form-pm.xls]____________L_2153"/>
      <sheetName val="[form-pm.xls]____________L_2154"/>
      <sheetName val="[form-pm.xls][form-pm.xls]__397"/>
      <sheetName val="[form-pm.xls]____________L_2155"/>
      <sheetName val="[form-pm.xls]____________L_2156"/>
      <sheetName val="[form-pm.xls]____________L_2157"/>
      <sheetName val="[form-pm.xls]____________L_2158"/>
      <sheetName val="[form-pm.xls]____________L_2159"/>
      <sheetName val="[form-pm.xls]____________L_2160"/>
      <sheetName val="[form-pm.xls]____________L_2161"/>
      <sheetName val="[form-pm.xls]____________L_2162"/>
      <sheetName val="[form-pm.xls]____________L_2163"/>
      <sheetName val="[form-pm.xls]____________L_2164"/>
      <sheetName val="[form-pm.xls]____________L_2165"/>
      <sheetName val="[form-pm.xls]____________L_2166"/>
      <sheetName val="[form-pm.xls]____________L_2167"/>
      <sheetName val="[form-pm.xls][form-pm.xls]__417"/>
      <sheetName val="[form-pm.xls]____________L_2296"/>
      <sheetName val="[form-pm.xls]____________L_2297"/>
      <sheetName val="[form-pm.xls]____________L_2298"/>
      <sheetName val="[form-pm.xls][form-pm.xls]__418"/>
      <sheetName val="[form-pm.xls]____________L_2299"/>
      <sheetName val="[form-pm.xls]____________L_2300"/>
      <sheetName val="[form-pm.xls]____________L_2301"/>
      <sheetName val="[form-pm.xls]____________L_2302"/>
      <sheetName val="[form-pm.xls]____________L_2303"/>
      <sheetName val="[form-pm.xls][form-pm.xls]__416"/>
      <sheetName val="[form-pm.xls]____________L_2288"/>
      <sheetName val="[form-pm.xls]____________L_2289"/>
      <sheetName val="[form-pm.xls]____________L_2290"/>
      <sheetName val="[form-pm.xls]____________L_2291"/>
      <sheetName val="[form-pm.xls]____________L_2292"/>
      <sheetName val="[form-pm.xls]____________L_2293"/>
      <sheetName val="[form-pm.xls]____________L_2294"/>
      <sheetName val="[form-pm.xls]____________L_2295"/>
      <sheetName val="[form-pm.xls][form-pm.xls]__399"/>
      <sheetName val="[form-pm.xls]____________L_2176"/>
      <sheetName val="[form-pm.xls]____________L_2177"/>
      <sheetName val="[form-pm.xls]____________L_2178"/>
      <sheetName val="[form-pm.xls]____________L_2179"/>
      <sheetName val="[form-pm.xls]____________L_2180"/>
      <sheetName val="[form-pm.xls]____________L_2181"/>
      <sheetName val="[form-pm.xls]____________L_2182"/>
      <sheetName val="[form-pm.xls]____________L_2183"/>
      <sheetName val="[form-pm.xls][form-pm.xls]__398"/>
      <sheetName val="[form-pm.xls]____________L_2168"/>
      <sheetName val="[form-pm.xls]____________L_2169"/>
      <sheetName val="[form-pm.xls]____________L_2170"/>
      <sheetName val="[form-pm.xls]____________L_2171"/>
      <sheetName val="[form-pm.xls]____________L_2172"/>
      <sheetName val="[form-pm.xls]____________L_2173"/>
      <sheetName val="[form-pm.xls]____________L_2174"/>
      <sheetName val="[form-pm.xls]____________L_2175"/>
      <sheetName val="[form-pm.xls][form-pm.xls]__400"/>
      <sheetName val="[form-pm.xls]____________L_2184"/>
      <sheetName val="[form-pm.xls]____________L_2185"/>
      <sheetName val="[form-pm.xls]____________L_2186"/>
      <sheetName val="[form-pm.xls][form-pm.xls]__401"/>
      <sheetName val="[form-pm.xls]____________L_2187"/>
      <sheetName val="[form-pm.xls]____________L_2188"/>
      <sheetName val="[form-pm.xls]____________L_2189"/>
      <sheetName val="[form-pm.xls]____________L_2190"/>
      <sheetName val="[form-pm.xls]____________L_2191"/>
      <sheetName val="[form-pm.xls]____________L_2192"/>
      <sheetName val="[form-pm.xls]____________L_2193"/>
      <sheetName val="[form-pm.xls]____________L_2194"/>
      <sheetName val="[form-pm.xls]____________L_2195"/>
      <sheetName val="[form-pm.xls]____________L_2196"/>
      <sheetName val="[form-pm.xls]____________L_2197"/>
      <sheetName val="[form-pm.xls]____________L_2198"/>
      <sheetName val="[form-pm.xls]____________L_2199"/>
      <sheetName val="[form-pm.xls][form-pm.xls]__402"/>
      <sheetName val="[form-pm.xls]____________L_2200"/>
      <sheetName val="[form-pm.xls]____________L_2201"/>
      <sheetName val="[form-pm.xls]____________L_2202"/>
      <sheetName val="[form-pm.xls][form-pm.xls]__404"/>
      <sheetName val="[form-pm.xls]____________L_2203"/>
      <sheetName val="[form-pm.xls]____________L_2204"/>
      <sheetName val="[form-pm.xls]____________L_2205"/>
      <sheetName val="[form-pm.xls]____________L_2206"/>
      <sheetName val="[form-pm.xls]____________L_2207"/>
      <sheetName val="[form-pm.xls][form-pm.xls]__403"/>
      <sheetName val="[form-pm.xls][form-pm.xls]__408"/>
      <sheetName val="[form-pm.xls]____________L_2232"/>
      <sheetName val="[form-pm.xls]____________L_2233"/>
      <sheetName val="[form-pm.xls]____________L_2234"/>
      <sheetName val="[form-pm.xls]____________L_2235"/>
      <sheetName val="[form-pm.xls]____________L_2236"/>
      <sheetName val="[form-pm.xls]____________L_2237"/>
      <sheetName val="[form-pm.xls]____________L_2238"/>
      <sheetName val="[form-pm.xls]____________L_2239"/>
      <sheetName val="[form-pm.xls][form-pm.xls]__407"/>
      <sheetName val="[form-pm.xls]____________L_2224"/>
      <sheetName val="[form-pm.xls]____________L_2225"/>
      <sheetName val="[form-pm.xls]____________L_2226"/>
      <sheetName val="[form-pm.xls]____________L_2227"/>
      <sheetName val="[form-pm.xls]____________L_2228"/>
      <sheetName val="[form-pm.xls]____________L_2229"/>
      <sheetName val="[form-pm.xls]____________L_2230"/>
      <sheetName val="[form-pm.xls]____________L_2231"/>
      <sheetName val="[form-pm.xls][form-pm.xls]__406"/>
      <sheetName val="[form-pm.xls]____________L_2216"/>
      <sheetName val="[form-pm.xls]____________L_2217"/>
      <sheetName val="[form-pm.xls]____________L_2218"/>
      <sheetName val="[form-pm.xls]____________L_2219"/>
      <sheetName val="[form-pm.xls]____________L_2220"/>
      <sheetName val="[form-pm.xls]____________L_2221"/>
      <sheetName val="[form-pm.xls]____________L_2222"/>
      <sheetName val="[form-pm.xls]____________L_2223"/>
      <sheetName val="[form-pm.xls][form-pm.xls]__405"/>
      <sheetName val="[form-pm.xls]____________L_2208"/>
      <sheetName val="[form-pm.xls]____________L_2209"/>
      <sheetName val="[form-pm.xls]____________L_2210"/>
      <sheetName val="[form-pm.xls]____________L_2211"/>
      <sheetName val="[form-pm.xls]____________L_2212"/>
      <sheetName val="[form-pm.xls]____________L_2213"/>
      <sheetName val="[form-pm.xls]____________L_2214"/>
      <sheetName val="[form-pm.xls]____________L_2215"/>
      <sheetName val="[form-pm.xls][form-pm.xls]__409"/>
      <sheetName val="[form-pm.xls][form-pm.xls]__411"/>
      <sheetName val="[form-pm.xls]____________L_2256"/>
      <sheetName val="[form-pm.xls]____________L_2257"/>
      <sheetName val="[form-pm.xls]____________L_2258"/>
      <sheetName val="[form-pm.xls][form-pm.xls]__412"/>
      <sheetName val="[form-pm.xls]____________L_2259"/>
      <sheetName val="[form-pm.xls]____________L_2260"/>
      <sheetName val="[form-pm.xls]____________L_2261"/>
      <sheetName val="[form-pm.xls]____________L_2262"/>
      <sheetName val="[form-pm.xls]____________L_2263"/>
      <sheetName val="[form-pm.xls]____________L_2240"/>
      <sheetName val="[form-pm.xls]____________L_2241"/>
      <sheetName val="[form-pm.xls]____________L_2242"/>
      <sheetName val="[form-pm.xls]____________L_2243"/>
      <sheetName val="[form-pm.xls]____________L_2244"/>
      <sheetName val="[form-pm.xls]____________L_2245"/>
      <sheetName val="[form-pm.xls]____________L_2246"/>
      <sheetName val="[form-pm.xls]____________L_2247"/>
      <sheetName val="[form-pm.xls][form-pm.xls]__410"/>
      <sheetName val="[form-pm.xls]____________L_2248"/>
      <sheetName val="[form-pm.xls]____________L_2249"/>
      <sheetName val="[form-pm.xls]____________L_2250"/>
      <sheetName val="[form-pm.xls]____________L_2251"/>
      <sheetName val="[form-pm.xls]____________L_2252"/>
      <sheetName val="[form-pm.xls]____________L_2253"/>
      <sheetName val="[form-pm.xls]____________L_2254"/>
      <sheetName val="[form-pm.xls]____________L_2255"/>
      <sheetName val="[form-pm.xls]____________L_2264"/>
      <sheetName val="[form-pm.xls]____________L_2265"/>
      <sheetName val="[form-pm.xls]____________L_2266"/>
      <sheetName val="[form-pm.xls]____________L_2267"/>
      <sheetName val="[form-pm.xls]____________L_2268"/>
      <sheetName val="[form-pm.xls]____________L_2269"/>
      <sheetName val="[form-pm.xls]____________L_2270"/>
      <sheetName val="[form-pm.xls]____________L_2271"/>
      <sheetName val="[form-pm.xls][form-pm.xls]__413"/>
      <sheetName val="[form-pm.xls]____________L_2272"/>
      <sheetName val="[form-pm.xls]____________L_2273"/>
      <sheetName val="[form-pm.xls]____________L_2274"/>
      <sheetName val="[form-pm.xls]____________L_2275"/>
      <sheetName val="[form-pm.xls]____________L_2276"/>
      <sheetName val="[form-pm.xls]____________L_2277"/>
      <sheetName val="[form-pm.xls]____________L_2278"/>
      <sheetName val="[form-pm.xls]____________L_2279"/>
      <sheetName val="[form-pm.xls][form-pm.xls]__414"/>
      <sheetName val="[form-pm.xls][form-pm.xls]__415"/>
      <sheetName val="[form-pm.xls]____________L_2280"/>
      <sheetName val="[form-pm.xls]____________L_2281"/>
      <sheetName val="[form-pm.xls]____________L_2282"/>
      <sheetName val="[form-pm.xls]____________L_2283"/>
      <sheetName val="[form-pm.xls]____________L_2284"/>
      <sheetName val="[form-pm.xls]____________L_2285"/>
      <sheetName val="[form-pm.xls]____________L_2286"/>
      <sheetName val="[form-pm.xls]____________L_2287"/>
      <sheetName val="[form-pm.xls]____________L_2304"/>
      <sheetName val="[form-pm.xls]____________L_2305"/>
      <sheetName val="[form-pm.xls]____________L_2306"/>
      <sheetName val="[form-pm.xls]____________L_2307"/>
      <sheetName val="[form-pm.xls]____________L_2308"/>
      <sheetName val="[form-pm.xls]____________L_2309"/>
      <sheetName val="[form-pm.xls]____________L_2310"/>
      <sheetName val="[form-pm.xls]____________L_2311"/>
      <sheetName val="[form-pm.xls][form-pm.xls]__419"/>
      <sheetName val="[form-pm.xls]____________L_2312"/>
      <sheetName val="[form-pm.xls]____________L_2313"/>
      <sheetName val="[form-pm.xls]____________L_2314"/>
      <sheetName val="[form-pm.xls][form-pm.xls]__420"/>
      <sheetName val="[form-pm.xls]____________L_2315"/>
      <sheetName val="[form-pm.xls]____________L_2316"/>
      <sheetName val="[form-pm.xls]____________L_2317"/>
      <sheetName val="[form-pm.xls]____________L_2318"/>
      <sheetName val="[form-pm.xls]____________L_2319"/>
      <sheetName val="[form-pm.xls]____________L_2320"/>
      <sheetName val="[form-pm.xls]____________L_2321"/>
      <sheetName val="[form-pm.xls]____________L_2322"/>
      <sheetName val="[form-pm.xls][form-pm.xls]__422"/>
      <sheetName val="[form-pm.xls]____________L_2323"/>
      <sheetName val="[form-pm.xls]____________L_2324"/>
      <sheetName val="[form-pm.xls]____________L_2325"/>
      <sheetName val="[form-pm.xls]____________L_2326"/>
      <sheetName val="[form-pm.xls]____________L_2327"/>
      <sheetName val="[form-pm.xls]____________L_2336"/>
      <sheetName val="[form-pm.xls]____________L_2337"/>
      <sheetName val="[form-pm.xls]____________L_2338"/>
      <sheetName val="[form-pm.xls]____________L_2339"/>
      <sheetName val="[form-pm.xls]____________L_2340"/>
      <sheetName val="[form-pm.xls]____________L_2341"/>
      <sheetName val="[form-pm.xls]____________L_2342"/>
      <sheetName val="[form-pm.xls]____________L_2343"/>
      <sheetName val="[form-pm.xls][form-pm.xls]__421"/>
      <sheetName val="[form-pm.xls]____________L_2328"/>
      <sheetName val="[form-pm.xls]____________L_2329"/>
      <sheetName val="[form-pm.xls]____________L_2330"/>
      <sheetName val="[form-pm.xls]____________L_2331"/>
      <sheetName val="[form-pm.xls]____________L_2332"/>
      <sheetName val="[form-pm.xls]____________L_2333"/>
      <sheetName val="[form-pm.xls]____________L_2334"/>
      <sheetName val="[form-pm.xls]____________L_2335"/>
      <sheetName val="[form-pm.xls][form-pm.xls]__424"/>
      <sheetName val="[form-pm.xls]____________L_2352"/>
      <sheetName val="[form-pm.xls]____________L_2353"/>
      <sheetName val="[form-pm.xls]____________L_2354"/>
      <sheetName val="[form-pm.xls]____________L_2355"/>
      <sheetName val="[form-pm.xls]____________L_2356"/>
      <sheetName val="[form-pm.xls]____________L_2357"/>
      <sheetName val="[form-pm.xls]____________L_2358"/>
      <sheetName val="[form-pm.xls]____________L_2359"/>
      <sheetName val="[form-pm.xls][form-pm.xls]__423"/>
      <sheetName val="[form-pm.xls]____________L_2344"/>
      <sheetName val="[form-pm.xls]____________L_2345"/>
      <sheetName val="[form-pm.xls]____________L_2346"/>
      <sheetName val="[form-pm.xls]____________L_2347"/>
      <sheetName val="[form-pm.xls]____________L_2348"/>
      <sheetName val="[form-pm.xls]____________L_2349"/>
      <sheetName val="[form-pm.xls]____________L_2350"/>
      <sheetName val="[form-pm.xls]____________L_2351"/>
      <sheetName val="[form-pm.xls]____________L_2384"/>
      <sheetName val="[form-pm.xls]____________L_2385"/>
      <sheetName val="[form-pm.xls]____________L_2386"/>
      <sheetName val="[form-pm.xls]____________L_2387"/>
      <sheetName val="[form-pm.xls]____________L_2388"/>
      <sheetName val="[form-pm.xls]____________L_2389"/>
      <sheetName val="[form-pm.xls]____________L_2390"/>
      <sheetName val="[form-pm.xls]____________L_2391"/>
      <sheetName val="[form-pm.xls][form-pm.xls]__426"/>
      <sheetName val="[form-pm.xls]____________L_2368"/>
      <sheetName val="[form-pm.xls]____________L_2369"/>
      <sheetName val="[form-pm.xls]____________L_2370"/>
      <sheetName val="[form-pm.xls]____________L_2371"/>
      <sheetName val="[form-pm.xls]____________L_2372"/>
      <sheetName val="[form-pm.xls]____________L_2373"/>
      <sheetName val="[form-pm.xls]____________L_2374"/>
      <sheetName val="[form-pm.xls]____________L_2375"/>
      <sheetName val="[form-pm.xls][form-pm.xls]__427"/>
      <sheetName val="[form-pm.xls]____________L_2376"/>
      <sheetName val="[form-pm.xls]____________L_2377"/>
      <sheetName val="[form-pm.xls]____________L_2378"/>
      <sheetName val="[form-pm.xls]____________L_2379"/>
      <sheetName val="[form-pm.xls]____________L_2380"/>
      <sheetName val="[form-pm.xls]____________L_2381"/>
      <sheetName val="[form-pm.xls]____________L_2382"/>
      <sheetName val="[form-pm.xls]____________L_2383"/>
      <sheetName val="[form-pm.xls][form-pm.xls]__430"/>
      <sheetName val="[form-pm.xls]____________L_2392"/>
      <sheetName val="[form-pm.xls]____________L_2393"/>
      <sheetName val="[form-pm.xls]____________L_2394"/>
      <sheetName val="[form-pm.xls][form-pm.xls]__431"/>
      <sheetName val="[form-pm.xls]____________L_2395"/>
      <sheetName val="[form-pm.xls]____________L_2396"/>
      <sheetName val="[form-pm.xls]____________L_2397"/>
      <sheetName val="[form-pm.xls]____________L_2398"/>
      <sheetName val="[form-pm.xls]____________L_2399"/>
      <sheetName val="[form-pm.xls][form-pm.xls]__429"/>
      <sheetName val="[form-pm.xls]____________L_2400"/>
      <sheetName val="[form-pm.xls]____________L_2401"/>
      <sheetName val="[form-pm.xls]____________L_2402"/>
      <sheetName val="[form-pm.xls][form-pm.xls]__432"/>
      <sheetName val="[form-pm.xls]____________L_2403"/>
      <sheetName val="[form-pm.xls]____________L_2404"/>
      <sheetName val="[form-pm.xls]____________L_2405"/>
      <sheetName val="[form-pm.xls]____________L_2406"/>
      <sheetName val="[form-pm.xls]____________L_2407"/>
      <sheetName val="[form-pm.xls]____________L_2416"/>
      <sheetName val="[form-pm.xls]____________L_2417"/>
      <sheetName val="[form-pm.xls]____________L_2418"/>
      <sheetName val="[form-pm.xls][form-pm.xls]__435"/>
      <sheetName val="[form-pm.xls]____________L_2419"/>
      <sheetName val="[form-pm.xls]____________L_2420"/>
      <sheetName val="[form-pm.xls]____________L_2421"/>
      <sheetName val="[form-pm.xls]____________L_2422"/>
      <sheetName val="[form-pm.xls]____________L_2423"/>
      <sheetName val="[form-pm.xls][form-pm.xls]__436"/>
      <sheetName val="[form-pm.xls]____________L_2424"/>
      <sheetName val="[form-pm.xls]____________L_2425"/>
      <sheetName val="[form-pm.xls]____________L_2426"/>
      <sheetName val="[form-pm.xls]____________L_2427"/>
      <sheetName val="[form-pm.xls]___________˜L___64"/>
      <sheetName val="[form-pm.xls]___________˜L___65"/>
      <sheetName val="[form-pm.xls]___________˜L_x_33"/>
      <sheetName val="[form-pm.xls]____________L_2428"/>
      <sheetName val="[form-pm.xls][form-pm.xls]__437"/>
      <sheetName val="[form-pm.xls]____________L_2429"/>
      <sheetName val="[form-pm.xls]____________L_2430"/>
      <sheetName val="[form-pm.xls]____________L_2431"/>
      <sheetName val="[form-pm.xls]____________L_2432"/>
      <sheetName val="[form-pm.xls]___________˜L___66"/>
      <sheetName val="[form-pm.xls]___________˜L___67"/>
      <sheetName val="[form-pm.xls]___________˜L_x_34"/>
      <sheetName val="[form-pm.xls]____________L_2433"/>
      <sheetName val="[form-pm.xls]____________L_2434"/>
      <sheetName val="[form-pm.xls]____________L_2435"/>
      <sheetName val="[form-pm.xls]____________L_2436"/>
      <sheetName val="[form-pm.xls]____________L_2437"/>
      <sheetName val="[form-pm.xls]____________L_2438"/>
      <sheetName val="[form-pm.xls]____________L_2439"/>
      <sheetName val="[form-pm.xls][form-pm.xls]__438"/>
      <sheetName val="[form-pm.xls]____________L_2440"/>
      <sheetName val="[form-pm.xls]____________L_2441"/>
      <sheetName val="[form-pm.xls]____________L_2442"/>
      <sheetName val="[form-pm.xls][form-pm.xls]__439"/>
      <sheetName val="[form-pm.xls]____________L_2443"/>
      <sheetName val="[form-pm.xls]____________L_2444"/>
      <sheetName val="[form-pm.xls]____________L_2445"/>
      <sheetName val="[form-pm.xls]____________L_2446"/>
      <sheetName val="[form-pm.xls]____________L_2447"/>
      <sheetName val="[form-pm.xls]____________L_2448"/>
      <sheetName val="[form-pm.xls]____________L_2449"/>
      <sheetName val="[form-pm.xls]____________L_2450"/>
      <sheetName val="[form-pm.xls][form-pm.xls]__441"/>
      <sheetName val="[form-pm.xls]____________L_2451"/>
      <sheetName val="[form-pm.xls]____________L_2452"/>
      <sheetName val="[form-pm.xls]____________L_2453"/>
      <sheetName val="[form-pm.xls]____________L_2454"/>
      <sheetName val="[form-pm.xls]____________L_2455"/>
      <sheetName val="[form-pm.xls]____________L_2464"/>
      <sheetName val="[form-pm.xls]____________L_2465"/>
      <sheetName val="[form-pm.xls]____________L_2466"/>
      <sheetName val="[form-pm.xls]____________L_2467"/>
      <sheetName val="[form-pm.xls]____________L_2468"/>
      <sheetName val="[form-pm.xls]____________L_2469"/>
      <sheetName val="[form-pm.xls]____________L_2470"/>
      <sheetName val="[form-pm.xls]____________L_2471"/>
      <sheetName val="[form-pm.xls][form-pm.xls]__440"/>
      <sheetName val="[form-pm.xls]____________L_2456"/>
      <sheetName val="[form-pm.xls]____________L_2457"/>
      <sheetName val="[form-pm.xls]____________L_2458"/>
      <sheetName val="[form-pm.xls]____________L_2459"/>
      <sheetName val="[form-pm.xls]____________L_2460"/>
      <sheetName val="[form-pm.xls]____________L_2461"/>
      <sheetName val="[form-pm.xls]____________L_2462"/>
      <sheetName val="[form-pm.xls]____________L_2463"/>
      <sheetName val="[form-pm.xls][form-pm.xls]__444"/>
      <sheetName val="[form-pm.xls]____________L_2488"/>
      <sheetName val="[form-pm.xls]____________L_2489"/>
      <sheetName val="[form-pm.xls]____________L_2490"/>
      <sheetName val="[form-pm.xls]____________L_2491"/>
      <sheetName val="[form-pm.xls]____________L_2492"/>
      <sheetName val="[form-pm.xls]____________L_2493"/>
      <sheetName val="[form-pm.xls]____________L_2494"/>
      <sheetName val="[form-pm.xls]____________L_2495"/>
      <sheetName val="[form-pm.xls][form-pm.xls]__442"/>
      <sheetName val="[form-pm.xls]____________L_2472"/>
      <sheetName val="[form-pm.xls]____________L_2473"/>
      <sheetName val="[form-pm.xls]____________L_2474"/>
      <sheetName val="[form-pm.xls][form-pm.xls]__443"/>
      <sheetName val="[form-pm.xls]____________L_2475"/>
      <sheetName val="[form-pm.xls]____________L_2476"/>
      <sheetName val="[form-pm.xls]____________L_2477"/>
      <sheetName val="[form-pm.xls]____________L_2478"/>
      <sheetName val="[form-pm.xls]____________L_2479"/>
      <sheetName val="[form-pm.xls]____________L_2480"/>
      <sheetName val="[form-pm.xls]____________L_2481"/>
      <sheetName val="[form-pm.xls]____________L_2482"/>
      <sheetName val="[form-pm.xls]____________L_2483"/>
      <sheetName val="[form-pm.xls]____________L_2484"/>
      <sheetName val="[form-pm.xls]____________L_2485"/>
      <sheetName val="[form-pm.xls]____________L_2486"/>
      <sheetName val="[form-pm.xls]____________L_2487"/>
      <sheetName val="[form-pm.xls]"/>
      <sheetName val="43. CENTRATAMA S"/>
      <sheetName val="[form-pm.xls][form-pm.xls]__526"/>
      <sheetName val="[form-pm.xls]____________L_2744"/>
      <sheetName val="[form-pm.xls]____________L_2745"/>
      <sheetName val="[form-pm.xls]____________L_2746"/>
      <sheetName val="[form-pm.xls]____________L_2747"/>
      <sheetName val="[form-pm.xls]____________L_2748"/>
      <sheetName val="[form-pm.xls]____________L_2749"/>
      <sheetName val="[form-pm.xls]____________L_2750"/>
      <sheetName val="[form-pm.xls]____________L_2751"/>
      <sheetName val="[form-pm.xls][form-pm.xls]__507"/>
      <sheetName val="[form-pm.xls]____________L_2648"/>
      <sheetName val="[form-pm.xls]____________L_2649"/>
      <sheetName val="[form-pm.xls]____________L_2650"/>
      <sheetName val="[form-pm.xls]____________L_2651"/>
      <sheetName val="[form-pm.xls]____________L_2652"/>
      <sheetName val="[form-pm.xls]____________L_2653"/>
      <sheetName val="[form-pm.xls]____________L_2654"/>
      <sheetName val="[form-pm.xls]____________L_2655"/>
      <sheetName val="[form-pm.xls][form-pm.xls]__485"/>
      <sheetName val="[form-pm.xls]____________L_2608"/>
      <sheetName val="[form-pm.xls]____________L_2609"/>
      <sheetName val="[form-pm.xls]____________L_2610"/>
      <sheetName val="[form-pm.xls][form-pm.xls]__486"/>
      <sheetName val="[form-pm.xls]____________L_2611"/>
      <sheetName val="[form-pm.xls]____________L_2612"/>
      <sheetName val="[form-pm.xls]____________L_2613"/>
      <sheetName val="[form-pm.xls]____________L_2614"/>
      <sheetName val="[form-pm.xls]____________L_2615"/>
      <sheetName val="[form-pm.xls][form-pm.xls]__474"/>
      <sheetName val="[form-pm.xls]____________L_2560"/>
      <sheetName val="[form-pm.xls]____________L_2561"/>
      <sheetName val="[form-pm.xls]____________L_2562"/>
      <sheetName val="[form-pm.xls][form-pm.xls]__476"/>
      <sheetName val="[form-pm.xls]____________L_2563"/>
      <sheetName val="[form-pm.xls]____________L_2564"/>
      <sheetName val="[form-pm.xls]____________L_2565"/>
      <sheetName val="[form-pm.xls]____________L_2566"/>
      <sheetName val="[form-pm.xls]____________L_2567"/>
      <sheetName val="[form-pm.xls][form-pm.xls]__469"/>
      <sheetName val="[form-pm.xls]____________L_2544"/>
      <sheetName val="[form-pm.xls]____________L_2545"/>
      <sheetName val="[form-pm.xls]____________L_2546"/>
      <sheetName val="[form-pm.xls][form-pm.xls]__471"/>
      <sheetName val="[form-pm.xls]____________L_2547"/>
      <sheetName val="[form-pm.xls]____________L_2548"/>
      <sheetName val="[form-pm.xls]____________L_2549"/>
      <sheetName val="[form-pm.xls]____________L_2550"/>
      <sheetName val="[form-pm.xls]____________L_2551"/>
      <sheetName val="[form-pm.xls][form-pm.xls]__451"/>
      <sheetName val="[form-pm.xls][form-pm.xls]__449"/>
      <sheetName val="[form-pm.xls][form-pm.xls]__450"/>
      <sheetName val="[form-pm.xls][form-pm.xls]__447"/>
      <sheetName val="[form-pm.xls][form-pm.xls]__448"/>
      <sheetName val="[form-pm.xls][form-pm.xls]__452"/>
      <sheetName val="[form-pm.xls][form-pm.xls]__454"/>
      <sheetName val="[form-pm.xls][form-pm.xls]__453"/>
      <sheetName val="[form-pm.xls][form-pm.xls]__455"/>
      <sheetName val="[form-pm.xls][form-pm.xls]__456"/>
      <sheetName val="[form-pm.xls][form-pm.xls]__459"/>
      <sheetName val="[form-pm.xls][form-pm.xls]__458"/>
      <sheetName val="[form-pm.xls][form-pm.xls]__457"/>
      <sheetName val="[form-pm.xls][form-pm.xls]__463"/>
      <sheetName val="[form-pm.xls][form-pm.xls]__460"/>
      <sheetName val="[form-pm.xls]____________L_2504"/>
      <sheetName val="[form-pm.xls]____________L_2505"/>
      <sheetName val="[form-pm.xls]____________L_2506"/>
      <sheetName val="[form-pm.xls][form-pm.xls]__461"/>
      <sheetName val="[form-pm.xls]____________L_2507"/>
      <sheetName val="[form-pm.xls]____________L_2508"/>
      <sheetName val="[form-pm.xls]____________L_2509"/>
      <sheetName val="[form-pm.xls]____________L_2510"/>
      <sheetName val="[form-pm.xls]____________L_2511"/>
      <sheetName val="[form-pm.xls]____________L_2512"/>
      <sheetName val="[form-pm.xls]____________L_2513"/>
      <sheetName val="[form-pm.xls]____________L_2514"/>
      <sheetName val="[form-pm.xls][form-pm.xls]__462"/>
      <sheetName val="[form-pm.xls]____________L_2515"/>
      <sheetName val="[form-pm.xls]____________L_2516"/>
      <sheetName val="[form-pm.xls]____________L_2517"/>
      <sheetName val="[form-pm.xls]____________L_2518"/>
      <sheetName val="[form-pm.xls]____________L_2519"/>
      <sheetName val="[form-pm.xls][form-pm.xls]__464"/>
      <sheetName val="[form-pm.xls][form-pm.xls]__465"/>
      <sheetName val="[form-pm.xls]____________L_2520"/>
      <sheetName val="[form-pm.xls]____________L_2521"/>
      <sheetName val="[form-pm.xls]____________L_2522"/>
      <sheetName val="[form-pm.xls][form-pm.xls]__466"/>
      <sheetName val="[form-pm.xls]____________L_2523"/>
      <sheetName val="[form-pm.xls]____________L_2524"/>
      <sheetName val="[form-pm.xls]____________L_2525"/>
      <sheetName val="[form-pm.xls]____________L_2526"/>
      <sheetName val="[form-pm.xls]____________L_2527"/>
      <sheetName val="[form-pm.xls]____________L_2528"/>
      <sheetName val="[form-pm.xls]____________L_2529"/>
      <sheetName val="[form-pm.xls]____________L_2530"/>
      <sheetName val="[form-pm.xls][form-pm.xls]__467"/>
      <sheetName val="[form-pm.xls]____________L_2531"/>
      <sheetName val="[form-pm.xls]____________L_2532"/>
      <sheetName val="[form-pm.xls]____________L_2533"/>
      <sheetName val="[form-pm.xls]____________L_2534"/>
      <sheetName val="[form-pm.xls]____________L_2535"/>
      <sheetName val="[form-pm.xls]____________L_2536"/>
      <sheetName val="[form-pm.xls]____________L_2537"/>
      <sheetName val="[form-pm.xls]____________L_2538"/>
      <sheetName val="[form-pm.xls][form-pm.xls]__468"/>
      <sheetName val="[form-pm.xls]____________L_2539"/>
      <sheetName val="[form-pm.xls]____________L_2540"/>
      <sheetName val="[form-pm.xls]____________L_2541"/>
      <sheetName val="[form-pm.xls]____________L_2542"/>
      <sheetName val="[form-pm.xls]____________L_2543"/>
      <sheetName val="[form-pm.xls][form-pm.xls]__470"/>
      <sheetName val="[form-pm.xls][form-pm.xls]__472"/>
      <sheetName val="[form-pm.xls][form-pm.xls]__473"/>
      <sheetName val="[form-pm.xls]____________L_2552"/>
      <sheetName val="[form-pm.xls]____________L_2553"/>
      <sheetName val="[form-pm.xls]____________L_2554"/>
      <sheetName val="[form-pm.xls]____________L_2555"/>
      <sheetName val="[form-pm.xls]____________L_2556"/>
      <sheetName val="[form-pm.xls]____________L_2557"/>
      <sheetName val="[form-pm.xls]____________L_2558"/>
      <sheetName val="[form-pm.xls]____________L_2559"/>
      <sheetName val="[form-pm.xls][form-pm.xls]__475"/>
      <sheetName val="[form-pm.xls]____________L_2568"/>
      <sheetName val="[form-pm.xls]____________L_2569"/>
      <sheetName val="[form-pm.xls]____________L_2570"/>
      <sheetName val="[form-pm.xls]____________L_2571"/>
      <sheetName val="[form-pm.xls]____________L_2572"/>
      <sheetName val="[form-pm.xls]____________L_2573"/>
      <sheetName val="[form-pm.xls]____________L_2574"/>
      <sheetName val="[form-pm.xls]____________L_2575"/>
      <sheetName val="[form-pm.xls][form-pm.xls]__477"/>
      <sheetName val="[form-pm.xls][form-pm.xls]__478"/>
      <sheetName val="[form-pm.xls][form-pm.xls]__479"/>
      <sheetName val="[form-pm.xls]____________L_2576"/>
      <sheetName val="[form-pm.xls]____________L_2577"/>
      <sheetName val="[form-pm.xls]____________L_2578"/>
      <sheetName val="[form-pm.xls][form-pm.xls]__480"/>
      <sheetName val="[form-pm.xls]____________L_2579"/>
      <sheetName val="[form-pm.xls]____________L_2580"/>
      <sheetName val="[form-pm.xls]____________L_2581"/>
      <sheetName val="[form-pm.xls]____________L_2582"/>
      <sheetName val="[form-pm.xls]____________L_2583"/>
      <sheetName val="[form-pm.xls][form-pm.xls]__481"/>
      <sheetName val="[form-pm.xls]____________L_2584"/>
      <sheetName val="[form-pm.xls]____________L_2585"/>
      <sheetName val="[form-pm.xls]____________L_2586"/>
      <sheetName val="[form-pm.xls]____________L_2587"/>
      <sheetName val="[form-pm.xls]____________L_2588"/>
      <sheetName val="[form-pm.xls]____________L_2589"/>
      <sheetName val="[form-pm.xls]____________L_2590"/>
      <sheetName val="[form-pm.xls]____________L_2591"/>
      <sheetName val="[form-pm.xls][form-pm.xls]__482"/>
      <sheetName val="[form-pm.xls][form-pm.xls]__483"/>
      <sheetName val="[form-pm.xls]____________L_2592"/>
      <sheetName val="[form-pm.xls]____________L_2593"/>
      <sheetName val="[form-pm.xls]____________L_2594"/>
      <sheetName val="[form-pm.xls]____________L_2595"/>
      <sheetName val="[form-pm.xls]____________L_2596"/>
      <sheetName val="[form-pm.xls]____________L_2597"/>
      <sheetName val="[form-pm.xls]____________L_2598"/>
      <sheetName val="[form-pm.xls]____________L_2599"/>
      <sheetName val="[form-pm.xls][form-pm.xls]__484"/>
      <sheetName val="[form-pm.xls]____________L_2600"/>
      <sheetName val="[form-pm.xls]____________L_2601"/>
      <sheetName val="[form-pm.xls]____________L_2602"/>
      <sheetName val="[form-pm.xls]____________L_2603"/>
      <sheetName val="[form-pm.xls]____________L_2604"/>
      <sheetName val="[form-pm.xls]____________L_2605"/>
      <sheetName val="[form-pm.xls]____________L_2606"/>
      <sheetName val="[form-pm.xls]____________L_2607"/>
      <sheetName val="[form-pm.xls][form-pm.xls]__487"/>
      <sheetName val="[form-pm.xls][form-pm.xls]__488"/>
      <sheetName val="[form-pm.xls]____________L_2616"/>
      <sheetName val="[form-pm.xls]____________L_2617"/>
      <sheetName val="[form-pm.xls]____________L_2618"/>
      <sheetName val="[form-pm.xls][form-pm.xls]__489"/>
      <sheetName val="[form-pm.xls]____________L_2619"/>
      <sheetName val="[form-pm.xls]____________L_2620"/>
      <sheetName val="[form-pm.xls]____________L_2621"/>
      <sheetName val="[form-pm.xls]____________L_2622"/>
      <sheetName val="[form-pm.xls]____________L_2623"/>
      <sheetName val="[form-pm.xls][form-pm.xls]__490"/>
      <sheetName val="[form-pm.xls][form-pm.xls]__491"/>
      <sheetName val="[form-pm.xls][form-pm.xls]__494"/>
      <sheetName val="[form-pm.xls]____________L_2632"/>
      <sheetName val="[form-pm.xls]____________L_2633"/>
      <sheetName val="[form-pm.xls]____________L_2634"/>
      <sheetName val="[form-pm.xls][form-pm.xls]__496"/>
      <sheetName val="[form-pm.xls]____________L_2635"/>
      <sheetName val="[form-pm.xls]____________L_2636"/>
      <sheetName val="[form-pm.xls]____________L_2637"/>
      <sheetName val="[form-pm.xls]____________L_2638"/>
      <sheetName val="[form-pm.xls]____________L_2639"/>
      <sheetName val="[form-pm.xls][form-pm.xls]__492"/>
      <sheetName val="[form-pm.xls]____________L_2624"/>
      <sheetName val="[form-pm.xls]____________L_2625"/>
      <sheetName val="[form-pm.xls]____________L_2626"/>
      <sheetName val="[form-pm.xls][form-pm.xls]__493"/>
      <sheetName val="[form-pm.xls]____________L_2627"/>
      <sheetName val="[form-pm.xls]____________L_2628"/>
      <sheetName val="[form-pm.xls]____________L_2629"/>
      <sheetName val="[form-pm.xls]____________L_2630"/>
      <sheetName val="[form-pm.xls]____________L_2631"/>
      <sheetName val="[form-pm.xls][form-pm.xls]__495"/>
      <sheetName val="[form-pm.xls][form-pm.xls]__498"/>
      <sheetName val="[form-pm.xls][form-pm.xls]__497"/>
      <sheetName val="[form-pm.xls][form-pm.xls]__499"/>
      <sheetName val="[form-pm.xls][form-pm.xls]__500"/>
      <sheetName val="[form-pm.xls][form-pm.xls]__502"/>
      <sheetName val="[form-pm.xls][form-pm.xls]__501"/>
      <sheetName val="[form-pm.xls][form-pm.xls]__503"/>
      <sheetName val="[form-pm.xls][form-pm.xls]__504"/>
      <sheetName val="[form-pm.xls][form-pm.xls]__505"/>
      <sheetName val="[form-pm.xls]____________L_2640"/>
      <sheetName val="[form-pm.xls]____________L_2641"/>
      <sheetName val="[form-pm.xls]____________L_2642"/>
      <sheetName val="[form-pm.xls][form-pm.xls]__506"/>
      <sheetName val="[form-pm.xls]____________L_2643"/>
      <sheetName val="[form-pm.xls]____________L_2644"/>
      <sheetName val="[form-pm.xls]____________L_2645"/>
      <sheetName val="[form-pm.xls]____________L_2646"/>
      <sheetName val="[form-pm.xls]____________L_2647"/>
      <sheetName val="[form-pm.xls][form-pm.xls]__508"/>
      <sheetName val="[form-pm.xls][form-pm.xls]__509"/>
      <sheetName val="[form-pm.xls]____________L_2664"/>
      <sheetName val="[form-pm.xls]____________L_2665"/>
      <sheetName val="[form-pm.xls]____________L_2666"/>
      <sheetName val="[form-pm.xls][form-pm.xls]__510"/>
      <sheetName val="[form-pm.xls]____________L_2667"/>
      <sheetName val="[form-pm.xls]____________L_2668"/>
      <sheetName val="[form-pm.xls]____________L_2669"/>
      <sheetName val="[form-pm.xls]____________L_2670"/>
      <sheetName val="[form-pm.xls]____________L_2671"/>
      <sheetName val="[form-pm.xls]____________L_2656"/>
      <sheetName val="[form-pm.xls]____________L_2657"/>
      <sheetName val="[form-pm.xls]____________L_2658"/>
      <sheetName val="[form-pm.xls]____________L_2659"/>
      <sheetName val="[form-pm.xls]____________L_2660"/>
      <sheetName val="[form-pm.xls]____________L_2661"/>
      <sheetName val="[form-pm.xls]____________L_2662"/>
      <sheetName val="[form-pm.xls]____________L_2663"/>
      <sheetName val="[form-pm.xls]____________L_2672"/>
      <sheetName val="[form-pm.xls]____________L_2673"/>
      <sheetName val="[form-pm.xls]____________L_2674"/>
      <sheetName val="[form-pm.xls][form-pm.xls]__511"/>
      <sheetName val="[form-pm.xls]____________L_2675"/>
      <sheetName val="[form-pm.xls]____________L_2676"/>
      <sheetName val="[form-pm.xls]____________L_2677"/>
      <sheetName val="[form-pm.xls]____________L_2678"/>
      <sheetName val="[form-pm.xls]____________L_2679"/>
      <sheetName val="[form-pm.xls][form-pm.xls]__512"/>
      <sheetName val="[form-pm.xls]____________L_2680"/>
      <sheetName val="[form-pm.xls]____________L_2681"/>
      <sheetName val="[form-pm.xls]____________L_2682"/>
      <sheetName val="[form-pm.xls][form-pm.xls]__513"/>
      <sheetName val="[form-pm.xls]____________L_2683"/>
      <sheetName val="[form-pm.xls]____________L_2684"/>
      <sheetName val="[form-pm.xls]____________L_2685"/>
      <sheetName val="[form-pm.xls]____________L_2686"/>
      <sheetName val="[form-pm.xls]____________L_2687"/>
      <sheetName val="[form-pm.xls][form-pm.xls]__514"/>
      <sheetName val="[form-pm.xls]____________L_2688"/>
      <sheetName val="[form-pm.xls]____________L_2689"/>
      <sheetName val="[form-pm.xls]____________L_2690"/>
      <sheetName val="[form-pm.xls]____________L_2691"/>
      <sheetName val="[form-pm.xls]____________L_2692"/>
      <sheetName val="[form-pm.xls]____________L_2693"/>
      <sheetName val="[form-pm.xls]____________L_2694"/>
      <sheetName val="[form-pm.xls]____________L_2695"/>
      <sheetName val="[form-pm.xls][form-pm.xls]__515"/>
      <sheetName val="[form-pm.xls][form-pm.xls]__518"/>
      <sheetName val="[form-pm.xls]____________L_2712"/>
      <sheetName val="[form-pm.xls]____________L_2713"/>
      <sheetName val="[form-pm.xls]____________L_2714"/>
      <sheetName val="[form-pm.xls]____________L_2715"/>
      <sheetName val="[form-pm.xls]____________L_2716"/>
      <sheetName val="[form-pm.xls]____________L_2717"/>
      <sheetName val="[form-pm.xls]____________L_2718"/>
      <sheetName val="[form-pm.xls]____________L_2719"/>
      <sheetName val="[form-pm.xls][form-pm.xls]__516"/>
      <sheetName val="[form-pm.xls]____________L_2696"/>
      <sheetName val="[form-pm.xls]____________L_2697"/>
      <sheetName val="[form-pm.xls]____________L_2698"/>
      <sheetName val="[form-pm.xls]____________L_2699"/>
      <sheetName val="[form-pm.xls]____________L_2700"/>
      <sheetName val="[form-pm.xls]____________L_2701"/>
      <sheetName val="[form-pm.xls]____________L_2702"/>
      <sheetName val="[form-pm.xls]____________L_2703"/>
      <sheetName val="[form-pm.xls][form-pm.xls]__517"/>
      <sheetName val="[form-pm.xls]____________L_2704"/>
      <sheetName val="[form-pm.xls]____________L_2705"/>
      <sheetName val="[form-pm.xls]____________L_2706"/>
      <sheetName val="[form-pm.xls]____________L_2707"/>
      <sheetName val="[form-pm.xls]____________L_2708"/>
      <sheetName val="[form-pm.xls]____________L_2709"/>
      <sheetName val="[form-pm.xls]____________L_2710"/>
      <sheetName val="[form-pm.xls]____________L_2711"/>
      <sheetName val="[form-pm.xls][form-pm.xls]__520"/>
      <sheetName val="[form-pm.xls][form-pm.xls]__519"/>
      <sheetName val="[form-pm.xls]____________L_2720"/>
      <sheetName val="[form-pm.xls]____________L_2721"/>
      <sheetName val="[form-pm.xls]____________L_2722"/>
      <sheetName val="[form-pm.xls][form-pm.xls]__521"/>
      <sheetName val="[form-pm.xls]____________L_2723"/>
      <sheetName val="[form-pm.xls]____________L_2724"/>
      <sheetName val="[form-pm.xls]____________L_2725"/>
      <sheetName val="[form-pm.xls]____________L_2726"/>
      <sheetName val="[form-pm.xls]____________L_2727"/>
      <sheetName val="[form-pm.xls][form-pm.xls]__522"/>
      <sheetName val="[form-pm.xls]____________L_2728"/>
      <sheetName val="[form-pm.xls]____________L_2729"/>
      <sheetName val="[form-pm.xls]____________L_2730"/>
      <sheetName val="[form-pm.xls][form-pm.xls]__524"/>
      <sheetName val="[form-pm.xls]____________L_2731"/>
      <sheetName val="[form-pm.xls]____________L_2732"/>
      <sheetName val="[form-pm.xls]____________L_2733"/>
      <sheetName val="[form-pm.xls]____________L_2734"/>
      <sheetName val="[form-pm.xls]____________L_2735"/>
      <sheetName val="[form-pm.xls][form-pm.xls]__523"/>
      <sheetName val="[form-pm.xls][form-pm.xls]__525"/>
      <sheetName val="[form-pm.xls]____________L_2736"/>
      <sheetName val="[form-pm.xls]____________L_2737"/>
      <sheetName val="[form-pm.xls]____________L_2738"/>
      <sheetName val="[form-pm.xls]____________L_2739"/>
      <sheetName val="[form-pm.xls]____________L_2740"/>
      <sheetName val="[form-pm.xls]____________L_2741"/>
      <sheetName val="[form-pm.xls]____________L_2742"/>
      <sheetName val="[form-pm.xls]____________L_2743"/>
      <sheetName val="[form-pm.xls][form-pm.xls]__606"/>
      <sheetName val="[form-pm.xls]____________L_3224"/>
      <sheetName val="[form-pm.xls]____________L_3225"/>
      <sheetName val="[form-pm.xls]____________L_3226"/>
      <sheetName val="[form-pm.xls][form-pm.xls]__607"/>
      <sheetName val="[form-pm.xls]____________L_3227"/>
      <sheetName val="[form-pm.xls]____________L_3228"/>
      <sheetName val="[form-pm.xls]____________L_3229"/>
      <sheetName val="[form-pm.xls]____________L_3230"/>
      <sheetName val="[form-pm.xls]____________L_3231"/>
      <sheetName val="[form-pm.xls]____________L_2752"/>
      <sheetName val="[form-pm.xls]____________L_2753"/>
      <sheetName val="[form-pm.xls]____________L_2754"/>
      <sheetName val="[form-pm.xls]____________L_2755"/>
      <sheetName val="[form-pm.xls]____________L_2756"/>
      <sheetName val="[form-pm.xls]____________L_2757"/>
      <sheetName val="[form-pm.xls]____________L_2758"/>
      <sheetName val="[form-pm.xls]____________L_2759"/>
      <sheetName val="[form-pm.xls]____________L_2760"/>
      <sheetName val="[form-pm.xls]____________L_2761"/>
      <sheetName val="[form-pm.xls]____________L_2762"/>
      <sheetName val="[form-pm.xls]____________L_2763"/>
      <sheetName val="[form-pm.xls]____________L_2764"/>
      <sheetName val="[form-pm.xls]____________L_2765"/>
      <sheetName val="[form-pm.xls]____________L_2766"/>
      <sheetName val="[form-pm.xls]____________L_2767"/>
      <sheetName val="[form-pm.xls]____________L_2768"/>
      <sheetName val="[form-pm.xls]____________L_2769"/>
      <sheetName val="[form-pm.xls]____________L_2770"/>
      <sheetName val="[form-pm.xls]____________L_2771"/>
      <sheetName val="[form-pm.xls]____________L_2772"/>
      <sheetName val="[form-pm.xls]____________L_2773"/>
      <sheetName val="[form-pm.xls]____________L_2774"/>
      <sheetName val="[form-pm.xls]____________L_2775"/>
      <sheetName val="[form-pm.xls]____________L_2776"/>
      <sheetName val="[form-pm.xls]____________L_2777"/>
      <sheetName val="[form-pm.xls]____________L_2778"/>
      <sheetName val="[form-pm.xls]____________L_2779"/>
      <sheetName val="[form-pm.xls]____________L_2780"/>
      <sheetName val="[form-pm.xls]____________L_2781"/>
      <sheetName val="[form-pm.xls]____________L_2782"/>
      <sheetName val="[form-pm.xls]____________L_2783"/>
      <sheetName val="[form-pm.xls]____________L_2784"/>
      <sheetName val="[form-pm.xls]____________L_2785"/>
      <sheetName val="[form-pm.xls]____________L_2786"/>
      <sheetName val="[form-pm.xls]____________L_2787"/>
      <sheetName val="[form-pm.xls]____________L_2788"/>
      <sheetName val="[form-pm.xls]____________L_2789"/>
      <sheetName val="[form-pm.xls]____________L_2790"/>
      <sheetName val="[form-pm.xls]____________L_2791"/>
      <sheetName val="[form-pm.xls]____________L_2792"/>
      <sheetName val="[form-pm.xls]____________L_2793"/>
      <sheetName val="[form-pm.xls]____________L_2794"/>
      <sheetName val="[form-pm.xls]____________L_2795"/>
      <sheetName val="[form-pm.xls]____________L_2796"/>
      <sheetName val="[form-pm.xls]____________L_2797"/>
      <sheetName val="[form-pm.xls]____________L_2798"/>
      <sheetName val="[form-pm.xls]____________L_2799"/>
      <sheetName val="[form-pm.xls]____________L_2800"/>
      <sheetName val="[form-pm.xls]____________L_2801"/>
      <sheetName val="[form-pm.xls]____________L_2802"/>
      <sheetName val="[form-pm.xls]____________L_2803"/>
      <sheetName val="[form-pm.xls]____________L_2804"/>
      <sheetName val="[form-pm.xls]____________L_2805"/>
      <sheetName val="[form-pm.xls]____________L_2806"/>
      <sheetName val="[form-pm.xls]____________L_2807"/>
      <sheetName val="[form-pm.xls][form-pm.xls]__546"/>
      <sheetName val="[form-pm.xls]____________L_2992"/>
      <sheetName val="[form-pm.xls]____________L_2993"/>
      <sheetName val="[form-pm.xls]____________L_2994"/>
      <sheetName val="[form-pm.xls][form-pm.xls]__547"/>
      <sheetName val="[form-pm.xls]____________L_2995"/>
      <sheetName val="[form-pm.xls]____________L_2996"/>
      <sheetName val="[form-pm.xls]____________L_2997"/>
      <sheetName val="[form-pm.xls]____________L_2998"/>
      <sheetName val="[form-pm.xls]____________L_2999"/>
      <sheetName val="[form-pm.xls]____________L_2824"/>
      <sheetName val="[form-pm.xls]____________L_2825"/>
      <sheetName val="[form-pm.xls]____________L_2826"/>
      <sheetName val="[form-pm.xls]____________L_2827"/>
      <sheetName val="[form-pm.xls]____________L_2828"/>
      <sheetName val="[form-pm.xls]____________L_2829"/>
      <sheetName val="[form-pm.xls]____________L_2830"/>
      <sheetName val="[form-pm.xls]____________L_2831"/>
      <sheetName val="[form-pm.xls]____________L_2808"/>
      <sheetName val="[form-pm.xls]____________L_2809"/>
      <sheetName val="[form-pm.xls]____________L_2810"/>
      <sheetName val="[form-pm.xls]____________L_2811"/>
      <sheetName val="[form-pm.xls]____________L_2812"/>
      <sheetName val="[form-pm.xls]____________L_2813"/>
      <sheetName val="[form-pm.xls]____________L_2814"/>
      <sheetName val="[form-pm.xls]____________L_2815"/>
      <sheetName val="[form-pm.xls]____________L_2816"/>
      <sheetName val="[form-pm.xls]____________L_2817"/>
      <sheetName val="[form-pm.xls]____________L_2818"/>
      <sheetName val="[form-pm.xls]____________L_2819"/>
      <sheetName val="[form-pm.xls]____________L_2820"/>
      <sheetName val="[form-pm.xls]____________L_2821"/>
      <sheetName val="[form-pm.xls]____________L_2822"/>
      <sheetName val="[form-pm.xls]____________L_2823"/>
      <sheetName val="[form-pm.xls]____________L_2832"/>
      <sheetName val="[form-pm.xls]____________L_2833"/>
      <sheetName val="[form-pm.xls]____________L_2834"/>
      <sheetName val="[form-pm.xls]____________L_2835"/>
      <sheetName val="[form-pm.xls]____________L_2836"/>
      <sheetName val="[form-pm.xls]____________L_2837"/>
      <sheetName val="[form-pm.xls]____________L_2838"/>
      <sheetName val="[form-pm.xls]____________L_2839"/>
      <sheetName val="[form-pm.xls]____________L_2848"/>
      <sheetName val="[form-pm.xls]____________L_2849"/>
      <sheetName val="[form-pm.xls]____________L_2850"/>
      <sheetName val="[form-pm.xls]____________L_2851"/>
      <sheetName val="[form-pm.xls]____________L_2852"/>
      <sheetName val="[form-pm.xls]____________L_2853"/>
      <sheetName val="[form-pm.xls]____________L_2854"/>
      <sheetName val="[form-pm.xls]____________L_2855"/>
      <sheetName val="[form-pm.xls]____________L_2840"/>
      <sheetName val="[form-pm.xls]____________L_2841"/>
      <sheetName val="[form-pm.xls]____________L_2842"/>
      <sheetName val="[form-pm.xls]____________L_2843"/>
      <sheetName val="[form-pm.xls]____________L_2844"/>
      <sheetName val="[form-pm.xls]____________L_2845"/>
      <sheetName val="[form-pm.xls]____________L_2846"/>
      <sheetName val="[form-pm.xls]____________L_2847"/>
      <sheetName val="[form-pm.xls]____________L_2864"/>
      <sheetName val="[form-pm.xls]____________L_2865"/>
      <sheetName val="[form-pm.xls]____________L_2866"/>
      <sheetName val="[form-pm.xls]____________L_2867"/>
      <sheetName val="[form-pm.xls]____________L_2868"/>
      <sheetName val="[form-pm.xls]____________L_2869"/>
      <sheetName val="[form-pm.xls]____________L_2870"/>
      <sheetName val="[form-pm.xls]____________L_2871"/>
      <sheetName val="[form-pm.xls]____________L_2856"/>
      <sheetName val="[form-pm.xls]____________L_2857"/>
      <sheetName val="[form-pm.xls]____________L_2858"/>
      <sheetName val="[form-pm.xls]____________L_2859"/>
      <sheetName val="[form-pm.xls]____________L_2860"/>
      <sheetName val="[form-pm.xls]____________L_2861"/>
      <sheetName val="[form-pm.xls]____________L_2862"/>
      <sheetName val="[form-pm.xls]____________L_2863"/>
      <sheetName val="[form-pm.xls][form-pm.xls]__528"/>
      <sheetName val="[form-pm.xls]____________L_2904"/>
      <sheetName val="[form-pm.xls]____________L_2905"/>
      <sheetName val="[form-pm.xls]____________L_2906"/>
      <sheetName val="[form-pm.xls][form-pm.xls]__529"/>
      <sheetName val="[form-pm.xls]____________L_2907"/>
      <sheetName val="[form-pm.xls]____________L_2908"/>
      <sheetName val="[form-pm.xls]____________L_2909"/>
      <sheetName val="[form-pm.xls]____________L_2910"/>
      <sheetName val="[form-pm.xls]____________L_2911"/>
      <sheetName val="[form-pm.xls]____________L_2872"/>
      <sheetName val="[form-pm.xls]____________L_2873"/>
      <sheetName val="[form-pm.xls]____________L_2874"/>
      <sheetName val="[form-pm.xls]____________L_2875"/>
      <sheetName val="[form-pm.xls]____________L_2876"/>
      <sheetName val="[form-pm.xls]____________L_2877"/>
      <sheetName val="[form-pm.xls]____________L_2878"/>
      <sheetName val="[form-pm.xls]____________L_2879"/>
      <sheetName val="[form-pm.xls]____________L_2880"/>
      <sheetName val="[form-pm.xls]____________L_2881"/>
      <sheetName val="[form-pm.xls]____________L_2882"/>
      <sheetName val="[form-pm.xls]____________L_2883"/>
      <sheetName val="[form-pm.xls]____________L_2884"/>
      <sheetName val="[form-pm.xls]____________L_2885"/>
      <sheetName val="[form-pm.xls]____________L_2886"/>
      <sheetName val="[form-pm.xls]____________L_2887"/>
      <sheetName val="[form-pm.xls]____________L_2888"/>
      <sheetName val="[form-pm.xls]____________L_2889"/>
      <sheetName val="[form-pm.xls]____________L_2890"/>
      <sheetName val="[form-pm.xls]____________L_2891"/>
      <sheetName val="[form-pm.xls]____________L_2892"/>
      <sheetName val="[form-pm.xls]____________L_2893"/>
      <sheetName val="[form-pm.xls]____________L_2894"/>
      <sheetName val="[form-pm.xls]____________L_2895"/>
      <sheetName val="[form-pm.xls][form-pm.xls]__527"/>
      <sheetName val="[form-pm.xls]____________L_2896"/>
      <sheetName val="[form-pm.xls]____________L_2897"/>
      <sheetName val="[form-pm.xls]____________L_2898"/>
      <sheetName val="[form-pm.xls]____________L_2899"/>
      <sheetName val="[form-pm.xls]____________L_2900"/>
      <sheetName val="[form-pm.xls]____________L_2901"/>
      <sheetName val="[form-pm.xls]____________L_2902"/>
      <sheetName val="[form-pm.xls]____________L_2903"/>
      <sheetName val="[form-pm.xls]____________L_2912"/>
      <sheetName val="[form-pm.xls]____________L_2913"/>
      <sheetName val="[form-pm.xls]____________L_2914"/>
      <sheetName val="[form-pm.xls][form-pm.xls]__531"/>
      <sheetName val="[form-pm.xls]____________L_2915"/>
      <sheetName val="[form-pm.xls]____________L_2916"/>
      <sheetName val="[form-pm.xls]____________L_2917"/>
      <sheetName val="[form-pm.xls]____________L_2918"/>
      <sheetName val="[form-pm.xls]____________L_2919"/>
      <sheetName val="[form-pm.xls]____________L_2928"/>
      <sheetName val="[form-pm.xls]____________L_2929"/>
      <sheetName val="[form-pm.xls]____________L_2930"/>
      <sheetName val="[form-pm.xls][form-pm.xls]__532"/>
      <sheetName val="[form-pm.xls]____________L_2931"/>
      <sheetName val="[form-pm.xls]____________L_2932"/>
      <sheetName val="[form-pm.xls]____________L_2933"/>
      <sheetName val="[form-pm.xls]____________L_2934"/>
      <sheetName val="[form-pm.xls]____________L_2935"/>
      <sheetName val="[form-pm.xls][form-pm.xls]__530"/>
      <sheetName val="[form-pm.xls]____________L_2920"/>
      <sheetName val="[form-pm.xls]____________L_2921"/>
      <sheetName val="[form-pm.xls]____________L_2922"/>
      <sheetName val="[form-pm.xls]____________L_2923"/>
      <sheetName val="[form-pm.xls]____________L_2924"/>
      <sheetName val="[form-pm.xls]____________L_2925"/>
      <sheetName val="[form-pm.xls]____________L_2926"/>
      <sheetName val="[form-pm.xls]____________L_2927"/>
      <sheetName val="[form-pm.xls][form-pm.xls]__533"/>
      <sheetName val="[form-pm.xls]____________L_2936"/>
      <sheetName val="[form-pm.xls]____________L_2937"/>
      <sheetName val="[form-pm.xls]____________L_2938"/>
      <sheetName val="[form-pm.xls][form-pm.xls]__534"/>
      <sheetName val="[form-pm.xls]____________L_2939"/>
      <sheetName val="[form-pm.xls]____________L_2940"/>
      <sheetName val="[form-pm.xls]____________L_2941"/>
      <sheetName val="[form-pm.xls]____________L_2942"/>
      <sheetName val="[form-pm.xls]____________L_2943"/>
      <sheetName val="[form-pm.xls]____________L_2944"/>
      <sheetName val="[form-pm.xls]____________L_2945"/>
      <sheetName val="[form-pm.xls]____________L_2946"/>
      <sheetName val="[form-pm.xls][form-pm.xls]__535"/>
      <sheetName val="[form-pm.xls]____________L_2947"/>
      <sheetName val="[form-pm.xls]____________L_2948"/>
      <sheetName val="[form-pm.xls]____________L_2949"/>
      <sheetName val="[form-pm.xls]____________L_2950"/>
      <sheetName val="[form-pm.xls]____________L_2951"/>
      <sheetName val="[form-pm.xls][form-pm.xls]__538"/>
      <sheetName val="[form-pm.xls]____________L_2960"/>
      <sheetName val="[form-pm.xls]____________L_2961"/>
      <sheetName val="[form-pm.xls]____________L_2962"/>
      <sheetName val="[form-pm.xls][form-pm.xls]__539"/>
      <sheetName val="[form-pm.xls]____________L_2963"/>
      <sheetName val="[form-pm.xls]____________L_2964"/>
      <sheetName val="[form-pm.xls]____________L_2965"/>
      <sheetName val="[form-pm.xls]____________L_2966"/>
      <sheetName val="[form-pm.xls]____________L_2967"/>
      <sheetName val="[form-pm.xls][form-pm.xls]__536"/>
      <sheetName val="[form-pm.xls]____________L_2952"/>
      <sheetName val="[form-pm.xls]____________L_2953"/>
      <sheetName val="[form-pm.xls]____________L_2954"/>
      <sheetName val="[form-pm.xls][form-pm.xls]__537"/>
      <sheetName val="[form-pm.xls]____________L_2955"/>
      <sheetName val="[form-pm.xls]____________L_2956"/>
      <sheetName val="[form-pm.xls]____________L_2957"/>
      <sheetName val="[form-pm.xls]____________L_2958"/>
      <sheetName val="[form-pm.xls]____________L_2959"/>
      <sheetName val="[form-pm.xls][form-pm.xls]__541"/>
      <sheetName val="[form-pm.xls]____________L_2976"/>
      <sheetName val="[form-pm.xls]____________L_2977"/>
      <sheetName val="[form-pm.xls]____________L_2978"/>
      <sheetName val="[form-pm.xls][form-pm.xls]__542"/>
      <sheetName val="[form-pm.xls]____________L_2979"/>
      <sheetName val="[form-pm.xls]____________L_2980"/>
      <sheetName val="[form-pm.xls]____________L_2981"/>
      <sheetName val="[form-pm.xls]____________L_2982"/>
      <sheetName val="[form-pm.xls]____________L_2983"/>
      <sheetName val="[form-pm.xls][form-pm.xls]__540"/>
      <sheetName val="[form-pm.xls]____________L_2968"/>
      <sheetName val="[form-pm.xls]____________L_2969"/>
      <sheetName val="[form-pm.xls]____________L_2970"/>
      <sheetName val="[form-pm.xls]____________L_2971"/>
      <sheetName val="[form-pm.xls]____________L_2972"/>
      <sheetName val="[form-pm.xls]____________L_2973"/>
      <sheetName val="[form-pm.xls]____________L_2974"/>
      <sheetName val="[form-pm.xls]____________L_2975"/>
      <sheetName val="[form-pm.xls][form-pm.xls]__543"/>
      <sheetName val="[form-pm.xls]____________L_2984"/>
      <sheetName val="[form-pm.xls]____________L_2985"/>
      <sheetName val="[form-pm.xls]____________L_2986"/>
      <sheetName val="[form-pm.xls][form-pm.xls]__544"/>
      <sheetName val="[form-pm.xls]____________L_2987"/>
      <sheetName val="[form-pm.xls]____________L_2988"/>
      <sheetName val="[form-pm.xls]____________L_2989"/>
      <sheetName val="[form-pm.xls]____________L_2990"/>
      <sheetName val="[form-pm.xls]____________L_2991"/>
      <sheetName val="[form-pm.xls][form-pm.xls]__545"/>
      <sheetName val="[form-pm.xls][form-pm.xls]__563"/>
      <sheetName val="[form-pm.xls]____________L_3040"/>
      <sheetName val="[form-pm.xls]____________L_3041"/>
      <sheetName val="[form-pm.xls]____________L_3042"/>
      <sheetName val="[form-pm.xls][form-pm.xls]__564"/>
      <sheetName val="[form-pm.xls]____________L_3043"/>
      <sheetName val="[form-pm.xls]____________L_3044"/>
      <sheetName val="[form-pm.xls]____________L_3045"/>
      <sheetName val="[form-pm.xls]____________L_3046"/>
      <sheetName val="[form-pm.xls]____________L_3047"/>
      <sheetName val="[form-pm.xls][form-pm.xls]__548"/>
      <sheetName val="[form-pm.xls]____________L_3000"/>
      <sheetName val="[form-pm.xls]____________L_3001"/>
      <sheetName val="[form-pm.xls]____________L_3002"/>
      <sheetName val="[form-pm.xls][form-pm.xls]__549"/>
      <sheetName val="[form-pm.xls]____________L_3003"/>
      <sheetName val="[form-pm.xls]____________L_3004"/>
      <sheetName val="[form-pm.xls]____________L_3005"/>
      <sheetName val="[form-pm.xls]____________L_3006"/>
      <sheetName val="[form-pm.xls]____________L_3007"/>
      <sheetName val="[form-pm.xls][form-pm.xls]__550"/>
      <sheetName val="[form-pm.xls]____________L_3008"/>
      <sheetName val="[form-pm.xls]____________L_3009"/>
      <sheetName val="[form-pm.xls]____________L_3010"/>
      <sheetName val="[form-pm.xls][form-pm.xls]__551"/>
      <sheetName val="[form-pm.xls]____________L_3011"/>
      <sheetName val="[form-pm.xls]____________L_3012"/>
      <sheetName val="[form-pm.xls]____________L_3013"/>
      <sheetName val="[form-pm.xls]____________L_3014"/>
      <sheetName val="[form-pm.xls]____________L_3015"/>
      <sheetName val="[form-pm.xls][form-pm.xls]__553"/>
      <sheetName val="[form-pm.xls][form-pm.xls]__554"/>
      <sheetName val="[form-pm.xls][form-pm.xls]__552"/>
      <sheetName val="[form-pm.xls][form-pm.xls]__557"/>
      <sheetName val="[form-pm.xls]____________L_3032"/>
      <sheetName val="[form-pm.xls]____________L_3033"/>
      <sheetName val="[form-pm.xls]____________L_3034"/>
      <sheetName val="[form-pm.xls]____________L_3035"/>
      <sheetName val="[form-pm.xls]____________L_3036"/>
      <sheetName val="[form-pm.xls]____________L_3037"/>
      <sheetName val="[form-pm.xls]____________L_3038"/>
      <sheetName val="[form-pm.xls]____________L_3039"/>
      <sheetName val="[form-pm.xls][form-pm.xls]__555"/>
      <sheetName val="[form-pm.xls]____________L_3016"/>
      <sheetName val="[form-pm.xls]____________L_3017"/>
      <sheetName val="[form-pm.xls]____________L_3018"/>
      <sheetName val="[form-pm.xls]____________L_3019"/>
      <sheetName val="[form-pm.xls]____________L_3020"/>
      <sheetName val="[form-pm.xls]____________L_3021"/>
      <sheetName val="[form-pm.xls]____________L_3022"/>
      <sheetName val="[form-pm.xls]____________L_3023"/>
      <sheetName val="[form-pm.xls][form-pm.xls]__556"/>
      <sheetName val="[form-pm.xls]____________L_3024"/>
      <sheetName val="[form-pm.xls]____________L_3025"/>
      <sheetName val="[form-pm.xls]____________L_3026"/>
      <sheetName val="[form-pm.xls]____________L_3027"/>
      <sheetName val="[form-pm.xls]____________L_3028"/>
      <sheetName val="[form-pm.xls]____________L_3029"/>
      <sheetName val="[form-pm.xls]____________L_3030"/>
      <sheetName val="[form-pm.xls]____________L_3031"/>
      <sheetName val="[form-pm.xls][form-pm.xls]__562"/>
      <sheetName val="[form-pm.xls][form-pm.xls]__558"/>
      <sheetName val="[form-pm.xls][form-pm.xls]__559"/>
      <sheetName val="[form-pm.xls][form-pm.xls]__560"/>
      <sheetName val="[form-pm.xls][form-pm.xls]__561"/>
      <sheetName val="[form-pm.xls][form-pm.xls]__566"/>
      <sheetName val="[form-pm.xls][form-pm.xls]__565"/>
      <sheetName val="[form-pm.xls][form-pm.xls]__568"/>
      <sheetName val="[form-pm.xls][form-pm.xls]__567"/>
      <sheetName val="[form-pm.xls]____________L_3048"/>
      <sheetName val="[form-pm.xls]____________L_3049"/>
      <sheetName val="[form-pm.xls]____________L_3050"/>
      <sheetName val="[form-pm.xls]____________L_3051"/>
      <sheetName val="[form-pm.xls]____________L_3052"/>
      <sheetName val="[form-pm.xls]____________L_3053"/>
      <sheetName val="[form-pm.xls]____________L_3054"/>
      <sheetName val="[form-pm.xls]____________L_3055"/>
      <sheetName val="[form-pm.xls][form-pm.xls]__569"/>
      <sheetName val="[form-pm.xls][form-pm.xls]__570"/>
      <sheetName val="[form-pm.xls]____________L_3056"/>
      <sheetName val="[form-pm.xls]____________L_3057"/>
      <sheetName val="[form-pm.xls]____________L_3058"/>
      <sheetName val="[form-pm.xls][form-pm.xls]__571"/>
      <sheetName val="[form-pm.xls]____________L_3059"/>
      <sheetName val="[form-pm.xls]____________L_3060"/>
      <sheetName val="[form-pm.xls]____________L_3061"/>
      <sheetName val="[form-pm.xls]____________L_3062"/>
      <sheetName val="[form-pm.xls]____________L_3063"/>
      <sheetName val="[form-pm.xls]____________L_3064"/>
      <sheetName val="[form-pm.xls]____________L_3065"/>
      <sheetName val="[form-pm.xls]____________L_3066"/>
      <sheetName val="[form-pm.xls][form-pm.xls]__572"/>
      <sheetName val="[form-pm.xls]____________L_3067"/>
      <sheetName val="[form-pm.xls]____________L_3068"/>
      <sheetName val="[form-pm.xls]____________L_3069"/>
      <sheetName val="[form-pm.xls]____________L_3070"/>
      <sheetName val="[form-pm.xls]____________L_3071"/>
      <sheetName val="[form-pm.xls][form-pm.xls]__573"/>
      <sheetName val="[form-pm.xls]____________L_3072"/>
      <sheetName val="[form-pm.xls]____________L_3073"/>
      <sheetName val="[form-pm.xls]____________L_3074"/>
      <sheetName val="[form-pm.xls][form-pm.xls]__577"/>
      <sheetName val="[form-pm.xls]____________L_3075"/>
      <sheetName val="[form-pm.xls]____________L_3076"/>
      <sheetName val="[form-pm.xls]____________L_3077"/>
      <sheetName val="[form-pm.xls]____________L_3078"/>
      <sheetName val="[form-pm.xls]____________L_3079"/>
      <sheetName val="[form-pm.xls][form-pm.xls]__575"/>
      <sheetName val="[form-pm.xls]____________L_3080"/>
      <sheetName val="[form-pm.xls]____________L_3081"/>
      <sheetName val="[form-pm.xls]____________L_3082"/>
      <sheetName val="[form-pm.xls][form-pm.xls]__576"/>
      <sheetName val="[form-pm.xls]____________L_3083"/>
      <sheetName val="[form-pm.xls]____________L_3084"/>
      <sheetName val="[form-pm.xls]____________L_3085"/>
      <sheetName val="[form-pm.xls]____________L_3086"/>
      <sheetName val="[form-pm.xls]____________L_3087"/>
      <sheetName val="[form-pm.xls][form-pm.xls]__574"/>
      <sheetName val="[form-pm.xls]____________L_3088"/>
      <sheetName val="[form-pm.xls]____________L_3089"/>
      <sheetName val="[form-pm.xls]____________L_3090"/>
      <sheetName val="[form-pm.xls][form-pm.xls]__591"/>
      <sheetName val="[form-pm.xls]____________L_3091"/>
      <sheetName val="[form-pm.xls]____________L_3092"/>
      <sheetName val="[form-pm.xls]____________L_3093"/>
      <sheetName val="[form-pm.xls]____________L_3094"/>
      <sheetName val="[form-pm.xls]____________L_3095"/>
      <sheetName val="[form-pm.xls][form-pm.xls]__581"/>
      <sheetName val="[form-pm.xls][form-pm.xls]__578"/>
      <sheetName val="[form-pm.xls][form-pm.xls]__579"/>
      <sheetName val="[form-pm.xls]____________L_3104"/>
      <sheetName val="[form-pm.xls]____________L_3105"/>
      <sheetName val="[form-pm.xls]____________L_3106"/>
      <sheetName val="[form-pm.xls][form-pm.xls]__587"/>
      <sheetName val="[form-pm.xls]____________L_3107"/>
      <sheetName val="[form-pm.xls]____________L_3108"/>
      <sheetName val="[form-pm.xls]____________L_3109"/>
      <sheetName val="[form-pm.xls]____________L_3110"/>
      <sheetName val="[form-pm.xls]____________L_3111"/>
      <sheetName val="[form-pm.xls][form-pm.xls]__580"/>
      <sheetName val="[form-pm.xls]____________L_3096"/>
      <sheetName val="[form-pm.xls]____________L_3097"/>
      <sheetName val="[form-pm.xls]____________L_3098"/>
      <sheetName val="[form-pm.xls]____________L_3099"/>
      <sheetName val="[form-pm.xls]____________L_3100"/>
      <sheetName val="[form-pm.xls]____________L_3101"/>
      <sheetName val="[form-pm.xls]____________L_3102"/>
      <sheetName val="[form-pm.xls]____________L_3103"/>
      <sheetName val="[form-pm.xls][form-pm.xls]__584"/>
      <sheetName val="[form-pm.xls]____________L_3120"/>
      <sheetName val="[form-pm.xls]____________L_3121"/>
      <sheetName val="[form-pm.xls]____________L_3122"/>
      <sheetName val="[form-pm.xls][form-pm.xls]__585"/>
      <sheetName val="[form-pm.xls]____________L_3123"/>
      <sheetName val="[form-pm.xls]____________L_3124"/>
      <sheetName val="[form-pm.xls]____________L_3125"/>
      <sheetName val="[form-pm.xls]____________L_3126"/>
      <sheetName val="[form-pm.xls]____________L_3127"/>
      <sheetName val="[form-pm.xls]____________L_3112"/>
      <sheetName val="[form-pm.xls]____________L_3113"/>
      <sheetName val="[form-pm.xls]____________L_3114"/>
      <sheetName val="[form-pm.xls][form-pm.xls]__582"/>
      <sheetName val="[form-pm.xls]____________L_3115"/>
      <sheetName val="[form-pm.xls]____________L_3116"/>
      <sheetName val="[form-pm.xls]____________L_3117"/>
      <sheetName val="[form-pm.xls]____________L_3118"/>
      <sheetName val="[form-pm.xls]____________L_3119"/>
      <sheetName val="[form-pm.xls][form-pm.xls]__583"/>
      <sheetName val="[form-pm.xls][form-pm.xls]__586"/>
      <sheetName val="[form-pm.xls]____________L_3128"/>
      <sheetName val="[form-pm.xls]____________L_3129"/>
      <sheetName val="[form-pm.xls]____________L_3130"/>
      <sheetName val="[form-pm.xls][form-pm.xls]__590"/>
      <sheetName val="[form-pm.xls]____________L_3131"/>
      <sheetName val="[form-pm.xls]____________L_3132"/>
      <sheetName val="[form-pm.xls]____________L_3133"/>
      <sheetName val="[form-pm.xls]____________L_3134"/>
      <sheetName val="[form-pm.xls]____________L_3135"/>
      <sheetName val="[form-pm.xls][form-pm.xls]__588"/>
      <sheetName val="[form-pm.xls][form-pm.xls]__589"/>
      <sheetName val="[form-pm.xls]____________L_3136"/>
      <sheetName val="[form-pm.xls]____________L_3137"/>
      <sheetName val="[form-pm.xls]____________L_3138"/>
      <sheetName val="[form-pm.xls]____________L_3139"/>
      <sheetName val="[form-pm.xls]____________L_3140"/>
      <sheetName val="[form-pm.xls]____________L_3141"/>
      <sheetName val="[form-pm.xls]____________L_3142"/>
      <sheetName val="[form-pm.xls]____________L_3143"/>
      <sheetName val="[form-pm.xls]____________L_3144"/>
      <sheetName val="[form-pm.xls]____________L_3145"/>
      <sheetName val="[form-pm.xls]____________L_3146"/>
      <sheetName val="[form-pm.xls]____________L_3147"/>
      <sheetName val="[form-pm.xls]____________L_3148"/>
      <sheetName val="[form-pm.xls]____________L_3149"/>
      <sheetName val="[form-pm.xls]____________L_3150"/>
      <sheetName val="[form-pm.xls]____________L_3151"/>
      <sheetName val="[form-pm.xls][form-pm.xls]__592"/>
      <sheetName val="[form-pm.xls]____________L_3152"/>
      <sheetName val="[form-pm.xls]____________L_3153"/>
      <sheetName val="[form-pm.xls]____________L_3154"/>
      <sheetName val="[form-pm.xls][form-pm.xls]__594"/>
      <sheetName val="[form-pm.xls]____________L_3155"/>
      <sheetName val="[form-pm.xls]____________L_3156"/>
      <sheetName val="[form-pm.xls]____________L_3157"/>
      <sheetName val="[form-pm.xls]____________L_3158"/>
      <sheetName val="[form-pm.xls]____________L_3159"/>
      <sheetName val="[form-pm.xls][form-pm.xls]__593"/>
      <sheetName val="[form-pm.xls]____________L_3160"/>
      <sheetName val="[form-pm.xls]____________L_3161"/>
      <sheetName val="[form-pm.xls]____________L_3162"/>
      <sheetName val="[form-pm.xls]____________L_3163"/>
      <sheetName val="[form-pm.xls]____________L_3164"/>
      <sheetName val="[form-pm.xls]____________L_3165"/>
      <sheetName val="[form-pm.xls]____________L_3166"/>
      <sheetName val="[form-pm.xls]____________L_3167"/>
      <sheetName val="[form-pm.xls][form-pm.xls]__595"/>
      <sheetName val="[form-pm.xls]____________L_3168"/>
      <sheetName val="[form-pm.xls]____________L_3169"/>
      <sheetName val="[form-pm.xls]____________L_3170"/>
      <sheetName val="[form-pm.xls][form-pm.xls]__598"/>
      <sheetName val="[form-pm.xls]____________L_3171"/>
      <sheetName val="[form-pm.xls]____________L_3172"/>
      <sheetName val="[form-pm.xls]____________L_3173"/>
      <sheetName val="[form-pm.xls]____________L_3174"/>
      <sheetName val="[form-pm.xls]____________L_3175"/>
      <sheetName val="[form-pm.xls][form-pm.xls]__596"/>
      <sheetName val="[form-pm.xls][form-pm.xls]__597"/>
      <sheetName val="[form-pm.xls][form-pm.xls]__601"/>
      <sheetName val="[form-pm.xls][form-pm.xls]__599"/>
      <sheetName val="[form-pm.xls]____________L_3176"/>
      <sheetName val="[form-pm.xls]____________L_3177"/>
      <sheetName val="[form-pm.xls]____________L_3178"/>
      <sheetName val="[form-pm.xls]____________L_3179"/>
      <sheetName val="[form-pm.xls]____________L_3180"/>
      <sheetName val="[form-pm.xls]____________L_3181"/>
      <sheetName val="[form-pm.xls]____________L_3182"/>
      <sheetName val="[form-pm.xls]____________L_3183"/>
      <sheetName val="[form-pm.xls][form-pm.xls]__600"/>
      <sheetName val="[form-pm.xls][form-pm.xls]__603"/>
      <sheetName val="[form-pm.xls]____________L_3200"/>
      <sheetName val="[form-pm.xls]____________L_3201"/>
      <sheetName val="[form-pm.xls]____________L_3202"/>
      <sheetName val="[form-pm.xls][form-pm.xls]__604"/>
      <sheetName val="[form-pm.xls]____________L_3203"/>
      <sheetName val="[form-pm.xls]____________L_3204"/>
      <sheetName val="[form-pm.xls]____________L_3205"/>
      <sheetName val="[form-pm.xls]____________L_3206"/>
      <sheetName val="[form-pm.xls]____________L_3207"/>
      <sheetName val="[form-pm.xls]____________L_3184"/>
      <sheetName val="[form-pm.xls]____________L_3185"/>
      <sheetName val="[form-pm.xls]____________L_3186"/>
      <sheetName val="[form-pm.xls]____________L_3187"/>
      <sheetName val="[form-pm.xls]____________L_3188"/>
      <sheetName val="[form-pm.xls]____________L_3189"/>
      <sheetName val="[form-pm.xls]____________L_3190"/>
      <sheetName val="[form-pm.xls]____________L_3191"/>
      <sheetName val="[form-pm.xls][form-pm.xls]__602"/>
      <sheetName val="[form-pm.xls]____________L_3192"/>
      <sheetName val="[form-pm.xls]____________L_3193"/>
      <sheetName val="[form-pm.xls]____________L_3194"/>
      <sheetName val="[form-pm.xls]____________L_3195"/>
      <sheetName val="[form-pm.xls]____________L_3196"/>
      <sheetName val="[form-pm.xls]____________L_3197"/>
      <sheetName val="[form-pm.xls]____________L_3198"/>
      <sheetName val="[form-pm.xls]____________L_3199"/>
      <sheetName val="[form-pm.xls]____________L_3208"/>
      <sheetName val="[form-pm.xls]____________L_3209"/>
      <sheetName val="[form-pm.xls]____________L_3210"/>
      <sheetName val="[form-pm.xls][form-pm.xls]__605"/>
      <sheetName val="[form-pm.xls]____________L_3211"/>
      <sheetName val="[form-pm.xls]____________L_3212"/>
      <sheetName val="[form-pm.xls]____________L_3213"/>
      <sheetName val="[form-pm.xls]____________L_3214"/>
      <sheetName val="[form-pm.xls]____________L_3215"/>
      <sheetName val="[form-pm.xls]____________L_3216"/>
      <sheetName val="[form-pm.xls]____________L_3217"/>
      <sheetName val="[form-pm.xls]____________L_3218"/>
      <sheetName val="[form-pm.xls]____________L_3219"/>
      <sheetName val="[form-pm.xls]____________L_3220"/>
      <sheetName val="[form-pm.xls]____________L_3221"/>
      <sheetName val="[form-pm.xls]____________L_3222"/>
      <sheetName val="[form-pm.xls]____________L_3223"/>
      <sheetName val="[form-pm.xls][form-pm.xls]__637"/>
      <sheetName val="[form-pm.xls]____________L_3360"/>
      <sheetName val="[form-pm.xls]____________L_3361"/>
      <sheetName val="[form-pm.xls]____________L_3362"/>
      <sheetName val="[form-pm.xls][form-pm.xls]__641"/>
      <sheetName val="[form-pm.xls]____________L_3363"/>
      <sheetName val="[form-pm.xls]____________L_3364"/>
      <sheetName val="[form-pm.xls]____________L_3365"/>
      <sheetName val="[form-pm.xls]____________L_3366"/>
      <sheetName val="[form-pm.xls]____________L_3367"/>
      <sheetName val="[form-pm.xls]____________L_3232"/>
      <sheetName val="[form-pm.xls]____________L_3233"/>
      <sheetName val="[form-pm.xls]____________L_3234"/>
      <sheetName val="[form-pm.xls][form-pm.xls]__608"/>
      <sheetName val="[form-pm.xls]____________L_3235"/>
      <sheetName val="[form-pm.xls]____________L_3236"/>
      <sheetName val="[form-pm.xls]____________L_3237"/>
      <sheetName val="[form-pm.xls]____________L_3238"/>
      <sheetName val="[form-pm.xls]____________L_3239"/>
      <sheetName val="[form-pm.xls][form-pm.xls]__609"/>
      <sheetName val="[form-pm.xls]____________L_3240"/>
      <sheetName val="[form-pm.xls]____________L_3241"/>
      <sheetName val="[form-pm.xls]____________L_3242"/>
      <sheetName val="[form-pm.xls][form-pm.xls]__610"/>
      <sheetName val="[form-pm.xls]____________L_3243"/>
      <sheetName val="[form-pm.xls]____________L_3244"/>
      <sheetName val="[form-pm.xls]____________L_3245"/>
      <sheetName val="[form-pm.xls]____________L_3246"/>
      <sheetName val="[form-pm.xls]____________L_3247"/>
      <sheetName val="[form-pm.xls][form-pm.xls]__611"/>
      <sheetName val="[form-pm.xls]____________L_3248"/>
      <sheetName val="[form-pm.xls]____________L_3249"/>
      <sheetName val="[form-pm.xls]____________L_3250"/>
      <sheetName val="[form-pm.xls][form-pm.xls]__612"/>
      <sheetName val="[form-pm.xls]____________L_3251"/>
      <sheetName val="[form-pm.xls]____________L_3252"/>
      <sheetName val="[form-pm.xls]____________L_3253"/>
      <sheetName val="[form-pm.xls]____________L_3254"/>
      <sheetName val="[form-pm.xls]____________L_3255"/>
      <sheetName val="[form-pm.xls][form-pm.xls]__614"/>
      <sheetName val="[form-pm.xls]____________L_3264"/>
      <sheetName val="[form-pm.xls]____________L_3265"/>
      <sheetName val="[form-pm.xls]____________L_3266"/>
      <sheetName val="[form-pm.xls][form-pm.xls]__616"/>
      <sheetName val="[form-pm.xls]____________L_3267"/>
      <sheetName val="[form-pm.xls]____________L_3268"/>
      <sheetName val="[form-pm.xls]____________L_3269"/>
      <sheetName val="[form-pm.xls]____________L_3270"/>
      <sheetName val="[form-pm.xls]____________L_3271"/>
      <sheetName val="[form-pm.xls][form-pm.xls]__613"/>
      <sheetName val="[form-pm.xls]____________L_3256"/>
      <sheetName val="[form-pm.xls]____________L_3257"/>
      <sheetName val="[form-pm.xls]____________L_3258"/>
      <sheetName val="[form-pm.xls]____________L_3259"/>
      <sheetName val="[form-pm.xls]____________L_3260"/>
      <sheetName val="[form-pm.xls]____________L_3261"/>
      <sheetName val="[form-pm.xls]____________L_3262"/>
      <sheetName val="[form-pm.xls]____________L_3263"/>
      <sheetName val="[form-pm.xls][form-pm.xls]__615"/>
      <sheetName val="[form-pm.xls][form-pm.xls]__617"/>
      <sheetName val="[form-pm.xls][form-pm.xls]__618"/>
      <sheetName val="[form-pm.xls]____________L_3272"/>
      <sheetName val="[form-pm.xls]____________L_3273"/>
      <sheetName val="[form-pm.xls]____________L_3274"/>
      <sheetName val="[form-pm.xls][form-pm.xls]__619"/>
      <sheetName val="[form-pm.xls]____________L_3275"/>
      <sheetName val="[form-pm.xls]____________L_3276"/>
      <sheetName val="[form-pm.xls]____________L_3277"/>
      <sheetName val="[form-pm.xls]____________L_3278"/>
      <sheetName val="[form-pm.xls]____________L_3279"/>
      <sheetName val="[form-pm.xls][form-pm.xls]__621"/>
      <sheetName val="[form-pm.xls]____________L_3288"/>
      <sheetName val="[form-pm.xls]____________L_3289"/>
      <sheetName val="[form-pm.xls]____________L_3290"/>
      <sheetName val="[form-pm.xls]____________L_3291"/>
      <sheetName val="[form-pm.xls]____________L_3292"/>
      <sheetName val="[form-pm.xls]____________L_3293"/>
      <sheetName val="[form-pm.xls]____________L_3294"/>
      <sheetName val="[form-pm.xls]____________L_3295"/>
      <sheetName val="[form-pm.xls][form-pm.xls]__620"/>
      <sheetName val="[form-pm.xls]____________L_3280"/>
      <sheetName val="[form-pm.xls]____________L_3281"/>
      <sheetName val="[form-pm.xls]____________L_3282"/>
      <sheetName val="[form-pm.xls]____________L_3283"/>
      <sheetName val="[form-pm.xls]____________L_3284"/>
      <sheetName val="[form-pm.xls]____________L_3285"/>
      <sheetName val="[form-pm.xls]____________L_3286"/>
      <sheetName val="[form-pm.xls]____________L_3287"/>
      <sheetName val="[form-pm.xls][form-pm.xls]__622"/>
      <sheetName val="[form-pm.xls]____________L_3296"/>
      <sheetName val="[form-pm.xls]____________L_3297"/>
      <sheetName val="[form-pm.xls]____________L_3298"/>
      <sheetName val="[form-pm.xls][form-pm.xls]__623"/>
      <sheetName val="[form-pm.xls]____________L_3299"/>
      <sheetName val="[form-pm.xls]____________L_3300"/>
      <sheetName val="[form-pm.xls]____________L_3301"/>
      <sheetName val="[form-pm.xls]____________L_3302"/>
      <sheetName val="[form-pm.xls]____________L_3303"/>
      <sheetName val="[form-pm.xls][form-pm.xls]__624"/>
      <sheetName val="[form-pm.xls]____________L_3304"/>
      <sheetName val="[form-pm.xls]____________L_3305"/>
      <sheetName val="[form-pm.xls]____________L_3306"/>
      <sheetName val="[form-pm.xls][form-pm.xls]__631"/>
      <sheetName val="[form-pm.xls]____________L_3307"/>
      <sheetName val="[form-pm.xls]____________L_3308"/>
      <sheetName val="[form-pm.xls]____________L_3309"/>
      <sheetName val="[form-pm.xls]____________L_3310"/>
      <sheetName val="[form-pm.xls]____________L_3311"/>
      <sheetName val="[form-pm.xls][form-pm.xls]__625"/>
      <sheetName val="[form-pm.xls]____________L_3328"/>
      <sheetName val="[form-pm.xls]____________L_3329"/>
      <sheetName val="[form-pm.xls]____________L_3330"/>
      <sheetName val="[form-pm.xls][form-pm.xls]__626"/>
      <sheetName val="[form-pm.xls]____________L_3331"/>
      <sheetName val="[form-pm.xls]____________L_3332"/>
      <sheetName val="[form-pm.xls]____________L_3333"/>
      <sheetName val="[form-pm.xls]____________L_3334"/>
      <sheetName val="[form-pm.xls]____________L_3335"/>
      <sheetName val="[form-pm.xls]____________L_3312"/>
      <sheetName val="[form-pm.xls]____________L_3313"/>
      <sheetName val="[form-pm.xls]____________L_3314"/>
      <sheetName val="[form-pm.xls]____________L_3315"/>
      <sheetName val="[form-pm.xls]____________L_3316"/>
      <sheetName val="[form-pm.xls]____________L_3317"/>
      <sheetName val="[form-pm.xls]____________L_3318"/>
      <sheetName val="[form-pm.xls]____________L_3319"/>
      <sheetName val="[form-pm.xls]____________L_3320"/>
      <sheetName val="[form-pm.xls]____________L_3321"/>
      <sheetName val="[form-pm.xls]____________L_3322"/>
      <sheetName val="[form-pm.xls]____________L_3323"/>
      <sheetName val="[form-pm.xls]____________L_3324"/>
      <sheetName val="[form-pm.xls]____________L_3325"/>
      <sheetName val="[form-pm.xls]____________L_3326"/>
      <sheetName val="[form-pm.xls]____________L_3327"/>
      <sheetName val="[form-pm.xls][form-pm.xls]__627"/>
      <sheetName val="[form-pm.xls][form-pm.xls]__629"/>
      <sheetName val="[form-pm.xls][form-pm.xls]__628"/>
      <sheetName val="[form-pm.xls][form-pm.xls]__630"/>
      <sheetName val="[form-pm.xls][form-pm.xls]__632"/>
      <sheetName val="[form-pm.xls]____________L_3336"/>
      <sheetName val="[form-pm.xls]____________L_3337"/>
      <sheetName val="[form-pm.xls]____________L_3338"/>
      <sheetName val="[form-pm.xls][form-pm.xls]__633"/>
      <sheetName val="[form-pm.xls]____________L_3339"/>
      <sheetName val="[form-pm.xls]____________L_3340"/>
      <sheetName val="[form-pm.xls]____________L_3341"/>
      <sheetName val="[form-pm.xls]____________L_3342"/>
      <sheetName val="[form-pm.xls]____________L_3343"/>
      <sheetName val="[form-pm.xls][form-pm.xls]__634"/>
      <sheetName val="[form-pm.xls]____________L_3344"/>
      <sheetName val="[form-pm.xls]____________L_3345"/>
      <sheetName val="[form-pm.xls]____________L_3346"/>
      <sheetName val="[form-pm.xls][form-pm.xls]__635"/>
      <sheetName val="[form-pm.xls]____________L_3347"/>
      <sheetName val="[form-pm.xls]____________L_3348"/>
      <sheetName val="[form-pm.xls]____________L_3349"/>
      <sheetName val="[form-pm.xls]____________L_3350"/>
      <sheetName val="[form-pm.xls]____________L_3351"/>
      <sheetName val="[form-pm.xls][form-pm.xls]__636"/>
      <sheetName val="[form-pm.xls]____________L_3352"/>
      <sheetName val="[form-pm.xls]____________L_3353"/>
      <sheetName val="[form-pm.xls]____________L_3354"/>
      <sheetName val="[form-pm.xls]____________L_3355"/>
      <sheetName val="[form-pm.xls]____________L_3356"/>
      <sheetName val="[form-pm.xls]____________L_3357"/>
      <sheetName val="[form-pm.xls]____________L_3358"/>
      <sheetName val="[form-pm.xls]____________L_3359"/>
      <sheetName val="[form-pm.xls][form-pm.xls]__638"/>
      <sheetName val="[form-pm.xls]____________L_3368"/>
      <sheetName val="[form-pm.xls]____________L_3369"/>
      <sheetName val="[form-pm.xls]____________L_3370"/>
      <sheetName val="[form-pm.xls][form-pm.xls]__639"/>
      <sheetName val="[form-pm.xls]____________L_3371"/>
      <sheetName val="[form-pm.xls]____________L_3372"/>
      <sheetName val="[form-pm.xls]____________L_3373"/>
      <sheetName val="[form-pm.xls]____________L_3374"/>
      <sheetName val="[form-pm.xls]____________L_3375"/>
      <sheetName val="[form-pm.xls][form-pm.xls]__640"/>
      <sheetName val="[form-pm.xls][form-pm.xls]__642"/>
      <sheetName val="[form-pm.xls][form-pm.xls]__678"/>
      <sheetName val="[form-pm.xls][form-pm.xls]__664"/>
      <sheetName val="[form-pm.xls]____________L_3496"/>
      <sheetName val="[form-pm.xls]____________L_3497"/>
      <sheetName val="[form-pm.xls]____________L_3498"/>
      <sheetName val="[form-pm.xls][form-pm.xls]__671"/>
      <sheetName val="[form-pm.xls]____________L_3499"/>
      <sheetName val="[form-pm.xls]____________L_3500"/>
      <sheetName val="[form-pm.xls]____________L_3501"/>
      <sheetName val="[form-pm.xls]____________L_3502"/>
      <sheetName val="[form-pm.xls]____________L_3503"/>
      <sheetName val="[form-pm.xls]____________L_3376"/>
      <sheetName val="[form-pm.xls]____________L_3377"/>
      <sheetName val="[form-pm.xls]____________L_3378"/>
      <sheetName val="[form-pm.xls]____________L_3379"/>
      <sheetName val="[form-pm.xls]____________L_3380"/>
      <sheetName val="[form-pm.xls]____________L_3381"/>
      <sheetName val="[form-pm.xls]____________L_3382"/>
      <sheetName val="[form-pm.xls]____________L_3383"/>
      <sheetName val="[form-pm.xls]____________L_3384"/>
      <sheetName val="[form-pm.xls]____________L_3385"/>
      <sheetName val="[form-pm.xls]____________L_3386"/>
      <sheetName val="[form-pm.xls]____________L_3387"/>
      <sheetName val="[form-pm.xls]____________L_3388"/>
      <sheetName val="[form-pm.xls]____________L_3389"/>
      <sheetName val="[form-pm.xls]____________L_3390"/>
      <sheetName val="[form-pm.xls]____________L_3391"/>
      <sheetName val="[form-pm.xls][form-pm.xls]__644"/>
      <sheetName val="[form-pm.xls][form-pm.xls]__643"/>
      <sheetName val="[form-pm.xls][form-pm.xls]__648"/>
      <sheetName val="[form-pm.xls]____________L_3408"/>
      <sheetName val="[form-pm.xls]____________L_3409"/>
      <sheetName val="[form-pm.xls]____________L_3410"/>
      <sheetName val="[form-pm.xls][form-pm.xls]__649"/>
      <sheetName val="[form-pm.xls]____________L_3411"/>
      <sheetName val="[form-pm.xls]____________L_3412"/>
      <sheetName val="[form-pm.xls]____________L_3413"/>
      <sheetName val="[form-pm.xls]____________L_3414"/>
      <sheetName val="[form-pm.xls]____________L_3415"/>
      <sheetName val="[form-pm.xls][form-pm.xls]__645"/>
      <sheetName val="[form-pm.xls]____________L_3392"/>
      <sheetName val="[form-pm.xls]____________L_3393"/>
      <sheetName val="[form-pm.xls]____________L_3394"/>
      <sheetName val="[form-pm.xls][form-pm.xls]__646"/>
      <sheetName val="[form-pm.xls]____________L_3395"/>
      <sheetName val="[form-pm.xls]____________L_3396"/>
      <sheetName val="[form-pm.xls]____________L_3397"/>
      <sheetName val="[form-pm.xls]____________L_3398"/>
      <sheetName val="[form-pm.xls]____________L_3399"/>
      <sheetName val="[form-pm.xls][form-pm.xls]__647"/>
      <sheetName val="[form-pm.xls]____________L_3400"/>
      <sheetName val="[form-pm.xls]____________L_3401"/>
      <sheetName val="[form-pm.xls]____________L_3402"/>
      <sheetName val="[form-pm.xls]____________L_3403"/>
      <sheetName val="[form-pm.xls]____________L_3404"/>
      <sheetName val="[form-pm.xls]____________L_3405"/>
      <sheetName val="[form-pm.xls]____________L_3406"/>
      <sheetName val="[form-pm.xls]____________L_3407"/>
      <sheetName val="[form-pm.xls][form-pm.xls]__650"/>
      <sheetName val="[form-pm.xls]____________L_3416"/>
      <sheetName val="[form-pm.xls]____________L_3417"/>
      <sheetName val="[form-pm.xls]____________L_3418"/>
      <sheetName val="[form-pm.xls][form-pm.xls]__651"/>
      <sheetName val="[form-pm.xls]____________L_3419"/>
      <sheetName val="[form-pm.xls]____________L_3420"/>
      <sheetName val="[form-pm.xls]____________L_3421"/>
      <sheetName val="[form-pm.xls]____________L_3422"/>
      <sheetName val="[form-pm.xls]____________L_3423"/>
      <sheetName val="[form-pm.xls][form-pm.xls]__654"/>
      <sheetName val="[form-pm.xls]____________L_3440"/>
      <sheetName val="[form-pm.xls]____________L_3441"/>
      <sheetName val="[form-pm.xls]____________L_3442"/>
      <sheetName val="[form-pm.xls][form-pm.xls]__655"/>
      <sheetName val="[form-pm.xls]____________L_3443"/>
      <sheetName val="[form-pm.xls]____________L_3444"/>
      <sheetName val="[form-pm.xls]____________L_3445"/>
      <sheetName val="[form-pm.xls]____________L_3446"/>
      <sheetName val="[form-pm.xls]____________L_3447"/>
      <sheetName val="[form-pm.xls][form-pm.xls]__652"/>
      <sheetName val="[form-pm.xls]____________L_3424"/>
      <sheetName val="[form-pm.xls]____________L_3425"/>
      <sheetName val="[form-pm.xls]____________L_3426"/>
      <sheetName val="[form-pm.xls]____________L_3427"/>
      <sheetName val="[form-pm.xls]____________L_3428"/>
      <sheetName val="[form-pm.xls]____________L_3429"/>
      <sheetName val="[form-pm.xls]____________L_3430"/>
      <sheetName val="[form-pm.xls]____________L_3431"/>
      <sheetName val="[form-pm.xls][form-pm.xls]__653"/>
      <sheetName val="[form-pm.xls]____________L_3432"/>
      <sheetName val="[form-pm.xls]____________L_3433"/>
      <sheetName val="[form-pm.xls]____________L_3434"/>
      <sheetName val="[form-pm.xls]____________L_3435"/>
      <sheetName val="[form-pm.xls]____________L_3436"/>
      <sheetName val="[form-pm.xls]____________L_3437"/>
      <sheetName val="[form-pm.xls]____________L_3438"/>
      <sheetName val="[form-pm.xls]____________L_3439"/>
      <sheetName val="[form-pm.xls][form-pm.xls]__657"/>
      <sheetName val="[form-pm.xls]____________L_3456"/>
      <sheetName val="[form-pm.xls]____________L_3457"/>
      <sheetName val="[form-pm.xls]____________L_3458"/>
      <sheetName val="[form-pm.xls][form-pm.xls]__658"/>
      <sheetName val="[form-pm.xls]____________L_3459"/>
      <sheetName val="[form-pm.xls]____________L_3460"/>
      <sheetName val="[form-pm.xls]____________L_3461"/>
      <sheetName val="[form-pm.xls]____________L_3462"/>
      <sheetName val="[form-pm.xls]____________L_3463"/>
      <sheetName val="[form-pm.xls][form-pm.xls]__656"/>
      <sheetName val="[form-pm.xls]____________L_3448"/>
      <sheetName val="[form-pm.xls]____________L_3449"/>
      <sheetName val="[form-pm.xls]____________L_3450"/>
      <sheetName val="[form-pm.xls]____________L_3451"/>
      <sheetName val="[form-pm.xls]____________L_3452"/>
      <sheetName val="[form-pm.xls]____________L_3453"/>
      <sheetName val="[form-pm.xls]____________L_3454"/>
      <sheetName val="[form-pm.xls]____________L_3455"/>
      <sheetName val="[form-pm.xls]____________L_3464"/>
      <sheetName val="[form-pm.xls]____________L_3465"/>
      <sheetName val="[form-pm.xls]____________L_3466"/>
      <sheetName val="[form-pm.xls]____________L_3467"/>
      <sheetName val="[form-pm.xls]____________L_3468"/>
      <sheetName val="[form-pm.xls]____________L_3469"/>
      <sheetName val="[form-pm.xls]____________L_3470"/>
      <sheetName val="[form-pm.xls]____________L_3471"/>
      <sheetName val="[form-pm.xls][form-pm.xls]__662"/>
      <sheetName val="[form-pm.xls]____________L_3480"/>
      <sheetName val="[form-pm.xls]____________L_3481"/>
      <sheetName val="[form-pm.xls]____________L_3482"/>
      <sheetName val="[form-pm.xls][form-pm.xls]__663"/>
      <sheetName val="[form-pm.xls]____________L_3483"/>
      <sheetName val="[form-pm.xls]____________L_3484"/>
      <sheetName val="[form-pm.xls]____________L_3485"/>
      <sheetName val="[form-pm.xls]____________L_3486"/>
      <sheetName val="[form-pm.xls]____________L_3487"/>
      <sheetName val="[form-pm.xls][form-pm.xls]__659"/>
      <sheetName val="[form-pm.xls][form-pm.xls]__660"/>
      <sheetName val="[form-pm.xls][form-pm.xls]__661"/>
      <sheetName val="[form-pm.xls]____________L_3472"/>
      <sheetName val="[form-pm.xls]____________L_3473"/>
      <sheetName val="[form-pm.xls]____________L_3474"/>
      <sheetName val="[form-pm.xls]____________L_3475"/>
      <sheetName val="[form-pm.xls]____________L_3476"/>
      <sheetName val="[form-pm.xls]____________L_3477"/>
      <sheetName val="[form-pm.xls]____________L_3478"/>
      <sheetName val="[form-pm.xls]____________L_3479"/>
      <sheetName val="[form-pm.xls]____________L_3488"/>
      <sheetName val="[form-pm.xls]____________L_3489"/>
      <sheetName val="[form-pm.xls]____________L_3490"/>
      <sheetName val="[form-pm.xls]____________L_3491"/>
      <sheetName val="[form-pm.xls]____________L_3492"/>
      <sheetName val="[form-pm.xls]____________L_3493"/>
      <sheetName val="[form-pm.xls]____________L_3494"/>
      <sheetName val="[form-pm.xls]____________L_3495"/>
      <sheetName val="[form-pm.xls][form-pm.xls]__667"/>
      <sheetName val="[form-pm.xls]____________L_3512"/>
      <sheetName val="[form-pm.xls]____________L_3513"/>
      <sheetName val="[form-pm.xls]____________L_3514"/>
      <sheetName val="[form-pm.xls][form-pm.xls]__670"/>
      <sheetName val="[form-pm.xls]____________L_3515"/>
      <sheetName val="[form-pm.xls]____________L_3516"/>
      <sheetName val="[form-pm.xls]____________L_3517"/>
      <sheetName val="[form-pm.xls]____________L_3518"/>
      <sheetName val="[form-pm.xls]____________L_3519"/>
      <sheetName val="[form-pm.xls][form-pm.xls]__665"/>
      <sheetName val="[form-pm.xls][form-pm.xls]__666"/>
      <sheetName val="[form-pm.xls]____________L_3504"/>
      <sheetName val="[form-pm.xls]____________L_3505"/>
      <sheetName val="[form-pm.xls]____________L_3506"/>
      <sheetName val="[form-pm.xls]____________L_3507"/>
      <sheetName val="[form-pm.xls]____________L_3508"/>
      <sheetName val="[form-pm.xls]____________L_3509"/>
      <sheetName val="[form-pm.xls]____________L_3510"/>
      <sheetName val="[form-pm.xls]____________L_3511"/>
      <sheetName val="[form-pm.xls][form-pm.xls]__668"/>
      <sheetName val="[form-pm.xls][form-pm.xls]__669"/>
      <sheetName val="[form-pm.xls][form-pm.xls]__673"/>
      <sheetName val="[form-pm.xls]____________L_3528"/>
      <sheetName val="[form-pm.xls]____________L_3529"/>
      <sheetName val="[form-pm.xls]____________L_3530"/>
      <sheetName val="[form-pm.xls][form-pm.xls]__674"/>
      <sheetName val="[form-pm.xls]____________L_3531"/>
      <sheetName val="[form-pm.xls]____________L_3532"/>
      <sheetName val="[form-pm.xls]____________L_3533"/>
      <sheetName val="[form-pm.xls]____________L_3534"/>
      <sheetName val="[form-pm.xls]____________L_3535"/>
      <sheetName val="[form-pm.xls]____________L_3520"/>
      <sheetName val="[form-pm.xls]____________L_3521"/>
      <sheetName val="[form-pm.xls]____________L_3522"/>
      <sheetName val="[form-pm.xls][form-pm.xls]__672"/>
      <sheetName val="[form-pm.xls]____________L_3523"/>
      <sheetName val="[form-pm.xls]____________L_3524"/>
      <sheetName val="[form-pm.xls]____________L_3525"/>
      <sheetName val="[form-pm.xls]____________L_3526"/>
      <sheetName val="[form-pm.xls]____________L_3527"/>
      <sheetName val="[form-pm.xls]____________L_3536"/>
      <sheetName val="[form-pm.xls]____________L_3537"/>
      <sheetName val="[form-pm.xls]____________L_3538"/>
      <sheetName val="[form-pm.xls]____________L_3539"/>
      <sheetName val="[form-pm.xls]____________L_3540"/>
      <sheetName val="[form-pm.xls]____________L_3541"/>
      <sheetName val="[form-pm.xls]____________L_3542"/>
      <sheetName val="[form-pm.xls]____________L_3543"/>
      <sheetName val="[form-pm.xls]____________L_3552"/>
      <sheetName val="[form-pm.xls]____________L_3553"/>
      <sheetName val="[form-pm.xls]____________L_3554"/>
      <sheetName val="[form-pm.xls][form-pm.xls]__680"/>
      <sheetName val="[form-pm.xls]____________L_3555"/>
      <sheetName val="[form-pm.xls]____________L_3556"/>
      <sheetName val="[form-pm.xls]____________L_3557"/>
      <sheetName val="[form-pm.xls]____________L_3558"/>
      <sheetName val="[form-pm.xls]____________L_3559"/>
      <sheetName val="[form-pm.xls][form-pm.xls]__675"/>
      <sheetName val="[form-pm.xls][form-pm.xls]__676"/>
      <sheetName val="[form-pm.xls]____________L_3544"/>
      <sheetName val="[form-pm.xls]____________L_3545"/>
      <sheetName val="[form-pm.xls]____________L_3546"/>
      <sheetName val="[form-pm.xls][form-pm.xls]__677"/>
      <sheetName val="[form-pm.xls]____________L_3547"/>
      <sheetName val="[form-pm.xls]____________L_3548"/>
      <sheetName val="[form-pm.xls]____________L_3549"/>
      <sheetName val="[form-pm.xls]____________L_3550"/>
      <sheetName val="[form-pm.xls]____________L_3551"/>
      <sheetName val="[form-pm.xls][form-pm.xls]__679"/>
      <sheetName val="DBR"/>
      <sheetName val="BS"/>
      <sheetName val="[form-pm.xls]____________L_3560"/>
      <sheetName val="[form-pm.xls]____________L_3561"/>
      <sheetName val="[form-pm.xls]____________L_3562"/>
      <sheetName val="[form-pm.xls]____________L_3563"/>
      <sheetName val="[form-pm.xls]____________L_3564"/>
      <sheetName val="[form-pm.xls]____________L_3565"/>
      <sheetName val="[form-pm.xls]____________L_3566"/>
      <sheetName val="[form-pm.xls]____________L_3567"/>
      <sheetName val="[form-pm.xls][form-pm.xls]__681"/>
      <sheetName val="[form-pm.xls]____________L_3576"/>
      <sheetName val="[form-pm.xls]____________L_3577"/>
      <sheetName val="[form-pm.xls]____________L_3578"/>
      <sheetName val="[form-pm.xls]____________L_3579"/>
      <sheetName val="[form-pm.xls]____________L_3580"/>
      <sheetName val="[form-pm.xls]____________L_3581"/>
      <sheetName val="[form-pm.xls]____________L_3582"/>
      <sheetName val="[form-pm.xls]____________L_3583"/>
      <sheetName val="[form-pm.xls]____________L_3568"/>
      <sheetName val="[form-pm.xls]____________L_3569"/>
      <sheetName val="[form-pm.xls]____________L_3570"/>
      <sheetName val="[form-pm.xls]____________L_3571"/>
      <sheetName val="[form-pm.xls]____________L_3572"/>
      <sheetName val="[form-pm.xls]____________L_3573"/>
      <sheetName val="[form-pm.xls]____________L_3574"/>
      <sheetName val="[form-pm.xls]____________L_3575"/>
      <sheetName val="[form-pm.xls][form-pm.xls]__683"/>
      <sheetName val="[form-pm.xls]____________L_3592"/>
      <sheetName val="[form-pm.xls]____________L_3593"/>
      <sheetName val="[form-pm.xls]____________L_3594"/>
      <sheetName val="[form-pm.xls][form-pm.xls]__684"/>
      <sheetName val="[form-pm.xls]____________L_3595"/>
      <sheetName val="[form-pm.xls]____________L_3596"/>
      <sheetName val="[form-pm.xls]____________L_3597"/>
      <sheetName val="[form-pm.xls]____________L_3598"/>
      <sheetName val="[form-pm.xls]____________L_3599"/>
      <sheetName val="[form-pm.xls][form-pm.xls]__682"/>
      <sheetName val="[form-pm.xls]____________L_3584"/>
      <sheetName val="[form-pm.xls]____________L_3585"/>
      <sheetName val="[form-pm.xls]____________L_3586"/>
      <sheetName val="[form-pm.xls]____________L_3587"/>
      <sheetName val="[form-pm.xls]____________L_3588"/>
      <sheetName val="[form-pm.xls]____________L_3589"/>
      <sheetName val="[form-pm.xls]____________L_3590"/>
      <sheetName val="[form-pm.xls]____________L_3591"/>
      <sheetName val="[form-pm.xls][form-pm.xls]__688"/>
      <sheetName val="[form-pm.xls]____________L_3616"/>
      <sheetName val="[form-pm.xls]____________L_3617"/>
      <sheetName val="[form-pm.xls]____________L_3618"/>
      <sheetName val="[form-pm.xls][form-pm.xls]__689"/>
      <sheetName val="[form-pm.xls]____________L_3619"/>
      <sheetName val="[form-pm.xls]____________L_3620"/>
      <sheetName val="[form-pm.xls]____________L_3621"/>
      <sheetName val="[form-pm.xls]____________L_3622"/>
      <sheetName val="[form-pm.xls]____________L_3623"/>
      <sheetName val="[form-pm.xls][form-pm.xls]__686"/>
      <sheetName val="[form-pm.xls][form-pm.xls]__685"/>
      <sheetName val="[form-pm.xls]____________L_3600"/>
      <sheetName val="[form-pm.xls]____________L_3601"/>
      <sheetName val="[form-pm.xls]____________L_3602"/>
      <sheetName val="[form-pm.xls]____________L_3603"/>
      <sheetName val="[form-pm.xls]____________L_3604"/>
      <sheetName val="[form-pm.xls]____________L_3605"/>
      <sheetName val="[form-pm.xls]____________L_3606"/>
      <sheetName val="[form-pm.xls]____________L_3607"/>
      <sheetName val="[form-pm.xls][form-pm.xls]__687"/>
      <sheetName val="[form-pm.xls]____________L_3608"/>
      <sheetName val="[form-pm.xls]____________L_3609"/>
      <sheetName val="[form-pm.xls]____________L_3610"/>
      <sheetName val="[form-pm.xls]____________L_3611"/>
      <sheetName val="[form-pm.xls]____________L_3612"/>
      <sheetName val="[form-pm.xls]____________L_3613"/>
      <sheetName val="[form-pm.xls]____________L_3614"/>
      <sheetName val="[form-pm.xls]____________L_3615"/>
      <sheetName val="[form-pm.xls]____________L_3624"/>
      <sheetName val="[form-pm.xls]____________L_3625"/>
      <sheetName val="[form-pm.xls]____________L_3626"/>
      <sheetName val="[form-pm.xls][form-pm.xls]__690"/>
      <sheetName val="[form-pm.xls]____________L_3627"/>
      <sheetName val="[form-pm.xls]____________L_3628"/>
      <sheetName val="[form-pm.xls]____________L_3629"/>
      <sheetName val="[form-pm.xls]____________L_3630"/>
      <sheetName val="[form-pm.xls]____________L_3631"/>
      <sheetName val="[form-pm.xls][form-pm.xls]__691"/>
      <sheetName val="[form-pm.xls]____________L_3632"/>
      <sheetName val="[form-pm.xls]____________L_3633"/>
      <sheetName val="[form-pm.xls]____________L_3634"/>
      <sheetName val="[form-pm.xls][form-pm.xls]__693"/>
      <sheetName val="[form-pm.xls]____________L_3635"/>
      <sheetName val="[form-pm.xls]____________L_3636"/>
      <sheetName val="[form-pm.xls]____________L_3637"/>
      <sheetName val="[form-pm.xls]____________L_3638"/>
      <sheetName val="[form-pm.xls]____________L_3639"/>
      <sheetName val="[form-pm.xls][form-pm.xls]__692"/>
      <sheetName val="[form-pm.xls]____________L_3640"/>
      <sheetName val="[form-pm.xls]____________L_3641"/>
      <sheetName val="[form-pm.xls]____________L_3642"/>
      <sheetName val="[form-pm.xls]____________L_3643"/>
      <sheetName val="[form-pm.xls]____________L_3644"/>
      <sheetName val="[form-pm.xls]____________L_3645"/>
      <sheetName val="[form-pm.xls]____________L_3646"/>
      <sheetName val="[form-pm.xls]____________L_3647"/>
      <sheetName val="[form-pm.xls]____________L_3648"/>
      <sheetName val="[form-pm.xls]____________L_3649"/>
      <sheetName val="[form-pm.xls]____________L_3650"/>
      <sheetName val="[form-pm.xls][form-pm.xls]__694"/>
      <sheetName val="[form-pm.xls]____________L_3651"/>
      <sheetName val="[form-pm.xls]____________L_3652"/>
      <sheetName val="[form-pm.xls]____________L_3653"/>
      <sheetName val="[form-pm.xls]____________L_3654"/>
      <sheetName val="[form-pm.xls]____________L_3655"/>
      <sheetName val="[form-pm.xls][form-pm.xls]__696"/>
      <sheetName val="[form-pm.xls]____________L_3656"/>
      <sheetName val="[form-pm.xls]____________L_3657"/>
      <sheetName val="[form-pm.xls]____________L_3658"/>
      <sheetName val="[form-pm.xls][form-pm.xls]__697"/>
      <sheetName val="[form-pm.xls]____________L_3659"/>
      <sheetName val="[form-pm.xls]____________L_3660"/>
      <sheetName val="[form-pm.xls]____________L_3661"/>
      <sheetName val="[form-pm.xls]____________L_3662"/>
      <sheetName val="[form-pm.xls]____________L_3663"/>
      <sheetName val="[form-pm.xls][form-pm.xls]__695"/>
      <sheetName val="[form-pm.xls][form-pm.xls]__699"/>
      <sheetName val="[form-pm.xls][form-pm.xls]__698"/>
      <sheetName val="[form-pm.xls][form-pm.xls]__702"/>
      <sheetName val="[form-pm.xls]____________L_3680"/>
      <sheetName val="[form-pm.xls]____________L_3681"/>
      <sheetName val="[form-pm.xls]____________L_3682"/>
      <sheetName val="[form-pm.xls][form-pm.xls]__703"/>
      <sheetName val="[form-pm.xls]____________L_3683"/>
      <sheetName val="[form-pm.xls]____________L_3684"/>
      <sheetName val="[form-pm.xls]____________L_3685"/>
      <sheetName val="[form-pm.xls]____________L_3686"/>
      <sheetName val="[form-pm.xls]____________L_3687"/>
      <sheetName val="[form-pm.xls][form-pm.xls]__701"/>
      <sheetName val="[form-pm.xls]____________L_3672"/>
      <sheetName val="[form-pm.xls]____________L_3673"/>
      <sheetName val="[form-pm.xls]____________L_3674"/>
      <sheetName val="[form-pm.xls]____________L_3675"/>
      <sheetName val="[form-pm.xls]____________L_3676"/>
      <sheetName val="[form-pm.xls]____________L_3677"/>
      <sheetName val="[form-pm.xls]____________L_3678"/>
      <sheetName val="[form-pm.xls]____________L_3679"/>
      <sheetName val="[form-pm.xls][form-pm.xls]__700"/>
      <sheetName val="[form-pm.xls]____________L_3664"/>
      <sheetName val="[form-pm.xls]____________L_3665"/>
      <sheetName val="[form-pm.xls]____________L_3666"/>
      <sheetName val="[form-pm.xls]____________L_3667"/>
      <sheetName val="[form-pm.xls]____________L_3668"/>
      <sheetName val="[form-pm.xls]____________L_3669"/>
      <sheetName val="[form-pm.xls]____________L_3670"/>
      <sheetName val="[form-pm.xls]____________L_3671"/>
      <sheetName val="[form-pm.xls][form-pm.xls]__709"/>
      <sheetName val="[form-pm.xls][form-pm.xls]__708"/>
      <sheetName val="[form-pm.xls]____________L_3712"/>
      <sheetName val="[form-pm.xls]____________L_3713"/>
      <sheetName val="[form-pm.xls]____________L_3714"/>
      <sheetName val="[form-pm.xls]____________L_3715"/>
      <sheetName val="[form-pm.xls]____________L_3716"/>
      <sheetName val="[form-pm.xls]____________L_3717"/>
      <sheetName val="[form-pm.xls]____________L_3718"/>
      <sheetName val="[form-pm.xls]____________L_3719"/>
      <sheetName val="[form-pm.xls][form-pm.xls]__704"/>
      <sheetName val="[form-pm.xls]____________L_3696"/>
      <sheetName val="[form-pm.xls]____________L_3697"/>
      <sheetName val="[form-pm.xls]____________L_3698"/>
      <sheetName val="[form-pm.xls]____________L_3699"/>
      <sheetName val="[form-pm.xls]____________L_3700"/>
      <sheetName val="[form-pm.xls]____________L_3701"/>
      <sheetName val="[form-pm.xls]____________L_3702"/>
      <sheetName val="[form-pm.xls]____________L_3703"/>
      <sheetName val="[form-pm.xls]____________L_3688"/>
      <sheetName val="[form-pm.xls]____________L_3689"/>
      <sheetName val="[form-pm.xls]____________L_3690"/>
      <sheetName val="[form-pm.xls]____________L_3691"/>
      <sheetName val="[form-pm.xls]____________L_3692"/>
      <sheetName val="[form-pm.xls]____________L_3693"/>
      <sheetName val="[form-pm.xls]____________L_3694"/>
      <sheetName val="[form-pm.xls]____________L_3695"/>
      <sheetName val="[form-pm.xls][form-pm.xls]__705"/>
      <sheetName val="[form-pm.xls][form-pm.xls]__707"/>
      <sheetName val="[form-pm.xls]____________L_3704"/>
      <sheetName val="[form-pm.xls]____________L_3705"/>
      <sheetName val="[form-pm.xls]____________L_3706"/>
      <sheetName val="[form-pm.xls]____________L_3707"/>
      <sheetName val="[form-pm.xls]____________L_3708"/>
      <sheetName val="[form-pm.xls]____________L_3709"/>
      <sheetName val="[form-pm.xls]____________L_3710"/>
      <sheetName val="[form-pm.xls]____________L_3711"/>
      <sheetName val="[form-pm.xls][form-pm.xls]__706"/>
      <sheetName val="[form-pm.xls]____________L_3720"/>
      <sheetName val="[form-pm.xls]____________L_3721"/>
      <sheetName val="[form-pm.xls]____________L_3722"/>
      <sheetName val="[form-pm.xls][form-pm.xls]__711"/>
      <sheetName val="[form-pm.xls]____________L_3723"/>
      <sheetName val="[form-pm.xls]____________L_3724"/>
      <sheetName val="[form-pm.xls]____________L_3725"/>
      <sheetName val="[form-pm.xls]____________L_3726"/>
      <sheetName val="[form-pm.xls]____________L_3727"/>
      <sheetName val="[form-pm.xls][form-pm.xls]__710"/>
      <sheetName val="[form-pm.xls][form-pm.xls]__713"/>
      <sheetName val="[form-pm.xls]____________L_3736"/>
      <sheetName val="[form-pm.xls]____________L_3737"/>
      <sheetName val="[form-pm.xls]____________L_3738"/>
      <sheetName val="[form-pm.xls][form-pm.xls]__716"/>
      <sheetName val="[form-pm.xls]____________L_3739"/>
      <sheetName val="[form-pm.xls]____________L_3740"/>
      <sheetName val="[form-pm.xls]____________L_3741"/>
      <sheetName val="[form-pm.xls]____________L_3742"/>
      <sheetName val="[form-pm.xls]____________L_3743"/>
      <sheetName val="[form-pm.xls][form-pm.xls]__712"/>
      <sheetName val="[form-pm.xls]____________L_3728"/>
      <sheetName val="[form-pm.xls]____________L_3729"/>
      <sheetName val="[form-pm.xls]____________L_3730"/>
      <sheetName val="[form-pm.xls]____________L_3731"/>
      <sheetName val="[form-pm.xls]____________L_3732"/>
      <sheetName val="[form-pm.xls]____________L_3733"/>
      <sheetName val="[form-pm.xls]____________L_3734"/>
      <sheetName val="[form-pm.xls]____________L_3735"/>
      <sheetName val="[form-pm.xls][form-pm.xls]__714"/>
      <sheetName val="[form-pm.xls][form-pm.xls]__715"/>
      <sheetName val="[form-pm.xls]____________L_3744"/>
      <sheetName val="[form-pm.xls]____________L_3745"/>
      <sheetName val="[form-pm.xls]____________L_3746"/>
      <sheetName val="[form-pm.xls]____________L_3747"/>
      <sheetName val="[form-pm.xls]____________L_3748"/>
      <sheetName val="[form-pm.xls]____________L_3749"/>
      <sheetName val="[form-pm.xls]____________L_3750"/>
      <sheetName val="[form-pm.xls]____________L_3751"/>
      <sheetName val="[form-pm.xls][form-pm.xls]__717"/>
      <sheetName val="[form-pm.xls][form-pm.xls]__719"/>
      <sheetName val="[form-pm.xls]____________L_3760"/>
      <sheetName val="[form-pm.xls]____________L_3761"/>
      <sheetName val="[form-pm.xls]____________L_3762"/>
      <sheetName val="[form-pm.xls][form-pm.xls]__720"/>
      <sheetName val="[form-pm.xls]____________L_3763"/>
      <sheetName val="[form-pm.xls]____________L_3764"/>
      <sheetName val="[form-pm.xls]____________L_3765"/>
      <sheetName val="[form-pm.xls]____________L_3766"/>
      <sheetName val="[form-pm.xls]____________L_3767"/>
      <sheetName val="[form-pm.xls][form-pm.xls]__718"/>
      <sheetName val="[form-pm.xls]____________L_3752"/>
      <sheetName val="[form-pm.xls]____________L_3753"/>
      <sheetName val="[form-pm.xls]____________L_3754"/>
      <sheetName val="[form-pm.xls]____________L_3755"/>
      <sheetName val="[form-pm.xls]____________L_3756"/>
      <sheetName val="[form-pm.xls]____________L_3757"/>
      <sheetName val="[form-pm.xls]____________L_3758"/>
      <sheetName val="[form-pm.xls]____________L_3759"/>
      <sheetName val="[form-pm.xls][form-pm.xls]__721"/>
      <sheetName val="[form-pm.xls][form-pm.xls]__722"/>
      <sheetName val="[form-pm.xls]____________L_3768"/>
      <sheetName val="[form-pm.xls]____________L_3769"/>
      <sheetName val="[form-pm.xls]____________L_3770"/>
      <sheetName val="[form-pm.xls][form-pm.xls]__723"/>
      <sheetName val="[form-pm.xls]____________L_3771"/>
      <sheetName val="[form-pm.xls]____________L_3772"/>
      <sheetName val="[form-pm.xls]____________L_3773"/>
      <sheetName val="[form-pm.xls]____________L_3774"/>
      <sheetName val="[form-pm.xls]____________L_3775"/>
      <sheetName val="[form-pm.xls][form-pm.xls]__724"/>
      <sheetName val="[form-pm.xls][form-pm.xls]__726"/>
      <sheetName val="[form-pm.xls]____________L_3792"/>
      <sheetName val="[form-pm.xls]____________L_3793"/>
      <sheetName val="[form-pm.xls]____________L_3794"/>
      <sheetName val="[form-pm.xls][form-pm.xls]__727"/>
      <sheetName val="[form-pm.xls]____________L_3795"/>
      <sheetName val="[form-pm.xls]____________L_3796"/>
      <sheetName val="[form-pm.xls]____________L_3797"/>
      <sheetName val="[form-pm.xls]____________L_3798"/>
      <sheetName val="[form-pm.xls]____________L_3799"/>
      <sheetName val="[form-pm.xls]____________L_3776"/>
      <sheetName val="[form-pm.xls]____________L_3777"/>
      <sheetName val="[form-pm.xls]____________L_3778"/>
      <sheetName val="[form-pm.xls]____________L_3779"/>
      <sheetName val="[form-pm.xls]____________L_3780"/>
      <sheetName val="[form-pm.xls]____________L_3781"/>
      <sheetName val="[form-pm.xls]____________L_3782"/>
      <sheetName val="[form-pm.xls]____________L_3783"/>
      <sheetName val="[form-pm.xls][form-pm.xls]__725"/>
      <sheetName val="[form-pm.xls]____________L_3784"/>
      <sheetName val="[form-pm.xls]____________L_3785"/>
      <sheetName val="[form-pm.xls]____________L_3786"/>
      <sheetName val="[form-pm.xls]____________L_3787"/>
      <sheetName val="[form-pm.xls]____________L_3788"/>
      <sheetName val="[form-pm.xls]____________L_3789"/>
      <sheetName val="[form-pm.xls]____________L_3790"/>
      <sheetName val="[form-pm.xls]____________L_3791"/>
      <sheetName val="[form-pm.xls]____________L_3800"/>
      <sheetName val="[form-pm.xls]____________L_3801"/>
      <sheetName val="[form-pm.xls]____________L_3802"/>
      <sheetName val="[form-pm.xls][form-pm.xls]__728"/>
      <sheetName val="[form-pm.xls]____________L_3803"/>
      <sheetName val="[form-pm.xls]____________L_3804"/>
      <sheetName val="[form-pm.xls]____________L_3805"/>
      <sheetName val="[form-pm.xls]____________L_3806"/>
      <sheetName val="[form-pm.xls]____________L_3807"/>
      <sheetName val="[form-pm.xls][form-pm.xls]__729"/>
      <sheetName val="[form-pm.xls]____________L_3808"/>
      <sheetName val="[form-pm.xls]____________L_3809"/>
      <sheetName val="[form-pm.xls]____________L_3810"/>
      <sheetName val="[form-pm.xls][form-pm.xls]__730"/>
      <sheetName val="[form-pm.xls]____________L_3811"/>
      <sheetName val="[form-pm.xls]____________L_3812"/>
      <sheetName val="[form-pm.xls]____________L_3813"/>
      <sheetName val="[form-pm.xls]____________L_3814"/>
      <sheetName val="[form-pm.xls]____________L_3815"/>
      <sheetName val="[form-pm.xls][form-pm.xls]__736"/>
      <sheetName val="[form-pm.xls]____________L_3816"/>
      <sheetName val="[form-pm.xls]____________L_3817"/>
      <sheetName val="[form-pm.xls]____________L_3818"/>
      <sheetName val="[form-pm.xls][form-pm.xls]__731"/>
      <sheetName val="[form-pm.xls]____________L_3819"/>
      <sheetName val="[form-pm.xls]____________L_3820"/>
      <sheetName val="[form-pm.xls]____________L_3821"/>
      <sheetName val="[form-pm.xls]____________L_3822"/>
      <sheetName val="[form-pm.xls]____________L_3823"/>
      <sheetName val="[form-pm.xls][form-pm.xls]__734"/>
      <sheetName val="[form-pm.xls][form-pm.xls]__732"/>
      <sheetName val="[form-pm.xls]____________L_3832"/>
      <sheetName val="[form-pm.xls]____________L_3833"/>
      <sheetName val="[form-pm.xls]____________L_3834"/>
      <sheetName val="[form-pm.xls][form-pm.xls]__735"/>
      <sheetName val="[form-pm.xls]____________L_3835"/>
      <sheetName val="[form-pm.xls]____________L_3836"/>
      <sheetName val="[form-pm.xls]____________L_3837"/>
      <sheetName val="[form-pm.xls]____________L_3838"/>
      <sheetName val="[form-pm.xls]____________L_3839"/>
      <sheetName val="[form-pm.xls][form-pm.xls]__733"/>
      <sheetName val="[form-pm.xls]____________L_3824"/>
      <sheetName val="[form-pm.xls]____________L_3825"/>
      <sheetName val="[form-pm.xls]____________L_3826"/>
      <sheetName val="[form-pm.xls]____________L_3827"/>
      <sheetName val="[form-pm.xls]____________L_3828"/>
      <sheetName val="[form-pm.xls]____________L_3829"/>
      <sheetName val="[form-pm.xls]____________L_3830"/>
      <sheetName val="[form-pm.xls]____________L_3831"/>
      <sheetName val="[form-pm.xls][form-pm.xls]__738"/>
      <sheetName val="[form-pm.xls]____________L_3848"/>
      <sheetName val="[form-pm.xls]____________L_3849"/>
      <sheetName val="[form-pm.xls]____________L_3850"/>
      <sheetName val="[form-pm.xls][form-pm.xls]__739"/>
      <sheetName val="[form-pm.xls]____________L_3851"/>
      <sheetName val="[form-pm.xls]____________L_3852"/>
      <sheetName val="[form-pm.xls]____________L_3853"/>
      <sheetName val="[form-pm.xls]____________L_3854"/>
      <sheetName val="[form-pm.xls]____________L_3855"/>
      <sheetName val="[form-pm.xls][form-pm.xls]__737"/>
      <sheetName val="[form-pm.xls]____________L_3840"/>
      <sheetName val="[form-pm.xls]____________L_3841"/>
      <sheetName val="[form-pm.xls]____________L_3842"/>
      <sheetName val="[form-pm.xls]____________L_3843"/>
      <sheetName val="[form-pm.xls]____________L_3844"/>
      <sheetName val="[form-pm.xls]____________L_3845"/>
      <sheetName val="[form-pm.xls]____________L_3846"/>
      <sheetName val="[form-pm.xls]____________L_3847"/>
      <sheetName val="[form-pm.xls][form-pm.xls]__741"/>
      <sheetName val="[form-pm.xls]____________L_3856"/>
      <sheetName val="[form-pm.xls]____________L_3857"/>
      <sheetName val="[form-pm.xls]____________L_3858"/>
      <sheetName val="[form-pm.xls]____________L_3859"/>
      <sheetName val="[form-pm.xls]____________L_3860"/>
      <sheetName val="[form-pm.xls]____________L_3861"/>
      <sheetName val="[form-pm.xls]____________L_3862"/>
      <sheetName val="[form-pm.xls]____________L_3863"/>
      <sheetName val="[form-pm.xls][form-pm.xls]__740"/>
      <sheetName val="[form-pm.xls]____________L_3864"/>
      <sheetName val="[form-pm.xls]____________L_3865"/>
      <sheetName val="[form-pm.xls]____________L_3866"/>
      <sheetName val="[form-pm.xls][form-pm.xls]__742"/>
      <sheetName val="[form-pm.xls]____________L_3867"/>
      <sheetName val="[form-pm.xls]____________L_3868"/>
      <sheetName val="[form-pm.xls]____________L_3869"/>
      <sheetName val="[form-pm.xls]____________L_3870"/>
      <sheetName val="[form-pm.xls]____________L_3871"/>
      <sheetName val="[form-pm.xls]____________L_3872"/>
      <sheetName val="[form-pm.xls]____________L_3873"/>
      <sheetName val="[form-pm.xls]____________L_3874"/>
      <sheetName val="[form-pm.xls][form-pm.xls]__744"/>
      <sheetName val="[form-pm.xls]____________L_3875"/>
      <sheetName val="[form-pm.xls]____________L_3876"/>
      <sheetName val="[form-pm.xls]____________L_3877"/>
      <sheetName val="[form-pm.xls]____________L_3878"/>
      <sheetName val="[form-pm.xls]____________L_3879"/>
      <sheetName val="[form-pm.xls][form-pm.xls]__743"/>
      <sheetName val="[form-pm.xls][form-pm.xls]__745"/>
      <sheetName val="[form-pm.xls]____________L_3888"/>
      <sheetName val="[form-pm.xls]____________L_3889"/>
      <sheetName val="[form-pm.xls]____________L_3890"/>
      <sheetName val="[form-pm.xls][form-pm.xls]__746"/>
      <sheetName val="[form-pm.xls]____________L_3891"/>
      <sheetName val="[form-pm.xls]____________L_3892"/>
      <sheetName val="[form-pm.xls]____________L_3893"/>
      <sheetName val="[form-pm.xls]____________L_3894"/>
      <sheetName val="[form-pm.xls]____________L_3895"/>
      <sheetName val="[form-pm.xls]____________L_3880"/>
      <sheetName val="[form-pm.xls]____________L_3881"/>
      <sheetName val="[form-pm.xls]____________L_3882"/>
      <sheetName val="[form-pm.xls]____________L_3883"/>
      <sheetName val="[form-pm.xls]____________L_3884"/>
      <sheetName val="[form-pm.xls]____________L_3885"/>
      <sheetName val="[form-pm.xls]____________L_3886"/>
      <sheetName val="[form-pm.xls]____________L_3887"/>
      <sheetName val="[form-pm.xls][form-pm.xls]__747"/>
      <sheetName val="[form-pm.xls][form-pm.xls]__749"/>
      <sheetName val="[form-pm.xls]____________L_3912"/>
      <sheetName val="[form-pm.xls]____________L_3913"/>
      <sheetName val="[form-pm.xls]____________L_3914"/>
      <sheetName val="[form-pm.xls][form-pm.xls]__750"/>
      <sheetName val="[form-pm.xls]____________L_3915"/>
      <sheetName val="[form-pm.xls]____________L_3916"/>
      <sheetName val="[form-pm.xls]____________L_3917"/>
      <sheetName val="[form-pm.xls]____________L_3918"/>
      <sheetName val="[form-pm.xls]____________L_3919"/>
      <sheetName val="[form-pm.xls]____________L_3904"/>
      <sheetName val="[form-pm.xls]____________L_3905"/>
      <sheetName val="[form-pm.xls]____________L_3906"/>
      <sheetName val="[form-pm.xls][form-pm.xls]__748"/>
      <sheetName val="[form-pm.xls]____________L_3907"/>
      <sheetName val="[form-pm.xls]____________L_3908"/>
      <sheetName val="[form-pm.xls]____________L_3909"/>
      <sheetName val="[form-pm.xls]____________L_3910"/>
      <sheetName val="[form-pm.xls]____________L_3911"/>
      <sheetName val="[form-pm.xls]____________L_3896"/>
      <sheetName val="[form-pm.xls]____________L_3897"/>
      <sheetName val="[form-pm.xls]____________L_3898"/>
      <sheetName val="[form-pm.xls]____________L_3899"/>
      <sheetName val="[form-pm.xls]____________L_3900"/>
      <sheetName val="[form-pm.xls]____________L_3901"/>
      <sheetName val="[form-pm.xls]____________L_3902"/>
      <sheetName val="[form-pm.xls]____________L_3903"/>
      <sheetName val="[form-pm.xls]____________L_3920"/>
      <sheetName val="[form-pm.xls]____________L_3921"/>
      <sheetName val="[form-pm.xls]____________L_3922"/>
      <sheetName val="[form-pm.xls][form-pm.xls]__751"/>
      <sheetName val="[form-pm.xls]____________L_3923"/>
      <sheetName val="[form-pm.xls]____________L_3924"/>
      <sheetName val="[form-pm.xls]____________L_3925"/>
      <sheetName val="[form-pm.xls]____________L_3926"/>
      <sheetName val="[form-pm.xls]____________L_3927"/>
      <sheetName val="[form-pm.xls][form-pm.xls]__753"/>
      <sheetName val="[form-pm.xls]____________L_3928"/>
      <sheetName val="[form-pm.xls]____________L_3929"/>
      <sheetName val="[form-pm.xls]____________L_3930"/>
      <sheetName val="[form-pm.xls][form-pm.xls]__754"/>
      <sheetName val="[form-pm.xls]____________L_3931"/>
      <sheetName val="[form-pm.xls]____________L_3932"/>
      <sheetName val="[form-pm.xls]____________L_3933"/>
      <sheetName val="[form-pm.xls]____________L_3934"/>
      <sheetName val="[form-pm.xls]____________L_3935"/>
      <sheetName val="[form-pm.xls][form-pm.xls]__752"/>
      <sheetName val="[form-pm.xls][form-pm.xls]__756"/>
      <sheetName val="[form-pm.xls]____________L_3936"/>
      <sheetName val="[form-pm.xls]____________L_3937"/>
      <sheetName val="[form-pm.xls]____________L_3938"/>
      <sheetName val="[form-pm.xls]____________L_3939"/>
      <sheetName val="[form-pm.xls]____________L_3940"/>
      <sheetName val="[form-pm.xls]____________L_3941"/>
      <sheetName val="[form-pm.xls]____________L_3942"/>
      <sheetName val="[form-pm.xls]____________L_3943"/>
      <sheetName val="[form-pm.xls][form-pm.xls]__755"/>
      <sheetName val="[form-pm.xls][form-pm.xls]__757"/>
      <sheetName val="[form-pm.xls]____________L_3952"/>
      <sheetName val="[form-pm.xls]____________L_3953"/>
      <sheetName val="[form-pm.xls]____________L_3954"/>
      <sheetName val="[form-pm.xls][form-pm.xls]__758"/>
      <sheetName val="[form-pm.xls]____________L_3955"/>
      <sheetName val="[form-pm.xls]____________L_3956"/>
      <sheetName val="[form-pm.xls]____________L_3957"/>
      <sheetName val="[form-pm.xls]____________L_3958"/>
      <sheetName val="[form-pm.xls]____________L_3959"/>
      <sheetName val="[form-pm.xls]____________L_3944"/>
      <sheetName val="[form-pm.xls]____________L_3945"/>
      <sheetName val="[form-pm.xls]____________L_3946"/>
      <sheetName val="[form-pm.xls]____________L_3947"/>
      <sheetName val="[form-pm.xls]____________L_3948"/>
      <sheetName val="[form-pm.xls]____________L_3949"/>
      <sheetName val="[form-pm.xls]____________L_3950"/>
      <sheetName val="[form-pm.xls]____________L_3951"/>
      <sheetName val="[form-pm.xls][form-pm.xls]__781"/>
      <sheetName val="[form-pm.xls]____________L_4112"/>
      <sheetName val="[form-pm.xls]____________L_4113"/>
      <sheetName val="[form-pm.xls]____________L_4114"/>
      <sheetName val="[form-pm.xls]____________L_4115"/>
      <sheetName val="[form-pm.xls]____________L_4116"/>
      <sheetName val="[form-pm.xls]____________L_4117"/>
      <sheetName val="[form-pm.xls]____________L_4118"/>
      <sheetName val="[form-pm.xls]____________L_4119"/>
      <sheetName val="[form-pm.xls][form-pm.xls]__775"/>
      <sheetName val="[form-pm.xls]____________L_4072"/>
      <sheetName val="[form-pm.xls]____________L_4073"/>
      <sheetName val="[form-pm.xls]____________L_4074"/>
      <sheetName val="[form-pm.xls]____________L_4075"/>
      <sheetName val="[form-pm.xls]____________L_4076"/>
      <sheetName val="[form-pm.xls]____________L_4077"/>
      <sheetName val="[form-pm.xls]____________L_4078"/>
      <sheetName val="[form-pm.xls]____________L_4079"/>
      <sheetName val="[form-pm.xls]____________L_3960"/>
      <sheetName val="[form-pm.xls]____________L_3961"/>
      <sheetName val="[form-pm.xls]____________L_3962"/>
      <sheetName val="[form-pm.xls][form-pm.xls]__760"/>
      <sheetName val="[form-pm.xls]____________L_3963"/>
      <sheetName val="[form-pm.xls]____________L_3964"/>
      <sheetName val="[form-pm.xls]____________L_3965"/>
      <sheetName val="[form-pm.xls]____________L_3966"/>
      <sheetName val="[form-pm.xls]____________L_3967"/>
      <sheetName val="[form-pm.xls][form-pm.xls]__759"/>
      <sheetName val="[form-pm.xls]____________L_3968"/>
      <sheetName val="[form-pm.xls]____________L_3969"/>
      <sheetName val="[form-pm.xls]____________L_3970"/>
      <sheetName val="[form-pm.xls]____________L_3971"/>
      <sheetName val="[form-pm.xls]____________L_3972"/>
      <sheetName val="[form-pm.xls]____________L_3973"/>
      <sheetName val="[form-pm.xls]____________L_3974"/>
      <sheetName val="[form-pm.xls]____________L_3975"/>
      <sheetName val="[form-pm.xls]____________L_3976"/>
      <sheetName val="[form-pm.xls]____________L_3977"/>
      <sheetName val="[form-pm.xls]____________L_3978"/>
      <sheetName val="[form-pm.xls][form-pm.xls]__766"/>
      <sheetName val="[form-pm.xls]____________L_3979"/>
      <sheetName val="[form-pm.xls]____________L_3980"/>
      <sheetName val="[form-pm.xls]____________L_3981"/>
      <sheetName val="[form-pm.xls]____________L_3982"/>
      <sheetName val="[form-pm.xls]____________L_3983"/>
      <sheetName val="[form-pm.xls][form-pm.xls]__763"/>
      <sheetName val="[form-pm.xls][form-pm.xls]__762"/>
      <sheetName val="[form-pm.xls]____________L_3992"/>
      <sheetName val="[form-pm.xls]____________L_3993"/>
      <sheetName val="[form-pm.xls]____________L_3994"/>
      <sheetName val="[form-pm.xls]____________L_3995"/>
      <sheetName val="[form-pm.xls]____________L_3996"/>
      <sheetName val="[form-pm.xls]____________L_3997"/>
      <sheetName val="[form-pm.xls]____________L_3998"/>
      <sheetName val="[form-pm.xls]____________L_3999"/>
      <sheetName val="[form-pm.xls][form-pm.xls]__761"/>
      <sheetName val="[form-pm.xls]____________L_3984"/>
      <sheetName val="[form-pm.xls]____________L_3985"/>
      <sheetName val="[form-pm.xls]____________L_3986"/>
      <sheetName val="[form-pm.xls]____________L_3987"/>
      <sheetName val="[form-pm.xls]____________L_3988"/>
      <sheetName val="[form-pm.xls]____________L_3989"/>
      <sheetName val="[form-pm.xls]____________L_3990"/>
      <sheetName val="[form-pm.xls]____________L_3991"/>
      <sheetName val="[form-pm.xls][form-pm.xls]__765"/>
      <sheetName val="[form-pm.xls]____________L_4008"/>
      <sheetName val="[form-pm.xls]____________L_4009"/>
      <sheetName val="[form-pm.xls]____________L_4010"/>
      <sheetName val="[form-pm.xls]____________L_4011"/>
      <sheetName val="[form-pm.xls]____________L_4012"/>
      <sheetName val="[form-pm.xls]____________L_4013"/>
      <sheetName val="[form-pm.xls]____________L_4014"/>
      <sheetName val="[form-pm.xls]____________L_4015"/>
      <sheetName val="[form-pm.xls][form-pm.xls]__764"/>
      <sheetName val="[form-pm.xls]____________L_4000"/>
      <sheetName val="[form-pm.xls]____________L_4001"/>
      <sheetName val="[form-pm.xls]____________L_4002"/>
      <sheetName val="[form-pm.xls]____________L_4003"/>
      <sheetName val="[form-pm.xls]____________L_4004"/>
      <sheetName val="[form-pm.xls]____________L_4005"/>
      <sheetName val="[form-pm.xls]____________L_4006"/>
      <sheetName val="[form-pm.xls]____________L_4007"/>
      <sheetName val="[form-pm.xls][form-pm.xls]__767"/>
      <sheetName val="[form-pm.xls][form-pm.xls]__771"/>
      <sheetName val="[form-pm.xls]____________L_4040"/>
      <sheetName val="[form-pm.xls]____________L_4041"/>
      <sheetName val="[form-pm.xls]____________L_4042"/>
      <sheetName val="[form-pm.xls]____________L_4043"/>
      <sheetName val="[form-pm.xls]____________L_4044"/>
      <sheetName val="[form-pm.xls]____________L_4045"/>
      <sheetName val="[form-pm.xls]____________L_4046"/>
      <sheetName val="[form-pm.xls]____________L_4047"/>
      <sheetName val="[form-pm.xls]____________L_4024"/>
      <sheetName val="[form-pm.xls]____________L_4025"/>
      <sheetName val="[form-pm.xls]____________L_4026"/>
      <sheetName val="[form-pm.xls][form-pm.xls]__769"/>
      <sheetName val="[form-pm.xls]____________L_4027"/>
      <sheetName val="[form-pm.xls]____________L_4028"/>
      <sheetName val="[form-pm.xls]____________L_4029"/>
      <sheetName val="[form-pm.xls]____________L_4030"/>
      <sheetName val="[form-pm.xls]____________L_4031"/>
      <sheetName val="[form-pm.xls]____________L_4016"/>
      <sheetName val="[form-pm.xls]____________L_4017"/>
      <sheetName val="[form-pm.xls]____________L_4018"/>
      <sheetName val="[form-pm.xls]____________L_4019"/>
      <sheetName val="[form-pm.xls]____________L_4020"/>
      <sheetName val="[form-pm.xls]____________L_4021"/>
      <sheetName val="[form-pm.xls]____________L_4022"/>
      <sheetName val="[form-pm.xls]____________L_4023"/>
      <sheetName val="[form-pm.xls][form-pm.xls]__768"/>
      <sheetName val="[form-pm.xls][form-pm.xls]__770"/>
      <sheetName val="[form-pm.xls]____________L_4032"/>
      <sheetName val="[form-pm.xls]____________L_4033"/>
      <sheetName val="[form-pm.xls]____________L_4034"/>
      <sheetName val="[form-pm.xls]____________L_4035"/>
      <sheetName val="[form-pm.xls]____________L_4036"/>
      <sheetName val="[form-pm.xls]____________L_4037"/>
      <sheetName val="[form-pm.xls]____________L_4038"/>
      <sheetName val="[form-pm.xls]____________L_4039"/>
      <sheetName val="[form-pm.xls][form-pm.xls]__772"/>
      <sheetName val="[form-pm.xls]____________L_4048"/>
      <sheetName val="[form-pm.xls]____________L_4049"/>
      <sheetName val="[form-pm.xls]____________L_4050"/>
      <sheetName val="[form-pm.xls]____________L_4051"/>
      <sheetName val="[form-pm.xls]____________L_4052"/>
      <sheetName val="[form-pm.xls]____________L_4053"/>
      <sheetName val="[form-pm.xls]____________L_4054"/>
      <sheetName val="[form-pm.xls]____________L_4055"/>
      <sheetName val="[form-pm.xls][form-pm.xls]__773"/>
      <sheetName val="[form-pm.xls]____________L_4056"/>
      <sheetName val="[form-pm.xls]____________L_4057"/>
      <sheetName val="[form-pm.xls]____________L_4058"/>
      <sheetName val="[form-pm.xls]____________L_4059"/>
      <sheetName val="[form-pm.xls]____________L_4060"/>
      <sheetName val="[form-pm.xls]____________L_4061"/>
      <sheetName val="[form-pm.xls]____________L_4062"/>
      <sheetName val="[form-pm.xls]____________L_4063"/>
      <sheetName val="[form-pm.xls][form-pm.xls]__774"/>
      <sheetName val="[form-pm.xls]____________L_4064"/>
      <sheetName val="[form-pm.xls]____________L_4065"/>
      <sheetName val="[form-pm.xls]____________L_4066"/>
      <sheetName val="[form-pm.xls]____________L_4067"/>
      <sheetName val="[form-pm.xls]____________L_4068"/>
      <sheetName val="[form-pm.xls]____________L_4069"/>
      <sheetName val="[form-pm.xls]____________L_4070"/>
      <sheetName val="[form-pm.xls]____________L_4071"/>
      <sheetName val="[form-pm.xls][form-pm.xls]__778"/>
      <sheetName val="[form-pm.xls]____________L_4096"/>
      <sheetName val="[form-pm.xls]____________L_4097"/>
      <sheetName val="[form-pm.xls]____________L_4098"/>
      <sheetName val="[form-pm.xls][form-pm.xls]__779"/>
      <sheetName val="[form-pm.xls]____________L_4099"/>
      <sheetName val="[form-pm.xls]____________L_4100"/>
      <sheetName val="[form-pm.xls]____________L_4101"/>
      <sheetName val="[form-pm.xls]____________L_4102"/>
      <sheetName val="[form-pm.xls]____________L_4103"/>
      <sheetName val="[form-pm.xls][form-pm.xls]__776"/>
      <sheetName val="[form-pm.xls]____________L_4080"/>
      <sheetName val="[form-pm.xls]____________L_4081"/>
      <sheetName val="[form-pm.xls]____________L_4082"/>
      <sheetName val="[form-pm.xls]____________L_4083"/>
      <sheetName val="[form-pm.xls]____________L_4084"/>
      <sheetName val="[form-pm.xls]____________L_4085"/>
      <sheetName val="[form-pm.xls]____________L_4086"/>
      <sheetName val="[form-pm.xls]____________L_4087"/>
      <sheetName val="[form-pm.xls][form-pm.xls]__777"/>
      <sheetName val="[form-pm.xls]____________L_4088"/>
      <sheetName val="[form-pm.xls]____________L_4089"/>
      <sheetName val="[form-pm.xls]____________L_4090"/>
      <sheetName val="[form-pm.xls]____________L_4091"/>
      <sheetName val="[form-pm.xls]____________L_4092"/>
      <sheetName val="[form-pm.xls]____________L_4093"/>
      <sheetName val="[form-pm.xls]____________L_4094"/>
      <sheetName val="[form-pm.xls]____________L_4095"/>
      <sheetName val="[form-pm.xls][form-pm.xls]__780"/>
      <sheetName val="[form-pm.xls]____________L_4104"/>
      <sheetName val="[form-pm.xls]____________L_4105"/>
      <sheetName val="[form-pm.xls]____________L_4106"/>
      <sheetName val="[form-pm.xls]____________L_4107"/>
      <sheetName val="[form-pm.xls]____________L_4108"/>
      <sheetName val="[form-pm.xls]____________L_4109"/>
      <sheetName val="[form-pm.xls]____________L_4110"/>
      <sheetName val="[form-pm.xls]____________L_4111"/>
      <sheetName val="OLIE"/>
      <sheetName val="2 Pct"/>
      <sheetName val="[form-pm.xls][form-pm.xls]__798"/>
      <sheetName val="[form-pm.xls]____________L_4216"/>
      <sheetName val="[form-pm.xls]____________L_4217"/>
      <sheetName val="[form-pm.xls]____________L_4218"/>
      <sheetName val="[form-pm.xls][form-pm.xls]__800"/>
      <sheetName val="[form-pm.xls]____________L_4219"/>
      <sheetName val="[form-pm.xls]____________L_4220"/>
      <sheetName val="[form-pm.xls]____________L_4221"/>
      <sheetName val="[form-pm.xls]____________L_4222"/>
      <sheetName val="[form-pm.xls]____________L_4223"/>
      <sheetName val="[form-pm.xls][form-pm.xls]__782"/>
      <sheetName val="[form-pm.xls]____________L_4120"/>
      <sheetName val="[form-pm.xls]____________L_4121"/>
      <sheetName val="[form-pm.xls]____________L_4122"/>
      <sheetName val="[form-pm.xls][form-pm.xls]__783"/>
      <sheetName val="[form-pm.xls]____________L_4123"/>
      <sheetName val="[form-pm.xls]____________L_4124"/>
      <sheetName val="[form-pm.xls]____________L_4125"/>
      <sheetName val="[form-pm.xls]____________L_4126"/>
      <sheetName val="[form-pm.xls]____________L_4127"/>
      <sheetName val="[form-pm.xls][form-pm.xls]__784"/>
      <sheetName val="[form-pm.xls]____________L_4128"/>
      <sheetName val="[form-pm.xls]____________L_4129"/>
      <sheetName val="[form-pm.xls]____________L_4130"/>
      <sheetName val="[form-pm.xls]____________L_4131"/>
      <sheetName val="[form-pm.xls]____________L_4132"/>
      <sheetName val="[form-pm.xls]____________L_4133"/>
      <sheetName val="[form-pm.xls]____________L_4134"/>
      <sheetName val="[form-pm.xls]____________L_4135"/>
      <sheetName val="[form-pm.xls][form-pm.xls]__785"/>
      <sheetName val="[form-pm.xls]____________L_4136"/>
      <sheetName val="[form-pm.xls]____________L_4137"/>
      <sheetName val="[form-pm.xls]____________L_4138"/>
      <sheetName val="[form-pm.xls][form-pm.xls]__786"/>
      <sheetName val="[form-pm.xls]____________L_4139"/>
      <sheetName val="[form-pm.xls]____________L_4140"/>
      <sheetName val="[form-pm.xls]____________L_4141"/>
      <sheetName val="[form-pm.xls]____________L_4142"/>
      <sheetName val="[form-pm.xls]____________L_4143"/>
      <sheetName val="[form-pm.xls][form-pm.xls]__787"/>
      <sheetName val="[form-pm.xls]____________L_4144"/>
      <sheetName val="[form-pm.xls]____________L_4145"/>
      <sheetName val="[form-pm.xls]____________L_4146"/>
      <sheetName val="[form-pm.xls][form-pm.xls]__788"/>
      <sheetName val="[form-pm.xls]____________L_4147"/>
      <sheetName val="[form-pm.xls]____________L_4148"/>
      <sheetName val="[form-pm.xls]____________L_4149"/>
      <sheetName val="[form-pm.xls]____________L_4150"/>
      <sheetName val="[form-pm.xls]____________L_4151"/>
      <sheetName val="[form-pm.xls]____________L_4152"/>
      <sheetName val="[form-pm.xls]____________L_4153"/>
      <sheetName val="[form-pm.xls]____________L_4154"/>
      <sheetName val="[form-pm.xls]____________L_4155"/>
      <sheetName val="[form-pm.xls]____________L_4156"/>
      <sheetName val="[form-pm.xls]____________L_4157"/>
      <sheetName val="[form-pm.xls]____________L_4158"/>
      <sheetName val="[form-pm.xls]____________L_4159"/>
      <sheetName val="[form-pm.xls][form-pm.xls]__790"/>
      <sheetName val="[form-pm.xls]____________L_4168"/>
      <sheetName val="[form-pm.xls]____________L_4169"/>
      <sheetName val="[form-pm.xls]____________L_4170"/>
      <sheetName val="[form-pm.xls][form-pm.xls]__791"/>
      <sheetName val="[form-pm.xls]____________L_4171"/>
      <sheetName val="[form-pm.xls]____________L_4172"/>
      <sheetName val="[form-pm.xls]____________L_4173"/>
      <sheetName val="[form-pm.xls]____________L_4174"/>
      <sheetName val="[form-pm.xls]____________L_4175"/>
      <sheetName val="[form-pm.xls][form-pm.xls]__789"/>
      <sheetName val="[form-pm.xls]____________L_4160"/>
      <sheetName val="[form-pm.xls]____________L_4161"/>
      <sheetName val="[form-pm.xls]____________L_4162"/>
      <sheetName val="[form-pm.xls]____________L_4163"/>
      <sheetName val="[form-pm.xls]____________L_4164"/>
      <sheetName val="[form-pm.xls]____________L_4165"/>
      <sheetName val="[form-pm.xls]____________L_4166"/>
      <sheetName val="[form-pm.xls]____________L_4167"/>
      <sheetName val="[form-pm.xls][form-pm.xls]__792"/>
      <sheetName val="[form-pm.xls]____________L_4184"/>
      <sheetName val="[form-pm.xls]____________L_4185"/>
      <sheetName val="[form-pm.xls]____________L_4186"/>
      <sheetName val="[form-pm.xls]____________L_4187"/>
      <sheetName val="[form-pm.xls]____________L_4188"/>
      <sheetName val="[form-pm.xls]____________L_4189"/>
      <sheetName val="[form-pm.xls]____________L_4190"/>
      <sheetName val="[form-pm.xls]____________L_4191"/>
      <sheetName val="[form-pm.xls]____________L_4176"/>
      <sheetName val="[form-pm.xls]____________L_4177"/>
      <sheetName val="[form-pm.xls]____________L_4178"/>
      <sheetName val="[form-pm.xls]____________L_4179"/>
      <sheetName val="[form-pm.xls]____________L_4180"/>
      <sheetName val="[form-pm.xls]____________L_4181"/>
      <sheetName val="[form-pm.xls]____________L_4182"/>
      <sheetName val="[form-pm.xls]____________L_4183"/>
      <sheetName val="[form-pm.xls][form-pm.xls]__797"/>
      <sheetName val="[form-pm.xls]____________L_4208"/>
      <sheetName val="[form-pm.xls]____________L_4209"/>
      <sheetName val="[form-pm.xls]____________L_4210"/>
      <sheetName val="[form-pm.xls]____________L_4211"/>
      <sheetName val="[form-pm.xls]____________L_4212"/>
      <sheetName val="[form-pm.xls]____________L_4213"/>
      <sheetName val="[form-pm.xls]____________L_4214"/>
      <sheetName val="[form-pm.xls]____________L_4215"/>
      <sheetName val="[form-pm.xls][form-pm.xls]__794"/>
      <sheetName val="[form-pm.xls][form-pm.xls]__793"/>
      <sheetName val="[form-pm.xls][form-pm.xls]__795"/>
      <sheetName val="[form-pm.xls]____________L_4192"/>
      <sheetName val="[form-pm.xls]____________L_4193"/>
      <sheetName val="[form-pm.xls]____________L_4194"/>
      <sheetName val="[form-pm.xls]____________L_4195"/>
      <sheetName val="[form-pm.xls]____________L_4196"/>
      <sheetName val="[form-pm.xls]____________L_4197"/>
      <sheetName val="[form-pm.xls]____________L_4198"/>
      <sheetName val="[form-pm.xls]____________L_4199"/>
      <sheetName val="[form-pm.xls][form-pm.xls]__796"/>
      <sheetName val="[form-pm.xls]____________L_4200"/>
      <sheetName val="[form-pm.xls]____________L_4201"/>
      <sheetName val="[form-pm.xls]____________L_4202"/>
      <sheetName val="[form-pm.xls]____________L_4203"/>
      <sheetName val="[form-pm.xls]____________L_4204"/>
      <sheetName val="[form-pm.xls]____________L_4205"/>
      <sheetName val="[form-pm.xls]____________L_4206"/>
      <sheetName val="[form-pm.xls]____________L_4207"/>
      <sheetName val="[form-pm.xls][form-pm.xls]__799"/>
      <sheetName val="[form-pm.xls][form-pm.xls]__804"/>
      <sheetName val="[form-pm.xls][form-pm.xls]__801"/>
      <sheetName val="[form-pm.xls][form-pm.xls]__802"/>
      <sheetName val="[form-pm.xls][form-pm.xls]__803"/>
      <sheetName val="[form-pm.xls][form-pm.xls]__809"/>
      <sheetName val="[form-pm.xls][form-pm.xls]__805"/>
      <sheetName val="[form-pm.xls][form-pm.xls]__806"/>
      <sheetName val="[form-pm.xls][form-pm.xls]__807"/>
      <sheetName val="[form-pm.xls][form-pm.xls]__808"/>
      <sheetName val="[form-pm.xls][form-pm.xls]__810"/>
      <sheetName val="[form-pm.xls][form-pm.xls]__811"/>
      <sheetName val="[form-pm.xls][form-pm.xls]__814"/>
      <sheetName val="[form-pm.xls][form-pm.xls]__812"/>
      <sheetName val="[form-pm.xls][form-pm.xls]__813"/>
      <sheetName val="[form-pm.xls][form-pm.xls]__815"/>
      <sheetName val="[form-pm.xls][form-pm.xls]__844"/>
      <sheetName val="[form-pm.xls][form-pm.xls]__843"/>
      <sheetName val="[form-pm.xls]____________L_4280"/>
      <sheetName val="[form-pm.xls]____________L_4281"/>
      <sheetName val="[form-pm.xls]____________L_4282"/>
      <sheetName val="[form-pm.xls]____________L_4283"/>
      <sheetName val="[form-pm.xls]____________L_4284"/>
      <sheetName val="[form-pm.xls]____________L_4285"/>
      <sheetName val="[form-pm.xls]____________L_4286"/>
      <sheetName val="[form-pm.xls]____________L_4287"/>
      <sheetName val="[form-pm.xls]____________L_4224"/>
      <sheetName val="[form-pm.xls]____________L_4225"/>
      <sheetName val="[form-pm.xls]____________L_4226"/>
      <sheetName val="[form-pm.xls]____________L_4227"/>
      <sheetName val="[form-pm.xls]____________L_4228"/>
      <sheetName val="[form-pm.xls]____________L_4229"/>
      <sheetName val="[form-pm.xls]____________L_4230"/>
      <sheetName val="[form-pm.xls]____________L_4231"/>
      <sheetName val="[form-pm.xls]____________L_4232"/>
      <sheetName val="[form-pm.xls]____________L_4233"/>
      <sheetName val="[form-pm.xls]____________L_4234"/>
      <sheetName val="[form-pm.xls]____________L_4235"/>
      <sheetName val="[form-pm.xls]____________L_4236"/>
      <sheetName val="[form-pm.xls]____________L_4237"/>
      <sheetName val="[form-pm.xls]____________L_4238"/>
      <sheetName val="[form-pm.xls]____________L_4239"/>
      <sheetName val="[form-pm.xls]____________L_4240"/>
      <sheetName val="[form-pm.xls]____________L_4241"/>
      <sheetName val="[form-pm.xls]____________L_4242"/>
      <sheetName val="[form-pm.xls]____________L_4243"/>
      <sheetName val="[form-pm.xls]____________L_4244"/>
      <sheetName val="[form-pm.xls]____________L_4245"/>
      <sheetName val="[form-pm.xls]____________L_4246"/>
      <sheetName val="[form-pm.xls]____________L_4247"/>
      <sheetName val="[form-pm.xls]____________L_4248"/>
      <sheetName val="[form-pm.xls]____________L_4249"/>
      <sheetName val="[form-pm.xls]____________L_4250"/>
      <sheetName val="[form-pm.xls]____________L_4251"/>
      <sheetName val="[form-pm.xls]____________L_4252"/>
      <sheetName val="[form-pm.xls]____________L_4253"/>
      <sheetName val="[form-pm.xls]____________L_4254"/>
      <sheetName val="[form-pm.xls]____________L_4255"/>
      <sheetName val="[form-pm.xls]____________L_4256"/>
      <sheetName val="[form-pm.xls]____________L_4257"/>
      <sheetName val="[form-pm.xls]____________L_4258"/>
      <sheetName val="[form-pm.xls]____________L_4259"/>
      <sheetName val="[form-pm.xls]____________L_4260"/>
      <sheetName val="[form-pm.xls]____________L_4261"/>
      <sheetName val="[form-pm.xls]____________L_4262"/>
      <sheetName val="[form-pm.xls]____________L_4263"/>
      <sheetName val="[form-pm.xls]____________L_4264"/>
      <sheetName val="[form-pm.xls]____________L_4265"/>
      <sheetName val="[form-pm.xls]____________L_4266"/>
      <sheetName val="[form-pm.xls]____________L_4267"/>
      <sheetName val="[form-pm.xls]____________L_4268"/>
      <sheetName val="[form-pm.xls]____________L_4269"/>
      <sheetName val="[form-pm.xls]____________L_4270"/>
      <sheetName val="[form-pm.xls]____________L_4271"/>
      <sheetName val="[form-pm.xls]____________L_4272"/>
      <sheetName val="[form-pm.xls]____________L_4273"/>
      <sheetName val="[form-pm.xls]____________L_4274"/>
      <sheetName val="[form-pm.xls]____________L_4275"/>
      <sheetName val="[form-pm.xls]____________L_4276"/>
      <sheetName val="[form-pm.xls]____________L_4277"/>
      <sheetName val="[form-pm.xls]____________L_4278"/>
      <sheetName val="[form-pm.xls]____________L_4279"/>
      <sheetName val="[form-pm.xls][form-pm.xls]__821"/>
      <sheetName val="[form-pm.xls][form-pm.xls]__820"/>
      <sheetName val="[form-pm.xls]____________L_4312"/>
      <sheetName val="[form-pm.xls]____________L_4313"/>
      <sheetName val="[form-pm.xls]____________L_4314"/>
      <sheetName val="[form-pm.xls]____________L_4315"/>
      <sheetName val="[form-pm.xls]____________L_4316"/>
      <sheetName val="[form-pm.xls]____________L_4317"/>
      <sheetName val="[form-pm.xls]____________L_4318"/>
      <sheetName val="[form-pm.xls]____________L_4319"/>
      <sheetName val="[form-pm.xls][form-pm.xls]__817"/>
      <sheetName val="[form-pm.xls]____________L_4288"/>
      <sheetName val="[form-pm.xls]____________L_4289"/>
      <sheetName val="[form-pm.xls]____________L_4290"/>
      <sheetName val="[form-pm.xls][form-pm.xls]__819"/>
      <sheetName val="[form-pm.xls]____________L_4291"/>
      <sheetName val="[form-pm.xls]____________L_4292"/>
      <sheetName val="[form-pm.xls]____________L_4293"/>
      <sheetName val="[form-pm.xls]____________L_4294"/>
      <sheetName val="[form-pm.xls]____________L_4295"/>
      <sheetName val="[form-pm.xls][form-pm.xls]__816"/>
      <sheetName val="[form-pm.xls]____________L_4304"/>
      <sheetName val="[form-pm.xls]____________L_4305"/>
      <sheetName val="[form-pm.xls]____________L_4306"/>
      <sheetName val="[form-pm.xls]____________L_4307"/>
      <sheetName val="[form-pm.xls]____________L_4308"/>
      <sheetName val="[form-pm.xls]____________L_4309"/>
      <sheetName val="[form-pm.xls]____________L_4310"/>
      <sheetName val="[form-pm.xls]____________L_4311"/>
      <sheetName val="[form-pm.xls][form-pm.xls]__818"/>
      <sheetName val="[form-pm.xls]____________L_4296"/>
      <sheetName val="[form-pm.xls]____________L_4297"/>
      <sheetName val="[form-pm.xls]____________L_4298"/>
      <sheetName val="[form-pm.xls]____________L_4299"/>
      <sheetName val="[form-pm.xls]____________L_4300"/>
      <sheetName val="[form-pm.xls]____________L_4301"/>
      <sheetName val="[form-pm.xls]____________L_4302"/>
      <sheetName val="[form-pm.xls]____________L_4303"/>
      <sheetName val="[form-pm.xls][form-pm.xls]__822"/>
      <sheetName val="[form-pm.xls]____________L_4320"/>
      <sheetName val="[form-pm.xls]____________L_4321"/>
      <sheetName val="[form-pm.xls]____________L_4322"/>
      <sheetName val="[form-pm.xls][form-pm.xls]__825"/>
      <sheetName val="[form-pm.xls]____________L_4323"/>
      <sheetName val="[form-pm.xls]____________L_4324"/>
      <sheetName val="[form-pm.xls]____________L_4325"/>
      <sheetName val="[form-pm.xls]____________L_4326"/>
      <sheetName val="[form-pm.xls]____________L_4327"/>
      <sheetName val="[form-pm.xls][form-pm.xls]__823"/>
      <sheetName val="[form-pm.xls]____________L_4328"/>
      <sheetName val="[form-pm.xls]____________L_4329"/>
      <sheetName val="[form-pm.xls]____________L_4330"/>
      <sheetName val="[form-pm.xls][form-pm.xls]__826"/>
      <sheetName val="[form-pm.xls]____________L_4331"/>
      <sheetName val="[form-pm.xls]____________L_4332"/>
      <sheetName val="[form-pm.xls]____________L_4333"/>
      <sheetName val="[form-pm.xls]____________L_4334"/>
      <sheetName val="[form-pm.xls]____________L_4335"/>
      <sheetName val="[form-pm.xls][form-pm.xls]__824"/>
      <sheetName val="[form-pm.xls][form-pm.xls]__827"/>
      <sheetName val="[form-pm.xls][form-pm.xls]__828"/>
      <sheetName val="[form-pm.xls][form-pm.xls]__829"/>
      <sheetName val="[form-pm.xls]____________L_4336"/>
      <sheetName val="[form-pm.xls]____________L_4337"/>
      <sheetName val="[form-pm.xls]____________L_4338"/>
      <sheetName val="[form-pm.xls][form-pm.xls]__838"/>
      <sheetName val="[form-pm.xls]____________L_4339"/>
      <sheetName val="[form-pm.xls]____________L_4340"/>
      <sheetName val="[form-pm.xls]____________L_4341"/>
      <sheetName val="[form-pm.xls]____________L_4342"/>
      <sheetName val="[form-pm.xls]____________L_4343"/>
      <sheetName val="[form-pm.xls]____________L_4344"/>
      <sheetName val="[form-pm.xls]____________L_4345"/>
      <sheetName val="[form-pm.xls]____________L_4346"/>
      <sheetName val="[form-pm.xls][form-pm.xls]__831"/>
      <sheetName val="[form-pm.xls]____________L_4347"/>
      <sheetName val="[form-pm.xls]____________L_4348"/>
      <sheetName val="[form-pm.xls]____________L_4349"/>
      <sheetName val="[form-pm.xls]____________L_4350"/>
      <sheetName val="[form-pm.xls]____________L_4351"/>
      <sheetName val="[form-pm.xls][form-pm.xls]__830"/>
      <sheetName val="[form-pm.xls][form-pm.xls]__834"/>
      <sheetName val="[form-pm.xls][form-pm.xls]__833"/>
      <sheetName val="[form-pm.xls][form-pm.xls]__832"/>
      <sheetName val="[form-pm.xls][form-pm.xls]__835"/>
      <sheetName val="[form-pm.xls]____________L_4352"/>
      <sheetName val="[form-pm.xls]____________L_4353"/>
      <sheetName val="[form-pm.xls]____________L_4354"/>
      <sheetName val="[form-pm.xls]____________L_4355"/>
      <sheetName val="[form-pm.xls]____________L_4356"/>
      <sheetName val="[form-pm.xls]____________L_4357"/>
      <sheetName val="[form-pm.xls]____________L_4358"/>
      <sheetName val="[form-pm.xls]____________L_4359"/>
      <sheetName val="[form-pm.xls][form-pm.xls]__837"/>
      <sheetName val="[form-pm.xls][form-pm.xls]__836"/>
      <sheetName val="[form-pm.xls]____________L_4360"/>
      <sheetName val="[form-pm.xls]____________L_4361"/>
      <sheetName val="[form-pm.xls]____________L_4362"/>
      <sheetName val="[form-pm.xls][form-pm.xls]__839"/>
      <sheetName val="[form-pm.xls]____________L_4363"/>
      <sheetName val="[form-pm.xls]____________L_4364"/>
      <sheetName val="[form-pm.xls]____________L_4365"/>
      <sheetName val="[form-pm.xls]____________L_4366"/>
      <sheetName val="[form-pm.xls]____________L_4367"/>
      <sheetName val="[form-pm.xls][form-pm.xls]__840"/>
      <sheetName val="[form-pm.xls][form-pm.xls]__841"/>
      <sheetName val="[form-pm.xls]____________L_4368"/>
      <sheetName val="[form-pm.xls]____________L_4369"/>
      <sheetName val="[form-pm.xls]____________L_4370"/>
      <sheetName val="[form-pm.xls][form-pm.xls]__842"/>
      <sheetName val="[form-pm.xls]____________L_4371"/>
      <sheetName val="[form-pm.xls]____________L_4372"/>
      <sheetName val="[form-pm.xls]____________L_4373"/>
      <sheetName val="[form-pm.xls]____________L_4374"/>
      <sheetName val="[form-pm.xls]____________L_4375"/>
      <sheetName val="[form-pm.xls][form-pm.xls]__846"/>
      <sheetName val="[form-pm.xls]____________L_4384"/>
      <sheetName val="[form-pm.xls]____________L_4385"/>
      <sheetName val="[form-pm.xls]____________L_4386"/>
      <sheetName val="[form-pm.xls][form-pm.xls]__847"/>
      <sheetName val="[form-pm.xls]____________L_4387"/>
      <sheetName val="[form-pm.xls]____________L_4388"/>
      <sheetName val="[form-pm.xls]____________L_4389"/>
      <sheetName val="[form-pm.xls]____________L_4390"/>
      <sheetName val="[form-pm.xls]____________L_4391"/>
      <sheetName val="[form-pm.xls][form-pm.xls]__845"/>
      <sheetName val="[form-pm.xls]____________L_4376"/>
      <sheetName val="[form-pm.xls]____________L_4377"/>
      <sheetName val="[form-pm.xls]____________L_4378"/>
      <sheetName val="[form-pm.xls]____________L_4379"/>
      <sheetName val="[form-pm.xls]____________L_4380"/>
      <sheetName val="[form-pm.xls]____________L_4381"/>
      <sheetName val="[form-pm.xls]____________L_4382"/>
      <sheetName val="[form-pm.xls]____________L_4383"/>
      <sheetName val="[form-pm.xls]____________L_4392"/>
      <sheetName val="[form-pm.xls]____________L_4393"/>
      <sheetName val="[form-pm.xls]____________L_4394"/>
      <sheetName val="[form-pm.xls][form-pm.xls]__850"/>
      <sheetName val="[form-pm.xls]____________L_4395"/>
      <sheetName val="[form-pm.xls]____________L_4396"/>
      <sheetName val="[form-pm.xls]____________L_4397"/>
      <sheetName val="[form-pm.xls]____________L_4398"/>
      <sheetName val="[form-pm.xls]____________L_4399"/>
      <sheetName val="[form-pm.xls][form-pm.xls]__848"/>
      <sheetName val="[form-pm.xls]____________L_4408"/>
      <sheetName val="[form-pm.xls]____________L_4409"/>
      <sheetName val="[form-pm.xls]____________L_4410"/>
      <sheetName val="[form-pm.xls][form-pm.xls]__915"/>
      <sheetName val="[form-pm.xls]____________L_4411"/>
      <sheetName val="[form-pm.xls]____________L_4412"/>
      <sheetName val="[form-pm.xls]____________L_4413"/>
      <sheetName val="[form-pm.xls]____________L_4414"/>
      <sheetName val="[form-pm.xls]____________L_4415"/>
      <sheetName val="[form-pm.xls][form-pm.xls]__849"/>
      <sheetName val="[form-pm.xls]____________L_4400"/>
      <sheetName val="[form-pm.xls]____________L_4401"/>
      <sheetName val="[form-pm.xls]____________L_4402"/>
      <sheetName val="[form-pm.xls]____________L_4403"/>
      <sheetName val="[form-pm.xls]____________L_4404"/>
      <sheetName val="[form-pm.xls]____________L_4405"/>
      <sheetName val="[form-pm.xls]____________L_4406"/>
      <sheetName val="[form-pm.xls]____________L_4407"/>
      <sheetName val="[form-pm.xls][form-pm.xls]__851"/>
      <sheetName val="[form-pm.xls][form-pm.xls]__854"/>
      <sheetName val="[form-pm.xls]____________L_4472"/>
      <sheetName val="[form-pm.xls]____________L_4473"/>
      <sheetName val="[form-pm.xls]____________L_4474"/>
      <sheetName val="[form-pm.xls][form-pm.xls]__855"/>
      <sheetName val="[form-pm.xls]____________L_4475"/>
      <sheetName val="[form-pm.xls]____________L_4476"/>
      <sheetName val="[form-pm.xls]____________L_4477"/>
      <sheetName val="[form-pm.xls]____________L_4478"/>
      <sheetName val="[form-pm.xls]____________L_4479"/>
      <sheetName val="[form-pm.xls]____________L_4416"/>
      <sheetName val="[form-pm.xls]____________L_4417"/>
      <sheetName val="[form-pm.xls]____________L_4418"/>
      <sheetName val="[form-pm.xls]____________L_4419"/>
      <sheetName val="[form-pm.xls]____________L_4420"/>
      <sheetName val="[form-pm.xls]____________L_4421"/>
      <sheetName val="[form-pm.xls]____________L_4422"/>
      <sheetName val="[form-pm.xls]____________L_4423"/>
      <sheetName val="[form-pm.xls]____________L_4424"/>
      <sheetName val="[form-pm.xls]____________L_4425"/>
      <sheetName val="[form-pm.xls]____________L_4426"/>
      <sheetName val="[form-pm.xls]____________L_4427"/>
      <sheetName val="[form-pm.xls]____________L_4428"/>
      <sheetName val="[form-pm.xls]____________L_4429"/>
      <sheetName val="[form-pm.xls]____________L_4430"/>
      <sheetName val="[form-pm.xls]____________L_4431"/>
      <sheetName val="[form-pm.xls]____________L_4432"/>
      <sheetName val="[form-pm.xls]____________L_4433"/>
      <sheetName val="[form-pm.xls]____________L_4434"/>
      <sheetName val="[form-pm.xls]____________L_4435"/>
      <sheetName val="[form-pm.xls]____________L_4436"/>
      <sheetName val="[form-pm.xls]____________L_4437"/>
      <sheetName val="[form-pm.xls]____________L_4438"/>
      <sheetName val="[form-pm.xls]____________L_4439"/>
      <sheetName val="[form-pm.xls]____________L_4448"/>
      <sheetName val="[form-pm.xls]____________L_4449"/>
      <sheetName val="[form-pm.xls]____________L_4450"/>
      <sheetName val="[form-pm.xls]____________L_4451"/>
      <sheetName val="[form-pm.xls]____________L_4452"/>
      <sheetName val="[form-pm.xls]____________L_4453"/>
      <sheetName val="[form-pm.xls]____________L_4454"/>
      <sheetName val="[form-pm.xls]____________L_4455"/>
      <sheetName val="[form-pm.xls]____________L_4440"/>
      <sheetName val="[form-pm.xls]____________L_4441"/>
      <sheetName val="[form-pm.xls]____________L_4442"/>
      <sheetName val="[form-pm.xls]____________L_4443"/>
      <sheetName val="[form-pm.xls]____________L_4444"/>
      <sheetName val="[form-pm.xls]____________L_4445"/>
      <sheetName val="[form-pm.xls]____________L_4446"/>
      <sheetName val="[form-pm.xls]____________L_4447"/>
      <sheetName val="[form-pm.xls]____________L_4456"/>
      <sheetName val="[form-pm.xls]____________L_4457"/>
      <sheetName val="[form-pm.xls]____________L_4458"/>
      <sheetName val="[form-pm.xls][form-pm.xls]__852"/>
      <sheetName val="[form-pm.xls]____________L_4459"/>
      <sheetName val="[form-pm.xls]____________L_4460"/>
      <sheetName val="[form-pm.xls]____________L_4461"/>
      <sheetName val="[form-pm.xls]____________L_4462"/>
      <sheetName val="[form-pm.xls]____________L_4463"/>
      <sheetName val="[form-pm.xls][form-pm.xls]__853"/>
      <sheetName val="[form-pm.xls]____________L_4464"/>
      <sheetName val="[form-pm.xls]____________L_4465"/>
      <sheetName val="[form-pm.xls]____________L_4466"/>
      <sheetName val="[form-pm.xls]____________L_4467"/>
      <sheetName val="[form-pm.xls]____________L_4468"/>
      <sheetName val="[form-pm.xls]____________L_4469"/>
      <sheetName val="[form-pm.xls]____________L_4470"/>
      <sheetName val="[form-pm.xls]____________L_4471"/>
      <sheetName val="[form-pm.xls][form-pm.xls]__856"/>
      <sheetName val="[form-pm.xls]____________L_4480"/>
      <sheetName val="[form-pm.xls]____________L_4481"/>
      <sheetName val="[form-pm.xls]____________L_4482"/>
      <sheetName val="[form-pm.xls][form-pm.xls]__857"/>
      <sheetName val="[form-pm.xls]____________L_4483"/>
      <sheetName val="[form-pm.xls]____________L_4484"/>
      <sheetName val="[form-pm.xls]____________L_4485"/>
      <sheetName val="[form-pm.xls]____________L_4486"/>
      <sheetName val="[form-pm.xls]____________L_4487"/>
      <sheetName val="[form-pm.xls][form-pm.xls]__872"/>
      <sheetName val="[form-pm.xls]____________L_4488"/>
      <sheetName val="[form-pm.xls]____________L_4489"/>
      <sheetName val="[form-pm.xls]____________L_4490"/>
      <sheetName val="[form-pm.xls][form-pm.xls]__873"/>
      <sheetName val="[form-pm.xls]____________L_4491"/>
      <sheetName val="[form-pm.xls]____________L_4492"/>
      <sheetName val="[form-pm.xls]____________L_4493"/>
      <sheetName val="[form-pm.xls]____________L_4494"/>
      <sheetName val="[form-pm.xls]____________L_4495"/>
      <sheetName val="[form-pm.xls][form-pm.xls]__858"/>
      <sheetName val="[form-pm.xls][form-pm.xls]__861"/>
      <sheetName val="[form-pm.xls][form-pm.xls]__862"/>
      <sheetName val="[form-pm.xls][form-pm.xls]__859"/>
      <sheetName val="[form-pm.xls][form-pm.xls]__860"/>
      <sheetName val="[form-pm.xls][form-pm.xls]__863"/>
      <sheetName val="[form-pm.xls][form-pm.xls]__864"/>
      <sheetName val="[form-pm.xls][form-pm.xls]__865"/>
      <sheetName val="[form-pm.xls][form-pm.xls]__866"/>
      <sheetName val="[form-pm.xls][form-pm.xls]__867"/>
      <sheetName val="[form-pm.xls][form-pm.xls]__869"/>
      <sheetName val="[form-pm.xls][form-pm.xls]__868"/>
      <sheetName val="[form-pm.xls][form-pm.xls]__871"/>
      <sheetName val="[form-pm.xls][form-pm.xls]__870"/>
      <sheetName val="[form-pm.xls][form-pm.xls]__878"/>
      <sheetName val="[form-pm.xls]____________L_4512"/>
      <sheetName val="[form-pm.xls]____________L_4513"/>
      <sheetName val="[form-pm.xls]____________L_4514"/>
      <sheetName val="[form-pm.xls][form-pm.xls]__879"/>
      <sheetName val="[form-pm.xls]____________L_4515"/>
      <sheetName val="[form-pm.xls]____________L_4516"/>
      <sheetName val="[form-pm.xls]____________L_4517"/>
      <sheetName val="[form-pm.xls]____________L_4518"/>
      <sheetName val="[form-pm.xls]____________L_4519"/>
      <sheetName val="[form-pm.xls]____________L_4496"/>
      <sheetName val="[form-pm.xls]____________L_4497"/>
      <sheetName val="[form-pm.xls]____________L_4498"/>
      <sheetName val="[form-pm.xls][form-pm.xls]__874"/>
      <sheetName val="[form-pm.xls]____________L_4499"/>
      <sheetName val="[form-pm.xls]____________L_4500"/>
      <sheetName val="[form-pm.xls]____________L_4501"/>
      <sheetName val="[form-pm.xls]____________L_4502"/>
      <sheetName val="[form-pm.xls]____________L_4503"/>
      <sheetName val="[form-pm.xls][form-pm.xls]__877"/>
      <sheetName val="[form-pm.xls]____________L_4504"/>
      <sheetName val="[form-pm.xls]____________L_4505"/>
      <sheetName val="[form-pm.xls]____________L_4506"/>
      <sheetName val="[form-pm.xls]____________L_4507"/>
      <sheetName val="[form-pm.xls]____________L_4508"/>
      <sheetName val="[form-pm.xls]____________L_4509"/>
      <sheetName val="[form-pm.xls]____________L_4510"/>
      <sheetName val="[form-pm.xls]____________L_4511"/>
      <sheetName val="[form-pm.xls][form-pm.xls]__876"/>
      <sheetName val="[form-pm.xls][form-pm.xls]__875"/>
      <sheetName val="[form-pm.xls][form-pm.xls]__885"/>
      <sheetName val="[form-pm.xls]____________L_4536"/>
      <sheetName val="[form-pm.xls]____________L_4537"/>
      <sheetName val="[form-pm.xls]____________L_4538"/>
      <sheetName val="[form-pm.xls][form-pm.xls]__889"/>
      <sheetName val="[form-pm.xls]____________L_4539"/>
      <sheetName val="[form-pm.xls]____________L_4540"/>
      <sheetName val="[form-pm.xls]____________L_4541"/>
      <sheetName val="[form-pm.xls]____________L_4542"/>
      <sheetName val="[form-pm.xls]____________L_4543"/>
      <sheetName val="[form-pm.xls]____________L_4520"/>
      <sheetName val="[form-pm.xls]____________L_4521"/>
      <sheetName val="[form-pm.xls]____________L_4522"/>
      <sheetName val="[form-pm.xls][form-pm.xls]__880"/>
      <sheetName val="[form-pm.xls]____________L_4523"/>
      <sheetName val="[form-pm.xls]____________L_4524"/>
      <sheetName val="[form-pm.xls]____________L_4525"/>
      <sheetName val="[form-pm.xls]____________L_4526"/>
      <sheetName val="[form-pm.xls]____________L_4527"/>
      <sheetName val="[form-pm.xls][form-pm.xls]__881"/>
      <sheetName val="[form-pm.xls]____________L_4528"/>
      <sheetName val="[form-pm.xls]____________L_4529"/>
      <sheetName val="[form-pm.xls]____________L_4530"/>
      <sheetName val="[form-pm.xls][form-pm.xls]__884"/>
      <sheetName val="[form-pm.xls]____________L_4531"/>
      <sheetName val="[form-pm.xls]____________L_4532"/>
      <sheetName val="[form-pm.xls]____________L_4533"/>
      <sheetName val="[form-pm.xls]____________L_4534"/>
      <sheetName val="[form-pm.xls]____________L_4535"/>
      <sheetName val="[form-pm.xls][form-pm.xls]__882"/>
      <sheetName val="[form-pm.xls][form-pm.xls]__883"/>
      <sheetName val="[form-pm.xls][form-pm.xls]__888"/>
      <sheetName val="[form-pm.xls]____________L_4544"/>
      <sheetName val="[form-pm.xls]____________L_4545"/>
      <sheetName val="[form-pm.xls]____________L_4546"/>
      <sheetName val="[form-pm.xls]____________L_4547"/>
      <sheetName val="[form-pm.xls]____________L_4548"/>
      <sheetName val="[form-pm.xls]____________L_4549"/>
      <sheetName val="[form-pm.xls]____________L_4550"/>
      <sheetName val="[form-pm.xls]____________L_4551"/>
      <sheetName val="[form-pm.xls][form-pm.xls]__887"/>
      <sheetName val="[form-pm.xls][form-pm.xls]__886"/>
      <sheetName val="[form-pm.xls]____________L_4552"/>
      <sheetName val="[form-pm.xls]____________L_4553"/>
      <sheetName val="[form-pm.xls]____________L_4554"/>
      <sheetName val="[form-pm.xls][form-pm.xls]__890"/>
      <sheetName val="[form-pm.xls]____________L_4555"/>
      <sheetName val="[form-pm.xls]____________L_4556"/>
      <sheetName val="[form-pm.xls]____________L_4557"/>
      <sheetName val="[form-pm.xls]____________L_4558"/>
      <sheetName val="[form-pm.xls]____________L_4559"/>
      <sheetName val="[form-pm.xls][form-pm.xls]__891"/>
      <sheetName val="[form-pm.xls][form-pm.xls]__893"/>
      <sheetName val="[form-pm.xls][form-pm.xls]__892"/>
      <sheetName val="[form-pm.xls]____________L_4560"/>
      <sheetName val="[form-pm.xls]____________L_4561"/>
      <sheetName val="[form-pm.xls]____________L_4562"/>
      <sheetName val="[form-pm.xls][form-pm.xls]__894"/>
      <sheetName val="[form-pm.xls]____________L_4563"/>
      <sheetName val="[form-pm.xls]____________L_4564"/>
      <sheetName val="[form-pm.xls]____________L_4565"/>
      <sheetName val="[form-pm.xls]____________L_4566"/>
      <sheetName val="[form-pm.xls]____________L_4567"/>
      <sheetName val="[form-pm.xls]____________L_4568"/>
      <sheetName val="[form-pm.xls]____________L_4569"/>
      <sheetName val="[form-pm.xls]____________L_4570"/>
      <sheetName val="[form-pm.xls][form-pm.xls]__899"/>
      <sheetName val="[form-pm.xls]____________L_4571"/>
      <sheetName val="[form-pm.xls]____________L_4572"/>
      <sheetName val="[form-pm.xls]____________L_4573"/>
      <sheetName val="[form-pm.xls]____________L_4574"/>
      <sheetName val="[form-pm.xls]____________L_4575"/>
      <sheetName val="[form-pm.xls][form-pm.xls]__896"/>
      <sheetName val="[form-pm.xls]____________L_4576"/>
      <sheetName val="[form-pm.xls]____________L_4577"/>
      <sheetName val="[form-pm.xls]____________L_4578"/>
      <sheetName val="[form-pm.xls][form-pm.xls]__897"/>
      <sheetName val="[form-pm.xls]____________L_4579"/>
      <sheetName val="[form-pm.xls]____________L_4580"/>
      <sheetName val="[form-pm.xls]____________L_4581"/>
      <sheetName val="[form-pm.xls]____________L_4582"/>
      <sheetName val="[form-pm.xls]____________L_4583"/>
      <sheetName val="[form-pm.xls][form-pm.xls]__895"/>
      <sheetName val="[form-pm.xls][form-pm.xls]__898"/>
      <sheetName val="[form-pm.xls][form-pm.xls]__902"/>
      <sheetName val="[form-pm.xls][form-pm.xls]__900"/>
      <sheetName val="[form-pm.xls][form-pm.xls]__901"/>
      <sheetName val="[form-pm.xls][form-pm.xls]__905"/>
      <sheetName val="[form-pm.xls]____________L_4600"/>
      <sheetName val="[form-pm.xls]____________L_4601"/>
      <sheetName val="[form-pm.xls]____________L_4602"/>
      <sheetName val="[form-pm.xls][form-pm.xls]__909"/>
      <sheetName val="[form-pm.xls]____________L_4603"/>
      <sheetName val="[form-pm.xls]____________L_4604"/>
      <sheetName val="[form-pm.xls]____________L_4605"/>
      <sheetName val="[form-pm.xls]____________L_4606"/>
      <sheetName val="[form-pm.xls]____________L_4607"/>
      <sheetName val="[form-pm.xls][form-pm.xls]__903"/>
      <sheetName val="[form-pm.xls]____________L_4584"/>
      <sheetName val="[form-pm.xls]____________L_4585"/>
      <sheetName val="[form-pm.xls]____________L_4586"/>
      <sheetName val="[form-pm.xls]____________L_4587"/>
      <sheetName val="[form-pm.xls]____________L_4588"/>
      <sheetName val="[form-pm.xls]____________L_4589"/>
      <sheetName val="[form-pm.xls]____________L_4590"/>
      <sheetName val="[form-pm.xls]____________L_4591"/>
      <sheetName val="[form-pm.xls][form-pm.xls]__904"/>
      <sheetName val="[form-pm.xls]____________L_4592"/>
      <sheetName val="[form-pm.xls]____________L_4593"/>
      <sheetName val="[form-pm.xls]____________L_4594"/>
      <sheetName val="[form-pm.xls]____________L_4595"/>
      <sheetName val="[form-pm.xls]____________L_4596"/>
      <sheetName val="[form-pm.xls]____________L_4597"/>
      <sheetName val="[form-pm.xls]____________L_4598"/>
      <sheetName val="[form-pm.xls]____________L_4599"/>
      <sheetName val="[form-pm.xls][form-pm.xls]__906"/>
      <sheetName val="[form-pm.xls]____________L_4608"/>
      <sheetName val="[form-pm.xls]____________L_4609"/>
      <sheetName val="[form-pm.xls]____________L_4610"/>
      <sheetName val="[form-pm.xls]____________L_4611"/>
      <sheetName val="[form-pm.xls]____________L_4612"/>
      <sheetName val="[form-pm.xls]____________L_4613"/>
      <sheetName val="[form-pm.xls]____________L_4614"/>
      <sheetName val="[form-pm.xls]____________L_4615"/>
      <sheetName val="[form-pm.xls][form-pm.xls]__907"/>
      <sheetName val="[form-pm.xls][form-pm.xls]__908"/>
      <sheetName val="[form-pm.xls]____________L_4616"/>
      <sheetName val="[form-pm.xls]____________L_4617"/>
      <sheetName val="[form-pm.xls]____________L_4618"/>
      <sheetName val="[form-pm.xls]____________L_4619"/>
      <sheetName val="[form-pm.xls]____________L_4620"/>
      <sheetName val="[form-pm.xls]____________L_4621"/>
      <sheetName val="[form-pm.xls]____________L_4622"/>
      <sheetName val="[form-pm.xls]____________L_4623"/>
      <sheetName val="[form-pm.xls][form-pm.xls]__910"/>
      <sheetName val="[form-pm.xls]____________L_4632"/>
      <sheetName val="[form-pm.xls]____________L_4633"/>
      <sheetName val="[form-pm.xls]____________L_4634"/>
      <sheetName val="[form-pm.xls][form-pm.xls]__911"/>
      <sheetName val="[form-pm.xls]____________L_4635"/>
      <sheetName val="[form-pm.xls]____________L_4636"/>
      <sheetName val="[form-pm.xls]____________L_4637"/>
      <sheetName val="[form-pm.xls]____________L_4638"/>
      <sheetName val="[form-pm.xls]____________L_4639"/>
      <sheetName val="[form-pm.xls]____________L_4624"/>
      <sheetName val="[form-pm.xls]____________L_4625"/>
      <sheetName val="[form-pm.xls]____________L_4626"/>
      <sheetName val="[form-pm.xls]____________L_4627"/>
      <sheetName val="[form-pm.xls]____________L_4628"/>
      <sheetName val="[form-pm.xls]____________L_4629"/>
      <sheetName val="[form-pm.xls]____________L_4630"/>
      <sheetName val="[form-pm.xls]____________L_4631"/>
      <sheetName val="[form-pm.xls][form-pm.xls]__912"/>
      <sheetName val="[form-pm.xls]____________L_4640"/>
      <sheetName val="[form-pm.xls]____________L_4641"/>
      <sheetName val="[form-pm.xls]____________L_4642"/>
      <sheetName val="[form-pm.xls][form-pm.xls]__913"/>
      <sheetName val="[form-pm.xls]____________L_4643"/>
      <sheetName val="[form-pm.xls]____________L_4644"/>
      <sheetName val="[form-pm.xls]____________L_4645"/>
      <sheetName val="[form-pm.xls]____________L_4646"/>
      <sheetName val="[form-pm.xls]____________L_4647"/>
      <sheetName val="[form-pm.xls]____________L_4648"/>
      <sheetName val="[form-pm.xls]____________L_4649"/>
      <sheetName val="[form-pm.xls]____________L_4650"/>
      <sheetName val="[form-pm.xls][form-pm.xls]__914"/>
      <sheetName val="[form-pm.xls]____________L_4651"/>
      <sheetName val="[form-pm.xls]____________L_4652"/>
      <sheetName val="[form-pm.xls]____________L_4653"/>
      <sheetName val="[form-pm.xls]____________L_4654"/>
      <sheetName val="[form-pm.xls]____________L_4655"/>
      <sheetName val="[form-pm.xls]____________L_4696"/>
      <sheetName val="[form-pm.xls]____________L_4697"/>
      <sheetName val="[form-pm.xls]____________L_4698"/>
      <sheetName val="[form-pm.xls]____________L_4699"/>
      <sheetName val="[form-pm.xls]____________L_4700"/>
      <sheetName val="[form-pm.xls]____________L_4701"/>
      <sheetName val="[form-pm.xls]____________L_4702"/>
      <sheetName val="[form-pm.xls]____________L_4703"/>
      <sheetName val="[form-pm.xls]____________L_4656"/>
      <sheetName val="[form-pm.xls]____________L_4657"/>
      <sheetName val="[form-pm.xls]____________L_4658"/>
      <sheetName val="[form-pm.xls]____________L_4659"/>
      <sheetName val="[form-pm.xls]____________L_4660"/>
      <sheetName val="[form-pm.xls]____________L_4661"/>
      <sheetName val="[form-pm.xls]____________L_4662"/>
      <sheetName val="[form-pm.xls]____________L_4663"/>
      <sheetName val="[form-pm.xls]____________L_4680"/>
      <sheetName val="[form-pm.xls]____________L_4681"/>
      <sheetName val="[form-pm.xls]____________L_4682"/>
      <sheetName val="[form-pm.xls]____________L_4683"/>
      <sheetName val="[form-pm.xls]____________L_4684"/>
      <sheetName val="[form-pm.xls]____________L_4685"/>
      <sheetName val="[form-pm.xls]____________L_4686"/>
      <sheetName val="[form-pm.xls]____________L_4687"/>
      <sheetName val="[form-pm.xls]____________L_4664"/>
      <sheetName val="[form-pm.xls]____________L_4665"/>
      <sheetName val="[form-pm.xls]____________L_4666"/>
      <sheetName val="[form-pm.xls]____________L_4667"/>
      <sheetName val="[form-pm.xls]____________L_4668"/>
      <sheetName val="[form-pm.xls]____________L_4669"/>
      <sheetName val="[form-pm.xls]____________L_4670"/>
      <sheetName val="[form-pm.xls]____________L_4671"/>
      <sheetName val="[form-pm.xls]____________L_4672"/>
      <sheetName val="[form-pm.xls]____________L_4673"/>
      <sheetName val="[form-pm.xls]____________L_4674"/>
      <sheetName val="[form-pm.xls]____________L_4675"/>
      <sheetName val="[form-pm.xls]____________L_4676"/>
      <sheetName val="[form-pm.xls]____________L_4677"/>
      <sheetName val="[form-pm.xls]____________L_4678"/>
      <sheetName val="[form-pm.xls]____________L_4679"/>
      <sheetName val="[form-pm.xls]____________L_4688"/>
      <sheetName val="[form-pm.xls]____________L_4689"/>
      <sheetName val="[form-pm.xls]____________L_4690"/>
      <sheetName val="[form-pm.xls]____________L_4691"/>
      <sheetName val="[form-pm.xls]____________L_4692"/>
      <sheetName val="[form-pm.xls]____________L_4693"/>
      <sheetName val="[form-pm.xls]____________L_4694"/>
      <sheetName val="[form-pm.xls]____________L_4695"/>
      <sheetName val="[form-pm.xls]____________L_4704"/>
      <sheetName val="[form-pm.xls]____________L_4705"/>
      <sheetName val="[form-pm.xls]____________L_4706"/>
      <sheetName val="[form-pm.xls]____________L_4707"/>
      <sheetName val="[form-pm.xls]____________L_4708"/>
      <sheetName val="[form-pm.xls]____________L_4709"/>
      <sheetName val="[form-pm.xls]____________L_4710"/>
      <sheetName val="[form-pm.xls]____________L_4711"/>
      <sheetName val="[form-pm.xls][form-pm.xls]__919"/>
      <sheetName val="[form-pm.xls][form-pm.xls]__916"/>
      <sheetName val="[form-pm.xls][form-pm.xls]__917"/>
      <sheetName val="[form-pm.xls]____________L_4720"/>
      <sheetName val="[form-pm.xls]____________L_4721"/>
      <sheetName val="[form-pm.xls]____________L_4722"/>
      <sheetName val="[form-pm.xls]____________L_4723"/>
      <sheetName val="[form-pm.xls]____________L_4724"/>
      <sheetName val="[form-pm.xls]____________L_4725"/>
      <sheetName val="[form-pm.xls]____________L_4726"/>
      <sheetName val="[form-pm.xls]____________L_4727"/>
      <sheetName val="[form-pm.xls][form-pm.xls]__918"/>
      <sheetName val="[form-pm.xls]____________L_4712"/>
      <sheetName val="[form-pm.xls]____________L_4713"/>
      <sheetName val="[form-pm.xls]____________L_4714"/>
      <sheetName val="[form-pm.xls]____________L_4715"/>
      <sheetName val="[form-pm.xls]____________L_4716"/>
      <sheetName val="[form-pm.xls]____________L_4717"/>
      <sheetName val="[form-pm.xls]____________L_4718"/>
      <sheetName val="[form-pm.xls]____________L_4719"/>
      <sheetName val="[form-pm.xls][form-pm.xls]__920"/>
      <sheetName val="[form-pm.xls]____________L_4728"/>
      <sheetName val="[form-pm.xls]____________L_4729"/>
      <sheetName val="[form-pm.xls]____________L_4730"/>
      <sheetName val="[form-pm.xls][form-pm.xls]__921"/>
      <sheetName val="[form-pm.xls]____________L_4731"/>
      <sheetName val="[form-pm.xls]____________L_4732"/>
      <sheetName val="[form-pm.xls]____________L_4733"/>
      <sheetName val="[form-pm.xls]____________L_4734"/>
      <sheetName val="[form-pm.xls]____________L_4735"/>
      <sheetName val="_x0000__x0000__x0000__x0000__x0000__x0000__x0000__x0000__x0000__x0000__x0000_L_x001e__x0000_[b~/_x0002_Q_x001e__x0000_V¦Í_x0004__x000b__x0000__x0000_"/>
      <sheetName val="???????????L_x001e_?[b~/_x0002_Q_x001e_?V¦Í_x0004__x000b_??"/>
      <sheetName val="???????????L_x005f_x001e_?[b~/_x0002"/>
      <sheetName val="L[b~/QV¦Í"/>
      <sheetName val="???????????L?[b~/Q?V¦Í??"/>
      <sheetName val="_x0000__x0000__x0000__x0000__x0000__x0000__x0000__x0000__x0000__x0000__x0000_˜L_x001e__x0000_[b~/_x0002_Q_x001e__x0000_V¦Í_x0004__x000b__x0000__x0000_"/>
      <sheetName val="???????????˜L_x001e_?[b~/_x0002_Q_x001e_?V¦Í_x0004__x000b_??"/>
      <sheetName val="???????????˜L_x005f_x001e_?[b~/_x0002"/>
      <sheetName val="???????????L_x005f_x005f_x005f_x001e_?[b~/"/>
      <sheetName val="[form-pm.xls][form-pm.xls]__923"/>
      <sheetName val="[form-pm.xls]____________L_4744"/>
      <sheetName val="[form-pm.xls]____________L_4745"/>
      <sheetName val="[form-pm.xls]____________L_4746"/>
      <sheetName val="[form-pm.xls][form-pm.xls]__924"/>
      <sheetName val="[form-pm.xls]____________L_4747"/>
      <sheetName val="[form-pm.xls]____________L_4748"/>
      <sheetName val="[form-pm.xls]____________L_4749"/>
      <sheetName val="[form-pm.xls]____________L_4750"/>
      <sheetName val="[form-pm.xls]____________L_4751"/>
      <sheetName val="[form-pm.xls][form-pm.xls]__925"/>
      <sheetName val="[form-pm.xls]____________L_4752"/>
      <sheetName val="[form-pm.xls]____________L_4753"/>
      <sheetName val="[form-pm.xls]____________L_4754"/>
      <sheetName val="[form-pm.xls][form-pm.xls]__926"/>
      <sheetName val="[form-pm.xls]____________L_4755"/>
      <sheetName val="[form-pm.xls]____________L_4756"/>
      <sheetName val="[form-pm.xls]____________L_4757"/>
      <sheetName val="[form-pm.xls]____________L_4758"/>
      <sheetName val="[form-pm.xls]____________L_4759"/>
      <sheetName val="[form-pm.xls][form-pm.xls]__927"/>
      <sheetName val="[form-pm.xls]____________L_4760"/>
      <sheetName val="[form-pm.xls]____________L_4761"/>
      <sheetName val="[form-pm.xls]____________L_4762"/>
      <sheetName val="[form-pm.xls][form-pm.xls]__928"/>
      <sheetName val="[form-pm.xls]____________L_4763"/>
      <sheetName val="[form-pm.xls]____________L_4764"/>
      <sheetName val="[form-pm.xls]____________L_4765"/>
      <sheetName val="[form-pm.xls]____________L_4766"/>
      <sheetName val="[form-pm.xls]____________L_4767"/>
      <sheetName val="[form-pm.xls]____________L_4768"/>
      <sheetName val="[form-pm.xls]____________L_4769"/>
      <sheetName val="[form-pm.xls]____________L_4770"/>
      <sheetName val="[form-pm.xls][form-pm.xls]__929"/>
      <sheetName val="[form-pm.xls]____________L_4771"/>
      <sheetName val="[form-pm.xls]____________L_4772"/>
      <sheetName val="[form-pm.xls]____________L_4773"/>
      <sheetName val="[form-pm.xls]____________L_4774"/>
      <sheetName val="[form-pm.xls]____________L_4775"/>
      <sheetName val="[form-pm.xls][form-pm.xls]__930"/>
      <sheetName val="[form-pm.xls]____________L_4776"/>
      <sheetName val="[form-pm.xls]____________L_4777"/>
      <sheetName val="[form-pm.xls]____________L_4778"/>
      <sheetName val="[form-pm.xls]____________L_4779"/>
      <sheetName val="[form-pm.xls]____________L_4780"/>
      <sheetName val="[form-pm.xls]____________L_4781"/>
      <sheetName val="[form-pm.xls]____________L_4782"/>
      <sheetName val="[form-pm.xls]____________L_4783"/>
    </sheetNames>
    <sheetDataSet>
      <sheetData sheetId="0">
        <row r="923">
          <cell r="V923">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sheetData sheetId="930"/>
      <sheetData sheetId="931" refreshError="1"/>
      <sheetData sheetId="932" refreshError="1"/>
      <sheetData sheetId="933" refreshError="1"/>
      <sheetData sheetId="934" refreshError="1"/>
      <sheetData sheetId="935" refreshError="1"/>
      <sheetData sheetId="936"/>
      <sheetData sheetId="937"/>
      <sheetData sheetId="938"/>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pp"/>
      <sheetName val="indir"/>
      <sheetName val="Equip"/>
      <sheetName val="labor"/>
      <sheetName val="LOADDAT"/>
      <sheetName val="cvlRKYS"/>
      <sheetName val="Bare Summary"/>
      <sheetName val="Hauler Pdty"/>
      <sheetName val="Loader Category"/>
      <sheetName val="Hauler Category"/>
      <sheetName val="Print (4)"/>
      <sheetName val="Bare_Summary"/>
      <sheetName val="Hauler_Pdty"/>
      <sheetName val="Loader_Category"/>
      <sheetName val="Hauler_Category"/>
      <sheetName val="Print_(4)"/>
      <sheetName val="Bare_Summary1"/>
      <sheetName val="Hauler_Pdty1"/>
      <sheetName val="Loader_Category1"/>
      <sheetName val="Hauler_Category1"/>
      <sheetName val="Print_(4)1"/>
      <sheetName val="Bare_Summary2"/>
      <sheetName val="Hauler_Pdty2"/>
      <sheetName val="Loader_Category2"/>
      <sheetName val="Hauler_Category2"/>
      <sheetName val="Print_(4)2"/>
      <sheetName val="SAMO"/>
      <sheetName val="ocean voyage"/>
      <sheetName val="Bare_Summary3"/>
      <sheetName val="Hauler_Pdty3"/>
      <sheetName val="Loader_Category3"/>
      <sheetName val="Hauler_Category3"/>
      <sheetName val="Print_(4)3"/>
      <sheetName val="ocean_voyage"/>
      <sheetName val="GeneralInfo"/>
      <sheetName val="Analisa"/>
      <sheetName val="Productivity"/>
      <sheetName val="name"/>
      <sheetName val="civil-yin"/>
      <sheetName val="Notes"/>
      <sheetName val="Memb Schd"/>
      <sheetName val="Conn. Lib"/>
      <sheetName val="ESCON"/>
      <sheetName val="HPP"/>
      <sheetName val="SITE-E"/>
      <sheetName val="AN_KSN"/>
      <sheetName val="STR"/>
      <sheetName val="IPL_SCHEDULE"/>
      <sheetName val="REF.ONLY"/>
      <sheetName val="Rekapitulasi"/>
      <sheetName val="SAP"/>
      <sheetName val="tifico"/>
      <sheetName val="Cover"/>
      <sheetName val="struktur tdk dipakai"/>
      <sheetName val="Cash Flow bulanan"/>
      <sheetName val="RAB AR&amp;STR"/>
      <sheetName val="Upah"/>
      <sheetName val="Matrl"/>
      <sheetName val="LOADING2"/>
      <sheetName val="dia-in"/>
      <sheetName val="PPC"/>
      <sheetName val="AC"/>
      <sheetName val="Harga"/>
      <sheetName val="Kantor"/>
      <sheetName val="A"/>
      <sheetName val="NAMES"/>
      <sheetName val="HARGA MATERIAL"/>
      <sheetName val="villa"/>
      <sheetName val="SEX"/>
      <sheetName val="H.Satuan"/>
      <sheetName val="Cover Daf_2"/>
      <sheetName val="GSMTOWER"/>
      <sheetName val="Div2"/>
      <sheetName val="Estimate"/>
      <sheetName val="01A- RAB"/>
      <sheetName val="DATA HARGA"/>
      <sheetName val="BQ STP 35 M3 A&amp;B"/>
      <sheetName val="DETAIL RAP"/>
      <sheetName val="Week9-Feb    "/>
      <sheetName val="I-ME"/>
      <sheetName val="Steel-Twr"/>
      <sheetName val="rab - persiapan &amp; lantai-1"/>
      <sheetName val="MASTER R1"/>
      <sheetName val="Pipe"/>
      <sheetName val="valve-20k"/>
      <sheetName val="valve"/>
      <sheetName val="Dafmat"/>
      <sheetName val="Cov_bid"/>
      <sheetName val="BoQ"/>
      <sheetName val="THREE PASS"/>
      <sheetName val="vessel weight"/>
      <sheetName val="Proc_REK_1"/>
      <sheetName val="Mob"/>
      <sheetName val="D7"/>
      <sheetName val="Perm. Test"/>
      <sheetName val="Personnel"/>
      <sheetName val="4334-Summary"/>
      <sheetName val="LPA Daily MBR0"/>
      <sheetName val="Coal Inventory ALL"/>
      <sheetName val="Graphic Days"/>
      <sheetName val="DB"/>
      <sheetName val="Labor Rate"/>
      <sheetName val="BAG-2"/>
      <sheetName val="BAG_2"/>
      <sheetName val="I-KAMAR"/>
      <sheetName val="Bunga"/>
      <sheetName val="Rekap Addendum"/>
      <sheetName val="Rate"/>
      <sheetName val="RKP"/>
      <sheetName val="MarkUp"/>
      <sheetName val="RAB"/>
      <sheetName val="TU"/>
      <sheetName val="대비표"/>
      <sheetName val="Harsat"/>
      <sheetName val="CBD"/>
      <sheetName val="PConsCS"/>
      <sheetName val="XREF"/>
      <sheetName val="TBM"/>
      <sheetName val="TOTAL  "/>
      <sheetName val=" schedule AMD-2 Rev III"/>
      <sheetName val="TOWN"/>
      <sheetName val="DAF_2"/>
      <sheetName val="PLUMBING"/>
      <sheetName val="Memb_Schd"/>
      <sheetName val="Conn__Lib"/>
      <sheetName val="Cash_Flow_bulanan"/>
      <sheetName val="RAB_AR&amp;STR"/>
      <sheetName val="Bahan"/>
      <sheetName val="Man Power"/>
      <sheetName val="ANHAR"/>
      <sheetName val="SUBCON"/>
      <sheetName val="Pt"/>
      <sheetName val="arab"/>
      <sheetName val="BILL"/>
      <sheetName val="Scheme Mob."/>
      <sheetName val="data_val"/>
      <sheetName val="BQ Rev. 0"/>
      <sheetName val="Kuantitas &amp; Harga"/>
      <sheetName val="DHSD"/>
      <sheetName val="Job Data"/>
      <sheetName val="DB_ET200(R. A)"/>
      <sheetName val="forecast CF Plan REV.1 "/>
      <sheetName val="jobhist"/>
      <sheetName val="Peralatan"/>
      <sheetName val="Project_P"/>
      <sheetName val="Rek_Div"/>
      <sheetName val="MP_PLAN"/>
      <sheetName val="CASH"/>
      <sheetName val="집계표(OPTION)"/>
      <sheetName val="Bid Summary"/>
      <sheetName val="Spread"/>
      <sheetName val="RESUME"/>
      <sheetName val="Daf Pekerjaan"/>
      <sheetName val="Summary"/>
      <sheetName val="SUM ME"/>
      <sheetName val="Mark Up"/>
      <sheetName val="INPUT DATAS"/>
      <sheetName val="Links"/>
      <sheetName val="C"/>
      <sheetName val="bq"/>
      <sheetName val="#REF"/>
      <sheetName val="Valuation"/>
      <sheetName val="Vibro_Roller"/>
      <sheetName val="alat"/>
      <sheetName val="DATA PROYEK"/>
      <sheetName val="B. PERSONIL"/>
      <sheetName val="Lamp-4 Sat-Das"/>
      <sheetName val="SchC"/>
      <sheetName val="SewAlat"/>
      <sheetName val="ETo"/>
      <sheetName val="Sheet2"/>
      <sheetName val="Sheet3"/>
      <sheetName val="koef"/>
      <sheetName val="SCH"/>
      <sheetName val="LAMA (wilayah 4)"/>
      <sheetName val="AHS"/>
      <sheetName val="Galian 1"/>
      <sheetName val="DATA"/>
      <sheetName val="kontrak"/>
      <sheetName val="GAGAL PROD"/>
      <sheetName val="Up &amp; bhn"/>
      <sheetName val="5-ALAT(1)"/>
      <sheetName val="4-Basic Price"/>
      <sheetName val="THREE_PASS"/>
      <sheetName val="vessel_weight"/>
      <sheetName val="Perm__Test"/>
      <sheetName val="struktur_tdk_dipakai"/>
      <sheetName val="HARGA_MATERIAL"/>
      <sheetName val="H_Satuan"/>
      <sheetName val="Cover_Daf_2"/>
      <sheetName val="01A-_RAB"/>
      <sheetName val="DATA_HARGA"/>
      <sheetName val="BQ_STP_35_M3_A&amp;B"/>
      <sheetName val="DETAIL_RAP"/>
      <sheetName val="Week9-Feb____"/>
      <sheetName val="rab_-_persiapan_&amp;_lantai-1"/>
      <sheetName val="MASTER_R1"/>
      <sheetName val="_schedule_AMD-2_Rev_III"/>
      <sheetName val="GAGAL_PROD"/>
      <sheetName val="Volume"/>
      <sheetName val="4.04"/>
      <sheetName val="ITEM OF WORK"/>
      <sheetName val="TIM"/>
      <sheetName val="SDMTA"/>
      <sheetName val="HB "/>
      <sheetName val="Analisa Harga Satuan"/>
      <sheetName val="REKAP"/>
      <sheetName val="anal SNI"/>
      <sheetName val="bahan SNI"/>
      <sheetName val="Agregat Halus &amp; Kasar"/>
      <sheetName val="BOQ Rekap"/>
      <sheetName val="D-Bahan &amp; Upah"/>
      <sheetName val="HARGA SATUAN"/>
      <sheetName val="Twr (15)"/>
      <sheetName val="Main"/>
      <sheetName val="OLIE"/>
      <sheetName val="Sheet7"/>
      <sheetName val="Sheet9"/>
      <sheetName val="Sheet5"/>
      <sheetName val="PRO_COAL"/>
      <sheetName val="Detail PS"/>
      <sheetName val="Reference"/>
      <sheetName val="Bare_Summary4"/>
      <sheetName val="Hauler_Pdty4"/>
      <sheetName val="Loader_Category4"/>
      <sheetName val="Hauler_Category4"/>
      <sheetName val="Print_(4)4"/>
      <sheetName val="ocean_voyage1"/>
      <sheetName val="Memb_Schd1"/>
      <sheetName val="Conn__Lib1"/>
      <sheetName val="REF_ONLY"/>
      <sheetName val="Cash_Flow_bulanan1"/>
      <sheetName val="RAB_AR&amp;STR1"/>
      <sheetName val="LPA_Daily_MBR0"/>
      <sheetName val="Coal_Inventory_ALL"/>
      <sheetName val="Graphic_Days"/>
      <sheetName val="Labor_Rate"/>
      <sheetName val="Rekap_Addendum"/>
      <sheetName val="TOTAL__"/>
      <sheetName val="Man_Power"/>
      <sheetName val="Scheme_Mob_"/>
      <sheetName val="BQ_Rev__0"/>
      <sheetName val="Kuantitas_&amp;_Harga"/>
      <sheetName val="Detail_PS"/>
    </sheetNames>
    <sheetDataSet>
      <sheetData sheetId="0" refreshError="1"/>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_COAL"/>
      <sheetName val="BUMA MP 310812"/>
      <sheetName val="rekap target Blast"/>
      <sheetName val="Prod_Coal-03"/>
      <sheetName val="LPit"/>
      <sheetName val="LRom"/>
      <sheetName val="LStock"/>
      <sheetName val="LLoad"/>
      <sheetName val="LClose"/>
      <sheetName val="SPit"/>
      <sheetName val="SRom"/>
      <sheetName val="SStock"/>
      <sheetName val="SLoad"/>
      <sheetName val="SClose"/>
      <sheetName val="Safe"/>
      <sheetName val="Env"/>
      <sheetName val="DAILY"/>
      <sheetName val="Processing_2001"/>
      <sheetName val="Master"/>
      <sheetName val=""/>
      <sheetName val="PDL"/>
      <sheetName val="Sheet1"/>
      <sheetName val="Database"/>
      <sheetName val="Graph"/>
      <sheetName val="POP"/>
      <sheetName val="23a"/>
      <sheetName val="19a"/>
      <sheetName val="SALES_SUMMARY"/>
      <sheetName val="shipping_program"/>
      <sheetName val="KPC_PRINANG_MO_CF"/>
      <sheetName val="WeeklyPrices"/>
      <sheetName val="RESUME"/>
      <sheetName val="Data"/>
      <sheetName val="Datavalidation"/>
      <sheetName val="BUMA_MP_310812"/>
      <sheetName val="rekap_target_Blast"/>
      <sheetName val="val"/>
      <sheetName val="ContaminationTable"/>
      <sheetName val="BUMA_MP_3108121"/>
      <sheetName val="rekap_target_Blast1"/>
      <sheetName val="BUMA_MP_3108122"/>
      <sheetName val="rekap_target_Blast2"/>
      <sheetName val="ocean voyage"/>
      <sheetName val="List"/>
      <sheetName val="LOADDAT"/>
      <sheetName val="BUMA_MP_3108123"/>
      <sheetName val="rekap_target_Blast3"/>
      <sheetName val="ocean_voyage"/>
      <sheetName val="PA Achievement"/>
      <sheetName val="UA Achievement "/>
      <sheetName val="DB"/>
      <sheetName val="General"/>
      <sheetName val="DB MP"/>
      <sheetName val="Data Base"/>
      <sheetName val="OPERATOR"/>
      <sheetName val="Hauler"/>
      <sheetName val="date"/>
      <sheetName val="Nama Operator-Driver"/>
      <sheetName val="week Mar"/>
      <sheetName val="PMSS"/>
      <sheetName val="Loss time"/>
      <sheetName val="Dashboard"/>
      <sheetName val="VD"/>
      <sheetName val="Busang2"/>
      <sheetName val="Busang3"/>
      <sheetName val="Busang1"/>
      <sheetName val="Jonggon1"/>
      <sheetName val="Jonggon2"/>
      <sheetName val="Jonggon3"/>
      <sheetName val="OB per we"/>
      <sheetName val="SUBKON"/>
      <sheetName val="OVERBURDEN"/>
      <sheetName val="MAINTENANCE"/>
      <sheetName val="9"/>
      <sheetName val="PrepaidTaxArt.23"/>
      <sheetName val="22861"/>
      <sheetName val="GeneralInfo"/>
      <sheetName val="Sheet1 (2)"/>
      <sheetName val="OLDMAP"/>
      <sheetName val="4334-Summary"/>
      <sheetName val="A"/>
      <sheetName val="Remarks"/>
      <sheetName val="Input"/>
      <sheetName val="Coal"/>
      <sheetName val="Input2"/>
      <sheetName val="Block"/>
      <sheetName val="DaiRep"/>
      <sheetName val="Safety"/>
      <sheetName val="CondMonthly"/>
      <sheetName val="Weather"/>
      <sheetName val="Description"/>
      <sheetName val="Manpower"/>
      <sheetName val="Proporsional"/>
      <sheetName val="Detail PS"/>
      <sheetName val="Parts"/>
      <sheetName val="Ref"/>
      <sheetName val="Budget-Reforecast"/>
      <sheetName val="Performance"/>
      <sheetName val="Base On WH"/>
      <sheetName val="G&amp;LFuel HO"/>
      <sheetName val="Coretan"/>
      <sheetName val="PICA HO"/>
      <sheetName val="Trading Statement"/>
      <sheetName val="List BUMA"/>
      <sheetName val="Budget R6"/>
      <sheetName val="Budget R7"/>
      <sheetName val="GAP"/>
      <sheetName val="Prod."/>
      <sheetName val="Excess EQP"/>
      <sheetName val="BUMA_MP_3108124"/>
      <sheetName val="rekap_target_Blast4"/>
      <sheetName val="ocean_voyage1"/>
      <sheetName val="PA_Achievement"/>
      <sheetName val="UA_Achievement_"/>
      <sheetName val="DB_MP"/>
      <sheetName val="Data_Base"/>
      <sheetName val="Nama_Operator-Driver"/>
      <sheetName val="week_Mar"/>
      <sheetName val="Loss_time"/>
      <sheetName val="Sheet1_(2)"/>
      <sheetName val="OB_per_we"/>
      <sheetName val="PrepaidTaxArt_23"/>
      <sheetName val="Base_On_WH"/>
      <sheetName val="G&amp;LFuel_HO"/>
      <sheetName val="PICA_HO"/>
      <sheetName val="Loss_time1"/>
      <sheetName val="DB_MP1"/>
      <sheetName val="Data_Base1"/>
      <sheetName val="NRP"/>
      <sheetName val="Data Opr"/>
      <sheetName val="Data Unit"/>
      <sheetName val="QC"/>
      <sheetName val="Jam &amp; Cargo Out"/>
      <sheetName val="EqID"/>
      <sheetName val="WTF OB "/>
      <sheetName val="SETTING KELOMPOK"/>
      <sheetName val="Cargo In &amp; OLC Performance"/>
      <sheetName val="Cargo Out &amp; BLC Performance"/>
      <sheetName val="F_I"/>
      <sheetName val="Parameter"/>
      <sheetName val="Param_Raw"/>
      <sheetName val="List_Unit"/>
      <sheetName val="List_Spv_Oprt_Drv"/>
      <sheetName val="TB2004"/>
      <sheetName val="Engine"/>
      <sheetName val="RF"/>
      <sheetName val="PAR"/>
      <sheetName val="Analisa"/>
      <sheetName val="Update Order"/>
      <sheetName val="Rooster"/>
      <sheetName val="JAM"/>
      <sheetName val="DATA BASE FB"/>
      <sheetName val="ORDER TICKET"/>
      <sheetName val="ORDER TRAVEL"/>
      <sheetName val="LIST OF MESS"/>
      <sheetName val="tifico"/>
      <sheetName val="Data Opr (2)"/>
      <sheetName val="Sales by customer"/>
      <sheetName val="DataComp"/>
      <sheetName val="Equip.ID"/>
      <sheetName val="MP"/>
      <sheetName val="Code"/>
      <sheetName val="EQL"/>
      <sheetName val="MDB"/>
      <sheetName val="KPI"/>
      <sheetName val="BAI Calculation"/>
      <sheetName val="Data_Opr"/>
      <sheetName val="Data_Unit"/>
      <sheetName val="Jam_&amp;_Cargo_Out"/>
      <sheetName val="Cargo_In_&amp;_OLC_Performance"/>
      <sheetName val="Cargo_Out_&amp;_BLC_Performance"/>
      <sheetName val="LIST UNIT"/>
      <sheetName val="LIST FUEL TRUCK"/>
      <sheetName val="1999"/>
      <sheetName val="Fuel Activity"/>
      <sheetName val="DB_MP2"/>
      <sheetName val="PA_Achievement1"/>
      <sheetName val="UA_Achievement_1"/>
      <sheetName val="Data_Opr1"/>
      <sheetName val="Data_Unit1"/>
      <sheetName val="Nama_Operator-Driver1"/>
      <sheetName val="week_Mar1"/>
      <sheetName val="Jam_&amp;_Cargo_Out1"/>
      <sheetName val="Cargo_In_&amp;_OLC_Performance1"/>
      <sheetName val="Cargo_Out_&amp;_BLC_Performance1"/>
      <sheetName val="Loss_time2"/>
      <sheetName val="Update_Order"/>
      <sheetName val="DATA_BASE_FB"/>
      <sheetName val="ORDER_TICKET"/>
      <sheetName val="ORDER_TRAVEL"/>
      <sheetName val="LIST_OF_MESS"/>
      <sheetName val="Data_Opr_(2)"/>
      <sheetName val="Sales_by_customer"/>
      <sheetName val="Equip_ID"/>
      <sheetName val="Detail_PS"/>
      <sheetName val="BAI_Calculation"/>
      <sheetName val="A-GL-SUMMARY"/>
      <sheetName val="UNIT"/>
      <sheetName val="Data Staff"/>
      <sheetName val="Analisa Hasil"/>
      <sheetName val="#REF"/>
      <sheetName val="SOURCE"/>
      <sheetName val="lost-time"/>
      <sheetName val="Galian 1"/>
      <sheetName val="Sheet2"/>
      <sheetName val="Sheet3"/>
      <sheetName val="Sheet4"/>
      <sheetName val="LIST_FUEL_TRUCK"/>
      <sheetName val="Fuel_Activity"/>
      <sheetName val="BENCH CALC"/>
      <sheetName val="DB_MP3"/>
      <sheetName val="Data_Base2"/>
      <sheetName val="Data_Opr2"/>
      <sheetName val="Data_Unit2"/>
      <sheetName val="BUMA_MP_3108125"/>
      <sheetName val="rekap_target_Blast5"/>
      <sheetName val="PA_Achievement2"/>
      <sheetName val="UA_Achievement_2"/>
      <sheetName val="Nama_Operator-Driver2"/>
      <sheetName val="week_Mar2"/>
      <sheetName val="Jam_&amp;_Cargo_Out2"/>
      <sheetName val="Cargo_In_&amp;_OLC_Performance2"/>
      <sheetName val="Cargo_Out_&amp;_BLC_Performance2"/>
      <sheetName val="ocean_voyage2"/>
      <sheetName val="Loss_time3"/>
      <sheetName val="Update_Order1"/>
      <sheetName val="DATA_BASE_FB1"/>
      <sheetName val="ORDER_TICKET1"/>
      <sheetName val="ORDER_TRAVEL1"/>
      <sheetName val="LIST_OF_MESS1"/>
      <sheetName val="Equip_ID1"/>
      <sheetName val="Data_Opr_(2)1"/>
      <sheetName val="Sales_by_customer1"/>
      <sheetName val="PrepaidTaxArt_231"/>
      <sheetName val="Detail_PS1"/>
      <sheetName val="BAI_Calculation1"/>
      <sheetName val="WTF_OB_"/>
      <sheetName val="SETTING_KELOMPOK"/>
      <sheetName val="Galian_1"/>
      <sheetName val="Pos &amp; Kondisi Alat"/>
      <sheetName val="srt"/>
      <sheetName val="EQ Event"/>
      <sheetName val="IH08"/>
      <sheetName val="INPUT DATA CUTI"/>
      <sheetName val="DB_MP4"/>
      <sheetName val="Data_Base3"/>
      <sheetName val="Data_Opr3"/>
      <sheetName val="Data_Unit3"/>
      <sheetName val="BUMA_MP_3108126"/>
      <sheetName val="rekap_target_Blast6"/>
      <sheetName val="PA_Achievement3"/>
      <sheetName val="UA_Achievement_3"/>
      <sheetName val="Nama_Operator-Driver3"/>
      <sheetName val="week_Mar3"/>
      <sheetName val="Jam_&amp;_Cargo_Out3"/>
      <sheetName val="Cargo_In_&amp;_OLC_Performance3"/>
      <sheetName val="Cargo_Out_&amp;_BLC_Performance3"/>
      <sheetName val="ocean_voyage3"/>
      <sheetName val="Loss_time4"/>
      <sheetName val="Update_Order2"/>
      <sheetName val="DATA_BASE_FB2"/>
      <sheetName val="ORDER_TICKET2"/>
      <sheetName val="ORDER_TRAVEL2"/>
      <sheetName val="LIST_OF_MESS2"/>
      <sheetName val="Equip_ID2"/>
      <sheetName val="Data_Opr_(2)2"/>
      <sheetName val="Sales_by_customer2"/>
      <sheetName val="PrepaidTaxArt_232"/>
      <sheetName val="Detail_PS2"/>
      <sheetName val="BAI_Calculation2"/>
      <sheetName val="LIST_FUEL_TRUCK1"/>
      <sheetName val="Fuel_Activity1"/>
      <sheetName val="OB_per_we1"/>
      <sheetName val="Sheet1_(2)1"/>
      <sheetName val="WTF_OB_1"/>
      <sheetName val="SETTING_KELOMPOK1"/>
      <sheetName val="Galian_11"/>
      <sheetName val="BENCH_CALC"/>
      <sheetName val="TB98,oct99&amp;sap99-WPL"/>
      <sheetName val="Trading_Statement"/>
      <sheetName val="Base_On_WH1"/>
      <sheetName val="G&amp;LFuel_HO1"/>
      <sheetName val="PICA_HO1"/>
      <sheetName val="List_BUMA"/>
      <sheetName val="Budget_R6"/>
      <sheetName val="Budget_R7"/>
      <sheetName val="Prod_"/>
      <sheetName val="Excess_EQP"/>
      <sheetName val="OB_per_we2"/>
      <sheetName val="Sheet1_(2)2"/>
      <sheetName val="Trading_Statement1"/>
      <sheetName val="Base_On_WH2"/>
      <sheetName val="G&amp;LFuel_HO2"/>
      <sheetName val="PICA_HO2"/>
      <sheetName val="List_BUMA1"/>
      <sheetName val="Budget_R61"/>
      <sheetName val="Budget_R71"/>
      <sheetName val="Prod_1"/>
      <sheetName val="Excess_EQP1"/>
      <sheetName val="BUMA_MP_3108127"/>
      <sheetName val="rekap_target_Blast7"/>
      <sheetName val="ocean_voyage4"/>
      <sheetName val="PrepaidTaxArt_233"/>
      <sheetName val="OB_per_we3"/>
      <sheetName val="Sheet1_(2)3"/>
      <sheetName val="Trading_Statement2"/>
      <sheetName val="Base_On_WH3"/>
      <sheetName val="G&amp;LFuel_HO3"/>
      <sheetName val="PICA_HO3"/>
      <sheetName val="List_BUMA2"/>
      <sheetName val="Budget_R62"/>
      <sheetName val="Budget_R72"/>
      <sheetName val="Prod_2"/>
      <sheetName val="Excess_EQP2"/>
      <sheetName val="계획서"/>
      <sheetName val="98년차.XLS"/>
      <sheetName val="98인원계획"/>
      <sheetName val="98인건비"/>
      <sheetName val="DB_MP5"/>
      <sheetName val="Data_Base4"/>
      <sheetName val="Data_Opr4"/>
      <sheetName val="PA_Achievement4"/>
      <sheetName val="UA_Achievement_4"/>
      <sheetName val="Data_Unit4"/>
      <sheetName val="Nama_Operator-Driver4"/>
      <sheetName val="week_Mar4"/>
      <sheetName val="Jam_&amp;_Cargo_Out4"/>
      <sheetName val="Cargo_In_&amp;_OLC_Performance4"/>
      <sheetName val="Cargo_Out_&amp;_BLC_Performance4"/>
      <sheetName val="Loss_time5"/>
      <sheetName val="Update_Order3"/>
      <sheetName val="DATA_BASE_FB3"/>
      <sheetName val="ORDER_TICKET3"/>
      <sheetName val="ORDER_TRAVEL3"/>
      <sheetName val="LIST_OF_MESS3"/>
      <sheetName val="Equip_ID3"/>
      <sheetName val="Data_Opr_(2)3"/>
      <sheetName val="Sales_by_customer3"/>
      <sheetName val="Detail_PS3"/>
      <sheetName val="BAI_Calculation3"/>
      <sheetName val="LIST_FUEL_TRUCK2"/>
      <sheetName val="Fuel_Activity2"/>
      <sheetName val="WTF_OB_2"/>
      <sheetName val="SETTING_KELOMPOK2"/>
      <sheetName val="Galian_12"/>
      <sheetName val="BENCH_CALC1"/>
      <sheetName val="INPUT_DATA_CUTI"/>
      <sheetName val="EQ_Event"/>
      <sheetName val="DB_MP6"/>
      <sheetName val="Data_Base5"/>
      <sheetName val="Data_Opr5"/>
      <sheetName val="Data_Unit5"/>
      <sheetName val="BUMA_MP_3108128"/>
      <sheetName val="rekap_target_Blast8"/>
      <sheetName val="PA_Achievement5"/>
      <sheetName val="UA_Achievement_5"/>
      <sheetName val="Nama_Operator-Driver5"/>
      <sheetName val="week_Mar5"/>
      <sheetName val="Jam_&amp;_Cargo_Out5"/>
      <sheetName val="Cargo_In_&amp;_OLC_Performance5"/>
      <sheetName val="Cargo_Out_&amp;_BLC_Performance5"/>
      <sheetName val="ocean_voyage5"/>
      <sheetName val="Loss_time6"/>
      <sheetName val="Update_Order4"/>
      <sheetName val="DATA_BASE_FB4"/>
      <sheetName val="ORDER_TICKET4"/>
      <sheetName val="ORDER_TRAVEL4"/>
      <sheetName val="LIST_OF_MESS4"/>
      <sheetName val="Equip_ID4"/>
      <sheetName val="Data_Opr_(2)4"/>
      <sheetName val="Sales_by_customer4"/>
      <sheetName val="PrepaidTaxArt_234"/>
      <sheetName val="Detail_PS4"/>
      <sheetName val="BAI_Calculation4"/>
      <sheetName val="LIST_FUEL_TRUCK3"/>
      <sheetName val="Fuel_Activity3"/>
      <sheetName val="WTF_OB_3"/>
      <sheetName val="SETTING_KELOMPOK3"/>
      <sheetName val="Galian_13"/>
      <sheetName val="BENCH_CALC2"/>
      <sheetName val="INPUT_DATA_CUTI1"/>
      <sheetName val="EQ_Event1"/>
      <sheetName val="DB_MP7"/>
      <sheetName val="Data_Base6"/>
      <sheetName val="Data_Opr6"/>
      <sheetName val="Data_Unit6"/>
      <sheetName val="BUMA_MP_3108129"/>
      <sheetName val="rekap_target_Blast9"/>
      <sheetName val="PA_Achievement6"/>
      <sheetName val="UA_Achievement_6"/>
      <sheetName val="Nama_Operator-Driver6"/>
      <sheetName val="week_Mar6"/>
      <sheetName val="Jam_&amp;_Cargo_Out6"/>
      <sheetName val="Cargo_In_&amp;_OLC_Performance6"/>
      <sheetName val="Cargo_Out_&amp;_BLC_Performance6"/>
      <sheetName val="ocean_voyage6"/>
      <sheetName val="Loss_time7"/>
      <sheetName val="Update_Order5"/>
      <sheetName val="DATA_BASE_FB5"/>
      <sheetName val="ORDER_TICKET5"/>
      <sheetName val="ORDER_TRAVEL5"/>
      <sheetName val="LIST_OF_MESS5"/>
      <sheetName val="Equip_ID5"/>
      <sheetName val="Data_Opr_(2)5"/>
      <sheetName val="Sales_by_customer5"/>
      <sheetName val="PrepaidTaxArt_235"/>
      <sheetName val="Detail_PS5"/>
      <sheetName val="BAI_Calculation5"/>
      <sheetName val="LIST_FUEL_TRUCK4"/>
      <sheetName val="Fuel_Activity4"/>
      <sheetName val="OB_per_we4"/>
      <sheetName val="Sheet1_(2)4"/>
      <sheetName val="WTF_OB_4"/>
      <sheetName val="SETTING_KELOMPOK4"/>
      <sheetName val="Galian_14"/>
      <sheetName val="BENCH_CALC3"/>
      <sheetName val="INPUT_DATA_CUTI2"/>
      <sheetName val="EQ_Event2"/>
      <sheetName val="DB_MP9"/>
      <sheetName val="Data_Base8"/>
      <sheetName val="Data_Opr8"/>
      <sheetName val="Data_Unit8"/>
      <sheetName val="BUMA_MP_31081211"/>
      <sheetName val="rekap_target_Blast11"/>
      <sheetName val="PA_Achievement8"/>
      <sheetName val="UA_Achievement_8"/>
      <sheetName val="Nama_Operator-Driver8"/>
      <sheetName val="week_Mar8"/>
      <sheetName val="Jam_&amp;_Cargo_Out8"/>
      <sheetName val="Cargo_In_&amp;_OLC_Performance8"/>
      <sheetName val="Cargo_Out_&amp;_BLC_Performance8"/>
      <sheetName val="ocean_voyage8"/>
      <sheetName val="Loss_time9"/>
      <sheetName val="Update_Order7"/>
      <sheetName val="DATA_BASE_FB7"/>
      <sheetName val="ORDER_TICKET7"/>
      <sheetName val="ORDER_TRAVEL7"/>
      <sheetName val="LIST_OF_MESS7"/>
      <sheetName val="Equip_ID7"/>
      <sheetName val="Data_Opr_(2)7"/>
      <sheetName val="Sales_by_customer7"/>
      <sheetName val="PrepaidTaxArt_237"/>
      <sheetName val="Detail_PS7"/>
      <sheetName val="BAI_Calculation7"/>
      <sheetName val="LIST_FUEL_TRUCK6"/>
      <sheetName val="Fuel_Activity6"/>
      <sheetName val="OB_per_we6"/>
      <sheetName val="Sheet1_(2)6"/>
      <sheetName val="WTF_OB_6"/>
      <sheetName val="SETTING_KELOMPOK6"/>
      <sheetName val="Galian_16"/>
      <sheetName val="BENCH_CALC5"/>
      <sheetName val="INPUT_DATA_CUTI4"/>
      <sheetName val="EQ_Event4"/>
      <sheetName val="Trading_Statement4"/>
      <sheetName val="Base_On_WH5"/>
      <sheetName val="G&amp;LFuel_HO5"/>
      <sheetName val="PICA_HO5"/>
      <sheetName val="List_BUMA4"/>
      <sheetName val="Budget_R64"/>
      <sheetName val="Budget_R74"/>
      <sheetName val="Prod_4"/>
      <sheetName val="Excess_EQP4"/>
      <sheetName val="Pos_&amp;_Kondisi_Alat1"/>
      <sheetName val="DB_MP8"/>
      <sheetName val="Data_Base7"/>
      <sheetName val="Data_Opr7"/>
      <sheetName val="Data_Unit7"/>
      <sheetName val="BUMA_MP_31081210"/>
      <sheetName val="rekap_target_Blast10"/>
      <sheetName val="PA_Achievement7"/>
      <sheetName val="UA_Achievement_7"/>
      <sheetName val="Nama_Operator-Driver7"/>
      <sheetName val="week_Mar7"/>
      <sheetName val="Jam_&amp;_Cargo_Out7"/>
      <sheetName val="Cargo_In_&amp;_OLC_Performance7"/>
      <sheetName val="Cargo_Out_&amp;_BLC_Performance7"/>
      <sheetName val="ocean_voyage7"/>
      <sheetName val="Loss_time8"/>
      <sheetName val="Update_Order6"/>
      <sheetName val="DATA_BASE_FB6"/>
      <sheetName val="ORDER_TICKET6"/>
      <sheetName val="ORDER_TRAVEL6"/>
      <sheetName val="LIST_OF_MESS6"/>
      <sheetName val="Equip_ID6"/>
      <sheetName val="Data_Opr_(2)6"/>
      <sheetName val="Sales_by_customer6"/>
      <sheetName val="PrepaidTaxArt_236"/>
      <sheetName val="Detail_PS6"/>
      <sheetName val="BAI_Calculation6"/>
      <sheetName val="LIST_FUEL_TRUCK5"/>
      <sheetName val="Fuel_Activity5"/>
      <sheetName val="OB_per_we5"/>
      <sheetName val="Sheet1_(2)5"/>
      <sheetName val="WTF_OB_5"/>
      <sheetName val="SETTING_KELOMPOK5"/>
      <sheetName val="Galian_15"/>
      <sheetName val="BENCH_CALC4"/>
      <sheetName val="INPUT_DATA_CUTI3"/>
      <sheetName val="EQ_Event3"/>
      <sheetName val="Trading_Statement3"/>
      <sheetName val="Base_On_WH4"/>
      <sheetName val="G&amp;LFuel_HO4"/>
      <sheetName val="PICA_HO4"/>
      <sheetName val="List_BUMA3"/>
      <sheetName val="Budget_R63"/>
      <sheetName val="Budget_R73"/>
      <sheetName val="Prod_3"/>
      <sheetName val="Excess_EQP3"/>
      <sheetName val="Pos_&amp;_Kondisi_Alat"/>
      <sheetName val="compaction"/>
      <sheetName val="pabrik (2)"/>
      <sheetName val="Master_Data"/>
      <sheetName val="Ex-Rate"/>
      <sheetName val="hirarky"/>
      <sheetName val="MASTER "/>
      <sheetName val="KPI DT"/>
      <sheetName val="KPI HE"/>
      <sheetName val="PARETO PROBLEM"/>
      <sheetName val="SENDREPORT"/>
      <sheetName val="28SENDREPORT"/>
      <sheetName val="29SENDPDF"/>
      <sheetName val="1"/>
      <sheetName val="2"/>
      <sheetName val="2SEND"/>
      <sheetName val="3"/>
      <sheetName val="4"/>
      <sheetName val="5"/>
      <sheetName val="6"/>
      <sheetName val="7"/>
      <sheetName val="8"/>
      <sheetName val="10"/>
      <sheetName val="DAILY 10 MEI 2021"/>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Sum"/>
      <sheetName val="25PDF"/>
      <sheetName val="24PDF"/>
      <sheetName val="16 PDF"/>
      <sheetName val="17 PDF"/>
      <sheetName val="19 PDF"/>
      <sheetName val="22PDF"/>
      <sheetName val="20 PDF"/>
      <sheetName val="PA"/>
      <sheetName val="Rekap"/>
      <sheetName val="pv"/>
      <sheetName val="Chart By Unit type"/>
      <sheetName val="FORM PRINT"/>
      <sheetName val="Perm. Test"/>
      <sheetName val="TTE"/>
      <sheetName val="2018"/>
      <sheetName val="2019"/>
      <sheetName val="smu"/>
      <sheetName val="Wheel Grp"/>
      <sheetName val="Dozing Estimation"/>
      <sheetName val="Detail1"/>
      <sheetName val="JoinQMS"/>
      <sheetName val="Miner"/>
      <sheetName val="Supervisor"/>
      <sheetName val="Sheet5"/>
      <sheetName val="Sheet7"/>
      <sheetName val="Sheet9"/>
      <sheetName val="HR Detail"/>
      <sheetName val="HRPar"/>
      <sheetName val="TIMESHEET staff"/>
      <sheetName val="NewFunding"/>
      <sheetName val="Graphs"/>
      <sheetName val="RunOff"/>
      <sheetName val="Sheet29"/>
      <sheetName val="Sheet6"/>
      <sheetName val="Sheet8"/>
      <sheetName val="Sheet20"/>
      <sheetName val="Sheet12"/>
      <sheetName val="2007"/>
      <sheetName val="MH Rate"/>
      <sheetName val="Data_Staff"/>
      <sheetName val="Analisa_Hasil"/>
      <sheetName val="ob"/>
      <sheetName val="Reff"/>
      <sheetName val="Rekap Addendum"/>
      <sheetName val="bp1_23"/>
      <sheetName val="WORKING"/>
      <sheetName val="Rit_Aug19"/>
      <sheetName val="MTD GainLoss"/>
      <sheetName val="Cost Element"/>
      <sheetName val="PPJ&amp;Activity"/>
      <sheetName val="Category &amp; Loc"/>
      <sheetName val="Existing Man Power"/>
      <sheetName val="Cashflow"/>
      <sheetName val="CondDaily"/>
      <sheetName val="epei "/>
      <sheetName val="M"/>
      <sheetName val="DB_MP10"/>
      <sheetName val="Data_Base9"/>
      <sheetName val="Data_Opr9"/>
      <sheetName val="Data_Unit9"/>
      <sheetName val="BUMA_MP_31081212"/>
      <sheetName val="rekap_target_Blast12"/>
      <sheetName val="PA_Achievement9"/>
      <sheetName val="UA_Achievement_9"/>
      <sheetName val="Nama_Operator-Driver9"/>
      <sheetName val="week_Mar9"/>
      <sheetName val="Jam_&amp;_Cargo_Out9"/>
      <sheetName val="Cargo_In_&amp;_OLC_Performance9"/>
      <sheetName val="Cargo_Out_&amp;_BLC_Performance9"/>
      <sheetName val="ocean_voyage9"/>
      <sheetName val="Loss_time10"/>
      <sheetName val="Update_Order8"/>
      <sheetName val="DATA_BASE_FB8"/>
      <sheetName val="ORDER_TICKET8"/>
      <sheetName val="ORDER_TRAVEL8"/>
      <sheetName val="LIST_OF_MESS8"/>
      <sheetName val="Equip_ID8"/>
      <sheetName val="Data_Opr_(2)8"/>
      <sheetName val="Sales_by_customer8"/>
      <sheetName val="PrepaidTaxArt_238"/>
      <sheetName val="Detail_PS8"/>
      <sheetName val="BAI_Calculation8"/>
      <sheetName val="LIST_FUEL_TRUCK7"/>
      <sheetName val="Fuel_Activity7"/>
      <sheetName val="OB_per_we7"/>
      <sheetName val="Sheet1_(2)7"/>
      <sheetName val="WTF_OB_7"/>
      <sheetName val="SETTING_KELOMPOK7"/>
      <sheetName val="Galian_17"/>
      <sheetName val="BENCH_CALC6"/>
      <sheetName val="INPUT_DATA_CUTI5"/>
      <sheetName val="EQ_Event5"/>
      <sheetName val="Trading_Statement5"/>
      <sheetName val="Base_On_WH6"/>
      <sheetName val="G&amp;LFuel_HO6"/>
      <sheetName val="PICA_HO6"/>
      <sheetName val="List_BUMA5"/>
      <sheetName val="Budget_R65"/>
      <sheetName val="Budget_R75"/>
      <sheetName val="Prod_5"/>
      <sheetName val="Excess_EQP5"/>
      <sheetName val="Pos_&amp;_Kondisi_Alat2"/>
      <sheetName val="DB_MP11"/>
      <sheetName val="Data_Base10"/>
      <sheetName val="Data_Opr10"/>
      <sheetName val="Data_Unit10"/>
      <sheetName val="BUMA_MP_31081213"/>
      <sheetName val="rekap_target_Blast13"/>
      <sheetName val="PA_Achievement10"/>
      <sheetName val="UA_Achievement_10"/>
      <sheetName val="Nama_Operator-Driver10"/>
      <sheetName val="week_Mar10"/>
      <sheetName val="Jam_&amp;_Cargo_Out10"/>
      <sheetName val="Cargo_In_&amp;_OLC_Performance10"/>
      <sheetName val="Cargo_Out_&amp;_BLC_Performance10"/>
      <sheetName val="ocean_voyage10"/>
      <sheetName val="Loss_time11"/>
      <sheetName val="Update_Order9"/>
      <sheetName val="DATA_BASE_FB9"/>
      <sheetName val="ORDER_TICKET9"/>
      <sheetName val="ORDER_TRAVEL9"/>
      <sheetName val="LIST_OF_MESS9"/>
      <sheetName val="Equip_ID9"/>
      <sheetName val="Data_Opr_(2)9"/>
      <sheetName val="Sales_by_customer9"/>
      <sheetName val="PrepaidTaxArt_239"/>
      <sheetName val="Detail_PS9"/>
      <sheetName val="BAI_Calculation9"/>
      <sheetName val="LIST_FUEL_TRUCK8"/>
      <sheetName val="Fuel_Activity8"/>
      <sheetName val="OB_per_we8"/>
      <sheetName val="Sheet1_(2)8"/>
      <sheetName val="WTF_OB_8"/>
      <sheetName val="SETTING_KELOMPOK8"/>
      <sheetName val="Galian_18"/>
      <sheetName val="BENCH_CALC7"/>
      <sheetName val="INPUT_DATA_CUTI6"/>
      <sheetName val="EQ_Event6"/>
      <sheetName val="Trading_Statement6"/>
      <sheetName val="Base_On_WH7"/>
      <sheetName val="G&amp;LFuel_HO7"/>
      <sheetName val="PICA_HO7"/>
      <sheetName val="List_BUMA6"/>
      <sheetName val="Budget_R66"/>
      <sheetName val="Budget_R76"/>
      <sheetName val="Prod_6"/>
      <sheetName val="Excess_EQP6"/>
      <sheetName val="Pos_&amp;_Kondisi_Alat3"/>
      <sheetName val="Data-KPI"/>
      <sheetName val="POTO MAC"/>
      <sheetName val="TRANSFORM"/>
      <sheetName val="CREDIT"/>
      <sheetName val="Accuracy HM W5"/>
      <sheetName val="Loss_time12"/>
      <sheetName val="DB_MP12"/>
      <sheetName val="Data_Base11"/>
      <sheetName val="BUMA_MP_31081214"/>
      <sheetName val="rekap_target_Blast14"/>
      <sheetName val="PA_Achievement11"/>
      <sheetName val="UA_Achievement_11"/>
      <sheetName val="Data_Opr11"/>
      <sheetName val="Data_Unit11"/>
      <sheetName val="Nama_Operator-Driver11"/>
      <sheetName val="week_Mar11"/>
      <sheetName val="Jam_&amp;_Cargo_Out11"/>
      <sheetName val="Cargo_In_&amp;_OLC_Performance11"/>
      <sheetName val="Cargo_Out_&amp;_BLC_Performance11"/>
      <sheetName val="ocean_voyage11"/>
      <sheetName val="Sales_by_customer10"/>
      <sheetName val="Update_Order10"/>
      <sheetName val="DATA_BASE_FB10"/>
      <sheetName val="ORDER_TICKET10"/>
      <sheetName val="ORDER_TRAVEL10"/>
      <sheetName val="LIST_OF_MESS10"/>
      <sheetName val="BAI_Calculation10"/>
      <sheetName val="LIST_FUEL_TRUCK9"/>
      <sheetName val="Data_Opr_(2)10"/>
      <sheetName val="Equip_ID10"/>
      <sheetName val="PrepaidTaxArt_2310"/>
      <sheetName val="Detail_PS10"/>
      <sheetName val="Fuel_Activity9"/>
      <sheetName val="Galian_19"/>
      <sheetName val="Pos_&amp;_Kondisi_Alat4"/>
      <sheetName val="OB_per_we9"/>
      <sheetName val="Sheet1_(2)9"/>
      <sheetName val="Trading_Statement7"/>
      <sheetName val="Base_On_WH8"/>
      <sheetName val="G&amp;LFuel_HO8"/>
      <sheetName val="PICA_HO8"/>
      <sheetName val="List_BUMA7"/>
      <sheetName val="Budget_R67"/>
      <sheetName val="Budget_R77"/>
      <sheetName val="Prod_7"/>
      <sheetName val="Excess_EQP7"/>
      <sheetName val="WTF_OB_9"/>
      <sheetName val="SETTING_KELOMPOK9"/>
      <sheetName val="BENCH_CALC8"/>
      <sheetName val="EQ_Event7"/>
      <sheetName val="INPUT_DATA_CUTI7"/>
      <sheetName val="Analisa_Hasil1"/>
      <sheetName val="Data_Staff1"/>
      <sheetName val="MASTER_"/>
      <sheetName val="KPI_DT"/>
      <sheetName val="KPI_HE"/>
      <sheetName val="PARETO_PROBLEM"/>
      <sheetName val="DAILY_10_MEI_2021"/>
      <sheetName val="16_PDF"/>
      <sheetName val="17_PDF"/>
      <sheetName val="19_PDF"/>
      <sheetName val="20_PDF"/>
      <sheetName val="Chart_By_Unit_type"/>
      <sheetName val="FORM_PRINT"/>
      <sheetName val="pabrik_(2)"/>
      <sheetName val="Cost_Element"/>
      <sheetName val="Category_&amp;_Loc"/>
      <sheetName val="Existing_Man_Power"/>
      <sheetName val="epei_"/>
      <sheetName val="Perm__Test"/>
      <sheetName val="Wheel_Grp"/>
      <sheetName val="Dozing_Estimation"/>
      <sheetName val="HR_Detail"/>
      <sheetName val="TIMESHEET_staff"/>
      <sheetName val="MH_Rate"/>
      <sheetName val="MTD_GainLoss"/>
      <sheetName val="POTO_MAC"/>
      <sheetName val="Rekap_Addendum"/>
      <sheetName val="98년차_XLS"/>
      <sheetName val="MASTER SIA"/>
      <sheetName val="Dbase"/>
      <sheetName val="Rincian Iuran"/>
      <sheetName val="1a"/>
      <sheetName val="1c"/>
      <sheetName val="Upah"/>
      <sheetName val="07~11예금이자"/>
      <sheetName val="Dump Capacity"/>
      <sheetName val="SEX"/>
      <sheetName val="Unit List"/>
      <sheetName val="1.DATA PLAN"/>
      <sheetName val="P'DPTAN &amp; BEBAN LAIN2"/>
      <sheetName val="POPULATION UNIT"/>
      <sheetName val="WEEK 1"/>
      <sheetName val="WEEK 2"/>
      <sheetName val="WEEK 3"/>
      <sheetName val="WEEK 4"/>
      <sheetName val="SUMMARY"/>
      <sheetName val="Summary Performance unit"/>
      <sheetName val="Monitoring Dayli Prod'ty"/>
      <sheetName val="assets"/>
      <sheetName val="Prod'ty DT"/>
      <sheetName val="POPULATION_UNIT"/>
      <sheetName val="WEEK_1"/>
      <sheetName val="WEEK_2"/>
      <sheetName val="WEEK_3"/>
      <sheetName val="WEEK_4"/>
      <sheetName val="Summary_Performance_unit"/>
      <sheetName val="Monitoring_Dayli_Prod'ty"/>
      <sheetName val="Prod'ty_DT"/>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Hujan"/>
      <sheetName val="Nama_Operator-Driver12"/>
      <sheetName val="Loss_time13"/>
      <sheetName val="DB_MP13"/>
      <sheetName val="Data_Base12"/>
      <sheetName val="PA_Achievement12"/>
      <sheetName val="UA_Achievement_12"/>
      <sheetName val="week_Mar12"/>
      <sheetName val="BUMA_MP_31081215"/>
      <sheetName val="rekap_target_Blast15"/>
      <sheetName val="Data_Opr12"/>
      <sheetName val="Data_Unit12"/>
      <sheetName val="ocean_voyage12"/>
      <sheetName val="Jam_&amp;_Cargo_Out12"/>
      <sheetName val="Cargo_In_&amp;_OLC_Performance12"/>
      <sheetName val="Cargo_Out_&amp;_BLC_Performance12"/>
      <sheetName val="Sales_by_customer11"/>
      <sheetName val="Update_Order11"/>
      <sheetName val="DATA_BASE_FB11"/>
      <sheetName val="ORDER_TICKET11"/>
      <sheetName val="ORDER_TRAVEL11"/>
      <sheetName val="LIST_OF_MESS11"/>
      <sheetName val="WTF_OB_10"/>
      <sheetName val="SETTING_KELOMPOK10"/>
      <sheetName val="Data_Opr_(2)11"/>
      <sheetName val="Equip_ID11"/>
      <sheetName val="PrepaidTaxArt_2311"/>
      <sheetName val="Detail_PS11"/>
      <sheetName val="BAI_Calculation11"/>
      <sheetName val="LIST_FUEL_TRUCK10"/>
      <sheetName val="Fuel_Activity10"/>
      <sheetName val="Galian_110"/>
      <sheetName val="Pos_&amp;_Kondisi_Alat5"/>
      <sheetName val="OB_per_we10"/>
      <sheetName val="Sheet1_(2)10"/>
      <sheetName val="Trading_Statement8"/>
      <sheetName val="Base_On_WH9"/>
      <sheetName val="G&amp;LFuel_HO9"/>
      <sheetName val="PICA_HO9"/>
      <sheetName val="List_BUMA8"/>
      <sheetName val="Budget_R68"/>
      <sheetName val="Budget_R78"/>
      <sheetName val="Prod_8"/>
      <sheetName val="Excess_EQP8"/>
      <sheetName val="BENCH_CALC9"/>
      <sheetName val="EQ_Event8"/>
      <sheetName val="INPUT_DATA_CUTI8"/>
      <sheetName val="Existing_Man_Power1"/>
      <sheetName val="Analisa_Hasil2"/>
      <sheetName val="Data_Staff2"/>
      <sheetName val="MASTER_1"/>
      <sheetName val="KPI_DT1"/>
      <sheetName val="KPI_HE1"/>
      <sheetName val="PARETO_PROBLEM1"/>
      <sheetName val="DAILY_10_MEI_20211"/>
      <sheetName val="16_PDF1"/>
      <sheetName val="17_PDF1"/>
      <sheetName val="19_PDF1"/>
      <sheetName val="20_PDF1"/>
      <sheetName val="Chart_By_Unit_type1"/>
      <sheetName val="FORM_PRINT1"/>
      <sheetName val="epei_1"/>
      <sheetName val="Cost_Element1"/>
      <sheetName val="Category_&amp;_Loc1"/>
      <sheetName val="pabrik_(2)1"/>
      <sheetName val="Perm__Test1"/>
      <sheetName val="Wheel_Grp1"/>
      <sheetName val="Dozing_Estimation1"/>
      <sheetName val="HR_Detail1"/>
      <sheetName val="TIMESHEET_staff1"/>
      <sheetName val="MH_Rate1"/>
      <sheetName val="MTD_GainLoss1"/>
      <sheetName val="POTO_MAC1"/>
      <sheetName val="Rekap_Addendum1"/>
      <sheetName val="98년차_XLS1"/>
      <sheetName val="4_Analysis"/>
      <sheetName val="INPUTS"/>
      <sheetName val="GD_actuals"/>
      <sheetName val="7x"/>
      <sheetName val="8x"/>
      <sheetName val="3x"/>
      <sheetName val="2x"/>
      <sheetName val="9x"/>
      <sheetName val="4x"/>
      <sheetName val="6x"/>
      <sheetName val="PEXFEE"/>
      <sheetName val="Penyebab Langsung "/>
      <sheetName val="Trand Weekly"/>
      <sheetName val="MAJOR ISSUE"/>
      <sheetName val="Ch"/>
      <sheetName val="DRAFT"/>
      <sheetName val="Kode"/>
      <sheetName val="070108"/>
      <sheetName val="BULAN 1"/>
      <sheetName val="ORang"/>
      <sheetName val="BAHAN"/>
      <sheetName val="DIV.1"/>
      <sheetName val="DIV_1"/>
      <sheetName val="name"/>
      <sheetName val="Div2"/>
      <sheetName val="Summary MTU"/>
      <sheetName val="Pemenuhan MTU"/>
      <sheetName val="SD"/>
      <sheetName val="Lists"/>
      <sheetName val="Premi Iuran"/>
      <sheetName val="SAPDb"/>
      <sheetName val="OpRev"/>
      <sheetName val="Taxation"/>
      <sheetName val="Tabel stock"/>
      <sheetName val="DB Apr 2011"/>
      <sheetName val="SUM-IN"/>
      <sheetName val="Service Invoice"/>
      <sheetName val="M_POP"/>
      <sheetName val="REPORT"/>
      <sheetName val="STATUS UNIT"/>
      <sheetName val="divI"/>
      <sheetName val="divII"/>
      <sheetName val="Coord"/>
      <sheetName val="REPORT01"/>
      <sheetName val="DRILLBLAST"/>
      <sheetName val="ACT HAUL"/>
      <sheetName val="ACT OB"/>
      <sheetName val="ACT COAL"/>
      <sheetName val="COAL CRUSH PLAN"/>
      <sheetName val=" COAL MINE PLAN"/>
      <sheetName val="ACT DIRTY COAL"/>
      <sheetName val=" OB PLAN"/>
      <sheetName val="Ktd"/>
      <sheetName val="Rain &amp; Slippery Method"/>
      <sheetName val="02"/>
      <sheetName val="KONS_BID_P&amp;N"/>
      <sheetName val="UP_II_DUMAI"/>
      <sheetName val="KP_DIT_HULU"/>
      <sheetName val="UP_VI_BALONGAN"/>
      <sheetName val="UP_1_BRANDAN"/>
      <sheetName val="UP_V_BALIKPAPAN"/>
      <sheetName val="DIT_HILIR"/>
      <sheetName val="UP_IV_CILACAP"/>
      <sheetName val="UP_III_PLAJU"/>
      <sheetName val="KONS_DIT_HULU"/>
      <sheetName val="KR_AMPEL"/>
      <sheetName val="UP_VII_KASIM"/>
      <sheetName val="KONS_BID_P"/>
      <sheetName val="Sourch"/>
      <sheetName val="DATA MASTER JUN"/>
      <sheetName val="Lembur (ok)"/>
      <sheetName val="Analisa_Hasil3"/>
      <sheetName val="Data_Staff3"/>
      <sheetName val="Perm__Test2"/>
      <sheetName val="Wheel_Grp2"/>
      <sheetName val="Dozing_Estimation2"/>
      <sheetName val="HR_Detail2"/>
      <sheetName val="TIMESHEET_staff2"/>
      <sheetName val="MH_Rate2"/>
      <sheetName val="98년차_XLS2"/>
      <sheetName val="pabrik_(2)2"/>
      <sheetName val="Rekap_Addendum2"/>
      <sheetName val="MASTER_2"/>
      <sheetName val="KPI_DT2"/>
      <sheetName val="KPI_HE2"/>
      <sheetName val="PARETO_PROBLEM2"/>
      <sheetName val="DAILY_10_MEI_20212"/>
      <sheetName val="16_PDF2"/>
      <sheetName val="17_PDF2"/>
      <sheetName val="19_PDF2"/>
      <sheetName val="20_PDF2"/>
      <sheetName val="Chart_By_Unit_type2"/>
      <sheetName val="FORM_PRINT2"/>
      <sheetName val="POTO_MAC2"/>
      <sheetName val="Analisa_Hasil4"/>
      <sheetName val="Data_Staff4"/>
      <sheetName val="Perm__Test3"/>
      <sheetName val="Wheel_Grp3"/>
      <sheetName val="Dozing_Estimation3"/>
      <sheetName val="HR_Detail3"/>
      <sheetName val="TIMESHEET_staff3"/>
      <sheetName val="MH_Rate3"/>
      <sheetName val="98년차_XLS3"/>
      <sheetName val="pabrik_(2)3"/>
      <sheetName val="Rekap_Addendum3"/>
      <sheetName val="MASTER_3"/>
      <sheetName val="KPI_DT3"/>
      <sheetName val="KPI_HE3"/>
      <sheetName val="PARETO_PROBLEM3"/>
      <sheetName val="DAILY_10_MEI_20213"/>
      <sheetName val="16_PDF3"/>
      <sheetName val="17_PDF3"/>
      <sheetName val="19_PDF3"/>
      <sheetName val="20_PDF3"/>
      <sheetName val="Chart_By_Unit_type3"/>
      <sheetName val="FORM_PRINT3"/>
      <sheetName val="POTO_MAC3"/>
      <sheetName val="Dates"/>
      <sheetName val="Annual-Plan-1998-A-US$-Rupiah-F"/>
      <sheetName val="IRR sponsor"/>
      <sheetName val="RefG"/>
      <sheetName val="Index"/>
      <sheetName val="POP UNIT"/>
      <sheetName val="SUMMARY MAIN PRO"/>
      <sheetName val=" SAF 02"/>
      <sheetName val="SP"/>
      <sheetName val="distance_coal"/>
      <sheetName val="Tyre Life Time"/>
      <sheetName val="NEW"/>
      <sheetName val="RM Cost"/>
      <sheetName val="Tyre_Life_Time1"/>
      <sheetName val="Tyre_Life_Time"/>
      <sheetName val="Attendance Ratio"/>
      <sheetName val="-REF-"/>
      <sheetName val="Revenue"/>
      <sheetName val="Detail"/>
      <sheetName val="PE"/>
      <sheetName val="Distance Pit-TSP to WBM"/>
      <sheetName val="Distance Pit-PSG to BJM"/>
      <sheetName val="Distance Pit-TSP to BJM"/>
      <sheetName val="Operation - Prod"/>
      <sheetName val="Ritase"/>
      <sheetName val="7NS"/>
      <sheetName val="CALC"/>
      <sheetName val="LIST NEW"/>
      <sheetName val="POPUN"/>
      <sheetName val="sbl"/>
      <sheetName val="PT"/>
      <sheetName val="COA"/>
      <sheetName val="#REF!"/>
      <sheetName val="UNIT EXISTING"/>
      <sheetName val="Record Problem"/>
      <sheetName val="Print (4)"/>
      <sheetName val="LPA OB"/>
      <sheetName val="Operation_-_Prod"/>
      <sheetName val="Attendance_Ratio"/>
      <sheetName val="UNIT_EXISTING"/>
      <sheetName val="Record_Problem"/>
      <sheetName val="Print_(4)"/>
      <sheetName val="LPA_OB"/>
      <sheetName val="Operation_-_Prod1"/>
      <sheetName val="Attendance_Ratio1"/>
      <sheetName val="UNIT_EXISTING1"/>
      <sheetName val="Record_Problem1"/>
      <sheetName val="Print_(4)1"/>
      <sheetName val="LPA_OB1"/>
      <sheetName val="STATUS_UNIT"/>
      <sheetName val="RM_Cost"/>
      <sheetName val="Petrosea"/>
      <sheetName val="EX572"/>
      <sheetName val="EX593"/>
      <sheetName val="EX594"/>
      <sheetName val="EX595"/>
      <sheetName val="Truck Count"/>
      <sheetName val="Joint Survey Actual"/>
      <sheetName val="EX716"/>
      <sheetName val="EX717"/>
      <sheetName val="EX1007"/>
      <sheetName val="EX1010"/>
      <sheetName val="EX625"/>
      <sheetName val="EX629"/>
      <sheetName val="EX630"/>
      <sheetName val="EX569"/>
      <sheetName val="Tyre_Life_Time2"/>
      <sheetName val="Operation_-_Prod2"/>
      <sheetName val="Attendance_Ratio2"/>
      <sheetName val="UNIT_EXISTING2"/>
      <sheetName val="Record_Problem2"/>
      <sheetName val="Print_(4)2"/>
      <sheetName val="LPA_OB2"/>
      <sheetName val="STATUS_UNIT1"/>
      <sheetName val="RM_Cost1"/>
      <sheetName val="Truck_Count"/>
      <sheetName val="Joint_Survey_Actual"/>
      <sheetName val="Budget Cash Out"/>
      <sheetName val="dbase EGI"/>
      <sheetName val="RATE"/>
      <sheetName val="Maret"/>
      <sheetName val="CLAIM EMBUNG"/>
      <sheetName val="Rekapitulasi Fuel"/>
      <sheetName val="tabel"/>
      <sheetName val="Produksi"/>
      <sheetName val="Asumsi"/>
      <sheetName val="DATA_B"/>
      <sheetName val="TARIF"/>
      <sheetName val="IBS 2012"/>
      <sheetName val="PRINT CLAIM KPP"/>
      <sheetName val="01"/>
      <sheetName val="list data"/>
      <sheetName val="dummy"/>
      <sheetName val="SC"/>
      <sheetName val="CONSOLE"/>
      <sheetName val="Setting Unit"/>
      <sheetName val="Helper"/>
      <sheetName val="Day &amp; Date"/>
      <sheetName val="Master (2)"/>
      <sheetName val="Tyre_Life_Time3"/>
      <sheetName val="Operation_-_Prod3"/>
      <sheetName val="Attendance_Ratio3"/>
      <sheetName val="UNIT_EXISTING3"/>
      <sheetName val="Record_Problem3"/>
      <sheetName val="Print_(4)3"/>
      <sheetName val="LPA_OB3"/>
      <sheetName val="STATUS_UNIT2"/>
      <sheetName val="RM_Cost2"/>
      <sheetName val="Truck_Count1"/>
      <sheetName val="Joint_Survey_Actual1"/>
      <sheetName val="Budget_Cash_Out"/>
      <sheetName val="dbase_EGI"/>
      <sheetName val="CLAIM_EMBUNG"/>
      <sheetName val="IBS_2012"/>
      <sheetName val="PRINT_CLAIM_KPP"/>
      <sheetName val="list_data"/>
      <sheetName val="Validation"/>
      <sheetName val="Setting"/>
      <sheetName val="WFOB"/>
      <sheetName val="DATE &amp; WEEK SETT"/>
      <sheetName val="Setting_Unit"/>
      <sheetName val="Day_&amp;_Date"/>
      <sheetName val="LIST_NEW"/>
      <sheetName val="Distance_Pit-TSP_to_WBM"/>
      <sheetName val="Distance_Pit-PSG_to_BJM"/>
      <sheetName val="Distance_Pit-TSP_to_BJM"/>
      <sheetName val="Master2"/>
      <sheetName val="poductvty JAN"/>
      <sheetName val="DATA BASE UNIT"/>
      <sheetName val="Master activity WBS "/>
      <sheetName val="FR MTD"/>
      <sheetName val="DB MANPOWER"/>
      <sheetName val="Master Unit"/>
      <sheetName val="Check Poin Apa"/>
      <sheetName val="DAY"/>
      <sheetName val="Prod"/>
      <sheetName val="OLIE"/>
      <sheetName val="Avail"/>
      <sheetName val="PIT BBP TO SP MB-AL"/>
      <sheetName val="Highlight"/>
      <sheetName val="ESCON"/>
      <sheetName val="MP1"/>
      <sheetName val="Forecast"/>
      <sheetName val="I_KAMAR"/>
      <sheetName val="C1 NOV"/>
      <sheetName val="Ex_Rate"/>
      <sheetName val="GRAFIC_OB"/>
      <sheetName val="GRAFIC_COAL"/>
      <sheetName val="list_unit1"/>
      <sheetName val="Setting_Unit1"/>
      <sheetName val="Day_&amp;_Date1"/>
      <sheetName val="LIST_NEW1"/>
      <sheetName val="DATA_BASE_UNIT"/>
      <sheetName val="Tools"/>
      <sheetName val="M_POP (2)"/>
      <sheetName val="Leasing Acct"/>
      <sheetName val="RAPORT TINGKAT GAGAL"/>
      <sheetName val="Raw Data Cost"/>
      <sheetName val="ob+co"/>
      <sheetName val="TEMPLATE POSITION"/>
      <sheetName val="UA_PA"/>
      <sheetName val="Productivity"/>
      <sheetName val="Coal_per_block"/>
      <sheetName val="Blasting_per_block"/>
      <sheetName val="Daily Report"/>
      <sheetName val="Weekly_DEJ"/>
      <sheetName val="Overall_plan"/>
      <sheetName val="BRM"/>
      <sheetName val="RainSlipp_Weight"/>
      <sheetName val="pittonsp"/>
      <sheetName val="crushnsp"/>
      <sheetName val="KM91"/>
      <sheetName val="Graf_Rain"/>
      <sheetName val="LINK"/>
      <sheetName val="IBS"/>
      <sheetName val="MARCO"/>
      <sheetName val="WASHCO"/>
      <sheetName val="Project Report"/>
      <sheetName val="D_Base"/>
      <sheetName val="Anal Koef"/>
      <sheetName val="Letter"/>
      <sheetName val="Paretto PDTY"/>
      <sheetName val="WF OB"/>
      <sheetName val="EPR WEEKLY"/>
      <sheetName val="Base data"/>
      <sheetName val="DATA BASE ENG"/>
      <sheetName val="March-april (2)"/>
      <sheetName val="Lamp 1"/>
      <sheetName val="Lamp 2"/>
      <sheetName val="Lamp 3"/>
      <sheetName val="BASE"/>
      <sheetName val="IVT TTB"/>
      <sheetName val="inventory timbau"/>
      <sheetName val="SP 4 CUMULATIVE"/>
      <sheetName val="SP 1 CUMULATIVE"/>
      <sheetName val="SP 3 CUMULATIVE"/>
      <sheetName val="Row Data"/>
      <sheetName val="MF"/>
      <sheetName val="UA_PA DZ"/>
      <sheetName val="UA_PA GR"/>
      <sheetName val="UA_PA PC"/>
      <sheetName val="UA_PA HM400"/>
      <sheetName val="UA_PA HD4657"/>
      <sheetName val="UA_PA HD7857"/>
      <sheetName val="UA_PA HD7857 (2)"/>
      <sheetName val="UA_PA P380"/>
      <sheetName val="Productivity PC_WR"/>
      <sheetName val="Productivity PC 800_CC"/>
      <sheetName val="Productivity HM400"/>
      <sheetName val="Productivity HD4657"/>
      <sheetName val="Productivity HD7857"/>
      <sheetName val="Coal_per_Hauling"/>
      <sheetName val="Coal_Hauling"/>
      <sheetName val="Overburden_Actual"/>
      <sheetName val="Act_cost"/>
      <sheetName val="Rental"/>
      <sheetName val="EXA"/>
      <sheetName val="CONTROL"/>
      <sheetName val="Rain"/>
      <sheetName val="Rain Fall pit"/>
      <sheetName val="Safety 2"/>
      <sheetName val="usage"/>
      <sheetName val="WASTE"/>
      <sheetName val="All Stockpile PT. GPS"/>
      <sheetName val="BA EMBUNG S1"/>
      <sheetName val="DT"/>
      <sheetName val="A2B"/>
      <sheetName val="cHECKER"/>
      <sheetName val="Master Data"/>
      <sheetName val="Unit Database"/>
      <sheetName val="PT. SRIWIJAYA LINTAS RAYA"/>
      <sheetName val="ALL HAULING_Maret"/>
      <sheetName val="ALL HAULING_April"/>
      <sheetName val="ALL HAULING_Mei"/>
      <sheetName val="ALL HAULING_Juni"/>
      <sheetName val="ALL HAULING_Juli "/>
      <sheetName val="ALL HAULING_Agustus "/>
      <sheetName val="DATA ERROR DATA VOID_AGUSTUS "/>
      <sheetName val="DATA ERROR DATA VOID_JULI "/>
      <sheetName val="DATA ERROR DATA VOID_JUNI"/>
      <sheetName val="DATA ERROR DATA VOID_MEI"/>
      <sheetName val="DATA ERROR DATA VOID_APRIL"/>
      <sheetName val="DATA ERROR DATA VOID_maret "/>
      <sheetName val="Kuota Epi &amp; 107"/>
      <sheetName val="ALL HAULING_September"/>
      <sheetName val="DATA ERROR DATA VOID_SEPTEMBER"/>
      <sheetName val="Sales Seasonality by Month"/>
      <sheetName val="Waterflow OB"/>
      <sheetName val="Plan.Reg"/>
      <sheetName val="RAPORT PERFORMANCE"/>
      <sheetName val="Cost Code"/>
      <sheetName val="Pivot Control Volume"/>
      <sheetName val="Central DB"/>
      <sheetName val="HM UNIT"/>
      <sheetName val="Breakdown"/>
      <sheetName val="Pivot Ritase BSI"/>
      <sheetName val="DMR BSI"/>
      <sheetName val="DMR Total"/>
      <sheetName val="HM SUPPORT  MMS"/>
      <sheetName val="ZMC5042R"/>
      <sheetName val="Coal Hauler"/>
      <sheetName val="Coal Loader"/>
      <sheetName val="Result Summar"/>
      <sheetName val="OB Hauler"/>
      <sheetName val="OB Loader"/>
      <sheetName val="Other"/>
      <sheetName val="Support"/>
      <sheetName val="Plan Week "/>
    </sheetNames>
    <sheetDataSet>
      <sheetData sheetId="0" refreshError="1">
        <row r="4">
          <cell r="F4" t="str">
            <v>KEY PERFORMANCE INDICATOR ( KPI )</v>
          </cell>
        </row>
        <row r="32">
          <cell r="E32" t="str">
            <v>JAN</v>
          </cell>
          <cell r="F32" t="str">
            <v>FEB</v>
          </cell>
          <cell r="G32" t="str">
            <v>MAR</v>
          </cell>
          <cell r="H32" t="str">
            <v>APR</v>
          </cell>
          <cell r="I32" t="str">
            <v>MAY</v>
          </cell>
          <cell r="J32" t="str">
            <v>JUNE</v>
          </cell>
          <cell r="K32" t="str">
            <v>JULY</v>
          </cell>
          <cell r="L32" t="str">
            <v>AUG</v>
          </cell>
          <cell r="M32" t="str">
            <v>SEP</v>
          </cell>
          <cell r="N32" t="str">
            <v>OCT</v>
          </cell>
          <cell r="O32" t="str">
            <v>NOV</v>
          </cell>
          <cell r="P32" t="str">
            <v>DEC</v>
          </cell>
        </row>
        <row r="33">
          <cell r="E33">
            <v>426000</v>
          </cell>
          <cell r="F33">
            <v>396900</v>
          </cell>
        </row>
        <row r="34">
          <cell r="E34">
            <v>426000</v>
          </cell>
          <cell r="F34">
            <v>822900</v>
          </cell>
        </row>
        <row r="35">
          <cell r="E35">
            <v>464531.94</v>
          </cell>
          <cell r="F35">
            <v>365131.65</v>
          </cell>
        </row>
        <row r="36">
          <cell r="E36">
            <v>464531.94</v>
          </cell>
          <cell r="F36">
            <v>829663.59000000008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ow r="2">
          <cell r="A2">
            <v>0</v>
          </cell>
        </row>
      </sheetData>
      <sheetData sheetId="35">
        <row r="2">
          <cell r="A2">
            <v>0</v>
          </cell>
        </row>
      </sheetData>
      <sheetData sheetId="36" refreshError="1"/>
      <sheetData sheetId="37" refreshError="1"/>
      <sheetData sheetId="38">
        <row r="2">
          <cell r="A2">
            <v>0</v>
          </cell>
        </row>
      </sheetData>
      <sheetData sheetId="39">
        <row r="2">
          <cell r="A2">
            <v>0</v>
          </cell>
        </row>
      </sheetData>
      <sheetData sheetId="40">
        <row r="2">
          <cell r="A2">
            <v>0</v>
          </cell>
        </row>
      </sheetData>
      <sheetData sheetId="41">
        <row r="2">
          <cell r="A2">
            <v>0</v>
          </cell>
        </row>
      </sheetData>
      <sheetData sheetId="42" refreshError="1"/>
      <sheetData sheetId="43" refreshError="1"/>
      <sheetData sheetId="44">
        <row r="2">
          <cell r="A2">
            <v>0</v>
          </cell>
        </row>
      </sheetData>
      <sheetData sheetId="45">
        <row r="2">
          <cell r="A2">
            <v>0</v>
          </cell>
        </row>
      </sheetData>
      <sheetData sheetId="46">
        <row r="2">
          <cell r="A2">
            <v>0</v>
          </cell>
        </row>
      </sheetData>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2">
          <cell r="A2">
            <v>0</v>
          </cell>
        </row>
      </sheetData>
      <sheetData sheetId="97">
        <row r="2">
          <cell r="A2">
            <v>0</v>
          </cell>
        </row>
      </sheetData>
      <sheetData sheetId="98">
        <row r="2">
          <cell r="A2">
            <v>0</v>
          </cell>
        </row>
      </sheetData>
      <sheetData sheetId="99">
        <row r="2">
          <cell r="A2">
            <v>0</v>
          </cell>
        </row>
      </sheetData>
      <sheetData sheetId="100">
        <row r="2">
          <cell r="A2">
            <v>0</v>
          </cell>
        </row>
      </sheetData>
      <sheetData sheetId="101">
        <row r="2">
          <cell r="A2">
            <v>0</v>
          </cell>
        </row>
      </sheetData>
      <sheetData sheetId="102" refreshError="1"/>
      <sheetData sheetId="103">
        <row r="2">
          <cell r="A2">
            <v>0</v>
          </cell>
        </row>
      </sheetData>
      <sheetData sheetId="104">
        <row r="2">
          <cell r="A2">
            <v>0</v>
          </cell>
        </row>
      </sheetData>
      <sheetData sheetId="105">
        <row r="2">
          <cell r="A2">
            <v>0</v>
          </cell>
        </row>
      </sheetData>
      <sheetData sheetId="106">
        <row r="2">
          <cell r="A2">
            <v>0</v>
          </cell>
        </row>
      </sheetData>
      <sheetData sheetId="107">
        <row r="2">
          <cell r="A2">
            <v>0</v>
          </cell>
        </row>
      </sheetData>
      <sheetData sheetId="108">
        <row r="2">
          <cell r="A2">
            <v>0</v>
          </cell>
        </row>
      </sheetData>
      <sheetData sheetId="109">
        <row r="2">
          <cell r="A2">
            <v>0</v>
          </cell>
        </row>
      </sheetData>
      <sheetData sheetId="110">
        <row r="2">
          <cell r="A2">
            <v>0</v>
          </cell>
        </row>
      </sheetData>
      <sheetData sheetId="111">
        <row r="2">
          <cell r="A2">
            <v>0</v>
          </cell>
        </row>
      </sheetData>
      <sheetData sheetId="112">
        <row r="2">
          <cell r="A2">
            <v>0</v>
          </cell>
        </row>
      </sheetData>
      <sheetData sheetId="113">
        <row r="2">
          <cell r="A2">
            <v>0</v>
          </cell>
        </row>
      </sheetData>
      <sheetData sheetId="114">
        <row r="2">
          <cell r="A2">
            <v>0</v>
          </cell>
        </row>
      </sheetData>
      <sheetData sheetId="115">
        <row r="2">
          <cell r="A2">
            <v>0</v>
          </cell>
        </row>
      </sheetData>
      <sheetData sheetId="116">
        <row r="2">
          <cell r="A2">
            <v>0</v>
          </cell>
        </row>
      </sheetData>
      <sheetData sheetId="117">
        <row r="2">
          <cell r="A2">
            <v>0</v>
          </cell>
        </row>
      </sheetData>
      <sheetData sheetId="118">
        <row r="2">
          <cell r="A2">
            <v>0</v>
          </cell>
        </row>
      </sheetData>
      <sheetData sheetId="119">
        <row r="2">
          <cell r="A2">
            <v>0</v>
          </cell>
        </row>
      </sheetData>
      <sheetData sheetId="120">
        <row r="2">
          <cell r="A2">
            <v>0</v>
          </cell>
        </row>
      </sheetData>
      <sheetData sheetId="121">
        <row r="2">
          <cell r="A2">
            <v>0</v>
          </cell>
        </row>
      </sheetData>
      <sheetData sheetId="122">
        <row r="2">
          <cell r="A2">
            <v>0</v>
          </cell>
        </row>
      </sheetData>
      <sheetData sheetId="123">
        <row r="2">
          <cell r="A2">
            <v>0</v>
          </cell>
        </row>
      </sheetData>
      <sheetData sheetId="124">
        <row r="2">
          <cell r="A2">
            <v>0</v>
          </cell>
        </row>
      </sheetData>
      <sheetData sheetId="125" refreshError="1"/>
      <sheetData sheetId="126" refreshError="1"/>
      <sheetData sheetId="127" refreshError="1"/>
      <sheetData sheetId="128">
        <row r="2">
          <cell r="A2">
            <v>0</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ow r="2">
          <cell r="A2">
            <v>0</v>
          </cell>
        </row>
      </sheetData>
      <sheetData sheetId="166">
        <row r="2">
          <cell r="A2">
            <v>0</v>
          </cell>
        </row>
      </sheetData>
      <sheetData sheetId="167">
        <row r="2">
          <cell r="A2">
            <v>0</v>
          </cell>
        </row>
      </sheetData>
      <sheetData sheetId="168">
        <row r="2">
          <cell r="A2">
            <v>0</v>
          </cell>
        </row>
      </sheetData>
      <sheetData sheetId="169">
        <row r="2">
          <cell r="A2">
            <v>0</v>
          </cell>
        </row>
      </sheetData>
      <sheetData sheetId="170" refreshError="1"/>
      <sheetData sheetId="171" refreshError="1"/>
      <sheetData sheetId="172" refreshError="1"/>
      <sheetData sheetId="173" refreshError="1"/>
      <sheetData sheetId="174">
        <row r="2">
          <cell r="A2">
            <v>0</v>
          </cell>
        </row>
      </sheetData>
      <sheetData sheetId="175">
        <row r="2">
          <cell r="A2">
            <v>0</v>
          </cell>
        </row>
      </sheetData>
      <sheetData sheetId="176">
        <row r="2">
          <cell r="A2">
            <v>0</v>
          </cell>
        </row>
      </sheetData>
      <sheetData sheetId="177">
        <row r="2">
          <cell r="A2">
            <v>0</v>
          </cell>
        </row>
      </sheetData>
      <sheetData sheetId="178">
        <row r="2">
          <cell r="A2">
            <v>0</v>
          </cell>
        </row>
      </sheetData>
      <sheetData sheetId="179">
        <row r="2">
          <cell r="A2">
            <v>0</v>
          </cell>
        </row>
      </sheetData>
      <sheetData sheetId="180">
        <row r="2">
          <cell r="A2">
            <v>0</v>
          </cell>
        </row>
      </sheetData>
      <sheetData sheetId="181">
        <row r="2">
          <cell r="A2">
            <v>0</v>
          </cell>
        </row>
      </sheetData>
      <sheetData sheetId="182">
        <row r="2">
          <cell r="A2">
            <v>0</v>
          </cell>
        </row>
      </sheetData>
      <sheetData sheetId="183">
        <row r="2">
          <cell r="A2">
            <v>0</v>
          </cell>
        </row>
      </sheetData>
      <sheetData sheetId="184">
        <row r="2">
          <cell r="A2">
            <v>0</v>
          </cell>
        </row>
      </sheetData>
      <sheetData sheetId="185">
        <row r="2">
          <cell r="A2">
            <v>0</v>
          </cell>
        </row>
      </sheetData>
      <sheetData sheetId="186">
        <row r="2">
          <cell r="A2">
            <v>0</v>
          </cell>
        </row>
      </sheetData>
      <sheetData sheetId="187">
        <row r="2">
          <cell r="A2">
            <v>0</v>
          </cell>
        </row>
      </sheetData>
      <sheetData sheetId="188">
        <row r="2">
          <cell r="A2">
            <v>0</v>
          </cell>
        </row>
      </sheetData>
      <sheetData sheetId="189">
        <row r="2">
          <cell r="A2">
            <v>0</v>
          </cell>
        </row>
      </sheetData>
      <sheetData sheetId="190">
        <row r="2">
          <cell r="A2">
            <v>0</v>
          </cell>
        </row>
      </sheetData>
      <sheetData sheetId="191">
        <row r="2">
          <cell r="A2">
            <v>0</v>
          </cell>
        </row>
      </sheetData>
      <sheetData sheetId="192">
        <row r="2">
          <cell r="A2">
            <v>0</v>
          </cell>
        </row>
      </sheetData>
      <sheetData sheetId="193">
        <row r="2">
          <cell r="A2">
            <v>0</v>
          </cell>
        </row>
      </sheetData>
      <sheetData sheetId="194">
        <row r="2">
          <cell r="A2">
            <v>0</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ow r="2">
          <cell r="A2">
            <v>0</v>
          </cell>
        </row>
      </sheetData>
      <sheetData sheetId="205">
        <row r="2">
          <cell r="A2">
            <v>0</v>
          </cell>
        </row>
      </sheetData>
      <sheetData sheetId="206" refreshError="1"/>
      <sheetData sheetId="207">
        <row r="2">
          <cell r="A2">
            <v>0</v>
          </cell>
        </row>
      </sheetData>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ow r="2">
          <cell r="A2">
            <v>0</v>
          </cell>
        </row>
      </sheetData>
      <sheetData sheetId="319">
        <row r="2">
          <cell r="A2">
            <v>0</v>
          </cell>
        </row>
      </sheetData>
      <sheetData sheetId="320">
        <row r="2">
          <cell r="A2">
            <v>0</v>
          </cell>
        </row>
      </sheetData>
      <sheetData sheetId="321">
        <row r="2">
          <cell r="A2">
            <v>0</v>
          </cell>
        </row>
      </sheetData>
      <sheetData sheetId="322">
        <row r="2">
          <cell r="A2">
            <v>0</v>
          </cell>
        </row>
      </sheetData>
      <sheetData sheetId="323">
        <row r="2">
          <cell r="A2">
            <v>0</v>
          </cell>
        </row>
      </sheetData>
      <sheetData sheetId="324">
        <row r="2">
          <cell r="A2">
            <v>0</v>
          </cell>
        </row>
      </sheetData>
      <sheetData sheetId="325">
        <row r="2">
          <cell r="A2">
            <v>0</v>
          </cell>
        </row>
      </sheetData>
      <sheetData sheetId="326">
        <row r="2">
          <cell r="A2">
            <v>0</v>
          </cell>
        </row>
      </sheetData>
      <sheetData sheetId="327">
        <row r="2">
          <cell r="A2">
            <v>0</v>
          </cell>
        </row>
      </sheetData>
      <sheetData sheetId="328">
        <row r="2">
          <cell r="A2">
            <v>0</v>
          </cell>
        </row>
      </sheetData>
      <sheetData sheetId="329">
        <row r="2">
          <cell r="A2">
            <v>0</v>
          </cell>
        </row>
      </sheetData>
      <sheetData sheetId="330">
        <row r="2">
          <cell r="A2">
            <v>0</v>
          </cell>
        </row>
      </sheetData>
      <sheetData sheetId="331">
        <row r="2">
          <cell r="A2">
            <v>0</v>
          </cell>
        </row>
      </sheetData>
      <sheetData sheetId="332">
        <row r="2">
          <cell r="A2">
            <v>0</v>
          </cell>
        </row>
      </sheetData>
      <sheetData sheetId="333">
        <row r="2">
          <cell r="A2">
            <v>0</v>
          </cell>
        </row>
      </sheetData>
      <sheetData sheetId="334">
        <row r="2">
          <cell r="A2">
            <v>0</v>
          </cell>
        </row>
      </sheetData>
      <sheetData sheetId="335">
        <row r="2">
          <cell r="A2">
            <v>0</v>
          </cell>
        </row>
      </sheetData>
      <sheetData sheetId="336">
        <row r="2">
          <cell r="A2">
            <v>0</v>
          </cell>
        </row>
      </sheetData>
      <sheetData sheetId="337">
        <row r="2">
          <cell r="A2">
            <v>0</v>
          </cell>
        </row>
      </sheetData>
      <sheetData sheetId="338">
        <row r="2">
          <cell r="A2">
            <v>0</v>
          </cell>
        </row>
      </sheetData>
      <sheetData sheetId="339">
        <row r="2">
          <cell r="A2">
            <v>0</v>
          </cell>
        </row>
      </sheetData>
      <sheetData sheetId="340">
        <row r="2">
          <cell r="A2">
            <v>0</v>
          </cell>
        </row>
      </sheetData>
      <sheetData sheetId="341">
        <row r="2">
          <cell r="A2">
            <v>0</v>
          </cell>
        </row>
      </sheetData>
      <sheetData sheetId="342">
        <row r="2">
          <cell r="A2">
            <v>0</v>
          </cell>
        </row>
      </sheetData>
      <sheetData sheetId="343">
        <row r="2">
          <cell r="A2">
            <v>0</v>
          </cell>
        </row>
      </sheetData>
      <sheetData sheetId="344">
        <row r="2">
          <cell r="A2">
            <v>0</v>
          </cell>
        </row>
      </sheetData>
      <sheetData sheetId="345">
        <row r="2">
          <cell r="A2">
            <v>0</v>
          </cell>
        </row>
      </sheetData>
      <sheetData sheetId="346">
        <row r="2">
          <cell r="A2">
            <v>0</v>
          </cell>
        </row>
      </sheetData>
      <sheetData sheetId="347">
        <row r="2">
          <cell r="A2">
            <v>0</v>
          </cell>
        </row>
      </sheetData>
      <sheetData sheetId="348">
        <row r="2">
          <cell r="A2">
            <v>0</v>
          </cell>
        </row>
      </sheetData>
      <sheetData sheetId="349">
        <row r="2">
          <cell r="A2">
            <v>0</v>
          </cell>
        </row>
      </sheetData>
      <sheetData sheetId="350">
        <row r="2">
          <cell r="A2">
            <v>0</v>
          </cell>
        </row>
      </sheetData>
      <sheetData sheetId="351">
        <row r="2">
          <cell r="A2">
            <v>0</v>
          </cell>
        </row>
      </sheetData>
      <sheetData sheetId="352">
        <row r="2">
          <cell r="A2">
            <v>0</v>
          </cell>
        </row>
      </sheetData>
      <sheetData sheetId="353">
        <row r="2">
          <cell r="A2">
            <v>0</v>
          </cell>
        </row>
      </sheetData>
      <sheetData sheetId="354">
        <row r="2">
          <cell r="A2">
            <v>0</v>
          </cell>
        </row>
      </sheetData>
      <sheetData sheetId="355">
        <row r="2">
          <cell r="A2">
            <v>0</v>
          </cell>
        </row>
      </sheetData>
      <sheetData sheetId="356">
        <row r="2">
          <cell r="A2">
            <v>0</v>
          </cell>
        </row>
      </sheetData>
      <sheetData sheetId="357">
        <row r="2">
          <cell r="A2">
            <v>0</v>
          </cell>
        </row>
      </sheetData>
      <sheetData sheetId="358">
        <row r="2">
          <cell r="A2">
            <v>0</v>
          </cell>
        </row>
      </sheetData>
      <sheetData sheetId="359">
        <row r="2">
          <cell r="A2">
            <v>0</v>
          </cell>
        </row>
      </sheetData>
      <sheetData sheetId="360">
        <row r="2">
          <cell r="A2">
            <v>0</v>
          </cell>
        </row>
      </sheetData>
      <sheetData sheetId="361">
        <row r="2">
          <cell r="A2">
            <v>0</v>
          </cell>
        </row>
      </sheetData>
      <sheetData sheetId="362">
        <row r="2">
          <cell r="A2">
            <v>0</v>
          </cell>
        </row>
      </sheetData>
      <sheetData sheetId="363">
        <row r="2">
          <cell r="A2">
            <v>0</v>
          </cell>
        </row>
      </sheetData>
      <sheetData sheetId="364">
        <row r="2">
          <cell r="A2">
            <v>0</v>
          </cell>
        </row>
      </sheetData>
      <sheetData sheetId="365">
        <row r="2">
          <cell r="A2">
            <v>0</v>
          </cell>
        </row>
      </sheetData>
      <sheetData sheetId="366">
        <row r="2">
          <cell r="A2">
            <v>0</v>
          </cell>
        </row>
      </sheetData>
      <sheetData sheetId="367">
        <row r="2">
          <cell r="A2">
            <v>0</v>
          </cell>
        </row>
      </sheetData>
      <sheetData sheetId="368">
        <row r="2">
          <cell r="A2">
            <v>0</v>
          </cell>
        </row>
      </sheetData>
      <sheetData sheetId="369">
        <row r="2">
          <cell r="A2">
            <v>0</v>
          </cell>
        </row>
      </sheetData>
      <sheetData sheetId="370">
        <row r="2">
          <cell r="A2">
            <v>0</v>
          </cell>
        </row>
      </sheetData>
      <sheetData sheetId="371">
        <row r="2">
          <cell r="A2">
            <v>0</v>
          </cell>
        </row>
      </sheetData>
      <sheetData sheetId="372">
        <row r="2">
          <cell r="A2">
            <v>0</v>
          </cell>
        </row>
      </sheetData>
      <sheetData sheetId="373">
        <row r="2">
          <cell r="A2">
            <v>0</v>
          </cell>
        </row>
      </sheetData>
      <sheetData sheetId="374">
        <row r="2">
          <cell r="A2">
            <v>0</v>
          </cell>
        </row>
      </sheetData>
      <sheetData sheetId="375">
        <row r="2">
          <cell r="A2">
            <v>0</v>
          </cell>
        </row>
      </sheetData>
      <sheetData sheetId="376">
        <row r="2">
          <cell r="A2">
            <v>0</v>
          </cell>
        </row>
      </sheetData>
      <sheetData sheetId="377">
        <row r="2">
          <cell r="A2">
            <v>0</v>
          </cell>
        </row>
      </sheetData>
      <sheetData sheetId="378">
        <row r="2">
          <cell r="A2">
            <v>0</v>
          </cell>
        </row>
      </sheetData>
      <sheetData sheetId="379">
        <row r="2">
          <cell r="A2">
            <v>0</v>
          </cell>
        </row>
      </sheetData>
      <sheetData sheetId="380">
        <row r="2">
          <cell r="A2">
            <v>0</v>
          </cell>
        </row>
      </sheetData>
      <sheetData sheetId="381">
        <row r="2">
          <cell r="A2">
            <v>0</v>
          </cell>
        </row>
      </sheetData>
      <sheetData sheetId="382">
        <row r="2">
          <cell r="A2">
            <v>0</v>
          </cell>
        </row>
      </sheetData>
      <sheetData sheetId="383">
        <row r="2">
          <cell r="A2">
            <v>0</v>
          </cell>
        </row>
      </sheetData>
      <sheetData sheetId="384">
        <row r="2">
          <cell r="A2">
            <v>0</v>
          </cell>
        </row>
      </sheetData>
      <sheetData sheetId="385">
        <row r="2">
          <cell r="A2">
            <v>0</v>
          </cell>
        </row>
      </sheetData>
      <sheetData sheetId="386">
        <row r="2">
          <cell r="A2">
            <v>0</v>
          </cell>
        </row>
      </sheetData>
      <sheetData sheetId="387">
        <row r="2">
          <cell r="A2">
            <v>0</v>
          </cell>
        </row>
      </sheetData>
      <sheetData sheetId="388">
        <row r="2">
          <cell r="A2">
            <v>0</v>
          </cell>
        </row>
      </sheetData>
      <sheetData sheetId="389">
        <row r="2">
          <cell r="A2">
            <v>0</v>
          </cell>
        </row>
      </sheetData>
      <sheetData sheetId="390">
        <row r="2">
          <cell r="A2">
            <v>0</v>
          </cell>
        </row>
      </sheetData>
      <sheetData sheetId="391">
        <row r="2">
          <cell r="A2">
            <v>0</v>
          </cell>
        </row>
      </sheetData>
      <sheetData sheetId="392">
        <row r="2">
          <cell r="A2">
            <v>0</v>
          </cell>
        </row>
      </sheetData>
      <sheetData sheetId="393">
        <row r="2">
          <cell r="A2">
            <v>0</v>
          </cell>
        </row>
      </sheetData>
      <sheetData sheetId="394">
        <row r="2">
          <cell r="A2">
            <v>0</v>
          </cell>
        </row>
      </sheetData>
      <sheetData sheetId="395">
        <row r="2">
          <cell r="A2">
            <v>0</v>
          </cell>
        </row>
      </sheetData>
      <sheetData sheetId="396">
        <row r="2">
          <cell r="A2">
            <v>0</v>
          </cell>
        </row>
      </sheetData>
      <sheetData sheetId="397">
        <row r="2">
          <cell r="A2">
            <v>0</v>
          </cell>
        </row>
      </sheetData>
      <sheetData sheetId="398">
        <row r="2">
          <cell r="A2">
            <v>0</v>
          </cell>
        </row>
      </sheetData>
      <sheetData sheetId="399">
        <row r="2">
          <cell r="A2">
            <v>0</v>
          </cell>
        </row>
      </sheetData>
      <sheetData sheetId="400">
        <row r="2">
          <cell r="A2">
            <v>0</v>
          </cell>
        </row>
      </sheetData>
      <sheetData sheetId="401">
        <row r="2">
          <cell r="A2">
            <v>0</v>
          </cell>
        </row>
      </sheetData>
      <sheetData sheetId="402">
        <row r="2">
          <cell r="A2">
            <v>0</v>
          </cell>
        </row>
      </sheetData>
      <sheetData sheetId="403">
        <row r="2">
          <cell r="A2">
            <v>0</v>
          </cell>
        </row>
      </sheetData>
      <sheetData sheetId="404">
        <row r="2">
          <cell r="A2">
            <v>0</v>
          </cell>
        </row>
      </sheetData>
      <sheetData sheetId="405">
        <row r="2">
          <cell r="A2">
            <v>0</v>
          </cell>
        </row>
      </sheetData>
      <sheetData sheetId="406">
        <row r="2">
          <cell r="A2">
            <v>0</v>
          </cell>
        </row>
      </sheetData>
      <sheetData sheetId="407">
        <row r="2">
          <cell r="A2">
            <v>0</v>
          </cell>
        </row>
      </sheetData>
      <sheetData sheetId="408">
        <row r="2">
          <cell r="A2">
            <v>0</v>
          </cell>
        </row>
      </sheetData>
      <sheetData sheetId="409">
        <row r="2">
          <cell r="A2">
            <v>0</v>
          </cell>
        </row>
      </sheetData>
      <sheetData sheetId="410">
        <row r="2">
          <cell r="A2">
            <v>0</v>
          </cell>
        </row>
      </sheetData>
      <sheetData sheetId="411">
        <row r="2">
          <cell r="A2">
            <v>0</v>
          </cell>
        </row>
      </sheetData>
      <sheetData sheetId="412">
        <row r="2">
          <cell r="A2">
            <v>0</v>
          </cell>
        </row>
      </sheetData>
      <sheetData sheetId="413">
        <row r="2">
          <cell r="A2">
            <v>0</v>
          </cell>
        </row>
      </sheetData>
      <sheetData sheetId="414">
        <row r="2">
          <cell r="A2">
            <v>0</v>
          </cell>
        </row>
      </sheetData>
      <sheetData sheetId="415">
        <row r="2">
          <cell r="A2">
            <v>0</v>
          </cell>
        </row>
      </sheetData>
      <sheetData sheetId="416">
        <row r="2">
          <cell r="A2">
            <v>0</v>
          </cell>
        </row>
      </sheetData>
      <sheetData sheetId="417">
        <row r="2">
          <cell r="A2">
            <v>0</v>
          </cell>
        </row>
      </sheetData>
      <sheetData sheetId="418">
        <row r="2">
          <cell r="A2">
            <v>0</v>
          </cell>
        </row>
      </sheetData>
      <sheetData sheetId="419">
        <row r="2">
          <cell r="A2">
            <v>0</v>
          </cell>
        </row>
      </sheetData>
      <sheetData sheetId="420">
        <row r="2">
          <cell r="A2">
            <v>0</v>
          </cell>
        </row>
      </sheetData>
      <sheetData sheetId="421">
        <row r="2">
          <cell r="A2">
            <v>0</v>
          </cell>
        </row>
      </sheetData>
      <sheetData sheetId="422">
        <row r="2">
          <cell r="A2">
            <v>0</v>
          </cell>
        </row>
      </sheetData>
      <sheetData sheetId="423">
        <row r="2">
          <cell r="A2">
            <v>0</v>
          </cell>
        </row>
      </sheetData>
      <sheetData sheetId="424">
        <row r="2">
          <cell r="A2">
            <v>0</v>
          </cell>
        </row>
      </sheetData>
      <sheetData sheetId="425">
        <row r="2">
          <cell r="A2">
            <v>0</v>
          </cell>
        </row>
      </sheetData>
      <sheetData sheetId="426">
        <row r="2">
          <cell r="A2">
            <v>0</v>
          </cell>
        </row>
      </sheetData>
      <sheetData sheetId="427">
        <row r="2">
          <cell r="A2">
            <v>0</v>
          </cell>
        </row>
      </sheetData>
      <sheetData sheetId="428">
        <row r="2">
          <cell r="A2">
            <v>0</v>
          </cell>
        </row>
      </sheetData>
      <sheetData sheetId="429">
        <row r="2">
          <cell r="A2">
            <v>0</v>
          </cell>
        </row>
      </sheetData>
      <sheetData sheetId="430">
        <row r="2">
          <cell r="A2">
            <v>0</v>
          </cell>
        </row>
      </sheetData>
      <sheetData sheetId="431">
        <row r="2">
          <cell r="A2">
            <v>0</v>
          </cell>
        </row>
      </sheetData>
      <sheetData sheetId="432">
        <row r="2">
          <cell r="A2">
            <v>0</v>
          </cell>
        </row>
      </sheetData>
      <sheetData sheetId="433">
        <row r="2">
          <cell r="A2">
            <v>0</v>
          </cell>
        </row>
      </sheetData>
      <sheetData sheetId="434">
        <row r="2">
          <cell r="A2">
            <v>0</v>
          </cell>
        </row>
      </sheetData>
      <sheetData sheetId="435">
        <row r="2">
          <cell r="A2">
            <v>0</v>
          </cell>
        </row>
      </sheetData>
      <sheetData sheetId="436">
        <row r="2">
          <cell r="A2">
            <v>0</v>
          </cell>
        </row>
      </sheetData>
      <sheetData sheetId="437">
        <row r="2">
          <cell r="A2">
            <v>0</v>
          </cell>
        </row>
      </sheetData>
      <sheetData sheetId="438">
        <row r="2">
          <cell r="A2">
            <v>0</v>
          </cell>
        </row>
      </sheetData>
      <sheetData sheetId="439">
        <row r="2">
          <cell r="A2">
            <v>0</v>
          </cell>
        </row>
      </sheetData>
      <sheetData sheetId="440">
        <row r="2">
          <cell r="A2">
            <v>0</v>
          </cell>
        </row>
      </sheetData>
      <sheetData sheetId="441">
        <row r="2">
          <cell r="A2">
            <v>0</v>
          </cell>
        </row>
      </sheetData>
      <sheetData sheetId="442">
        <row r="2">
          <cell r="A2">
            <v>0</v>
          </cell>
        </row>
      </sheetData>
      <sheetData sheetId="443">
        <row r="2">
          <cell r="A2">
            <v>0</v>
          </cell>
        </row>
      </sheetData>
      <sheetData sheetId="444">
        <row r="2">
          <cell r="A2">
            <v>0</v>
          </cell>
        </row>
      </sheetData>
      <sheetData sheetId="445">
        <row r="2">
          <cell r="A2">
            <v>0</v>
          </cell>
        </row>
      </sheetData>
      <sheetData sheetId="446">
        <row r="2">
          <cell r="A2">
            <v>0</v>
          </cell>
        </row>
      </sheetData>
      <sheetData sheetId="447">
        <row r="2">
          <cell r="A2">
            <v>0</v>
          </cell>
        </row>
      </sheetData>
      <sheetData sheetId="448">
        <row r="2">
          <cell r="A2">
            <v>0</v>
          </cell>
        </row>
      </sheetData>
      <sheetData sheetId="449">
        <row r="2">
          <cell r="A2">
            <v>0</v>
          </cell>
        </row>
      </sheetData>
      <sheetData sheetId="450">
        <row r="2">
          <cell r="A2">
            <v>0</v>
          </cell>
        </row>
      </sheetData>
      <sheetData sheetId="451">
        <row r="2">
          <cell r="A2">
            <v>0</v>
          </cell>
        </row>
      </sheetData>
      <sheetData sheetId="452">
        <row r="2">
          <cell r="A2">
            <v>0</v>
          </cell>
        </row>
      </sheetData>
      <sheetData sheetId="453">
        <row r="2">
          <cell r="A2">
            <v>0</v>
          </cell>
        </row>
      </sheetData>
      <sheetData sheetId="454">
        <row r="2">
          <cell r="A2">
            <v>0</v>
          </cell>
        </row>
      </sheetData>
      <sheetData sheetId="455">
        <row r="2">
          <cell r="A2">
            <v>0</v>
          </cell>
        </row>
      </sheetData>
      <sheetData sheetId="456">
        <row r="2">
          <cell r="A2">
            <v>0</v>
          </cell>
        </row>
      </sheetData>
      <sheetData sheetId="457">
        <row r="2">
          <cell r="A2">
            <v>0</v>
          </cell>
        </row>
      </sheetData>
      <sheetData sheetId="458">
        <row r="2">
          <cell r="A2">
            <v>0</v>
          </cell>
        </row>
      </sheetData>
      <sheetData sheetId="459">
        <row r="2">
          <cell r="A2">
            <v>0</v>
          </cell>
        </row>
      </sheetData>
      <sheetData sheetId="460">
        <row r="2">
          <cell r="A2">
            <v>0</v>
          </cell>
        </row>
      </sheetData>
      <sheetData sheetId="461">
        <row r="2">
          <cell r="A2">
            <v>0</v>
          </cell>
        </row>
      </sheetData>
      <sheetData sheetId="462">
        <row r="2">
          <cell r="A2">
            <v>0</v>
          </cell>
        </row>
      </sheetData>
      <sheetData sheetId="463">
        <row r="2">
          <cell r="A2">
            <v>0</v>
          </cell>
        </row>
      </sheetData>
      <sheetData sheetId="464">
        <row r="2">
          <cell r="A2">
            <v>0</v>
          </cell>
        </row>
      </sheetData>
      <sheetData sheetId="465">
        <row r="2">
          <cell r="A2">
            <v>0</v>
          </cell>
        </row>
      </sheetData>
      <sheetData sheetId="466">
        <row r="2">
          <cell r="A2">
            <v>0</v>
          </cell>
        </row>
      </sheetData>
      <sheetData sheetId="467">
        <row r="2">
          <cell r="A2">
            <v>0</v>
          </cell>
        </row>
      </sheetData>
      <sheetData sheetId="468">
        <row r="2">
          <cell r="A2">
            <v>0</v>
          </cell>
        </row>
      </sheetData>
      <sheetData sheetId="469">
        <row r="2">
          <cell r="A2">
            <v>0</v>
          </cell>
        </row>
      </sheetData>
      <sheetData sheetId="470">
        <row r="2">
          <cell r="A2">
            <v>0</v>
          </cell>
        </row>
      </sheetData>
      <sheetData sheetId="471">
        <row r="2">
          <cell r="A2">
            <v>0</v>
          </cell>
        </row>
      </sheetData>
      <sheetData sheetId="472">
        <row r="2">
          <cell r="A2">
            <v>0</v>
          </cell>
        </row>
      </sheetData>
      <sheetData sheetId="473">
        <row r="2">
          <cell r="A2">
            <v>0</v>
          </cell>
        </row>
      </sheetData>
      <sheetData sheetId="474">
        <row r="2">
          <cell r="A2">
            <v>0</v>
          </cell>
        </row>
      </sheetData>
      <sheetData sheetId="475">
        <row r="2">
          <cell r="A2">
            <v>0</v>
          </cell>
        </row>
      </sheetData>
      <sheetData sheetId="476">
        <row r="2">
          <cell r="A2">
            <v>0</v>
          </cell>
        </row>
      </sheetData>
      <sheetData sheetId="477">
        <row r="2">
          <cell r="A2">
            <v>0</v>
          </cell>
        </row>
      </sheetData>
      <sheetData sheetId="478">
        <row r="2">
          <cell r="A2">
            <v>0</v>
          </cell>
        </row>
      </sheetData>
      <sheetData sheetId="479">
        <row r="2">
          <cell r="A2">
            <v>0</v>
          </cell>
        </row>
      </sheetData>
      <sheetData sheetId="480">
        <row r="2">
          <cell r="A2">
            <v>0</v>
          </cell>
        </row>
      </sheetData>
      <sheetData sheetId="481">
        <row r="2">
          <cell r="A2">
            <v>0</v>
          </cell>
        </row>
      </sheetData>
      <sheetData sheetId="482">
        <row r="2">
          <cell r="A2">
            <v>0</v>
          </cell>
        </row>
      </sheetData>
      <sheetData sheetId="483">
        <row r="2">
          <cell r="A2">
            <v>0</v>
          </cell>
        </row>
      </sheetData>
      <sheetData sheetId="484">
        <row r="2">
          <cell r="A2">
            <v>0</v>
          </cell>
        </row>
      </sheetData>
      <sheetData sheetId="485">
        <row r="2">
          <cell r="A2">
            <v>0</v>
          </cell>
        </row>
      </sheetData>
      <sheetData sheetId="486">
        <row r="2">
          <cell r="A2">
            <v>0</v>
          </cell>
        </row>
      </sheetData>
      <sheetData sheetId="487">
        <row r="2">
          <cell r="A2">
            <v>0</v>
          </cell>
        </row>
      </sheetData>
      <sheetData sheetId="488">
        <row r="2">
          <cell r="A2">
            <v>0</v>
          </cell>
        </row>
      </sheetData>
      <sheetData sheetId="489">
        <row r="2">
          <cell r="A2">
            <v>0</v>
          </cell>
        </row>
      </sheetData>
      <sheetData sheetId="490">
        <row r="2">
          <cell r="A2">
            <v>0</v>
          </cell>
        </row>
      </sheetData>
      <sheetData sheetId="491">
        <row r="2">
          <cell r="A2">
            <v>0</v>
          </cell>
        </row>
      </sheetData>
      <sheetData sheetId="492">
        <row r="2">
          <cell r="A2">
            <v>0</v>
          </cell>
        </row>
      </sheetData>
      <sheetData sheetId="493">
        <row r="2">
          <cell r="A2">
            <v>0</v>
          </cell>
        </row>
      </sheetData>
      <sheetData sheetId="494">
        <row r="2">
          <cell r="A2">
            <v>0</v>
          </cell>
        </row>
      </sheetData>
      <sheetData sheetId="495">
        <row r="2">
          <cell r="A2">
            <v>0</v>
          </cell>
        </row>
      </sheetData>
      <sheetData sheetId="496">
        <row r="2">
          <cell r="A2">
            <v>0</v>
          </cell>
        </row>
      </sheetData>
      <sheetData sheetId="497">
        <row r="2">
          <cell r="A2">
            <v>0</v>
          </cell>
        </row>
      </sheetData>
      <sheetData sheetId="498">
        <row r="2">
          <cell r="A2">
            <v>0</v>
          </cell>
        </row>
      </sheetData>
      <sheetData sheetId="499">
        <row r="2">
          <cell r="A2">
            <v>0</v>
          </cell>
        </row>
      </sheetData>
      <sheetData sheetId="500">
        <row r="2">
          <cell r="A2">
            <v>0</v>
          </cell>
        </row>
      </sheetData>
      <sheetData sheetId="501">
        <row r="2">
          <cell r="A2">
            <v>0</v>
          </cell>
        </row>
      </sheetData>
      <sheetData sheetId="502">
        <row r="2">
          <cell r="A2">
            <v>0</v>
          </cell>
        </row>
      </sheetData>
      <sheetData sheetId="503">
        <row r="2">
          <cell r="A2">
            <v>0</v>
          </cell>
        </row>
      </sheetData>
      <sheetData sheetId="504">
        <row r="2">
          <cell r="A2">
            <v>0</v>
          </cell>
        </row>
      </sheetData>
      <sheetData sheetId="505">
        <row r="2">
          <cell r="A2">
            <v>0</v>
          </cell>
        </row>
      </sheetData>
      <sheetData sheetId="506">
        <row r="2">
          <cell r="A2">
            <v>0</v>
          </cell>
        </row>
      </sheetData>
      <sheetData sheetId="507">
        <row r="2">
          <cell r="A2">
            <v>0</v>
          </cell>
        </row>
      </sheetData>
      <sheetData sheetId="508">
        <row r="2">
          <cell r="A2">
            <v>0</v>
          </cell>
        </row>
      </sheetData>
      <sheetData sheetId="509">
        <row r="2">
          <cell r="A2">
            <v>0</v>
          </cell>
        </row>
      </sheetData>
      <sheetData sheetId="510">
        <row r="2">
          <cell r="A2">
            <v>0</v>
          </cell>
        </row>
      </sheetData>
      <sheetData sheetId="511" refreshError="1"/>
      <sheetData sheetId="512" refreshError="1"/>
      <sheetData sheetId="513" refreshError="1"/>
      <sheetData sheetId="514">
        <row r="2">
          <cell r="A2">
            <v>0</v>
          </cell>
        </row>
      </sheetData>
      <sheetData sheetId="515">
        <row r="2">
          <cell r="A2">
            <v>0</v>
          </cell>
        </row>
      </sheetData>
      <sheetData sheetId="516">
        <row r="2">
          <cell r="A2">
            <v>0</v>
          </cell>
        </row>
      </sheetData>
      <sheetData sheetId="517">
        <row r="2">
          <cell r="A2">
            <v>0</v>
          </cell>
        </row>
      </sheetData>
      <sheetData sheetId="518">
        <row r="2">
          <cell r="A2">
            <v>0</v>
          </cell>
        </row>
      </sheetData>
      <sheetData sheetId="519">
        <row r="2">
          <cell r="A2">
            <v>0</v>
          </cell>
        </row>
      </sheetData>
      <sheetData sheetId="520">
        <row r="2">
          <cell r="A2">
            <v>0</v>
          </cell>
        </row>
      </sheetData>
      <sheetData sheetId="521">
        <row r="2">
          <cell r="A2">
            <v>0</v>
          </cell>
        </row>
      </sheetData>
      <sheetData sheetId="522">
        <row r="2">
          <cell r="A2">
            <v>0</v>
          </cell>
        </row>
      </sheetData>
      <sheetData sheetId="523">
        <row r="2">
          <cell r="A2">
            <v>0</v>
          </cell>
        </row>
      </sheetData>
      <sheetData sheetId="524">
        <row r="2">
          <cell r="A2">
            <v>0</v>
          </cell>
        </row>
      </sheetData>
      <sheetData sheetId="525">
        <row r="2">
          <cell r="A2">
            <v>0</v>
          </cell>
        </row>
      </sheetData>
      <sheetData sheetId="526">
        <row r="2">
          <cell r="A2">
            <v>0</v>
          </cell>
        </row>
      </sheetData>
      <sheetData sheetId="527">
        <row r="2">
          <cell r="A2">
            <v>0</v>
          </cell>
        </row>
      </sheetData>
      <sheetData sheetId="528">
        <row r="2">
          <cell r="A2">
            <v>0</v>
          </cell>
        </row>
      </sheetData>
      <sheetData sheetId="529">
        <row r="2">
          <cell r="A2">
            <v>0</v>
          </cell>
        </row>
      </sheetData>
      <sheetData sheetId="530">
        <row r="2">
          <cell r="A2">
            <v>0</v>
          </cell>
        </row>
      </sheetData>
      <sheetData sheetId="531">
        <row r="2">
          <cell r="A2">
            <v>0</v>
          </cell>
        </row>
      </sheetData>
      <sheetData sheetId="532">
        <row r="2">
          <cell r="A2">
            <v>0</v>
          </cell>
        </row>
      </sheetData>
      <sheetData sheetId="533">
        <row r="2">
          <cell r="A2">
            <v>0</v>
          </cell>
        </row>
      </sheetData>
      <sheetData sheetId="534">
        <row r="2">
          <cell r="A2">
            <v>0</v>
          </cell>
        </row>
      </sheetData>
      <sheetData sheetId="535">
        <row r="2">
          <cell r="A2">
            <v>0</v>
          </cell>
        </row>
      </sheetData>
      <sheetData sheetId="536">
        <row r="2">
          <cell r="A2">
            <v>0</v>
          </cell>
        </row>
      </sheetData>
      <sheetData sheetId="537">
        <row r="2">
          <cell r="A2">
            <v>0</v>
          </cell>
        </row>
      </sheetData>
      <sheetData sheetId="538">
        <row r="2">
          <cell r="A2">
            <v>0</v>
          </cell>
        </row>
      </sheetData>
      <sheetData sheetId="539">
        <row r="2">
          <cell r="A2">
            <v>0</v>
          </cell>
        </row>
      </sheetData>
      <sheetData sheetId="540">
        <row r="2">
          <cell r="A2">
            <v>0</v>
          </cell>
        </row>
      </sheetData>
      <sheetData sheetId="541">
        <row r="2">
          <cell r="A2">
            <v>0</v>
          </cell>
        </row>
      </sheetData>
      <sheetData sheetId="542">
        <row r="2">
          <cell r="A2">
            <v>0</v>
          </cell>
        </row>
      </sheetData>
      <sheetData sheetId="543">
        <row r="2">
          <cell r="A2">
            <v>0</v>
          </cell>
        </row>
      </sheetData>
      <sheetData sheetId="544">
        <row r="2">
          <cell r="A2">
            <v>0</v>
          </cell>
        </row>
      </sheetData>
      <sheetData sheetId="545">
        <row r="2">
          <cell r="A2">
            <v>0</v>
          </cell>
        </row>
      </sheetData>
      <sheetData sheetId="546">
        <row r="2">
          <cell r="A2">
            <v>0</v>
          </cell>
        </row>
      </sheetData>
      <sheetData sheetId="547">
        <row r="2">
          <cell r="A2">
            <v>0</v>
          </cell>
        </row>
      </sheetData>
      <sheetData sheetId="548">
        <row r="2">
          <cell r="A2">
            <v>0</v>
          </cell>
        </row>
      </sheetData>
      <sheetData sheetId="549">
        <row r="2">
          <cell r="A2">
            <v>0</v>
          </cell>
        </row>
      </sheetData>
      <sheetData sheetId="550">
        <row r="2">
          <cell r="A2">
            <v>0</v>
          </cell>
        </row>
      </sheetData>
      <sheetData sheetId="551">
        <row r="2">
          <cell r="A2">
            <v>0</v>
          </cell>
        </row>
      </sheetData>
      <sheetData sheetId="552">
        <row r="2">
          <cell r="A2">
            <v>0</v>
          </cell>
        </row>
      </sheetData>
      <sheetData sheetId="553">
        <row r="2">
          <cell r="A2">
            <v>0</v>
          </cell>
        </row>
      </sheetData>
      <sheetData sheetId="554">
        <row r="2">
          <cell r="A2">
            <v>0</v>
          </cell>
        </row>
      </sheetData>
      <sheetData sheetId="555">
        <row r="2">
          <cell r="A2">
            <v>0</v>
          </cell>
        </row>
      </sheetData>
      <sheetData sheetId="556">
        <row r="2">
          <cell r="A2">
            <v>0</v>
          </cell>
        </row>
      </sheetData>
      <sheetData sheetId="557">
        <row r="2">
          <cell r="A2">
            <v>0</v>
          </cell>
        </row>
      </sheetData>
      <sheetData sheetId="558">
        <row r="2">
          <cell r="A2">
            <v>0</v>
          </cell>
        </row>
      </sheetData>
      <sheetData sheetId="559">
        <row r="2">
          <cell r="A2">
            <v>0</v>
          </cell>
        </row>
      </sheetData>
      <sheetData sheetId="560">
        <row r="2">
          <cell r="A2">
            <v>0</v>
          </cell>
        </row>
      </sheetData>
      <sheetData sheetId="561">
        <row r="2">
          <cell r="A2">
            <v>0</v>
          </cell>
        </row>
      </sheetData>
      <sheetData sheetId="562">
        <row r="2">
          <cell r="A2">
            <v>0</v>
          </cell>
        </row>
      </sheetData>
      <sheetData sheetId="563">
        <row r="2">
          <cell r="A2">
            <v>0</v>
          </cell>
        </row>
      </sheetData>
      <sheetData sheetId="564">
        <row r="2">
          <cell r="A2">
            <v>0</v>
          </cell>
        </row>
      </sheetData>
      <sheetData sheetId="565">
        <row r="2">
          <cell r="A2">
            <v>0</v>
          </cell>
        </row>
      </sheetData>
      <sheetData sheetId="566">
        <row r="2">
          <cell r="A2">
            <v>0</v>
          </cell>
        </row>
      </sheetData>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ow r="2">
          <cell r="A2">
            <v>0</v>
          </cell>
        </row>
      </sheetData>
      <sheetData sheetId="595">
        <row r="2">
          <cell r="A2">
            <v>0</v>
          </cell>
        </row>
      </sheetData>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refreshError="1"/>
      <sheetData sheetId="979" refreshError="1"/>
      <sheetData sheetId="980" refreshError="1"/>
      <sheetData sheetId="981">
        <row r="2">
          <cell r="A2">
            <v>0</v>
          </cell>
        </row>
      </sheetData>
      <sheetData sheetId="982">
        <row r="2">
          <cell r="A2">
            <v>0</v>
          </cell>
        </row>
      </sheetData>
      <sheetData sheetId="983">
        <row r="2">
          <cell r="B2">
            <v>0</v>
          </cell>
        </row>
      </sheetData>
      <sheetData sheetId="984"/>
      <sheetData sheetId="985"/>
      <sheetData sheetId="986"/>
      <sheetData sheetId="987"/>
      <sheetData sheetId="988"/>
      <sheetData sheetId="989"/>
      <sheetData sheetId="990"/>
      <sheetData sheetId="991">
        <row r="32">
          <cell r="E32">
            <v>670.03372130678008</v>
          </cell>
        </row>
      </sheetData>
      <sheetData sheetId="992">
        <row r="32">
          <cell r="E32">
            <v>670.03372130678008</v>
          </cell>
        </row>
      </sheetData>
      <sheetData sheetId="993">
        <row r="32">
          <cell r="E32">
            <v>0</v>
          </cell>
        </row>
      </sheetData>
      <sheetData sheetId="994">
        <row r="2">
          <cell r="A2">
            <v>0</v>
          </cell>
        </row>
      </sheetData>
      <sheetData sheetId="995">
        <row r="2">
          <cell r="A2">
            <v>0</v>
          </cell>
        </row>
      </sheetData>
      <sheetData sheetId="996">
        <row r="2">
          <cell r="A2">
            <v>0</v>
          </cell>
        </row>
      </sheetData>
      <sheetData sheetId="997">
        <row r="32">
          <cell r="E32">
            <v>670.03372130678008</v>
          </cell>
        </row>
      </sheetData>
      <sheetData sheetId="998">
        <row r="32">
          <cell r="E32">
            <v>670.03372130678008</v>
          </cell>
        </row>
      </sheetData>
      <sheetData sheetId="999">
        <row r="2">
          <cell r="A2">
            <v>0</v>
          </cell>
        </row>
      </sheetData>
      <sheetData sheetId="1000">
        <row r="2">
          <cell r="A2">
            <v>0</v>
          </cell>
        </row>
      </sheetData>
      <sheetData sheetId="1001">
        <row r="2">
          <cell r="A2">
            <v>0</v>
          </cell>
        </row>
      </sheetData>
      <sheetData sheetId="1002">
        <row r="2">
          <cell r="A2">
            <v>0</v>
          </cell>
        </row>
      </sheetData>
      <sheetData sheetId="1003">
        <row r="2">
          <cell r="A2">
            <v>0</v>
          </cell>
        </row>
      </sheetData>
      <sheetData sheetId="1004"/>
      <sheetData sheetId="1005"/>
      <sheetData sheetId="1006"/>
      <sheetData sheetId="1007"/>
      <sheetData sheetId="1008"/>
      <sheetData sheetId="1009"/>
      <sheetData sheetId="1010"/>
      <sheetData sheetId="1011"/>
      <sheetData sheetId="1012"/>
      <sheetData sheetId="1013"/>
      <sheetData sheetId="1014">
        <row r="32">
          <cell r="E32">
            <v>670.03372130678008</v>
          </cell>
        </row>
      </sheetData>
      <sheetData sheetId="1015">
        <row r="32">
          <cell r="E32">
            <v>670.03372130678008</v>
          </cell>
        </row>
      </sheetData>
      <sheetData sheetId="1016">
        <row r="32">
          <cell r="E32">
            <v>0</v>
          </cell>
        </row>
      </sheetData>
      <sheetData sheetId="1017">
        <row r="2">
          <cell r="A2">
            <v>0</v>
          </cell>
        </row>
      </sheetData>
      <sheetData sheetId="1018">
        <row r="2">
          <cell r="A2">
            <v>0</v>
          </cell>
        </row>
      </sheetData>
      <sheetData sheetId="1019">
        <row r="2">
          <cell r="A2">
            <v>0</v>
          </cell>
        </row>
      </sheetData>
      <sheetData sheetId="1020">
        <row r="2">
          <cell r="A2">
            <v>0</v>
          </cell>
        </row>
      </sheetData>
      <sheetData sheetId="1021">
        <row r="32">
          <cell r="E32">
            <v>670.03372130678008</v>
          </cell>
        </row>
      </sheetData>
      <sheetData sheetId="1022">
        <row r="2">
          <cell r="A2">
            <v>0</v>
          </cell>
        </row>
      </sheetData>
      <sheetData sheetId="1023">
        <row r="2">
          <cell r="A2">
            <v>0</v>
          </cell>
        </row>
      </sheetData>
      <sheetData sheetId="1024">
        <row r="2">
          <cell r="A2">
            <v>0</v>
          </cell>
        </row>
      </sheetData>
      <sheetData sheetId="1025">
        <row r="2">
          <cell r="A2">
            <v>0</v>
          </cell>
        </row>
      </sheetData>
      <sheetData sheetId="1026">
        <row r="2">
          <cell r="A2">
            <v>0</v>
          </cell>
        </row>
      </sheetData>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334-Summary"/>
      <sheetName val="A"/>
      <sheetName val="B1"/>
      <sheetName val="OLDMAP"/>
      <sheetName val="MATERIALFINAL"/>
      <sheetName val="PS"/>
      <sheetName val="data"/>
      <sheetName val="Increment All"/>
      <sheetName val="Lookup_jabatan"/>
      <sheetName val="Lookup_MeritInc"/>
      <sheetName val="Lookup_PromotionInc"/>
      <sheetName val="Lookup_SS2013"/>
      <sheetName val="Sheet2"/>
      <sheetName val="lookup_SS"/>
      <sheetName val="Table SPC"/>
      <sheetName val="Currency"/>
      <sheetName val="Non-Statistical Sampling"/>
      <sheetName val="AR Drop Downs"/>
      <sheetName val="DropDown"/>
      <sheetName val="OVERBURDEN"/>
      <sheetName val="SUBKON"/>
      <sheetName val="MAINTENANCE"/>
      <sheetName val="REFF"/>
      <sheetName val="Sheet1"/>
      <sheetName val="PRO_COAL"/>
      <sheetName val="vol_2"/>
      <sheetName val="Param"/>
      <sheetName val="last month"/>
      <sheetName val="LIST Mining"/>
      <sheetName val="AMC"/>
      <sheetName val="PARAMETER"/>
      <sheetName val="Dbase_1_8"/>
      <sheetName val="ocean voyage"/>
      <sheetName val="data_agt"/>
      <sheetName val="mob"/>
      <sheetName val="LOADDAT"/>
      <sheetName val="I-ME"/>
      <sheetName val="9"/>
      <sheetName val="coal"/>
      <sheetName val="ob"/>
      <sheetName val="Help"/>
      <sheetName val="22861"/>
      <sheetName val="adaro"/>
      <sheetName val="NO1PUMP FRONT NC AT FULL STROKE"/>
      <sheetName val="NO1PUMP FRONT NC RH TRACK2"/>
      <sheetName val="NO1PUMPREARNC ALL LEVERSNEUTRAL"/>
      <sheetName val="NO1PUMP REARNC LH TRACK2"/>
      <sheetName val="NO1PUMP REARNC FULL STROKE"/>
      <sheetName val="NO2PUMP REARNC ALL LEVER NEUTRA"/>
      <sheetName val="NO2REARNCPUMP SWING FULL STRUK "/>
      <sheetName val="NO2PUMP REAR DURING SWINGING"/>
      <sheetName val="NO1PUMP FRONTCO BOOM RAISE.FNC"/>
      <sheetName val="NO1PUMPFRONT COBOOM RAISE.RNC"/>
      <sheetName val="NO1PUMPFRONTCO SWING RELIEF FNC"/>
      <sheetName val="NO1PUMPSWING RELIEFRNC"/>
      <sheetName val="SWING ENG FULL RELIEF LH"/>
      <sheetName val="SWING ENG FULL RELIEF RH"/>
      <sheetName val="BOMRAISE ALHEAVY SWITCH.OFF"/>
      <sheetName val="BOMRAISEATHEAVYSWITCH.ON"/>
      <sheetName val="LH TRAVEL FOR_REV FRONT PUMP"/>
      <sheetName val="LH TRAVELFOR&amp;REV REAR PUMP"/>
      <sheetName val="RH TRAVEL FOR&amp;REV FRONTPUMP"/>
      <sheetName val="RHTRAVEL FOR&amp;REV REAR PUMP"/>
      <sheetName val="NO1PUMPFRONT LEVERSAT NEUTRAL"/>
      <sheetName val="Eng_Full"/>
      <sheetName val="LH TRAVEL UNDER P6 MAIN"/>
      <sheetName val="LH TRAVEL FORWAD P6 MAIN"/>
      <sheetName val="LHTRAVEL REVERSE P6 MAIN"/>
      <sheetName val="AUTO OFF P7 CONC"/>
      <sheetName val="BOOM RAISE OFF P7CONC"/>
      <sheetName val="AUTO OFF P8 MAIN"/>
      <sheetName val="BOOM RAISE OFF P8MAIN"/>
      <sheetName val="SWING UNDER P7CONC"/>
      <sheetName val="SWING UNDER P8 MAIN"/>
      <sheetName val="RH SWING P8 MAIN"/>
      <sheetName val="LH SWING P8 MAIN "/>
      <sheetName val="REMARKS"/>
      <sheetName val="Sheet22"/>
      <sheetName val="DATE"/>
      <sheetName val="BLOW BAY PRSS"/>
      <sheetName val="LUB OIL PRES_ ENG FULL"/>
      <sheetName val="LUB OIL PRES_ ENG LOW"/>
      <sheetName val="EXHAUST_GAS"/>
      <sheetName val="BOOM RAISE ENGINE FULL"/>
      <sheetName val="SP SCPEC BOOM RAISE"/>
      <sheetName val="SP SPEC ARM IN"/>
      <sheetName val="SP SPEC BUCKET CURL"/>
      <sheetName val="STD LH TRAVEL 5 TURNS"/>
      <sheetName val="CONTROL PUMP ENG FULL"/>
      <sheetName val="TVC BOOM RAISE RELIEF"/>
      <sheetName val="TVC HEAVYLIFT ON BOOM RAISE "/>
      <sheetName val="TVC SWING RELIEF"/>
      <sheetName val="2002"/>
      <sheetName val="DAF-2"/>
      <sheetName val="MASTER"/>
      <sheetName val="A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ding Statement"/>
      <sheetName val="A"/>
      <sheetName val="C1 NOV"/>
      <sheetName val="Exc. Rate"/>
      <sheetName val="Detail-PARENT"/>
      <sheetName val="U1.4"/>
      <sheetName val="Ex_Rate"/>
      <sheetName val="RATE"/>
      <sheetName val="SD"/>
      <sheetName val="0220"/>
      <sheetName val="corp tax"/>
      <sheetName val="Permanent info"/>
      <sheetName val="Marshal"/>
      <sheetName val="Sales Report MKTG"/>
      <sheetName val="12"/>
      <sheetName val="M.4_Goodwill"/>
      <sheetName val="summary-1"/>
      <sheetName val="C13"/>
      <sheetName val="ACRCONT"/>
      <sheetName val="TOPSIMPR"/>
      <sheetName val="OLDMAP"/>
      <sheetName val="FRN"/>
      <sheetName val="TB2004"/>
      <sheetName val="asam sulfat"/>
      <sheetName val="cov"/>
      <sheetName val="Trading_Statement"/>
      <sheetName val="C1_NOV"/>
      <sheetName val="Exc__Rate"/>
      <sheetName val="Permanent_info"/>
      <sheetName val="Sales_Report_MKTG"/>
      <sheetName val="corp_tax"/>
      <sheetName val="WBS1"/>
      <sheetName val="Ex-Rate"/>
      <sheetName val="CDYW"/>
      <sheetName val="FIXASS"/>
      <sheetName val="ocean voyage"/>
      <sheetName val="sal"/>
      <sheetName val="TBM"/>
      <sheetName val="fiscal depr(E)"/>
      <sheetName val="Settings"/>
      <sheetName val="F1771-IV"/>
      <sheetName val="F1771-V"/>
      <sheetName val="Statistics"/>
      <sheetName val="ExchRates"/>
      <sheetName val="#REF"/>
      <sheetName val="Résultats"/>
      <sheetName val="Trading_Statement1"/>
      <sheetName val="C1_NOV1"/>
      <sheetName val="Exc__Rate1"/>
      <sheetName val="U1_4"/>
      <sheetName val="corp_tax1"/>
      <sheetName val="Permanent_info1"/>
      <sheetName val="Sales_Report_MKTG1"/>
      <sheetName val="M_4_Goodwill"/>
      <sheetName val="asam_sulfat"/>
      <sheetName val="ocean_voyage"/>
      <sheetName val="fiscal_depr(E)"/>
      <sheetName val="Trading_Statement2"/>
      <sheetName val="C1_NOV2"/>
      <sheetName val="Exc__Rate2"/>
      <sheetName val="U1_41"/>
      <sheetName val="corp_tax2"/>
      <sheetName val="Permanent_info2"/>
      <sheetName val="Sales_Report_MKTG2"/>
      <sheetName val="M_4_Goodwill1"/>
      <sheetName val="asam_sulfat1"/>
      <sheetName val="ocean_voyage1"/>
      <sheetName val="fiscal_depr(E)1"/>
      <sheetName val="Trading_Statement3"/>
      <sheetName val="C1_NOV3"/>
      <sheetName val="Exc__Rate3"/>
      <sheetName val="U1_42"/>
      <sheetName val="corp_tax3"/>
      <sheetName val="Permanent_info3"/>
      <sheetName val="Sales_Report_MKTG3"/>
      <sheetName val="M_4_Goodwill2"/>
      <sheetName val="asam_sulfat2"/>
      <sheetName val="ocean_voyage2"/>
      <sheetName val="fiscal_depr(E)2"/>
      <sheetName val="VALIDASI"/>
      <sheetName val="QTR"/>
      <sheetName val="Trial Bal"/>
      <sheetName val="U-3.1.1 telephone"/>
      <sheetName val="NONCAB"/>
      <sheetName val="LN"/>
      <sheetName val="DKI"/>
      <sheetName val="GABUNGAN"/>
      <sheetName val="LRK"/>
      <sheetName val="NONNRC"/>
      <sheetName val="KURS"/>
      <sheetName val="WPL(01)"/>
      <sheetName val="OH"/>
      <sheetName val="CFS US-Canada CAD"/>
      <sheetName val="CFS AP-NZD (Trade Bills)"/>
      <sheetName val="FKT_PJK"/>
      <sheetName val="DATA WP"/>
      <sheetName val="EX RATE"/>
      <sheetName val="R-1"/>
      <sheetName val="SSP-25"/>
      <sheetName val="JUL"/>
      <sheetName val="AUG02"/>
      <sheetName val="GL"/>
      <sheetName val=" SST72~Shelter"/>
      <sheetName val="data_val"/>
      <sheetName val="Location_Details (2)"/>
      <sheetName val="AA.1.1 BNI"/>
      <sheetName val="WBS2"/>
      <sheetName val="WPL"/>
      <sheetName val="LIAB&amp;EQUITY"/>
      <sheetName val="SW1"/>
      <sheetName val="BS+PL"/>
      <sheetName val="C"/>
      <sheetName val="TRADING PROFIT"/>
      <sheetName val="Pricing Summary"/>
      <sheetName val="Module2"/>
      <sheetName val="BUT-1"/>
      <sheetName val="HEX-A"/>
      <sheetName val="HEX-E"/>
      <sheetName val="I-BUT"/>
      <sheetName val="RD I-BUT"/>
      <sheetName val="Production &amp; Cash Flow"/>
      <sheetName val="tb1"/>
      <sheetName val="AVG2_JULI2003"/>
      <sheetName val="data-hujan"/>
      <sheetName val="CIP_USD"/>
      <sheetName val="SUMMFA-USD"/>
      <sheetName val="Investment"/>
      <sheetName val="A3_USD_PL02"/>
      <sheetName val="ShareCapital"/>
      <sheetName val="Inventories"/>
      <sheetName val="Trial"/>
      <sheetName val="Identitas"/>
      <sheetName val="kary21"/>
      <sheetName val="Sheet1"/>
      <sheetName val="data"/>
      <sheetName val="SCORE_RC_Code"/>
      <sheetName val="aktdit(WP)"/>
      <sheetName val="DHJune_02Forex "/>
      <sheetName val="A3_USD_BS02"/>
      <sheetName val="A5 USD"/>
      <sheetName val="CF01"/>
      <sheetName val="CF02"/>
      <sheetName val="Koreksi Fiskal"/>
      <sheetName val="Deff Tax"/>
      <sheetName val="FS_IDR"/>
      <sheetName val="P&amp;L_IDR"/>
      <sheetName val="PL02BLN_IDR"/>
      <sheetName val="PL02BLN_USD"/>
      <sheetName val="PLBLN97-IDR"/>
      <sheetName val="PLBLN97-USD"/>
      <sheetName val="PL98BLN_IDR"/>
      <sheetName val="PL98BLN_USD"/>
      <sheetName val="PL99BLN_IDR"/>
      <sheetName val="PL99BLN_USD"/>
      <sheetName val="PL00BLN_IDR"/>
      <sheetName val="PL00BLN_USD"/>
      <sheetName val="PL01BLN_IDR"/>
      <sheetName val="PL01BLN_USD"/>
      <sheetName val="CIP_IDR"/>
      <sheetName val="Other Asset-IDR"/>
      <sheetName val="Other Asset-USD"/>
      <sheetName val="SAP Software EY"/>
      <sheetName val="SUMMFA_USD"/>
      <sheetName val="pl_items"/>
      <sheetName val="A5_USD"/>
      <sheetName val="Koreksi_Fiskal"/>
      <sheetName val="Deff_Tax"/>
      <sheetName val="Other_Asset-IDR"/>
      <sheetName val="Other_Asset-USD"/>
      <sheetName val="SAP_Software_EY"/>
      <sheetName val="H-1.3"/>
      <sheetName val="GL 546111"/>
      <sheetName val="S e p"/>
      <sheetName val="M a r"/>
      <sheetName val="M a y"/>
      <sheetName val="J u l"/>
      <sheetName val="A p r"/>
      <sheetName val="A u g"/>
      <sheetName val="O c t"/>
      <sheetName val="J u n"/>
      <sheetName val="N o v"/>
      <sheetName val="F e b"/>
      <sheetName val="J a n"/>
      <sheetName val="00 received in 01"/>
      <sheetName val="A Grade Hiten - Local"/>
      <sheetName val="B25-95"/>
      <sheetName val="Statutory Query"/>
      <sheetName val="Marks-up"/>
      <sheetName val="Revenue Query"/>
      <sheetName val="Tax"/>
      <sheetName val="Calculation"/>
      <sheetName val="ANALISA"/>
      <sheetName val="IS"/>
      <sheetName val="PDPC0908"/>
      <sheetName val="SE-C"/>
      <sheetName val="Conversioon Rate"/>
      <sheetName val="Other Payable"/>
      <sheetName val="Data Ben"/>
      <sheetName val="U-3_1_1_telephone"/>
      <sheetName val="Trial_Bal"/>
      <sheetName val="DATA_WP"/>
      <sheetName val="CFS_US-Canada_CAD"/>
      <sheetName val="CFS_AP-NZD_(Trade_Bills)"/>
      <sheetName val="Pricing_Summary"/>
      <sheetName val="_SST72~Shelter"/>
      <sheetName val="Location_Details_(2)"/>
      <sheetName val="AA_1_1_BNI"/>
      <sheetName val="TRADING_PROFIT"/>
      <sheetName val="RD_I-BUT"/>
      <sheetName val="1771"/>
      <sheetName val="Fiskal"/>
      <sheetName val="MTO REV.2(ARMOR)"/>
      <sheetName val="Summary"/>
      <sheetName val="P.8.2 1036 Depot"/>
      <sheetName val="fxrates"/>
      <sheetName val="1997"/>
      <sheetName val="Trading_Statement4"/>
      <sheetName val="C1_NOV4"/>
      <sheetName val="Exc__Rate4"/>
      <sheetName val="U1_43"/>
      <sheetName val="corp_tax4"/>
      <sheetName val="Permanent_info4"/>
      <sheetName val="Sales_Report_MKTG4"/>
      <sheetName val="M_4_Goodwill3"/>
      <sheetName val="asam_sulfat3"/>
      <sheetName val="ocean_voyage3"/>
      <sheetName val="fiscal_depr(E)3"/>
      <sheetName val="Trial_Bal1"/>
      <sheetName val="U-3_1_1_telephone1"/>
      <sheetName val="CFS_US-Canada_CAD1"/>
      <sheetName val="CFS_AP-NZD_(Trade_Bills)1"/>
      <sheetName val="DATA_WP1"/>
      <sheetName val="_SST72~Shelter1"/>
      <sheetName val="Location_Details_(2)1"/>
      <sheetName val="AA_1_1_BNI1"/>
      <sheetName val="TRADING_PROFIT1"/>
      <sheetName val="Pricing_Summary1"/>
      <sheetName val="RD_I-BUT1"/>
      <sheetName val="Production_&amp;_Cash_Flow"/>
      <sheetName val="DHJune_02Forex_"/>
      <sheetName val="A5_USD1"/>
      <sheetName val="Koreksi_Fiskal1"/>
      <sheetName val="Deff_Tax1"/>
      <sheetName val="Other_Asset-IDR1"/>
      <sheetName val="Other_Asset-USD1"/>
      <sheetName val="SAP_Software_EY1"/>
      <sheetName val="H-1_3"/>
      <sheetName val="GL_546111"/>
      <sheetName val="S_e_p"/>
      <sheetName val="M_a_r"/>
      <sheetName val="M_a_y"/>
      <sheetName val="J_u_l"/>
      <sheetName val="A_p_r"/>
      <sheetName val="A_u_g"/>
      <sheetName val="O_c_t"/>
      <sheetName val="J_u_n"/>
      <sheetName val="N_o_v"/>
      <sheetName val="F_e_b"/>
      <sheetName val="J_a_n"/>
      <sheetName val="00_received_in_01"/>
      <sheetName val="A_Grade_Hiten_-_Local"/>
      <sheetName val="Statutory_Query"/>
      <sheetName val="Revenue_Query"/>
      <sheetName val="Conversioon_Rate"/>
      <sheetName val="Other_Payable"/>
      <sheetName val="Data_Ben"/>
      <sheetName val="MTO_REV_2(ARMOR)"/>
      <sheetName val="P_8_2_1036_Depot"/>
      <sheetName val="4334-Summary"/>
      <sheetName val="22861"/>
      <sheetName val="OVERBURDEN"/>
      <sheetName val="SUBKON"/>
      <sheetName val="MAINTENANCE"/>
      <sheetName val="TB"/>
      <sheetName val="A3.100"/>
      <sheetName val="Anuitet"/>
      <sheetName val=""/>
      <sheetName val="Table- do not edit"/>
      <sheetName val="GeneralInfo"/>
      <sheetName val="9"/>
      <sheetName val="D"/>
      <sheetName val="LOKASI"/>
      <sheetName val="PK HJ  HP"/>
      <sheetName val="SK HTM"/>
      <sheetName val="Entry  HTM"/>
      <sheetName val="貸出比較"/>
      <sheetName val="Karet"/>
      <sheetName val="DAT-1"/>
      <sheetName val="hiden"/>
      <sheetName val="kriteria"/>
      <sheetName val="BEP"/>
      <sheetName val="WTI Driver"/>
      <sheetName val="CashFlow(JOB)"/>
      <sheetName val="Parameters"/>
      <sheetName val="MC TIRE"/>
      <sheetName val="Trial_Bal2"/>
      <sheetName val="U-3_1_1_telephone2"/>
      <sheetName val="DATA_WP2"/>
      <sheetName val="CFS_US-Canada_CAD2"/>
      <sheetName val="CFS_AP-NZD_(Trade_Bills)2"/>
      <sheetName val="_SST72~Shelter2"/>
      <sheetName val="Location_Details_(2)2"/>
      <sheetName val="AA_1_1_BNI2"/>
      <sheetName val="Pricing_Summary2"/>
      <sheetName val="RD_I-BUT2"/>
      <sheetName val="Production_&amp;_Cash_Flow1"/>
      <sheetName val="TRADING_PROFIT2"/>
      <sheetName val="DHJune_02Forex_1"/>
      <sheetName val="A5_USD2"/>
      <sheetName val="Koreksi_Fiskal2"/>
      <sheetName val="Deff_Tax2"/>
      <sheetName val="Other_Asset-IDR2"/>
      <sheetName val="Other_Asset-USD2"/>
      <sheetName val="SAP_Software_EY2"/>
      <sheetName val="H-1_31"/>
      <sheetName val="GL_5461111"/>
      <sheetName val="S_e_p1"/>
      <sheetName val="M_a_r1"/>
      <sheetName val="M_a_y1"/>
      <sheetName val="J_u_l1"/>
      <sheetName val="A_p_r1"/>
      <sheetName val="A_u_g1"/>
      <sheetName val="O_c_t1"/>
      <sheetName val="J_u_n1"/>
      <sheetName val="N_o_v1"/>
      <sheetName val="F_e_b1"/>
      <sheetName val="J_a_n1"/>
      <sheetName val="00_received_in_011"/>
      <sheetName val="A_Grade_Hiten_-_Local1"/>
      <sheetName val="Statutory_Query1"/>
      <sheetName val="Revenue_Query1"/>
      <sheetName val="Conversioon_Rate1"/>
      <sheetName val="Other_Payable1"/>
      <sheetName val="alamat"/>
      <sheetName val="Trading_Statement5"/>
      <sheetName val="Exc__Rate5"/>
      <sheetName val="C1_NOV5"/>
      <sheetName val="Permanent_info5"/>
      <sheetName val="Sales_Report_MKTG5"/>
      <sheetName val="corp_tax5"/>
      <sheetName val="M_4_Goodwill4"/>
      <sheetName val="ocean_voyage4"/>
      <sheetName val="U1_44"/>
      <sheetName val="asam_sulfat4"/>
      <sheetName val="Trial_Bal3"/>
      <sheetName val="U-3_1_1_telephone3"/>
      <sheetName val="DATA_WP3"/>
      <sheetName val="CFS_US-Canada_CAD3"/>
      <sheetName val="CFS_AP-NZD_(Trade_Bills)3"/>
      <sheetName val="_SST72~Shelter3"/>
      <sheetName val="Location_Details_(2)3"/>
      <sheetName val="AA_1_1_BNI3"/>
      <sheetName val="Pricing_Summary3"/>
      <sheetName val="RD_I-BUT3"/>
      <sheetName val="Production_&amp;_Cash_Flow2"/>
      <sheetName val="TRADING_PROFIT3"/>
      <sheetName val="DHJune_02Forex_2"/>
      <sheetName val="A5_USD3"/>
      <sheetName val="Koreksi_Fiskal3"/>
      <sheetName val="Deff_Tax3"/>
      <sheetName val="Other_Asset-IDR3"/>
      <sheetName val="Other_Asset-USD3"/>
      <sheetName val="SAP_Software_EY3"/>
      <sheetName val="H-1_32"/>
      <sheetName val="GL_5461112"/>
      <sheetName val="S_e_p2"/>
      <sheetName val="M_a_r2"/>
      <sheetName val="M_a_y2"/>
      <sheetName val="J_u_l2"/>
      <sheetName val="A_p_r2"/>
      <sheetName val="A_u_g2"/>
      <sheetName val="O_c_t2"/>
      <sheetName val="J_u_n2"/>
      <sheetName val="N_o_v2"/>
      <sheetName val="F_e_b2"/>
      <sheetName val="J_a_n2"/>
      <sheetName val="00_received_in_012"/>
      <sheetName val="A_Grade_Hiten_-_Local2"/>
      <sheetName val="Statutory_Query2"/>
      <sheetName val="Revenue_Query2"/>
      <sheetName val="Conversioon_Rate2"/>
      <sheetName val="Other_Payable2"/>
      <sheetName val="Trading_Statement6"/>
      <sheetName val="Exc__Rate6"/>
      <sheetName val="C1_NOV6"/>
      <sheetName val="Permanent_info6"/>
      <sheetName val="Sales_Report_MKTG6"/>
      <sheetName val="corp_tax6"/>
      <sheetName val="M_4_Goodwill5"/>
      <sheetName val="ocean_voyage5"/>
      <sheetName val="U1_45"/>
      <sheetName val="asam_sulfat5"/>
      <sheetName val="fiscal_depr(E)4"/>
      <sheetName val="Trial_Bal4"/>
      <sheetName val="U-3_1_1_telephone4"/>
      <sheetName val="DATA_WP4"/>
      <sheetName val="CFS_US-Canada_CAD4"/>
      <sheetName val="CFS_AP-NZD_(Trade_Bills)4"/>
      <sheetName val="_SST72~Shelter4"/>
      <sheetName val="Location_Details_(2)4"/>
      <sheetName val="AA_1_1_BNI4"/>
      <sheetName val="Pricing_Summary4"/>
      <sheetName val="RD_I-BUT4"/>
      <sheetName val="Production_&amp;_Cash_Flow3"/>
      <sheetName val="TRADING_PROFIT4"/>
      <sheetName val="DHJune_02Forex_3"/>
      <sheetName val="A5_USD4"/>
      <sheetName val="Koreksi_Fiskal4"/>
      <sheetName val="Deff_Tax4"/>
      <sheetName val="Other_Asset-IDR4"/>
      <sheetName val="Other_Asset-USD4"/>
      <sheetName val="SAP_Software_EY4"/>
      <sheetName val="H-1_33"/>
      <sheetName val="GL_5461113"/>
      <sheetName val="S_e_p3"/>
      <sheetName val="M_a_r3"/>
      <sheetName val="M_a_y3"/>
      <sheetName val="J_u_l3"/>
      <sheetName val="A_p_r3"/>
      <sheetName val="A_u_g3"/>
      <sheetName val="O_c_t3"/>
      <sheetName val="J_u_n3"/>
      <sheetName val="N_o_v3"/>
      <sheetName val="F_e_b3"/>
      <sheetName val="J_a_n3"/>
      <sheetName val="00_received_in_013"/>
      <sheetName val="A_Grade_Hiten_-_Local3"/>
      <sheetName val="Statutory_Query3"/>
      <sheetName val="Revenue_Query3"/>
      <sheetName val="Conversioon_Rate3"/>
      <sheetName val="Other_Payable3"/>
      <sheetName val="Trading_Statement7"/>
      <sheetName val="Exc__Rate7"/>
      <sheetName val="C1_NOV7"/>
      <sheetName val="Permanent_info7"/>
      <sheetName val="Sales_Report_MKTG7"/>
      <sheetName val="corp_tax7"/>
      <sheetName val="M_4_Goodwill6"/>
      <sheetName val="ocean_voyage6"/>
      <sheetName val="U1_46"/>
      <sheetName val="asam_sulfat6"/>
      <sheetName val="fiscal_depr(E)5"/>
      <sheetName val="Trial_Bal5"/>
      <sheetName val="U-3_1_1_telephone5"/>
      <sheetName val="DATA_WP5"/>
      <sheetName val="CFS_US-Canada_CAD5"/>
      <sheetName val="CFS_AP-NZD_(Trade_Bills)5"/>
      <sheetName val="_SST72~Shelter5"/>
      <sheetName val="Location_Details_(2)5"/>
      <sheetName val="AA_1_1_BNI5"/>
      <sheetName val="Pricing_Summary5"/>
      <sheetName val="RD_I-BUT5"/>
      <sheetName val="Production_&amp;_Cash_Flow4"/>
      <sheetName val="TRADING_PROFIT5"/>
      <sheetName val="DHJune_02Forex_4"/>
      <sheetName val="A5_USD5"/>
      <sheetName val="Koreksi_Fiskal5"/>
      <sheetName val="Deff_Tax5"/>
      <sheetName val="Other_Asset-IDR5"/>
      <sheetName val="Other_Asset-USD5"/>
      <sheetName val="SAP_Software_EY5"/>
      <sheetName val="H-1_34"/>
      <sheetName val="GL_5461114"/>
      <sheetName val="S_e_p4"/>
      <sheetName val="M_a_r4"/>
      <sheetName val="M_a_y4"/>
      <sheetName val="J_u_l4"/>
      <sheetName val="A_p_r4"/>
      <sheetName val="A_u_g4"/>
      <sheetName val="O_c_t4"/>
      <sheetName val="J_u_n4"/>
      <sheetName val="N_o_v4"/>
      <sheetName val="F_e_b4"/>
      <sheetName val="J_a_n4"/>
      <sheetName val="00_received_in_014"/>
      <sheetName val="A_Grade_Hiten_-_Local4"/>
      <sheetName val="Statutory_Query4"/>
      <sheetName val="Revenue_Query4"/>
      <sheetName val="Conversioon_Rate4"/>
      <sheetName val="Other_Payable4"/>
      <sheetName val="Data_Ben1"/>
      <sheetName val="A3_100"/>
      <sheetName val="TelkomInfra - Revenue Monthly"/>
      <sheetName val="2600.50 Rincian Credit Card(HO)"/>
      <sheetName val="NERACA"/>
      <sheetName val="FIELD"/>
      <sheetName val="B_2006"/>
      <sheetName val="SC_FIELD"/>
      <sheetName val="Adj"/>
      <sheetName val="Sche-Harvest-Monodon"/>
      <sheetName val="LAND_IMPROV"/>
      <sheetName val="K.6DEPOSIT"/>
      <sheetName val="Trading_Statement8"/>
      <sheetName val="Exc__Rate8"/>
      <sheetName val="C1_NOV8"/>
      <sheetName val="Permanent_info8"/>
      <sheetName val="Sales_Report_MKTG8"/>
      <sheetName val="corp_tax8"/>
      <sheetName val="M_4_Goodwill7"/>
      <sheetName val="ocean_voyage7"/>
      <sheetName val="U1_47"/>
      <sheetName val="asam_sulfat7"/>
      <sheetName val="fiscal_depr(E)6"/>
      <sheetName val="Trial_Bal6"/>
      <sheetName val="U-3_1_1_telephone6"/>
      <sheetName val="DATA_WP6"/>
      <sheetName val="CFS_US-Canada_CAD6"/>
      <sheetName val="CFS_AP-NZD_(Trade_Bills)6"/>
      <sheetName val="_SST72~Shelter6"/>
      <sheetName val="Location_Details_(2)6"/>
      <sheetName val="AA_1_1_BNI6"/>
      <sheetName val="Pricing_Summary6"/>
      <sheetName val="RD_I-BUT6"/>
      <sheetName val="Production_&amp;_Cash_Flow5"/>
      <sheetName val="TRADING_PROFIT6"/>
      <sheetName val="DHJune_02Forex_5"/>
      <sheetName val="A5_USD6"/>
      <sheetName val="Koreksi_Fiskal6"/>
      <sheetName val="Deff_Tax6"/>
      <sheetName val="Other_Asset-IDR6"/>
      <sheetName val="Other_Asset-USD6"/>
      <sheetName val="SAP_Software_EY6"/>
      <sheetName val="H-1_35"/>
      <sheetName val="GL_5461115"/>
      <sheetName val="S_e_p5"/>
      <sheetName val="M_a_r5"/>
      <sheetName val="M_a_y5"/>
      <sheetName val="J_u_l5"/>
      <sheetName val="A_p_r5"/>
      <sheetName val="A_u_g5"/>
      <sheetName val="O_c_t5"/>
      <sheetName val="J_u_n5"/>
      <sheetName val="N_o_v5"/>
      <sheetName val="F_e_b5"/>
      <sheetName val="J_a_n5"/>
      <sheetName val="00_received_in_015"/>
      <sheetName val="A_Grade_Hiten_-_Local5"/>
      <sheetName val="Statutory_Query5"/>
      <sheetName val="Revenue_Query5"/>
      <sheetName val="Conversioon_Rate5"/>
      <sheetName val="Other_Payable5"/>
      <sheetName val="Data_Ben2"/>
      <sheetName val="MTO_REV_2(ARMOR)1"/>
      <sheetName val="P_8_2_1036_Depot1"/>
      <sheetName val="A3_1001"/>
      <sheetName val="Trading_Statement9"/>
      <sheetName val="Exc__Rate9"/>
      <sheetName val="C1_NOV9"/>
      <sheetName val="Permanent_info9"/>
      <sheetName val="Sales_Report_MKTG9"/>
      <sheetName val="corp_tax9"/>
      <sheetName val="M_4_Goodwill8"/>
      <sheetName val="ocean_voyage8"/>
      <sheetName val="U1_48"/>
      <sheetName val="asam_sulfat8"/>
      <sheetName val="fiscal_depr(E)7"/>
      <sheetName val="Trial_Bal7"/>
      <sheetName val="U-3_1_1_telephone7"/>
      <sheetName val="DATA_WP7"/>
      <sheetName val="CFS_US-Canada_CAD7"/>
      <sheetName val="CFS_AP-NZD_(Trade_Bills)7"/>
      <sheetName val="_SST72~Shelter7"/>
      <sheetName val="Location_Details_(2)7"/>
      <sheetName val="AA_1_1_BNI7"/>
      <sheetName val="Pricing_Summary7"/>
      <sheetName val="RD_I-BUT7"/>
      <sheetName val="Production_&amp;_Cash_Flow6"/>
      <sheetName val="TRADING_PROFIT7"/>
      <sheetName val="DHJune_02Forex_6"/>
      <sheetName val="A5_USD7"/>
      <sheetName val="Koreksi_Fiskal7"/>
      <sheetName val="Deff_Tax7"/>
      <sheetName val="Other_Asset-IDR7"/>
      <sheetName val="Other_Asset-USD7"/>
      <sheetName val="SAP_Software_EY7"/>
      <sheetName val="H-1_36"/>
      <sheetName val="GL_5461116"/>
      <sheetName val="S_e_p6"/>
      <sheetName val="M_a_r6"/>
      <sheetName val="M_a_y6"/>
      <sheetName val="J_u_l6"/>
      <sheetName val="A_p_r6"/>
      <sheetName val="A_u_g6"/>
      <sheetName val="O_c_t6"/>
      <sheetName val="J_u_n6"/>
      <sheetName val="N_o_v6"/>
      <sheetName val="F_e_b6"/>
      <sheetName val="J_a_n6"/>
      <sheetName val="00_received_in_016"/>
      <sheetName val="A_Grade_Hiten_-_Local6"/>
      <sheetName val="Statutory_Query6"/>
      <sheetName val="Revenue_Query6"/>
      <sheetName val="Conversioon_Rate6"/>
      <sheetName val="Other_Payable6"/>
      <sheetName val="Data_Ben3"/>
      <sheetName val="MTO_REV_2(ARMOR)2"/>
      <sheetName val="P_8_2_1036_Depot2"/>
      <sheetName val="A3_1002"/>
      <sheetName val="Trading_Statement10"/>
      <sheetName val="Exc__Rate10"/>
      <sheetName val="C1_NOV10"/>
      <sheetName val="Permanent_info10"/>
      <sheetName val="Sales_Report_MKTG10"/>
      <sheetName val="corp_tax10"/>
      <sheetName val="M_4_Goodwill9"/>
      <sheetName val="ocean_voyage9"/>
      <sheetName val="U1_49"/>
      <sheetName val="DB"/>
      <sheetName val="controls"/>
      <sheetName val="SA&amp;CW"/>
      <sheetName val="Tools&amp;Equipment"/>
      <sheetName val="bls"/>
      <sheetName val="VR-Rev"/>
      <sheetName val="SC20011"/>
      <sheetName val="FA FISKAL 2003"/>
      <sheetName val="Chart-1"/>
      <sheetName val="MUTU BUAH"/>
      <sheetName val="Ner"/>
      <sheetName val="LR"/>
      <sheetName val="ekui"/>
      <sheetName val="CASHFLOW"/>
      <sheetName val="ekui (3)"/>
      <sheetName val="B"/>
      <sheetName val="cf9900"/>
      <sheetName val="工数データ"/>
      <sheetName val="PREMI"/>
      <sheetName val="BS Acc"/>
      <sheetName val="Frontline-Melbourne1"/>
      <sheetName val="Frontline-Melbourne"/>
      <sheetName val="Advanzco-DSP1"/>
      <sheetName val="WTI_Driver"/>
      <sheetName val="MUTU_BUAH"/>
      <sheetName val="Tableau"/>
      <sheetName val="asam_sulfat9"/>
      <sheetName val="fiscal_depr(E)8"/>
      <sheetName val="Trial_Bal8"/>
      <sheetName val="U-3_1_1_telephone8"/>
      <sheetName val="DATA_WP8"/>
      <sheetName val="CFS_US-Canada_CAD8"/>
      <sheetName val="CFS_AP-NZD_(Trade_Bills)8"/>
      <sheetName val="_SST72~Shelter8"/>
      <sheetName val="Location_Details_(2)8"/>
      <sheetName val="AA_1_1_BNI8"/>
      <sheetName val="Pricing_Summary8"/>
      <sheetName val="RD_I-BUT8"/>
      <sheetName val="Production_&amp;_Cash_Flow7"/>
      <sheetName val="TRADING_PROFIT8"/>
      <sheetName val="DHJune_02Forex_7"/>
      <sheetName val="A5_USD8"/>
      <sheetName val="Koreksi_Fiskal8"/>
      <sheetName val="Deff_Tax8"/>
      <sheetName val="Other_Asset-IDR8"/>
      <sheetName val="Other_Asset-USD8"/>
      <sheetName val="SAP_Software_EY8"/>
      <sheetName val="H-1_37"/>
      <sheetName val="GL_5461117"/>
      <sheetName val="S_e_p7"/>
      <sheetName val="M_a_r7"/>
      <sheetName val="M_a_y7"/>
      <sheetName val="J_u_l7"/>
      <sheetName val="A_p_r7"/>
      <sheetName val="A_u_g7"/>
      <sheetName val="O_c_t7"/>
      <sheetName val="J_u_n7"/>
      <sheetName val="N_o_v7"/>
      <sheetName val="F_e_b7"/>
      <sheetName val="J_a_n7"/>
      <sheetName val="00_received_in_017"/>
      <sheetName val="A_Grade_Hiten_-_Local7"/>
      <sheetName val="Statutory_Query7"/>
      <sheetName val="Revenue_Query7"/>
      <sheetName val="Conversioon_Rate7"/>
      <sheetName val="Other_Payable7"/>
      <sheetName val="Data_Ben4"/>
      <sheetName val="MTO_REV_2(ARMOR)3"/>
      <sheetName val="P_8_2_1036_Depot3"/>
      <sheetName val="A3_1003"/>
      <sheetName val="Trading_Statement11"/>
      <sheetName val="Exc__Rate11"/>
      <sheetName val="C1_NOV11"/>
      <sheetName val="Permanent_info11"/>
      <sheetName val="Sales_Report_MKTG11"/>
      <sheetName val="corp_tax11"/>
      <sheetName val="M_4_Goodwill10"/>
      <sheetName val="ocean_voyage10"/>
      <sheetName val="U1_410"/>
      <sheetName val="asam_sulfat10"/>
      <sheetName val="fiscal_depr(E)9"/>
      <sheetName val="Trial_Bal9"/>
      <sheetName val="U-3_1_1_telephone9"/>
      <sheetName val="DATA_WP9"/>
      <sheetName val="CFS_US-Canada_CAD9"/>
      <sheetName val="CFS_AP-NZD_(Trade_Bills)9"/>
      <sheetName val="_SST72~Shelter9"/>
      <sheetName val="Location_Details_(2)9"/>
      <sheetName val="AA_1_1_BNI9"/>
      <sheetName val="Pricing_Summary9"/>
      <sheetName val="RD_I-BUT9"/>
      <sheetName val="Production_&amp;_Cash_Flow8"/>
      <sheetName val="TRADING_PROFIT9"/>
      <sheetName val="DHJune_02Forex_8"/>
      <sheetName val="A5_USD9"/>
      <sheetName val="Koreksi_Fiskal9"/>
      <sheetName val="Deff_Tax9"/>
      <sheetName val="Other_Asset-IDR9"/>
      <sheetName val="Other_Asset-USD9"/>
      <sheetName val="SAP_Software_EY9"/>
      <sheetName val="H-1_38"/>
      <sheetName val="GL_5461118"/>
      <sheetName val="S_e_p8"/>
      <sheetName val="M_a_r8"/>
      <sheetName val="M_a_y8"/>
      <sheetName val="J_u_l8"/>
      <sheetName val="A_p_r8"/>
      <sheetName val="A_u_g8"/>
      <sheetName val="O_c_t8"/>
      <sheetName val="J_u_n8"/>
      <sheetName val="N_o_v8"/>
      <sheetName val="F_e_b8"/>
      <sheetName val="J_a_n8"/>
      <sheetName val="00_received_in_018"/>
      <sheetName val="A_Grade_Hiten_-_Local8"/>
      <sheetName val="Statutory_Query8"/>
      <sheetName val="Revenue_Query8"/>
      <sheetName val="Conversioon_Rate8"/>
      <sheetName val="Other_Payable8"/>
      <sheetName val="Data_Ben5"/>
      <sheetName val="MTO_REV_2(ARMOR)4"/>
      <sheetName val="P_8_2_1036_Depot4"/>
      <sheetName val="A3_1004"/>
      <sheetName val="Trading_Statement12"/>
      <sheetName val="Exc__Rate12"/>
      <sheetName val="C1_NOV12"/>
      <sheetName val="Permanent_info12"/>
      <sheetName val="Sales_Report_MKTG12"/>
      <sheetName val="corp_tax12"/>
      <sheetName val="M_4_Goodwill11"/>
      <sheetName val="ocean_voyage11"/>
      <sheetName val="U1_411"/>
      <sheetName val="asam_sulfat11"/>
      <sheetName val="fiscal_depr(E)10"/>
      <sheetName val="Trial_Bal10"/>
      <sheetName val="U-3_1_1_telephone10"/>
      <sheetName val="DATA_WP10"/>
      <sheetName val="CFS_US-Canada_CAD10"/>
      <sheetName val="CFS_AP-NZD_(Trade_Bills)10"/>
      <sheetName val="_SST72~Shelter10"/>
      <sheetName val="Location_Details_(2)10"/>
      <sheetName val="AA_1_1_BNI10"/>
      <sheetName val="Pricing_Summary10"/>
      <sheetName val="RD_I-BUT10"/>
      <sheetName val="Production_&amp;_Cash_Flow9"/>
      <sheetName val="TRADING_PROFIT10"/>
      <sheetName val="DHJune_02Forex_9"/>
      <sheetName val="A5_USD10"/>
      <sheetName val="Koreksi_Fiskal10"/>
      <sheetName val="Deff_Tax10"/>
      <sheetName val="Other_Asset-IDR10"/>
      <sheetName val="Other_Asset-USD10"/>
      <sheetName val="SAP_Software_EY10"/>
      <sheetName val="H-1_39"/>
      <sheetName val="GL_5461119"/>
      <sheetName val="S_e_p9"/>
      <sheetName val="M_a_r9"/>
      <sheetName val="M_a_y9"/>
      <sheetName val="J_u_l9"/>
      <sheetName val="A_p_r9"/>
      <sheetName val="A_u_g9"/>
      <sheetName val="O_c_t9"/>
      <sheetName val="J_u_n9"/>
      <sheetName val="N_o_v9"/>
      <sheetName val="F_e_b9"/>
      <sheetName val="J_a_n9"/>
      <sheetName val="00_received_in_019"/>
      <sheetName val="A_Grade_Hiten_-_Local9"/>
      <sheetName val="Statutory_Query9"/>
      <sheetName val="Revenue_Query9"/>
      <sheetName val="Conversioon_Rate9"/>
      <sheetName val="Other_Payable9"/>
      <sheetName val="Data_Ben6"/>
      <sheetName val="MTO_REV_2(ARMOR)5"/>
      <sheetName val="P_8_2_1036_Depot5"/>
      <sheetName val="A3_1005"/>
      <sheetName val="Trading_Statement13"/>
      <sheetName val="Exc__Rate13"/>
      <sheetName val="C1_NOV13"/>
      <sheetName val="Permanent_info13"/>
      <sheetName val="Sales_Report_MKTG13"/>
      <sheetName val="corp_tax13"/>
      <sheetName val="M_4_Goodwill12"/>
      <sheetName val="ocean_voyage12"/>
      <sheetName val="U1_412"/>
      <sheetName val="asam_sulfat12"/>
      <sheetName val="fiscal_depr(E)11"/>
      <sheetName val="Trial_Bal11"/>
      <sheetName val="U-3_1_1_telephone11"/>
      <sheetName val="DATA_WP11"/>
      <sheetName val="CFS_US-Canada_CAD11"/>
      <sheetName val="CFS_AP-NZD_(Trade_Bills)11"/>
      <sheetName val="_SST72~Shelter11"/>
      <sheetName val="Location_Details_(2)11"/>
      <sheetName val="AA_1_1_BNI11"/>
      <sheetName val="Pricing_Summary11"/>
      <sheetName val="RD_I-BUT11"/>
      <sheetName val="Production_&amp;_Cash_Flow10"/>
      <sheetName val="TRADING_PROFIT11"/>
      <sheetName val="DHJune_02Forex_10"/>
      <sheetName val="A5_USD11"/>
      <sheetName val="Koreksi_Fiskal11"/>
      <sheetName val="Deff_Tax11"/>
      <sheetName val="Other_Asset-IDR11"/>
      <sheetName val="Other_Asset-USD11"/>
      <sheetName val="SAP_Software_EY11"/>
      <sheetName val="H-1_310"/>
      <sheetName val="GL_54611110"/>
      <sheetName val="S_e_p10"/>
      <sheetName val="M_a_r10"/>
      <sheetName val="M_a_y10"/>
      <sheetName val="J_u_l10"/>
      <sheetName val="A_p_r10"/>
      <sheetName val="A_u_g10"/>
      <sheetName val="O_c_t10"/>
      <sheetName val="J_u_n10"/>
      <sheetName val="N_o_v10"/>
      <sheetName val="F_e_b10"/>
      <sheetName val="J_a_n10"/>
      <sheetName val="00_received_in_0110"/>
      <sheetName val="A_Grade_Hiten_-_Local10"/>
      <sheetName val="Statutory_Query10"/>
      <sheetName val="Revenue_Query10"/>
      <sheetName val="Conversioon_Rate10"/>
      <sheetName val="Other_Payable10"/>
      <sheetName val="Data_Ben7"/>
      <sheetName val="MTO_REV_2(ARMOR)6"/>
      <sheetName val="P_8_2_1036_Depot6"/>
      <sheetName val="A3_1006"/>
      <sheetName val="RM"/>
      <sheetName val="MM.PAGE-2.X"/>
      <sheetName val="DL_13"/>
      <sheetName val="DP-I "/>
      <sheetName val="Workings"/>
      <sheetName val="Forecast"/>
      <sheetName val="TB 201904"/>
      <sheetName val="BS"/>
      <sheetName val="PL"/>
      <sheetName val="Sheet3"/>
      <sheetName val="DTA"/>
      <sheetName val="B. AR Group"/>
      <sheetName val="B1 InterCompany AR"/>
      <sheetName val="AR Details"/>
      <sheetName val="AR-Intracompany"/>
      <sheetName val="C. AR Others"/>
      <sheetName val="C7 Accrual Revenue"/>
      <sheetName val="F. Prepaid Expenses"/>
      <sheetName val="List 2019"/>
      <sheetName val="Details SAP"/>
      <sheetName val="G. Prepaid Tax"/>
      <sheetName val="H. FA"/>
      <sheetName val="H1. List FA"/>
      <sheetName val="J. Deposit"/>
      <sheetName val="AP Detail"/>
      <sheetName val="AP Summary"/>
      <sheetName val="AP IntraCo"/>
      <sheetName val="LOAN"/>
      <sheetName val="FBL1N 2018"/>
      <sheetName val="Sheet2"/>
      <sheetName val="N. Accrued Exp"/>
      <sheetName val="20400"/>
      <sheetName val="Custom Duty"/>
      <sheetName val="Trading_Statement14"/>
      <sheetName val="Exc__Rate14"/>
      <sheetName val="C1_NOV14"/>
      <sheetName val="Permanent_info14"/>
      <sheetName val="Sales_Report_MKTG14"/>
      <sheetName val="corp_tax14"/>
      <sheetName val="M_4_Goodwill13"/>
      <sheetName val="ocean_voyage13"/>
      <sheetName val="U1_413"/>
      <sheetName val="asam_sulfat13"/>
      <sheetName val="fiscal_depr(E)12"/>
      <sheetName val="Trial_Bal12"/>
      <sheetName val="U-3_1_1_telephone12"/>
      <sheetName val="DATA_WP12"/>
      <sheetName val="CFS_US-Canada_CAD12"/>
      <sheetName val="CFS_AP-NZD_(Trade_Bills)12"/>
      <sheetName val="_SST72~Shelter12"/>
      <sheetName val="Location_Details_(2)12"/>
      <sheetName val="AA_1_1_BNI12"/>
      <sheetName val="Pricing_Summary12"/>
      <sheetName val="RD_I-BUT12"/>
      <sheetName val="Production_&amp;_Cash_Flow11"/>
      <sheetName val="TRADING_PROFIT12"/>
      <sheetName val="DHJune_02Forex_11"/>
      <sheetName val="A5_USD12"/>
      <sheetName val="Koreksi_Fiskal12"/>
      <sheetName val="Deff_Tax12"/>
      <sheetName val="Other_Asset-IDR12"/>
      <sheetName val="Other_Asset-USD12"/>
      <sheetName val="SAP_Software_EY12"/>
      <sheetName val="H-1_311"/>
      <sheetName val="GL_54611111"/>
      <sheetName val="S_e_p11"/>
      <sheetName val="M_a_r11"/>
      <sheetName val="M_a_y11"/>
      <sheetName val="J_u_l11"/>
      <sheetName val="A_p_r11"/>
      <sheetName val="A_u_g11"/>
      <sheetName val="O_c_t11"/>
      <sheetName val="J_u_n11"/>
      <sheetName val="N_o_v11"/>
      <sheetName val="F_e_b11"/>
      <sheetName val="J_a_n11"/>
      <sheetName val="00_received_in_0111"/>
      <sheetName val="A_Grade_Hiten_-_Local11"/>
      <sheetName val="Statutory_Query11"/>
      <sheetName val="Revenue_Query11"/>
      <sheetName val="Conversioon_Rate11"/>
      <sheetName val="Other_Payable11"/>
      <sheetName val="Data_Ben8"/>
      <sheetName val="MTO_REV_2(ARMOR)7"/>
      <sheetName val="P_8_2_1036_Depot7"/>
      <sheetName val="A3_1007"/>
      <sheetName val="Trading_Statement15"/>
      <sheetName val="Exc__Rate15"/>
      <sheetName val="C1_NOV15"/>
      <sheetName val="Permanent_info15"/>
      <sheetName val="Sales_Report_MKTG15"/>
      <sheetName val="corp_tax15"/>
      <sheetName val="M_4_Goodwill14"/>
      <sheetName val="ocean_voyage14"/>
      <sheetName val="U1_414"/>
      <sheetName val="asam_sulfat14"/>
      <sheetName val="fiscal_depr(E)13"/>
      <sheetName val="Trial_Bal13"/>
      <sheetName val="U-3_1_1_telephone13"/>
      <sheetName val="DATA_WP13"/>
      <sheetName val="CFS_US-Canada_CAD13"/>
      <sheetName val="CFS_AP-NZD_(Trade_Bills)13"/>
      <sheetName val="_SST72~Shelter13"/>
      <sheetName val="Location_Details_(2)13"/>
      <sheetName val="AA_1_1_BNI13"/>
      <sheetName val="Pricing_Summary13"/>
      <sheetName val="RD_I-BUT13"/>
      <sheetName val="Production_&amp;_Cash_Flow12"/>
      <sheetName val="TRADING_PROFIT13"/>
      <sheetName val="DHJune_02Forex_12"/>
      <sheetName val="A5_USD13"/>
      <sheetName val="Koreksi_Fiskal13"/>
      <sheetName val="Deff_Tax13"/>
      <sheetName val="Other_Asset-IDR13"/>
      <sheetName val="Other_Asset-USD13"/>
      <sheetName val="SAP_Software_EY13"/>
      <sheetName val="H-1_312"/>
      <sheetName val="GL_54611112"/>
      <sheetName val="S_e_p12"/>
      <sheetName val="M_a_r12"/>
      <sheetName val="M_a_y12"/>
      <sheetName val="J_u_l12"/>
      <sheetName val="A_p_r12"/>
      <sheetName val="A_u_g12"/>
      <sheetName val="O_c_t12"/>
      <sheetName val="J_u_n12"/>
      <sheetName val="N_o_v12"/>
      <sheetName val="F_e_b12"/>
      <sheetName val="J_a_n12"/>
      <sheetName val="00_received_in_0112"/>
      <sheetName val="A_Grade_Hiten_-_Local12"/>
      <sheetName val="Statutory_Query12"/>
      <sheetName val="Revenue_Query12"/>
      <sheetName val="Conversioon_Rate12"/>
      <sheetName val="Other_Payable12"/>
      <sheetName val="Data_Ben9"/>
      <sheetName val="MTO_REV_2(ARMOR)8"/>
      <sheetName val="P_8_2_1036_Depot8"/>
      <sheetName val="A3_1008"/>
      <sheetName val="PK_HJ__HP"/>
      <sheetName val="BEFORE ALLOCATION"/>
      <sheetName val="22-1"/>
      <sheetName val="車会集約"/>
      <sheetName val="F1771-2"/>
      <sheetName val="Assum"/>
      <sheetName val="outsourcing b-s"/>
      <sheetName val="PSD-BICUTAN"/>
      <sheetName val="Feuil2"/>
      <sheetName val="I.1"/>
      <sheetName val="Calc"/>
      <sheetName val="CF"/>
      <sheetName val="MATFWD"/>
      <sheetName val="WELL DATA"/>
      <sheetName val="Trouble &amp; Deviations"/>
      <sheetName val="PERHITUNGAN  KEEKONOMIAN"/>
      <sheetName val="SENSITIVITAS"/>
      <sheetName val="Quarter"/>
      <sheetName val="General"/>
      <sheetName val="STAT&quot;D&quot;"/>
      <sheetName val="R-14.OIL"/>
      <sheetName val="F_I"/>
      <sheetName val="Data SRL"/>
      <sheetName val="Data Prod_Graf"/>
      <sheetName val="Per GL J a n"/>
      <sheetName val="HP99"/>
      <sheetName val="ADD"/>
      <sheetName val="MASTER"/>
      <sheetName val="pvt"/>
      <sheetName val="LEDGER 2019"/>
      <sheetName val="LEDGER 2020"/>
      <sheetName val="E-faktur (FP)"/>
      <sheetName val="RECAP (TIDAK ADA DI GL VAT)"/>
      <sheetName val="look up"/>
      <sheetName val="July19"/>
      <sheetName val="Art.21-26 - Non Consultant"/>
      <sheetName val="HIP-0501"/>
      <sheetName val="TJ1Q47"/>
      <sheetName val="AC"/>
      <sheetName val="COGS"/>
      <sheetName val="SPI"/>
      <sheetName val="PROGRESS"/>
      <sheetName val="jpr"/>
      <sheetName val="bezeting."/>
      <sheetName val="TBM KR 2006"/>
      <sheetName val="lp.kmmda"/>
      <sheetName val="tr-28202"/>
      <sheetName val="rab.33.2011.krt"/>
      <sheetName val="FF-3"/>
      <sheetName val="CH_FL_QUAR"/>
      <sheetName val="BALANCE"/>
      <sheetName val="DATA_feed"/>
      <sheetName val="CH_FL_YEAR"/>
      <sheetName val="INC_FUN_FIN"/>
      <sheetName val="P3"/>
      <sheetName val="Ch"/>
      <sheetName val="20-11-03"/>
      <sheetName val="Detail_PARENT"/>
      <sheetName val="TR-Comp."/>
      <sheetName val="TelkomInfra_-_Revenue_Monthly"/>
      <sheetName val="BS_Acc"/>
      <sheetName val="MM_PAGE-2_X"/>
      <sheetName val="ekui_(3)"/>
      <sheetName val="K_6DEPOSIT"/>
      <sheetName val="Detail"/>
      <sheetName val="KU-Ajt'03"/>
      <sheetName val="ShareCapital "/>
      <sheetName val="Salesdata01-10 2004"/>
      <sheetName val="COVER"/>
      <sheetName val="2003 ACT CFlow"/>
      <sheetName val="2003 BGT C Flow"/>
      <sheetName val="HO Use"/>
      <sheetName val="EXC-R"/>
      <sheetName val="SAD"/>
      <sheetName val="Slip"/>
      <sheetName val="BI Middle Rate Year 2018"/>
      <sheetName val="Recon CIT Dec 2018"/>
      <sheetName val="CIT Support"/>
      <sheetName val="RPO PTBA"/>
      <sheetName val="RE Movement_ISAK 16&amp; NonISAK 16"/>
      <sheetName val="Recon CIT Dec 2018_USD"/>
      <sheetName val="CIT Support_USD"/>
      <sheetName val="WBS 2018"/>
      <sheetName val="WPL 2018"/>
      <sheetName val="PAJE PRJE &amp; CAJE Dec 2018"/>
      <sheetName val="CF 2018_ISAK 16"/>
      <sheetName val="CF 2017_ISAK 16"/>
      <sheetName val="CF 2018_Non-ISAK 16"/>
      <sheetName val="CF 2017_Non-ISAK 16"/>
      <sheetName val="Relapar Disclosure"/>
      <sheetName val="Report BS_ISAK 16 &amp; Non ISAK 16"/>
      <sheetName val="Report PL_ISAK 16 &amp; Non ISAK 16"/>
      <sheetName val="K-1.1 PLTU Non ISAK 16"/>
      <sheetName val="Kompensasi Manajemen Kunci"/>
      <sheetName val="Risk Management Disclosure"/>
      <sheetName val="K-Deferred Charges Non ISAK 16"/>
      <sheetName val="K-1.2 Transmisi DC Non ISAK 16"/>
      <sheetName val="Financial Covenant Simulation"/>
      <sheetName val="Denda BA"/>
      <sheetName val="GL Site 2018 (PBC)"/>
      <sheetName val="GL-2018(PBC)"/>
      <sheetName val="WBS 2016"/>
      <sheetName val="L(R) GABUNGAN 2018 (PBC)"/>
      <sheetName val="Sensitivity Analysis"/>
      <sheetName val="C-Sensitivity Analysis"/>
      <sheetName val="P-Sensitivity Analysis"/>
      <sheetName val="WPL 2016"/>
      <sheetName val="IDR-Adjustment"/>
      <sheetName val="USD-Adjustment"/>
      <sheetName val="WTI_Driver1"/>
      <sheetName val="2600_50_Rincian_Credit_Card(HO)"/>
      <sheetName val="MUTU_BUAH1"/>
      <sheetName val="MC_TIRE"/>
      <sheetName val="FA_FISKAL_2003"/>
      <sheetName val="DP-I_"/>
      <sheetName val="SK_HTM"/>
      <sheetName val="Entry__HTM"/>
      <sheetName val="TB_201904"/>
      <sheetName val="B__AR_Group"/>
      <sheetName val="B1_InterCompany_AR"/>
      <sheetName val="AR_Details"/>
      <sheetName val="C__AR_Others"/>
      <sheetName val="C7_Accrual_Revenue"/>
      <sheetName val="F__Prepaid_Expenses"/>
      <sheetName val="List_2019"/>
      <sheetName val="Details_SAP"/>
      <sheetName val="G__Prepaid_Tax"/>
      <sheetName val="H__FA"/>
      <sheetName val="H1__List_FA"/>
      <sheetName val="J__Deposit"/>
      <sheetName val="AP_Detail"/>
      <sheetName val="AP_Summary"/>
      <sheetName val="AP_IntraCo"/>
      <sheetName val="FBL1N_2018"/>
      <sheetName val="N__Accrued_Exp"/>
      <sheetName val="Custom_Duty"/>
      <sheetName val="Art_22"/>
      <sheetName val="R�sultats"/>
      <sheetName val="DATA_佒턀"/>
      <sheetName val="Control"/>
      <sheetName val="Built"/>
      <sheetName val="P&amp;L"/>
      <sheetName val="Atur"/>
      <sheetName val="Menu"/>
      <sheetName val="Rekons PPh 21"/>
      <sheetName val="Attn"/>
      <sheetName val="FSA"/>
      <sheetName val="RumusTB 1 bln"/>
      <sheetName val="Per_GL_J_a_n"/>
      <sheetName val="bezeting_"/>
      <sheetName val="TBM_KR_2006"/>
      <sheetName val="lp_kmmda"/>
      <sheetName val="rab_33_2011_krt"/>
      <sheetName val="Art_21-26_-_Non_Consultant"/>
      <sheetName val="outsourcing_b-s"/>
      <sheetName val="ASE"/>
      <sheetName val="JAT"/>
      <sheetName val="KAN"/>
      <sheetName val="PAG"/>
      <sheetName val="PRA"/>
      <sheetName val="PUR"/>
      <sheetName val="REJ"/>
      <sheetName val="SEM"/>
      <sheetName val="SUD"/>
      <sheetName val="almanak &amp;hk."/>
      <sheetName val="Parameter"/>
      <sheetName val="Based Data_wacc"/>
      <sheetName val="COVERUSRP"/>
      <sheetName val="SITE"/>
      <sheetName val="ESCOND"/>
      <sheetName val="BQUSRP"/>
      <sheetName val="ah sanitary"/>
      <sheetName val="Belmera"/>
      <sheetName val="Cawang Tomang Cengkareng"/>
      <sheetName val="Jakarta Cikampek"/>
      <sheetName val="Citarum"/>
      <sheetName val="duct"/>
      <sheetName val="saklar"/>
      <sheetName val="Jagorawi"/>
      <sheetName val="Jakarta Merak"/>
      <sheetName val="Padalarang Cileunyi"/>
      <sheetName val="Palikanci"/>
      <sheetName val="Semarang"/>
      <sheetName val="hs pipa"/>
      <sheetName val="Surabaya Gempol Mojokerto"/>
      <sheetName val="COMBINE"/>
      <sheetName val="800B"/>
      <sheetName val="130"/>
      <sheetName val="020a"/>
      <sheetName val="020b"/>
      <sheetName val="150"/>
      <sheetName val="160"/>
      <sheetName val="175"/>
      <sheetName val="180"/>
      <sheetName val="185"/>
      <sheetName val="190"/>
      <sheetName val="196"/>
      <sheetName val="200"/>
      <sheetName val="230"/>
      <sheetName val="250"/>
      <sheetName val="020c"/>
      <sheetName val="300"/>
      <sheetName val="320"/>
      <sheetName val="340"/>
      <sheetName val="350"/>
      <sheetName val="355"/>
      <sheetName val="360"/>
      <sheetName val="375"/>
      <sheetName val="380"/>
      <sheetName val="390"/>
      <sheetName val="395"/>
      <sheetName val="020e"/>
      <sheetName val="399"/>
      <sheetName val="400"/>
      <sheetName val="420"/>
      <sheetName val="425"/>
      <sheetName val="430"/>
      <sheetName val="450"/>
      <sheetName val="500"/>
      <sheetName val="550"/>
      <sheetName val="560"/>
      <sheetName val="600"/>
      <sheetName val="100"/>
      <sheetName val="700"/>
      <sheetName val="840.01"/>
      <sheetName val="840.02"/>
      <sheetName val="120"/>
      <sheetName val="125"/>
      <sheetName val="135"/>
      <sheetName val="140"/>
      <sheetName val="May"/>
      <sheetName val="des 02"/>
      <sheetName val="Sensitivities Laz"/>
      <sheetName val="LPPPSL"/>
      <sheetName val="21"/>
      <sheetName val="KREDIT&amp;MASA"/>
      <sheetName val="perhitgSTP"/>
      <sheetName val="KKP 21"/>
      <sheetName val="DbKtr"/>
      <sheetName val="EQUALISASI"/>
      <sheetName val="susut"/>
      <sheetName val="LOCAL -  S702"/>
      <sheetName val="98-02E&amp;PSUM"/>
      <sheetName val="Avg Collection"/>
      <sheetName val="A1"/>
      <sheetName val="7A"/>
      <sheetName val="7B"/>
      <sheetName val="13"/>
      <sheetName val="15"/>
      <sheetName val="16"/>
      <sheetName val="19"/>
      <sheetName val="22"/>
      <sheetName val="A4"/>
      <sheetName val="2A"/>
      <sheetName val="2f"/>
      <sheetName val="A.4.3"/>
      <sheetName val="5"/>
      <sheetName val="(II-8)2.2.8"/>
      <sheetName val="(I-3)1.3"/>
      <sheetName val="(II-5)2.2.4 (2)"/>
      <sheetName val="LHP7"/>
      <sheetName val="RekapGaji"/>
      <sheetName val="MGR-12"/>
      <sheetName val="kary."/>
      <sheetName val="FFB-2003( P ) "/>
      <sheetName val="mar receipts"/>
      <sheetName val="Trading_Statement16"/>
      <sheetName val="C1_NOV16"/>
      <sheetName val="Exc__Rate16"/>
      <sheetName val="U1_415"/>
      <sheetName val="ocean_voyage15"/>
      <sheetName val="Permanent_info16"/>
      <sheetName val="asam_sulfat15"/>
      <sheetName val="corp_tax16"/>
      <sheetName val="M_4_Goodwill15"/>
      <sheetName val="Sales_Report_MKTG16"/>
      <sheetName val="fiscal_depr(E)14"/>
      <sheetName val="U-3_1_1_telephone14"/>
      <sheetName val="Trial_Bal14"/>
      <sheetName val="DATA_WP14"/>
      <sheetName val="Pricing_Summary14"/>
      <sheetName val="CFS_US-Canada_CAD14"/>
      <sheetName val="CFS_AP-NZD_(Trade_Bills)14"/>
      <sheetName val="RD_I-BUT14"/>
      <sheetName val="Production_&amp;_Cash_Flow13"/>
      <sheetName val="_SST72~Shelter14"/>
      <sheetName val="Location_Details_(2)14"/>
      <sheetName val="AA_1_1_BNI14"/>
      <sheetName val="TRADING_PROFIT14"/>
      <sheetName val="A5_USD14"/>
      <sheetName val="Koreksi_Fiskal14"/>
      <sheetName val="Deff_Tax14"/>
      <sheetName val="Other_Asset-IDR14"/>
      <sheetName val="Other_Asset-USD14"/>
      <sheetName val="SAP_Software_EY14"/>
      <sheetName val="H-1_313"/>
      <sheetName val="GL_54611113"/>
      <sheetName val="S_e_p13"/>
      <sheetName val="M_a_r13"/>
      <sheetName val="M_a_y13"/>
      <sheetName val="J_u_l13"/>
      <sheetName val="A_p_r13"/>
      <sheetName val="A_u_g13"/>
      <sheetName val="O_c_t13"/>
      <sheetName val="J_u_n13"/>
      <sheetName val="N_o_v13"/>
      <sheetName val="F_e_b13"/>
      <sheetName val="J_a_n13"/>
      <sheetName val="00_received_in_0113"/>
      <sheetName val="A_Grade_Hiten_-_Local13"/>
      <sheetName val="Statutory_Query13"/>
      <sheetName val="Revenue_Query13"/>
      <sheetName val="DHJune_02Forex_13"/>
      <sheetName val="P_8_2_1036_Depot9"/>
      <sheetName val="Conversioon_Rate13"/>
      <sheetName val="Other_Payable13"/>
      <sheetName val="Data_Ben10"/>
      <sheetName val="MTO_REV_2(ARMOR)9"/>
      <sheetName val="A3_1009"/>
      <sheetName val="PK_HJ__HP1"/>
      <sheetName val="WTI_Driver2"/>
      <sheetName val="TelkomInfra_-_Revenue_Monthly1"/>
      <sheetName val="ekui_(3)1"/>
      <sheetName val="K_6DEPOSIT1"/>
      <sheetName val="BS_Acc1"/>
      <sheetName val="2600_50_Rincian_Credit_Card(HO1"/>
      <sheetName val="MC_TIRE1"/>
      <sheetName val="MUTU_BUAH2"/>
      <sheetName val="DP-I_1"/>
      <sheetName val="SK_HTM1"/>
      <sheetName val="Entry__HTM1"/>
      <sheetName val="FA_FISKAL_20031"/>
      <sheetName val="MM_PAGE-2_X1"/>
      <sheetName val="TB_2019041"/>
      <sheetName val="B__AR_Group1"/>
      <sheetName val="B1_InterCompany_AR1"/>
      <sheetName val="AR_Details1"/>
      <sheetName val="C__AR_Others1"/>
      <sheetName val="C7_Accrual_Revenue1"/>
      <sheetName val="F__Prepaid_Expenses1"/>
      <sheetName val="List_20191"/>
      <sheetName val="Details_SAP1"/>
      <sheetName val="G__Prepaid_Tax1"/>
      <sheetName val="H__FA1"/>
      <sheetName val="H1__List_FA1"/>
      <sheetName val="J__Deposit1"/>
      <sheetName val="AP_Detail1"/>
      <sheetName val="AP_Summary1"/>
      <sheetName val="AP_IntraCo1"/>
      <sheetName val="FBL1N_20181"/>
      <sheetName val="N__Accrued_Exp1"/>
      <sheetName val="Custom_Duty1"/>
      <sheetName val="Art_21-26_-_Non_Consultant1"/>
      <sheetName val="Data_SRL"/>
      <sheetName val="Data_Prod_Graf"/>
      <sheetName val="Per_GL_J_a_n1"/>
      <sheetName val="BEFORE_ALLOCATION"/>
      <sheetName val="outsourcing_b-s1"/>
      <sheetName val="I_1"/>
      <sheetName val="TR-Comp_"/>
      <sheetName val="LEDGER_2019"/>
      <sheetName val="LEDGER_2020"/>
      <sheetName val="E-faktur_(FP)"/>
      <sheetName val="RECAP_(TIDAK_ADA_DI_GL_VAT)"/>
      <sheetName val="look_up"/>
      <sheetName val="bezeting_1"/>
      <sheetName val="TBM_KR_20061"/>
      <sheetName val="lp_kmmda1"/>
      <sheetName val="rab_33_2011_krt1"/>
      <sheetName val="R-14_OIL"/>
      <sheetName val="Table-_do_not_edit"/>
      <sheetName val="Rekons_PPh_21"/>
      <sheetName val="RumusTB_1_bln"/>
      <sheetName val="BI_Middle_Rate_Year_2018"/>
      <sheetName val="Recon_CIT_Dec_2018"/>
      <sheetName val="CIT_Support"/>
      <sheetName val="RPO_PTBA"/>
      <sheetName val="RE_Movement_ISAK_16&amp;_NonISAK_16"/>
      <sheetName val="Recon_CIT_Dec_2018_USD"/>
      <sheetName val="CIT_Support_USD"/>
      <sheetName val="WBS_2018"/>
      <sheetName val="WPL_2018"/>
      <sheetName val="PAJE_PRJE_&amp;_CAJE_Dec_2018"/>
      <sheetName val="CF_2018_ISAK_16"/>
      <sheetName val="CF_2017_ISAK_16"/>
      <sheetName val="CF_2018_Non-ISAK_16"/>
      <sheetName val="CF_2017_Non-ISAK_16"/>
      <sheetName val="Relapar_Disclosure"/>
      <sheetName val="Report_BS_ISAK_16_&amp;_Non_ISAK_16"/>
      <sheetName val="Report_PL_ISAK_16_&amp;_Non_ISAK_16"/>
      <sheetName val="K-1_1_PLTU_Non_ISAK_16"/>
      <sheetName val="Kompensasi_Manajemen_Kunci"/>
      <sheetName val="Risk_Management_Disclosure"/>
      <sheetName val="K-Deferred_Charges_Non_ISAK_16"/>
      <sheetName val="K-1_2_Transmisi_DC_Non_ISAK_16"/>
      <sheetName val="Financial_Covenant_Simulation"/>
      <sheetName val="Denda_BA"/>
      <sheetName val="GL_Site_2018_(PBC)"/>
      <sheetName val="WBS_2016"/>
      <sheetName val="L(R)_GABUNGAN_2018_(PBC)"/>
      <sheetName val="Sensitivity_Analysis"/>
      <sheetName val="C-Sensitivity_Analysis"/>
      <sheetName val="P-Sensitivity_Analysis"/>
      <sheetName val="WPL_2016"/>
      <sheetName val="WELL_DATA"/>
      <sheetName val="Trouble_&amp;_Deviations"/>
      <sheetName val="PERHITUNGAN__KEEKONOMIAN"/>
      <sheetName val="almanak_&amp;hk_"/>
      <sheetName val="Based_Data_wacc"/>
      <sheetName val="ah_sanitary"/>
      <sheetName val="Cawang_Tomang_Cengkareng"/>
      <sheetName val="Jakarta_Cikampek"/>
      <sheetName val="Jakarta_Merak"/>
      <sheetName val="Padalarang_Cileunyi"/>
      <sheetName val="hs_pipa"/>
      <sheetName val="Surabaya_Gempol_Mojokerto"/>
      <sheetName val="840_01"/>
      <sheetName val="840_02"/>
      <sheetName val="des_02"/>
      <sheetName val="Sensitivities_Laz"/>
      <sheetName val="KKP_21"/>
      <sheetName val="LOCAL_-__S702"/>
      <sheetName val="Avg_Collection"/>
      <sheetName val="A_4_3"/>
      <sheetName val="(II-8)2_2_8"/>
      <sheetName val="(I-3)1_3"/>
      <sheetName val="(II-5)2_2_4_(2)"/>
      <sheetName val="kary_"/>
      <sheetName val="FFB-2003(_P_)_"/>
      <sheetName val="mar_receipts"/>
      <sheetName val="database"/>
      <sheetName val="ARTHA IDR -1130"/>
      <sheetName val="BCA IDR-1363"/>
      <sheetName val="BCA USD-2557"/>
      <sheetName val="BCA IDR 8619"/>
      <sheetName val="MEGA USD 0730"/>
      <sheetName val="Kurs 2016"/>
      <sheetName val="MANDIRI IDR-0370"/>
      <sheetName val=" MP Kredit Pjk"/>
      <sheetName val="MP PPN Masukan"/>
      <sheetName val="MP PPN Keluaran"/>
      <sheetName val="MP Umum"/>
      <sheetName val="PC Operasinal Kasus"/>
      <sheetName val="PC Kantor"/>
      <sheetName val="PC Kasus"/>
      <sheetName val="PC Operasional Kantor"/>
      <sheetName val="TB 2016"/>
      <sheetName val="DBAkun"/>
      <sheetName val="Bank Danamon"/>
      <sheetName val="Petty Cash"/>
      <sheetName val="MP Gabungan"/>
      <sheetName val="Safety 2"/>
      <sheetName val="IntBalheet"/>
      <sheetName val="Single Jacket"/>
      <sheetName val="ADJUST"/>
      <sheetName val="OHCKR"/>
      <sheetName val="benefit"/>
      <sheetName val="Factors"/>
      <sheetName val="MATERIALFINAL"/>
      <sheetName val="NMS Configuration"/>
      <sheetName val="SALES ITEMS"/>
      <sheetName val="COA"/>
      <sheetName val="Rinc"/>
      <sheetName val="AMMARGIN"/>
      <sheetName val="I.4.1 (2)"/>
      <sheetName val="asumsi"/>
      <sheetName val="margin"/>
      <sheetName val="Mat Tower"/>
      <sheetName val="FE-1770-I"/>
      <sheetName val="FE-1770.P1"/>
      <sheetName val="FE-1770-II"/>
      <sheetName val="trf 7 jht"/>
      <sheetName val="FA99B"/>
      <sheetName val="FE-1771$.P1"/>
      <sheetName val="jvr"/>
      <sheetName val="HARVEST02"/>
      <sheetName val="PPH1298S"/>
      <sheetName val="CMLS"/>
      <sheetName val="Agustus"/>
      <sheetName val="tarip"/>
      <sheetName val="trf ns_04"/>
      <sheetName val="tarippasif_wanto"/>
      <sheetName val="Tunda56=1_dodo"/>
      <sheetName val="ARC_SEGMENT"/>
      <sheetName val="Comp equip"/>
      <sheetName val="kepmenaker150"/>
      <sheetName val="NEGARA"/>
      <sheetName val="TB98,oct99&amp;sap99-WPL"/>
      <sheetName val="aug"/>
      <sheetName val="mei"/>
      <sheetName val="POTO MAC"/>
      <sheetName val="4-Basic Price"/>
      <sheetName val="2006"/>
      <sheetName val="2005"/>
      <sheetName val="Annual-Plan-1998-A-US$-Rupiah-F"/>
      <sheetName val="CFIS_Audited_R3"/>
      <sheetName val="Rekapitulasi"/>
      <sheetName val="PK_HJ__HP2"/>
      <sheetName val="BEFORE_ALLOCATION1"/>
      <sheetName val="PK_HJ__HP3"/>
      <sheetName val="WTI_Driver3"/>
      <sheetName val="TelkomInfra_-_Revenue_Monthly2"/>
      <sheetName val="2600_50_Rincian_Credit_Card(HO2"/>
      <sheetName val="MC_TIRE2"/>
      <sheetName val="MUTU_BUAH3"/>
      <sheetName val="K_6DEPOSIT2"/>
      <sheetName val="ekui_(3)2"/>
      <sheetName val="BS_Acc2"/>
      <sheetName val="TB_2019042"/>
      <sheetName val="B__AR_Group2"/>
      <sheetName val="B1_InterCompany_AR2"/>
      <sheetName val="AR_Details2"/>
      <sheetName val="C__AR_Others2"/>
      <sheetName val="C7_Accrual_Revenue2"/>
      <sheetName val="F__Prepaid_Expenses2"/>
      <sheetName val="List_20192"/>
      <sheetName val="Details_SAP2"/>
      <sheetName val="G__Prepaid_Tax2"/>
      <sheetName val="H__FA2"/>
      <sheetName val="H1__List_FA2"/>
      <sheetName val="J__Deposit2"/>
      <sheetName val="AP_Detail2"/>
      <sheetName val="AP_Summary2"/>
      <sheetName val="AP_IntraCo2"/>
      <sheetName val="FBL1N_20182"/>
      <sheetName val="N__Accrued_Exp2"/>
      <sheetName val="Custom_Duty2"/>
      <sheetName val="FA_FISKAL_20032"/>
      <sheetName val="MM_PAGE-2_X2"/>
      <sheetName val="SK_HTM2"/>
      <sheetName val="Entry__HTM2"/>
      <sheetName val="DP-I_2"/>
      <sheetName val="BEFORE_ALLOCATION2"/>
      <sheetName val="Trading_Statement17"/>
      <sheetName val="C1_NOV17"/>
      <sheetName val="Exc__Rate17"/>
      <sheetName val="U1_416"/>
      <sheetName val="ocean_voyage16"/>
      <sheetName val="Permanent_info17"/>
      <sheetName val="asam_sulfat16"/>
      <sheetName val="corp_tax17"/>
      <sheetName val="M_4_Goodwill16"/>
      <sheetName val="Sales_Report_MKTG17"/>
      <sheetName val="fiscal_depr(E)15"/>
      <sheetName val="U-3_1_1_telephone15"/>
      <sheetName val="Trial_Bal15"/>
      <sheetName val="DATA_WP15"/>
      <sheetName val="CFS_US-Canada_CAD15"/>
      <sheetName val="CFS_AP-NZD_(Trade_Bills)15"/>
      <sheetName val="Pricing_Summary15"/>
      <sheetName val="_SST72~Shelter15"/>
      <sheetName val="Location_Details_(2)15"/>
      <sheetName val="AA_1_1_BNI15"/>
      <sheetName val="RD_I-BUT15"/>
      <sheetName val="Production_&amp;_Cash_Flow14"/>
      <sheetName val="TRADING_PROFIT15"/>
      <sheetName val="DHJune_02Forex_14"/>
      <sheetName val="A5_USD15"/>
      <sheetName val="Koreksi_Fiskal15"/>
      <sheetName val="Deff_Tax15"/>
      <sheetName val="Other_Asset-IDR15"/>
      <sheetName val="Other_Asset-USD15"/>
      <sheetName val="SAP_Software_EY15"/>
      <sheetName val="H-1_314"/>
      <sheetName val="GL_54611114"/>
      <sheetName val="S_e_p14"/>
      <sheetName val="M_a_r14"/>
      <sheetName val="M_a_y14"/>
      <sheetName val="J_u_l14"/>
      <sheetName val="A_p_r14"/>
      <sheetName val="A_u_g14"/>
      <sheetName val="O_c_t14"/>
      <sheetName val="J_u_n14"/>
      <sheetName val="N_o_v14"/>
      <sheetName val="F_e_b14"/>
      <sheetName val="J_a_n14"/>
      <sheetName val="00_received_in_0114"/>
      <sheetName val="A_Grade_Hiten_-_Local14"/>
      <sheetName val="Statutory_Query14"/>
      <sheetName val="Revenue_Query14"/>
      <sheetName val="Conversioon_Rate14"/>
      <sheetName val="Other_Payable14"/>
      <sheetName val="Data_Ben11"/>
      <sheetName val="P_8_2_1036_Depot10"/>
      <sheetName val="MTO_REV_2(ARMOR)10"/>
      <sheetName val="A3_10010"/>
      <sheetName val="PK_HJ__HP4"/>
      <sheetName val="WTI_Driver4"/>
      <sheetName val="TelkomInfra_-_Revenue_Monthly3"/>
      <sheetName val="2600_50_Rincian_Credit_Card(HO3"/>
      <sheetName val="MC_TIRE3"/>
      <sheetName val="MUTU_BUAH4"/>
      <sheetName val="K_6DEPOSIT3"/>
      <sheetName val="ekui_(3)3"/>
      <sheetName val="BS_Acc3"/>
      <sheetName val="TB_2019043"/>
      <sheetName val="B__AR_Group3"/>
      <sheetName val="B1_InterCompany_AR3"/>
      <sheetName val="AR_Details3"/>
      <sheetName val="C__AR_Others3"/>
      <sheetName val="C7_Accrual_Revenue3"/>
      <sheetName val="F__Prepaid_Expenses3"/>
      <sheetName val="List_20193"/>
      <sheetName val="Details_SAP3"/>
      <sheetName val="G__Prepaid_Tax3"/>
      <sheetName val="H__FA3"/>
      <sheetName val="H1__List_FA3"/>
      <sheetName val="J__Deposit3"/>
      <sheetName val="AP_Detail3"/>
      <sheetName val="AP_Summary3"/>
      <sheetName val="AP_IntraCo3"/>
      <sheetName val="FBL1N_20183"/>
      <sheetName val="N__Accrued_Exp3"/>
      <sheetName val="Custom_Duty3"/>
      <sheetName val="FA_FISKAL_20033"/>
      <sheetName val="MM_PAGE-2_X3"/>
      <sheetName val="SK_HTM3"/>
      <sheetName val="Entry__HTM3"/>
      <sheetName val="DP-I_3"/>
      <sheetName val="BEFORE_ALLOCATION3"/>
      <sheetName val="Data_SRL1"/>
      <sheetName val="Data_Prod_Graf1"/>
      <sheetName val="pERIOD5"/>
      <sheetName val="Profit &amp; Loss"/>
      <sheetName val="jgd"/>
      <sheetName val="AIN"/>
      <sheetName val="ARG"/>
      <sheetName val="PROOF"/>
      <sheetName val="Mob Demob"/>
      <sheetName val="CAB 2"/>
      <sheetName val="Mutasi FA-koncol AIC"/>
      <sheetName val="Notes to combined AC"/>
      <sheetName val="Bobot rev"/>
      <sheetName val="ANLKL"/>
      <sheetName val="DIRECT COST"/>
      <sheetName val="analisa bunga Mandiri"/>
      <sheetName val="analisa bunga Permata"/>
      <sheetName val="(43)9.1"/>
      <sheetName val="struktur tdk dipakai"/>
      <sheetName val="COGM  MOVEMENT "/>
      <sheetName val="NRSTOCK"/>
      <sheetName val="1195 B1"/>
      <sheetName val="P&amp;L Sch"/>
      <sheetName val="pm"/>
      <sheetName val="I_11"/>
      <sheetName val="LEDGER_20191"/>
      <sheetName val="LEDGER_20201"/>
      <sheetName val="E-faktur_(FP)1"/>
      <sheetName val="RECAP_(TIDAK_ADA_DI_GL_VAT)1"/>
      <sheetName val="look_up1"/>
      <sheetName val="TR-Comp_1"/>
      <sheetName val="Table-_do_not_edit1"/>
      <sheetName val="BI_Middle_Rate_Year_20181"/>
      <sheetName val="Recon_CIT_Dec_20181"/>
      <sheetName val="CIT_Support1"/>
      <sheetName val="RPO_PTBA1"/>
      <sheetName val="RE_Movement_ISAK_16&amp;_NonISAK_11"/>
      <sheetName val="Recon_CIT_Dec_2018_USD1"/>
      <sheetName val="CIT_Support_USD1"/>
      <sheetName val="WBS_20181"/>
      <sheetName val="WPL_20181"/>
      <sheetName val="PAJE_PRJE_&amp;_CAJE_Dec_20181"/>
      <sheetName val="CF_2018_ISAK_161"/>
      <sheetName val="CF_2017_ISAK_161"/>
      <sheetName val="CF_2018_Non-ISAK_161"/>
      <sheetName val="CF_2017_Non-ISAK_161"/>
      <sheetName val="Relapar_Disclosure1"/>
      <sheetName val="Report_BS_ISAK_16_&amp;_Non_ISAK_11"/>
      <sheetName val="Report_PL_ISAK_16_&amp;_Non_ISAK_11"/>
      <sheetName val="K-1_1_PLTU_Non_ISAK_161"/>
      <sheetName val="Kompensasi_Manajemen_Kunci1"/>
      <sheetName val="Risk_Management_Disclosure1"/>
      <sheetName val="K-Deferred_Charges_Non_ISAK_161"/>
      <sheetName val="K-1_2_Transmisi_DC_Non_ISAK_161"/>
      <sheetName val="Financial_Covenant_Simulation1"/>
      <sheetName val="Denda_BA1"/>
      <sheetName val="GL_Site_2018_(PBC)1"/>
      <sheetName val="WBS_20161"/>
      <sheetName val="L(R)_GABUNGAN_2018_(PBC)1"/>
      <sheetName val="Sensitivity_Analysis1"/>
      <sheetName val="C-Sensitivity_Analysis1"/>
      <sheetName val="P-Sensitivity_Analysis1"/>
      <sheetName val="WPL_20161"/>
      <sheetName val="WELL_DATA1"/>
      <sheetName val="Trouble_&amp;_Deviations1"/>
      <sheetName val="PERHITUNGAN__KEEKONOMIAN1"/>
      <sheetName val="R-14_OIL1"/>
      <sheetName val="Rekons_PPh_211"/>
      <sheetName val="Trading_Statement18"/>
      <sheetName val="C1_NOV18"/>
      <sheetName val="Exc__Rate18"/>
      <sheetName val="asam_sulfat17"/>
      <sheetName val="Permanent_info18"/>
      <sheetName val="ocean_voyage17"/>
      <sheetName val="U1_417"/>
      <sheetName val="corp_tax18"/>
      <sheetName val="M_4_Goodwill17"/>
      <sheetName val="Sales_Report_MKTG18"/>
      <sheetName val="fiscal_depr(E)16"/>
      <sheetName val="Trial_Bal16"/>
      <sheetName val="U-3_1_1_telephone16"/>
      <sheetName val="DATA_WP16"/>
      <sheetName val="Pricing_Summary16"/>
      <sheetName val="CFS_US-Canada_CAD16"/>
      <sheetName val="CFS_AP-NZD_(Trade_Bills)16"/>
      <sheetName val="_SST72~Shelter16"/>
      <sheetName val="Location_Details_(2)16"/>
      <sheetName val="AA_1_1_BNI16"/>
      <sheetName val="RD_I-BUT16"/>
      <sheetName val="Production_&amp;_Cash_Flow15"/>
      <sheetName val="TRADING_PROFIT16"/>
      <sheetName val="DHJune_02Forex_15"/>
      <sheetName val="A5_USD16"/>
      <sheetName val="Koreksi_Fiskal16"/>
      <sheetName val="Deff_Tax16"/>
      <sheetName val="Other_Asset-IDR16"/>
      <sheetName val="Other_Asset-USD16"/>
      <sheetName val="SAP_Software_EY16"/>
      <sheetName val="H-1_315"/>
      <sheetName val="GL_54611115"/>
      <sheetName val="S_e_p15"/>
      <sheetName val="M_a_r15"/>
      <sheetName val="M_a_y15"/>
      <sheetName val="J_u_l15"/>
      <sheetName val="A_p_r15"/>
      <sheetName val="A_u_g15"/>
      <sheetName val="O_c_t15"/>
      <sheetName val="J_u_n15"/>
      <sheetName val="N_o_v15"/>
      <sheetName val="F_e_b15"/>
      <sheetName val="J_a_n15"/>
      <sheetName val="00_received_in_0115"/>
      <sheetName val="A_Grade_Hiten_-_Local15"/>
      <sheetName val="Statutory_Query15"/>
      <sheetName val="Revenue_Query15"/>
      <sheetName val="Data_Ben12"/>
      <sheetName val="P_8_2_1036_Depot11"/>
      <sheetName val="A3_10011"/>
      <sheetName val="Conversioon_Rate15"/>
      <sheetName val="Other_Payable15"/>
      <sheetName val="MTO_REV_2(ARMOR)11"/>
      <sheetName val="outsourcing_b-s2"/>
      <sheetName val="Art_21-26_-_Non_Consultant2"/>
      <sheetName val="I_12"/>
      <sheetName val="Data_SRL2"/>
      <sheetName val="Data_Prod_Graf2"/>
      <sheetName val="Per_GL_J_a_n2"/>
      <sheetName val="LEDGER_20192"/>
      <sheetName val="LEDGER_20202"/>
      <sheetName val="E-faktur_(FP)2"/>
      <sheetName val="RECAP_(TIDAK_ADA_DI_GL_VAT)2"/>
      <sheetName val="look_up2"/>
      <sheetName val="bezeting_2"/>
      <sheetName val="TBM_KR_20062"/>
      <sheetName val="lp_kmmda2"/>
      <sheetName val="rab_33_2011_krt2"/>
      <sheetName val="TR-Comp_2"/>
      <sheetName val="Table-_do_not_edit2"/>
      <sheetName val="BI_Middle_Rate_Year_20182"/>
      <sheetName val="Recon_CIT_Dec_20182"/>
      <sheetName val="CIT_Support2"/>
      <sheetName val="RPO_PTBA2"/>
      <sheetName val="RE_Movement_ISAK_16&amp;_NonISAK_12"/>
      <sheetName val="Recon_CIT_Dec_2018_USD2"/>
      <sheetName val="CIT_Support_USD2"/>
      <sheetName val="WBS_20182"/>
      <sheetName val="WPL_20182"/>
      <sheetName val="PAJE_PRJE_&amp;_CAJE_Dec_20182"/>
      <sheetName val="CF_2018_ISAK_162"/>
      <sheetName val="CF_2017_ISAK_162"/>
      <sheetName val="CF_2018_Non-ISAK_162"/>
      <sheetName val="CF_2017_Non-ISAK_162"/>
      <sheetName val="Relapar_Disclosure2"/>
      <sheetName val="Report_BS_ISAK_16_&amp;_Non_ISAK_12"/>
      <sheetName val="Report_PL_ISAK_16_&amp;_Non_ISAK_12"/>
      <sheetName val="K-1_1_PLTU_Non_ISAK_162"/>
      <sheetName val="Kompensasi_Manajemen_Kunci2"/>
      <sheetName val="Risk_Management_Disclosure2"/>
      <sheetName val="K-Deferred_Charges_Non_ISAK_162"/>
      <sheetName val="K-1_2_Transmisi_DC_Non_ISAK_162"/>
      <sheetName val="Financial_Covenant_Simulation2"/>
      <sheetName val="Denda_BA2"/>
      <sheetName val="GL_Site_2018_(PBC)2"/>
      <sheetName val="WBS_20162"/>
      <sheetName val="L(R)_GABUNGAN_2018_(PBC)2"/>
      <sheetName val="Sensitivity_Analysis2"/>
      <sheetName val="C-Sensitivity_Analysis2"/>
      <sheetName val="P-Sensitivity_Analysis2"/>
      <sheetName val="WPL_20162"/>
      <sheetName val="WELL_DATA2"/>
      <sheetName val="Trouble_&amp;_Deviations2"/>
      <sheetName val="PERHITUNGAN__KEEKONOMIAN2"/>
      <sheetName val="R-14_OIL2"/>
      <sheetName val="Rekons_PPh_212"/>
      <sheetName val="Trading_Statement19"/>
      <sheetName val="C1_NOV19"/>
      <sheetName val="Exc__Rate19"/>
      <sheetName val="asam_sulfat18"/>
      <sheetName val="Permanent_info19"/>
      <sheetName val="ocean_voyage18"/>
      <sheetName val="U1_418"/>
      <sheetName val="corp_tax19"/>
      <sheetName val="M_4_Goodwill18"/>
      <sheetName val="Sales_Report_MKTG19"/>
      <sheetName val="fiscal_depr(E)17"/>
      <sheetName val="Trial_Bal17"/>
      <sheetName val="U-3_1_1_telephone17"/>
      <sheetName val="DATA_WP17"/>
      <sheetName val="Pricing_Summary17"/>
      <sheetName val="CFS_US-Canada_CAD17"/>
      <sheetName val="CFS_AP-NZD_(Trade_Bills)17"/>
      <sheetName val="_SST72~Shelter17"/>
      <sheetName val="Location_Details_(2)17"/>
      <sheetName val="AA_1_1_BNI17"/>
      <sheetName val="RD_I-BUT17"/>
      <sheetName val="Production_&amp;_Cash_Flow16"/>
      <sheetName val="TRADING_PROFIT17"/>
      <sheetName val="DHJune_02Forex_16"/>
      <sheetName val="A5_USD17"/>
      <sheetName val="Koreksi_Fiskal17"/>
      <sheetName val="Deff_Tax17"/>
      <sheetName val="Other_Asset-IDR17"/>
      <sheetName val="Other_Asset-USD17"/>
      <sheetName val="SAP_Software_EY17"/>
      <sheetName val="H-1_316"/>
      <sheetName val="GL_54611116"/>
      <sheetName val="S_e_p16"/>
      <sheetName val="M_a_r16"/>
      <sheetName val="M_a_y16"/>
      <sheetName val="J_u_l16"/>
      <sheetName val="A_p_r16"/>
      <sheetName val="A_u_g16"/>
      <sheetName val="O_c_t16"/>
      <sheetName val="J_u_n16"/>
      <sheetName val="N_o_v16"/>
      <sheetName val="F_e_b16"/>
      <sheetName val="J_a_n16"/>
      <sheetName val="00_received_in_0116"/>
      <sheetName val="A_Grade_Hiten_-_Local16"/>
      <sheetName val="Statutory_Query16"/>
      <sheetName val="Revenue_Query16"/>
      <sheetName val="Data_Ben13"/>
      <sheetName val="P_8_2_1036_Depot12"/>
      <sheetName val="A3_10012"/>
      <sheetName val="Conversioon_Rate16"/>
      <sheetName val="Other_Payable16"/>
      <sheetName val="MTO_REV_2(ARMOR)12"/>
      <sheetName val="WTI_Driver5"/>
      <sheetName val="TelkomInfra_-_Revenue_Monthly4"/>
      <sheetName val="K_6DEPOSIT4"/>
      <sheetName val="2600_50_Rincian_Credit_Card(HO4"/>
      <sheetName val="MUTU_BUAH5"/>
      <sheetName val="ekui_(3)4"/>
      <sheetName val="MC_TIRE4"/>
      <sheetName val="DP-I_4"/>
      <sheetName val="BS_Acc4"/>
      <sheetName val="outsourcing_b-s3"/>
      <sheetName val="FA_FISKAL_20034"/>
      <sheetName val="MM_PAGE-2_X4"/>
      <sheetName val="SK_HTM4"/>
      <sheetName val="Entry__HTM4"/>
      <sheetName val="TB_2019044"/>
      <sheetName val="B__AR_Group4"/>
      <sheetName val="B1_InterCompany_AR4"/>
      <sheetName val="AR_Details4"/>
      <sheetName val="C__AR_Others4"/>
      <sheetName val="C7_Accrual_Revenue4"/>
      <sheetName val="F__Prepaid_Expenses4"/>
      <sheetName val="List_20194"/>
      <sheetName val="Details_SAP4"/>
      <sheetName val="G__Prepaid_Tax4"/>
      <sheetName val="H__FA4"/>
      <sheetName val="H1__List_FA4"/>
      <sheetName val="J__Deposit4"/>
      <sheetName val="AP_Detail4"/>
      <sheetName val="AP_Summary4"/>
      <sheetName val="AP_IntraCo4"/>
      <sheetName val="FBL1N_20184"/>
      <sheetName val="N__Accrued_Exp4"/>
      <sheetName val="Custom_Duty4"/>
      <sheetName val="Art_21-26_-_Non_Consultant3"/>
      <sheetName val="I_13"/>
      <sheetName val="Data_SRL3"/>
      <sheetName val="Data_Prod_Graf3"/>
      <sheetName val="Per_GL_J_a_n3"/>
      <sheetName val="LEDGER_20193"/>
      <sheetName val="LEDGER_20203"/>
      <sheetName val="E-faktur_(FP)3"/>
      <sheetName val="RECAP_(TIDAK_ADA_DI_GL_VAT)3"/>
      <sheetName val="look_up3"/>
      <sheetName val="bezeting_3"/>
      <sheetName val="TBM_KR_20063"/>
      <sheetName val="lp_kmmda3"/>
      <sheetName val="rab_33_2011_krt3"/>
      <sheetName val="TR-Comp_3"/>
      <sheetName val="Table-_do_not_edit3"/>
      <sheetName val="BI_Middle_Rate_Year_20183"/>
      <sheetName val="Recon_CIT_Dec_20183"/>
      <sheetName val="CIT_Support3"/>
      <sheetName val="RPO_PTBA3"/>
      <sheetName val="RE_Movement_ISAK_16&amp;_NonISAK_13"/>
      <sheetName val="Recon_CIT_Dec_2018_USD3"/>
      <sheetName val="CIT_Support_USD3"/>
      <sheetName val="WBS_20183"/>
      <sheetName val="WPL_20183"/>
      <sheetName val="PAJE_PRJE_&amp;_CAJE_Dec_20183"/>
      <sheetName val="CF_2018_ISAK_163"/>
      <sheetName val="CF_2017_ISAK_163"/>
      <sheetName val="CF_2018_Non-ISAK_163"/>
      <sheetName val="CF_2017_Non-ISAK_163"/>
      <sheetName val="Relapar_Disclosure3"/>
      <sheetName val="Report_BS_ISAK_16_&amp;_Non_ISAK_13"/>
      <sheetName val="Report_PL_ISAK_16_&amp;_Non_ISAK_13"/>
      <sheetName val="K-1_1_PLTU_Non_ISAK_163"/>
      <sheetName val="Kompensasi_Manajemen_Kunci3"/>
      <sheetName val="Risk_Management_Disclosure3"/>
      <sheetName val="K-Deferred_Charges_Non_ISAK_163"/>
      <sheetName val="K-1_2_Transmisi_DC_Non_ISAK_163"/>
      <sheetName val="Financial_Covenant_Simulation3"/>
      <sheetName val="Denda_BA3"/>
      <sheetName val="GL_Site_2018_(PBC)3"/>
      <sheetName val="WBS_20163"/>
      <sheetName val="L(R)_GABUNGAN_2018_(PBC)3"/>
      <sheetName val="Sensitivity_Analysis3"/>
      <sheetName val="C-Sensitivity_Analysis3"/>
      <sheetName val="P-Sensitivity_Analysis3"/>
      <sheetName val="WPL_20163"/>
      <sheetName val="WELL_DATA3"/>
      <sheetName val="Trouble_&amp;_Deviations3"/>
      <sheetName val="PERHITUNGAN__KEEKONOMIAN3"/>
      <sheetName val="R-14_OIL3"/>
      <sheetName val="Rekons_PPh_213"/>
      <sheetName val="Trading_Statement20"/>
      <sheetName val="C1_NOV20"/>
      <sheetName val="Exc__Rate20"/>
      <sheetName val="asam_sulfat19"/>
      <sheetName val="Permanent_info20"/>
      <sheetName val="ocean_voyage19"/>
      <sheetName val="U1_419"/>
      <sheetName val="corp_tax20"/>
      <sheetName val="M_4_Goodwill19"/>
      <sheetName val="Sales_Report_MKTG20"/>
      <sheetName val="fiscal_depr(E)18"/>
      <sheetName val="Trial_Bal18"/>
      <sheetName val="U-3_1_1_telephone18"/>
      <sheetName val="DATA_WP18"/>
      <sheetName val="Pricing_Summary18"/>
      <sheetName val="CFS_US-Canada_CAD18"/>
      <sheetName val="CFS_AP-NZD_(Trade_Bills)18"/>
      <sheetName val="_SST72~Shelter18"/>
      <sheetName val="Location_Details_(2)18"/>
      <sheetName val="AA_1_1_BNI18"/>
      <sheetName val="RD_I-BUT18"/>
      <sheetName val="Production_&amp;_Cash_Flow17"/>
      <sheetName val="TRADING_PROFIT18"/>
      <sheetName val="DHJune_02Forex_17"/>
      <sheetName val="A5_USD18"/>
      <sheetName val="Koreksi_Fiskal18"/>
      <sheetName val="Deff_Tax18"/>
      <sheetName val="Other_Asset-IDR18"/>
      <sheetName val="Other_Asset-USD18"/>
      <sheetName val="SAP_Software_EY18"/>
      <sheetName val="H-1_317"/>
      <sheetName val="GL_54611117"/>
      <sheetName val="S_e_p17"/>
      <sheetName val="M_a_r17"/>
      <sheetName val="M_a_y17"/>
      <sheetName val="J_u_l17"/>
      <sheetName val="A_p_r17"/>
      <sheetName val="A_u_g17"/>
      <sheetName val="O_c_t17"/>
      <sheetName val="J_u_n17"/>
      <sheetName val="N_o_v17"/>
      <sheetName val="F_e_b17"/>
      <sheetName val="J_a_n17"/>
      <sheetName val="00_received_in_0117"/>
      <sheetName val="A_Grade_Hiten_-_Local17"/>
      <sheetName val="Statutory_Query17"/>
      <sheetName val="Revenue_Query17"/>
      <sheetName val="Data_Ben14"/>
      <sheetName val="P_8_2_1036_Depot13"/>
      <sheetName val="A3_10013"/>
      <sheetName val="Conversioon_Rate17"/>
      <sheetName val="Other_Payable17"/>
      <sheetName val="MTO_REV_2(ARMOR)13"/>
      <sheetName val="WTI_Driver6"/>
      <sheetName val="PK_HJ__HP5"/>
      <sheetName val="TelkomInfra_-_Revenue_Monthly5"/>
      <sheetName val="K_6DEPOSIT5"/>
      <sheetName val="2600_50_Rincian_Credit_Card(HO5"/>
      <sheetName val="MUTU_BUAH6"/>
      <sheetName val="ekui_(3)5"/>
      <sheetName val="MC_TIRE5"/>
      <sheetName val="DP-I_5"/>
      <sheetName val="BS_Acc5"/>
      <sheetName val="outsourcing_b-s4"/>
      <sheetName val="FA_FISKAL_20035"/>
      <sheetName val="MM_PAGE-2_X5"/>
      <sheetName val="SK_HTM5"/>
      <sheetName val="Entry__HTM5"/>
      <sheetName val="TB_2019045"/>
      <sheetName val="B__AR_Group5"/>
      <sheetName val="B1_InterCompany_AR5"/>
      <sheetName val="AR_Details5"/>
      <sheetName val="C__AR_Others5"/>
      <sheetName val="C7_Accrual_Revenue5"/>
      <sheetName val="F__Prepaid_Expenses5"/>
      <sheetName val="List_20195"/>
      <sheetName val="Details_SAP5"/>
      <sheetName val="G__Prepaid_Tax5"/>
      <sheetName val="H__FA5"/>
      <sheetName val="H1__List_FA5"/>
      <sheetName val="J__Deposit5"/>
      <sheetName val="AP_Detail5"/>
      <sheetName val="AP_Summary5"/>
      <sheetName val="AP_IntraCo5"/>
      <sheetName val="FBL1N_20185"/>
      <sheetName val="N__Accrued_Exp5"/>
      <sheetName val="Custom_Duty5"/>
      <sheetName val="Art_21-26_-_Non_Consultant4"/>
      <sheetName val="BEFORE_ALLOCATION4"/>
      <sheetName val="I_14"/>
      <sheetName val="Data_SRL4"/>
      <sheetName val="Data_Prod_Graf4"/>
      <sheetName val="Per_GL_J_a_n4"/>
      <sheetName val="LEDGER_20194"/>
      <sheetName val="LEDGER_20204"/>
      <sheetName val="E-faktur_(FP)4"/>
      <sheetName val="RECAP_(TIDAK_ADA_DI_GL_VAT)4"/>
      <sheetName val="look_up4"/>
      <sheetName val="bezeting_4"/>
      <sheetName val="TBM_KR_20064"/>
      <sheetName val="lp_kmmda4"/>
      <sheetName val="rab_33_2011_krt4"/>
      <sheetName val="TR-Comp_4"/>
      <sheetName val="Table-_do_not_edit4"/>
      <sheetName val="BI_Middle_Rate_Year_20184"/>
      <sheetName val="Recon_CIT_Dec_20184"/>
      <sheetName val="CIT_Support4"/>
      <sheetName val="RPO_PTBA4"/>
      <sheetName val="RE_Movement_ISAK_16&amp;_NonISAK_14"/>
      <sheetName val="Recon_CIT_Dec_2018_USD4"/>
      <sheetName val="CIT_Support_USD4"/>
      <sheetName val="WBS_20184"/>
      <sheetName val="WPL_20184"/>
      <sheetName val="PAJE_PRJE_&amp;_CAJE_Dec_20184"/>
      <sheetName val="CF_2018_ISAK_164"/>
      <sheetName val="CF_2017_ISAK_164"/>
      <sheetName val="CF_2018_Non-ISAK_164"/>
      <sheetName val="CF_2017_Non-ISAK_164"/>
      <sheetName val="Relapar_Disclosure4"/>
      <sheetName val="Report_BS_ISAK_16_&amp;_Non_ISAK_14"/>
      <sheetName val="Report_PL_ISAK_16_&amp;_Non_ISAK_14"/>
      <sheetName val="K-1_1_PLTU_Non_ISAK_164"/>
      <sheetName val="Kompensasi_Manajemen_Kunci4"/>
      <sheetName val="Risk_Management_Disclosure4"/>
      <sheetName val="K-Deferred_Charges_Non_ISAK_164"/>
      <sheetName val="K-1_2_Transmisi_DC_Non_ISAK_164"/>
      <sheetName val="Financial_Covenant_Simulation4"/>
      <sheetName val="Denda_BA4"/>
      <sheetName val="GL_Site_2018_(PBC)4"/>
      <sheetName val="WBS_20164"/>
      <sheetName val="L(R)_GABUNGAN_2018_(PBC)4"/>
      <sheetName val="Sensitivity_Analysis4"/>
      <sheetName val="C-Sensitivity_Analysis4"/>
      <sheetName val="P-Sensitivity_Analysis4"/>
      <sheetName val="WPL_20164"/>
      <sheetName val="WELL_DATA4"/>
      <sheetName val="Trouble_&amp;_Deviations4"/>
      <sheetName val="PERHITUNGAN__KEEKONOMIAN4"/>
      <sheetName val="R-14_OIL4"/>
      <sheetName val="Rekons_PPh_214"/>
      <sheetName val="DAFTAR SUPPLIER"/>
      <sheetName val="lm7-11"/>
      <sheetName val="諸元まとめ"/>
      <sheetName val="Breakevn"/>
      <sheetName val="CRITERIA2"/>
      <sheetName val="KASUS8"/>
      <sheetName val="KASUS10"/>
      <sheetName val="M.I."/>
      <sheetName val="BOM"/>
      <sheetName val="ITEM GROUP"/>
      <sheetName val="C.6-1"/>
      <sheetName val="COGS MOVEMENT"/>
      <sheetName val="E-7.1"/>
      <sheetName val="Extra"/>
      <sheetName val="RL"/>
      <sheetName val="INV_KTR"/>
      <sheetName val="chemcal"/>
      <sheetName val="equity"/>
      <sheetName val="BELI_0603"/>
      <sheetName val="dasar"/>
      <sheetName val="Breakdown"/>
      <sheetName val="BUDGET_1999"/>
      <sheetName val="ProductionTarget50Pct"/>
      <sheetName val="CAPEX"/>
      <sheetName val="Bill_Qua"/>
      <sheetName val="REKAP"/>
      <sheetName val="A.4.2"/>
      <sheetName val="投資･工数推移"/>
      <sheetName val="Balance Sheet"/>
      <sheetName val="rekon"/>
      <sheetName val="bd"/>
      <sheetName val="hardas"/>
      <sheetName val="ShareCapital_"/>
      <sheetName val="Salesdata01-10_2004"/>
      <sheetName val="2003_ACT_CFlow"/>
      <sheetName val="2003_BGT_C_Flow"/>
      <sheetName val="HO_Use"/>
      <sheetName val="(43)9_1"/>
      <sheetName val="ARTHA_IDR_-1130"/>
      <sheetName val="BCA_IDR-1363"/>
      <sheetName val="BCA_USD-2557"/>
      <sheetName val="BCA_IDR_8619"/>
      <sheetName val="MEGA_USD_0730"/>
      <sheetName val="Kurs_2016"/>
      <sheetName val="MANDIRI_IDR-0370"/>
      <sheetName val="_MP_Kredit_Pjk"/>
      <sheetName val="MP_PPN_Masukan"/>
      <sheetName val="MP_PPN_Keluaran"/>
      <sheetName val="MP_Umum"/>
      <sheetName val="PC_Operasinal_Kasus"/>
      <sheetName val="PC_Kantor"/>
      <sheetName val="PC_Kasus"/>
      <sheetName val="PC_Operasional_Kantor"/>
      <sheetName val="TB_2016"/>
      <sheetName val="Bank_Danamon"/>
      <sheetName val="Petty_Cash"/>
      <sheetName val="MP_Gabungan"/>
      <sheetName val="Safety_2"/>
      <sheetName val="struktur_tdk_dipakai"/>
      <sheetName val="Single_Jacket"/>
      <sheetName val="CAB_2"/>
      <sheetName val="1195_B1"/>
      <sheetName val="A_4_2"/>
      <sheetName val="Balance_Sheet"/>
      <sheetName val="Working Sheet"/>
      <sheetName val="Financing Assumptions"/>
      <sheetName val="Scenarios"/>
      <sheetName val="Penetration Curve"/>
      <sheetName val="NY ADMIN"/>
      <sheetName val="Worksheet-03"/>
      <sheetName val="04NPE012"/>
      <sheetName val="NEG02"/>
      <sheetName val="HA"/>
      <sheetName val="Dosis"/>
      <sheetName val="COA (3)"/>
      <sheetName val="BSHO Report"/>
      <sheetName val="PLHO Report"/>
      <sheetName val="SA2"/>
      <sheetName val="Names"/>
      <sheetName val="Account Code"/>
      <sheetName val="ACM0131(GT)"/>
      <sheetName val="PK_HJ__HP6"/>
      <sheetName val="BEFORE_ALLOCATION5"/>
      <sheetName val="PK_HJ__HP7"/>
      <sheetName val="WTI_Driver7"/>
      <sheetName val="TelkomInfra_-_Revenue_Monthly6"/>
      <sheetName val="2600_50_Rincian_Credit_Card(HO6"/>
      <sheetName val="MC_TIRE6"/>
      <sheetName val="MUTU_BUAH7"/>
      <sheetName val="K_6DEPOSIT6"/>
      <sheetName val="ekui_(3)6"/>
      <sheetName val="BS_Acc6"/>
      <sheetName val="TB_2019046"/>
      <sheetName val="B__AR_Group6"/>
      <sheetName val="B1_InterCompany_AR6"/>
      <sheetName val="AR_Details6"/>
      <sheetName val="C__AR_Others6"/>
      <sheetName val="C7_Accrual_Revenue6"/>
      <sheetName val="F__Prepaid_Expenses6"/>
      <sheetName val="List_20196"/>
      <sheetName val="Details_SAP6"/>
      <sheetName val="G__Prepaid_Tax6"/>
      <sheetName val="H__FA6"/>
      <sheetName val="H1__List_FA6"/>
      <sheetName val="J__Deposit6"/>
      <sheetName val="AP_Detail6"/>
      <sheetName val="AP_Summary6"/>
      <sheetName val="AP_IntraCo6"/>
      <sheetName val="FBL1N_20186"/>
      <sheetName val="N__Accrued_Exp6"/>
      <sheetName val="Custom_Duty6"/>
      <sheetName val="FA_FISKAL_20036"/>
      <sheetName val="MM_PAGE-2_X6"/>
      <sheetName val="SK_HTM6"/>
      <sheetName val="Entry__HTM6"/>
      <sheetName val="DP-I_6"/>
      <sheetName val="BEFORE_ALLOCATION6"/>
      <sheetName val="Trading_Statement21"/>
      <sheetName val="C1_NOV21"/>
      <sheetName val="Exc__Rate21"/>
      <sheetName val="U1_420"/>
      <sheetName val="ocean_voyage20"/>
      <sheetName val="Permanent_info21"/>
      <sheetName val="asam_sulfat20"/>
      <sheetName val="corp_tax21"/>
      <sheetName val="M_4_Goodwill20"/>
      <sheetName val="Sales_Report_MKTG21"/>
      <sheetName val="fiscal_depr(E)19"/>
      <sheetName val="U-3_1_1_telephone19"/>
      <sheetName val="Trial_Bal19"/>
      <sheetName val="DATA_WP19"/>
      <sheetName val="CFS_US-Canada_CAD19"/>
      <sheetName val="CFS_AP-NZD_(Trade_Bills)19"/>
      <sheetName val="Pricing_Summary19"/>
      <sheetName val="_SST72~Shelter19"/>
      <sheetName val="Location_Details_(2)19"/>
      <sheetName val="AA_1_1_BNI19"/>
      <sheetName val="RD_I-BUT19"/>
      <sheetName val="Production_&amp;_Cash_Flow18"/>
      <sheetName val="TRADING_PROFIT19"/>
      <sheetName val="DHJune_02Forex_18"/>
      <sheetName val="A5_USD19"/>
      <sheetName val="Koreksi_Fiskal19"/>
      <sheetName val="Deff_Tax19"/>
      <sheetName val="Other_Asset-IDR19"/>
      <sheetName val="Other_Asset-USD19"/>
      <sheetName val="SAP_Software_EY19"/>
      <sheetName val="H-1_318"/>
      <sheetName val="GL_54611118"/>
      <sheetName val="S_e_p18"/>
      <sheetName val="M_a_r18"/>
      <sheetName val="M_a_y18"/>
      <sheetName val="J_u_l18"/>
      <sheetName val="A_p_r18"/>
      <sheetName val="A_u_g18"/>
      <sheetName val="O_c_t18"/>
      <sheetName val="J_u_n18"/>
      <sheetName val="N_o_v18"/>
      <sheetName val="F_e_b18"/>
      <sheetName val="J_a_n18"/>
      <sheetName val="00_received_in_0118"/>
      <sheetName val="A_Grade_Hiten_-_Local18"/>
      <sheetName val="Statutory_Query18"/>
      <sheetName val="Revenue_Query18"/>
      <sheetName val="Conversioon_Rate18"/>
      <sheetName val="Other_Payable18"/>
      <sheetName val="Data_Ben15"/>
      <sheetName val="P_8_2_1036_Depot14"/>
      <sheetName val="MTO_REV_2(ARMOR)14"/>
      <sheetName val="A3_10014"/>
      <sheetName val="PK_HJ__HP8"/>
      <sheetName val="WTI_Driver8"/>
      <sheetName val="TelkomInfra_-_Revenue_Monthly7"/>
      <sheetName val="2600_50_Rincian_Credit_Card(HO7"/>
      <sheetName val="MC_TIRE7"/>
      <sheetName val="MUTU_BUAH8"/>
      <sheetName val="K_6DEPOSIT7"/>
      <sheetName val="ekui_(3)7"/>
      <sheetName val="BS_Acc7"/>
      <sheetName val="TB_2019047"/>
      <sheetName val="B__AR_Group7"/>
      <sheetName val="B1_InterCompany_AR7"/>
      <sheetName val="AR_Details7"/>
      <sheetName val="C__AR_Others7"/>
      <sheetName val="C7_Accrual_Revenue7"/>
      <sheetName val="F__Prepaid_Expenses7"/>
      <sheetName val="List_20197"/>
      <sheetName val="Details_SAP7"/>
      <sheetName val="G__Prepaid_Tax7"/>
      <sheetName val="H__FA7"/>
      <sheetName val="H1__List_FA7"/>
      <sheetName val="J__Deposit7"/>
      <sheetName val="AP_Detail7"/>
      <sheetName val="AP_Summary7"/>
      <sheetName val="AP_IntraCo7"/>
      <sheetName val="FBL1N_20187"/>
      <sheetName val="N__Accrued_Exp7"/>
      <sheetName val="Custom_Duty7"/>
      <sheetName val="FA_FISKAL_20037"/>
      <sheetName val="MM_PAGE-2_X7"/>
      <sheetName val="SK_HTM7"/>
      <sheetName val="Entry__HTM7"/>
      <sheetName val="DP-I_7"/>
      <sheetName val="BEFORE_ALLOCATION7"/>
      <sheetName val="Art_21-26_-_Non_Consultant5"/>
      <sheetName val="Data_SRL5"/>
      <sheetName val="Data_Prod_Graf5"/>
      <sheetName val="outsourcing_b-s5"/>
      <sheetName val="3-8"/>
      <sheetName val="cons workpapers"/>
      <sheetName val="4.1 Placement w.o.b"/>
      <sheetName val="A-16"/>
      <sheetName val="A-15"/>
      <sheetName val="AFE"/>
      <sheetName val="I_15"/>
      <sheetName val="Per_GL_J_a_n5"/>
      <sheetName val="LEDGER_20195"/>
      <sheetName val="LEDGER_20205"/>
      <sheetName val="E-faktur_(FP)5"/>
      <sheetName val="RECAP_(TIDAK_ADA_DI_GL_VAT)5"/>
      <sheetName val="look_up5"/>
      <sheetName val="bezeting_5"/>
      <sheetName val="TBM_KR_20065"/>
      <sheetName val="lp_kmmda5"/>
      <sheetName val="rab_33_2011_krt5"/>
      <sheetName val="TR-Comp_5"/>
      <sheetName val="Table-_do_not_edit5"/>
      <sheetName val="BI_Middle_Rate_Year_20185"/>
      <sheetName val="Recon_CIT_Dec_20185"/>
      <sheetName val="CIT_Support5"/>
      <sheetName val="RPO_PTBA5"/>
      <sheetName val="RE_Movement_ISAK_16&amp;_NonISAK_15"/>
      <sheetName val="Recon_CIT_Dec_2018_USD5"/>
      <sheetName val="CIT_Support_USD5"/>
      <sheetName val="WBS_20185"/>
      <sheetName val="WPL_20185"/>
      <sheetName val="PAJE_PRJE_&amp;_CAJE_Dec_20185"/>
      <sheetName val="CF_2018_ISAK_165"/>
      <sheetName val="CF_2017_ISAK_165"/>
      <sheetName val="CF_2018_Non-ISAK_165"/>
      <sheetName val="CF_2017_Non-ISAK_165"/>
      <sheetName val="Relapar_Disclosure5"/>
      <sheetName val="Report_BS_ISAK_16_&amp;_Non_ISAK_15"/>
      <sheetName val="Report_PL_ISAK_16_&amp;_Non_ISAK_15"/>
      <sheetName val="K-1_1_PLTU_Non_ISAK_165"/>
      <sheetName val="Kompensasi_Manajemen_Kunci5"/>
      <sheetName val="Risk_Management_Disclosure5"/>
      <sheetName val="K-Deferred_Charges_Non_ISAK_165"/>
      <sheetName val="K-1_2_Transmisi_DC_Non_ISAK_165"/>
      <sheetName val="Financial_Covenant_Simulation5"/>
      <sheetName val="Denda_BA5"/>
      <sheetName val="GL_Site_2018_(PBC)5"/>
      <sheetName val="WBS_20165"/>
      <sheetName val="L(R)_GABUNGAN_2018_(PBC)5"/>
      <sheetName val="Sensitivity_Analysis5"/>
      <sheetName val="C-Sensitivity_Analysis5"/>
      <sheetName val="P-Sensitivity_Analysis5"/>
      <sheetName val="WPL_20165"/>
      <sheetName val="WELL_DATA5"/>
      <sheetName val="Trouble_&amp;_Deviations5"/>
      <sheetName val="PERHITUNGAN__KEEKONOMIAN5"/>
      <sheetName val="R-14_OIL5"/>
      <sheetName val="Rekons_PPh_215"/>
      <sheetName val="Trading_Statement22"/>
      <sheetName val="C1_NOV22"/>
      <sheetName val="Exc__Rate22"/>
      <sheetName val="asam_sulfat21"/>
      <sheetName val="Permanent_info22"/>
      <sheetName val="ocean_voyage21"/>
      <sheetName val="U1_421"/>
      <sheetName val="corp_tax22"/>
      <sheetName val="M_4_Goodwill21"/>
      <sheetName val="Sales_Report_MKTG22"/>
      <sheetName val="fiscal_depr(E)20"/>
      <sheetName val="Trial_Bal20"/>
      <sheetName val="U-3_1_1_telephone20"/>
      <sheetName val="DATA_WP20"/>
      <sheetName val="Pricing_Summary20"/>
      <sheetName val="CFS_US-Canada_CAD20"/>
      <sheetName val="CFS_AP-NZD_(Trade_Bills)20"/>
      <sheetName val="_SST72~Shelter20"/>
      <sheetName val="Location_Details_(2)20"/>
      <sheetName val="AA_1_1_BNI20"/>
      <sheetName val="RD_I-BUT20"/>
      <sheetName val="Production_&amp;_Cash_Flow19"/>
      <sheetName val="TRADING_PROFIT20"/>
      <sheetName val="DHJune_02Forex_19"/>
      <sheetName val="A5_USD20"/>
      <sheetName val="Koreksi_Fiskal20"/>
      <sheetName val="Deff_Tax20"/>
      <sheetName val="Other_Asset-IDR20"/>
      <sheetName val="Other_Asset-USD20"/>
      <sheetName val="SAP_Software_EY20"/>
      <sheetName val="H-1_319"/>
      <sheetName val="GL_54611119"/>
      <sheetName val="S_e_p19"/>
      <sheetName val="M_a_r19"/>
      <sheetName val="M_a_y19"/>
      <sheetName val="J_u_l19"/>
      <sheetName val="A_p_r19"/>
      <sheetName val="A_u_g19"/>
      <sheetName val="O_c_t19"/>
      <sheetName val="J_u_n19"/>
      <sheetName val="N_o_v19"/>
      <sheetName val="F_e_b19"/>
      <sheetName val="J_a_n19"/>
      <sheetName val="00_received_in_0119"/>
      <sheetName val="A_Grade_Hiten_-_Local19"/>
      <sheetName val="Statutory_Query19"/>
      <sheetName val="Revenue_Query19"/>
      <sheetName val="Data_Ben16"/>
      <sheetName val="P_8_2_1036_Depot15"/>
      <sheetName val="A3_10015"/>
      <sheetName val="Conversioon_Rate19"/>
      <sheetName val="Other_Payable19"/>
      <sheetName val="MTO_REV_2(ARMOR)15"/>
      <sheetName val="outsourcing_b-s6"/>
      <sheetName val="Art_21-26_-_Non_Consultant6"/>
      <sheetName val="I_16"/>
      <sheetName val="Data_SRL6"/>
      <sheetName val="Data_Prod_Graf6"/>
      <sheetName val="Per_GL_J_a_n6"/>
      <sheetName val="LEDGER_20196"/>
      <sheetName val="LEDGER_20206"/>
      <sheetName val="E-faktur_(FP)6"/>
      <sheetName val="RECAP_(TIDAK_ADA_DI_GL_VAT)6"/>
      <sheetName val="look_up6"/>
      <sheetName val="bezeting_6"/>
      <sheetName val="TBM_KR_20066"/>
      <sheetName val="lp_kmmda6"/>
      <sheetName val="rab_33_2011_krt6"/>
      <sheetName val="TR-Comp_6"/>
      <sheetName val="Table-_do_not_edit6"/>
      <sheetName val="BI_Middle_Rate_Year_20186"/>
      <sheetName val="Recon_CIT_Dec_20186"/>
      <sheetName val="CIT_Support6"/>
      <sheetName val="RPO_PTBA6"/>
      <sheetName val="RE_Movement_ISAK_16&amp;_NonISAK_17"/>
      <sheetName val="Recon_CIT_Dec_2018_USD6"/>
      <sheetName val="CIT_Support_USD6"/>
      <sheetName val="WBS_20186"/>
      <sheetName val="WPL_20186"/>
      <sheetName val="PAJE_PRJE_&amp;_CAJE_Dec_20186"/>
      <sheetName val="CF_2018_ISAK_166"/>
      <sheetName val="CF_2017_ISAK_166"/>
      <sheetName val="CF_2018_Non-ISAK_166"/>
      <sheetName val="CF_2017_Non-ISAK_166"/>
      <sheetName val="Relapar_Disclosure6"/>
      <sheetName val="Report_BS_ISAK_16_&amp;_Non_ISAK_17"/>
      <sheetName val="Report_PL_ISAK_16_&amp;_Non_ISAK_17"/>
      <sheetName val="K-1_1_PLTU_Non_ISAK_166"/>
      <sheetName val="Kompensasi_Manajemen_Kunci6"/>
      <sheetName val="Risk_Management_Disclosure6"/>
      <sheetName val="K-Deferred_Charges_Non_ISAK_166"/>
      <sheetName val="K-1_2_Transmisi_DC_Non_ISAK_166"/>
      <sheetName val="Financial_Covenant_Simulation6"/>
      <sheetName val="Denda_BA6"/>
      <sheetName val="GL_Site_2018_(PBC)6"/>
      <sheetName val="WBS_20166"/>
      <sheetName val="L(R)_GABUNGAN_2018_(PBC)6"/>
      <sheetName val="Sensitivity_Analysis6"/>
      <sheetName val="C-Sensitivity_Analysis6"/>
      <sheetName val="P-Sensitivity_Analysis6"/>
      <sheetName val="WPL_20166"/>
      <sheetName val="WELL_DATA6"/>
      <sheetName val="Trouble_&amp;_Deviations6"/>
      <sheetName val="PERHITUNGAN__KEEKONOMIAN6"/>
      <sheetName val="R-14_OIL6"/>
      <sheetName val="Rekons_PPh_216"/>
      <sheetName val="AOP-SK"/>
    </sheetNames>
    <sheetDataSet>
      <sheetData sheetId="0">
        <row r="34">
          <cell r="B34">
            <v>93889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sheetData sheetId="57"/>
      <sheetData sheetId="58"/>
      <sheetData sheetId="59"/>
      <sheetData sheetId="60"/>
      <sheetData sheetId="61">
        <row r="34">
          <cell r="B34">
            <v>93889</v>
          </cell>
        </row>
      </sheetData>
      <sheetData sheetId="62"/>
      <sheetData sheetId="63"/>
      <sheetData sheetId="64"/>
      <sheetData sheetId="65"/>
      <sheetData sheetId="66"/>
      <sheetData sheetId="67">
        <row r="34">
          <cell r="B34">
            <v>93889</v>
          </cell>
        </row>
      </sheetData>
      <sheetData sheetId="68">
        <row r="34">
          <cell r="B34">
            <v>93889</v>
          </cell>
        </row>
      </sheetData>
      <sheetData sheetId="69">
        <row r="34">
          <cell r="B34">
            <v>93889</v>
          </cell>
        </row>
      </sheetData>
      <sheetData sheetId="70">
        <row r="34">
          <cell r="B34">
            <v>93889</v>
          </cell>
        </row>
      </sheetData>
      <sheetData sheetId="71">
        <row r="34">
          <cell r="B34">
            <v>93889</v>
          </cell>
        </row>
      </sheetData>
      <sheetData sheetId="72">
        <row r="34">
          <cell r="B34">
            <v>93889</v>
          </cell>
        </row>
      </sheetData>
      <sheetData sheetId="73">
        <row r="34">
          <cell r="B34">
            <v>93889</v>
          </cell>
        </row>
      </sheetData>
      <sheetData sheetId="74">
        <row r="34">
          <cell r="B34">
            <v>93889</v>
          </cell>
        </row>
      </sheetData>
      <sheetData sheetId="75">
        <row r="34">
          <cell r="B34">
            <v>93889</v>
          </cell>
        </row>
      </sheetData>
      <sheetData sheetId="76">
        <row r="34">
          <cell r="B34">
            <v>93889</v>
          </cell>
        </row>
      </sheetData>
      <sheetData sheetId="77">
        <row r="34">
          <cell r="B34">
            <v>93889</v>
          </cell>
        </row>
      </sheetData>
      <sheetData sheetId="78">
        <row r="34">
          <cell r="B34">
            <v>93889</v>
          </cell>
        </row>
      </sheetData>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sheetData sheetId="107"/>
      <sheetData sheetId="108">
        <row r="34">
          <cell r="B34">
            <v>93889</v>
          </cell>
        </row>
      </sheetData>
      <sheetData sheetId="109" refreshError="1"/>
      <sheetData sheetId="110">
        <row r="34">
          <cell r="B34">
            <v>93889</v>
          </cell>
        </row>
      </sheetData>
      <sheetData sheetId="111">
        <row r="34">
          <cell r="B34">
            <v>93889</v>
          </cell>
        </row>
      </sheetData>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row r="34">
          <cell r="B34">
            <v>93889</v>
          </cell>
        </row>
      </sheetData>
      <sheetData sheetId="183">
        <row r="34">
          <cell r="B34">
            <v>93889</v>
          </cell>
        </row>
      </sheetData>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row r="34">
          <cell r="B34">
            <v>93889</v>
          </cell>
        </row>
      </sheetData>
      <sheetData sheetId="204">
        <row r="34">
          <cell r="B34">
            <v>93889</v>
          </cell>
        </row>
      </sheetData>
      <sheetData sheetId="205">
        <row r="34">
          <cell r="B34">
            <v>93889</v>
          </cell>
        </row>
      </sheetData>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ow r="34">
          <cell r="B34">
            <v>93889</v>
          </cell>
        </row>
      </sheetData>
      <sheetData sheetId="217">
        <row r="34">
          <cell r="B34">
            <v>93889</v>
          </cell>
        </row>
      </sheetData>
      <sheetData sheetId="218">
        <row r="34">
          <cell r="B34">
            <v>93889</v>
          </cell>
        </row>
      </sheetData>
      <sheetData sheetId="219">
        <row r="34">
          <cell r="B34">
            <v>93889</v>
          </cell>
        </row>
      </sheetData>
      <sheetData sheetId="220">
        <row r="34">
          <cell r="B34">
            <v>93889</v>
          </cell>
        </row>
      </sheetData>
      <sheetData sheetId="221">
        <row r="34">
          <cell r="B34">
            <v>93889</v>
          </cell>
        </row>
      </sheetData>
      <sheetData sheetId="222">
        <row r="34">
          <cell r="B34">
            <v>93889</v>
          </cell>
        </row>
      </sheetData>
      <sheetData sheetId="223">
        <row r="34">
          <cell r="B34">
            <v>93889</v>
          </cell>
        </row>
      </sheetData>
      <sheetData sheetId="224">
        <row r="34">
          <cell r="B34">
            <v>93889</v>
          </cell>
        </row>
      </sheetData>
      <sheetData sheetId="225">
        <row r="34">
          <cell r="B34">
            <v>93889</v>
          </cell>
        </row>
      </sheetData>
      <sheetData sheetId="226">
        <row r="34">
          <cell r="B34">
            <v>93889</v>
          </cell>
        </row>
      </sheetData>
      <sheetData sheetId="227">
        <row r="34">
          <cell r="B34">
            <v>93889</v>
          </cell>
        </row>
      </sheetData>
      <sheetData sheetId="228">
        <row r="34">
          <cell r="B34">
            <v>93889</v>
          </cell>
        </row>
      </sheetData>
      <sheetData sheetId="229">
        <row r="34">
          <cell r="B34">
            <v>93889</v>
          </cell>
        </row>
      </sheetData>
      <sheetData sheetId="230">
        <row r="34">
          <cell r="B34">
            <v>93889</v>
          </cell>
        </row>
      </sheetData>
      <sheetData sheetId="231">
        <row r="34">
          <cell r="B34">
            <v>93889</v>
          </cell>
        </row>
      </sheetData>
      <sheetData sheetId="232">
        <row r="34">
          <cell r="B34">
            <v>93889</v>
          </cell>
        </row>
      </sheetData>
      <sheetData sheetId="233">
        <row r="34">
          <cell r="B34">
            <v>93889</v>
          </cell>
        </row>
      </sheetData>
      <sheetData sheetId="234">
        <row r="34">
          <cell r="B34">
            <v>93889</v>
          </cell>
        </row>
      </sheetData>
      <sheetData sheetId="235">
        <row r="34">
          <cell r="B34">
            <v>93889</v>
          </cell>
        </row>
      </sheetData>
      <sheetData sheetId="236">
        <row r="34">
          <cell r="B34">
            <v>93889</v>
          </cell>
        </row>
      </sheetData>
      <sheetData sheetId="237">
        <row r="34">
          <cell r="B34">
            <v>93889</v>
          </cell>
        </row>
      </sheetData>
      <sheetData sheetId="238">
        <row r="34">
          <cell r="B34">
            <v>93889</v>
          </cell>
        </row>
      </sheetData>
      <sheetData sheetId="239">
        <row r="34">
          <cell r="B34">
            <v>93889</v>
          </cell>
        </row>
      </sheetData>
      <sheetData sheetId="240">
        <row r="34">
          <cell r="B34">
            <v>93889</v>
          </cell>
        </row>
      </sheetData>
      <sheetData sheetId="241">
        <row r="34">
          <cell r="B34">
            <v>93889</v>
          </cell>
        </row>
      </sheetData>
      <sheetData sheetId="242">
        <row r="34">
          <cell r="B34">
            <v>93889</v>
          </cell>
        </row>
      </sheetData>
      <sheetData sheetId="243">
        <row r="34">
          <cell r="B34">
            <v>93889</v>
          </cell>
        </row>
      </sheetData>
      <sheetData sheetId="244">
        <row r="34">
          <cell r="B34">
            <v>93889</v>
          </cell>
        </row>
      </sheetData>
      <sheetData sheetId="245">
        <row r="34">
          <cell r="B34">
            <v>93889</v>
          </cell>
        </row>
      </sheetData>
      <sheetData sheetId="246">
        <row r="34">
          <cell r="B34">
            <v>93889</v>
          </cell>
        </row>
      </sheetData>
      <sheetData sheetId="247">
        <row r="34">
          <cell r="B34">
            <v>93889</v>
          </cell>
        </row>
      </sheetData>
      <sheetData sheetId="248">
        <row r="34">
          <cell r="B34">
            <v>93889</v>
          </cell>
        </row>
      </sheetData>
      <sheetData sheetId="249">
        <row r="34">
          <cell r="B34">
            <v>93889</v>
          </cell>
        </row>
      </sheetData>
      <sheetData sheetId="250">
        <row r="34">
          <cell r="B34">
            <v>93889</v>
          </cell>
        </row>
      </sheetData>
      <sheetData sheetId="251">
        <row r="34">
          <cell r="B34">
            <v>93889</v>
          </cell>
        </row>
      </sheetData>
      <sheetData sheetId="252">
        <row r="34">
          <cell r="B34">
            <v>93889</v>
          </cell>
        </row>
      </sheetData>
      <sheetData sheetId="253">
        <row r="34">
          <cell r="B34">
            <v>93889</v>
          </cell>
        </row>
      </sheetData>
      <sheetData sheetId="254">
        <row r="34">
          <cell r="B34">
            <v>93889</v>
          </cell>
        </row>
      </sheetData>
      <sheetData sheetId="255">
        <row r="34">
          <cell r="B34">
            <v>93889</v>
          </cell>
        </row>
      </sheetData>
      <sheetData sheetId="256">
        <row r="34">
          <cell r="B34">
            <v>93889</v>
          </cell>
        </row>
      </sheetData>
      <sheetData sheetId="257">
        <row r="34">
          <cell r="B34">
            <v>93889</v>
          </cell>
        </row>
      </sheetData>
      <sheetData sheetId="258">
        <row r="34">
          <cell r="B34">
            <v>93889</v>
          </cell>
        </row>
      </sheetData>
      <sheetData sheetId="259">
        <row r="34">
          <cell r="B34">
            <v>93889</v>
          </cell>
        </row>
      </sheetData>
      <sheetData sheetId="260">
        <row r="34">
          <cell r="B34">
            <v>93889</v>
          </cell>
        </row>
      </sheetData>
      <sheetData sheetId="261">
        <row r="34">
          <cell r="B34">
            <v>93889</v>
          </cell>
        </row>
      </sheetData>
      <sheetData sheetId="262">
        <row r="34">
          <cell r="B34">
            <v>93889</v>
          </cell>
        </row>
      </sheetData>
      <sheetData sheetId="263">
        <row r="34">
          <cell r="B34">
            <v>93889</v>
          </cell>
        </row>
      </sheetData>
      <sheetData sheetId="264">
        <row r="34">
          <cell r="B34">
            <v>93889</v>
          </cell>
        </row>
      </sheetData>
      <sheetData sheetId="265">
        <row r="34">
          <cell r="B34">
            <v>93889</v>
          </cell>
        </row>
      </sheetData>
      <sheetData sheetId="266">
        <row r="34">
          <cell r="B34">
            <v>93889</v>
          </cell>
        </row>
      </sheetData>
      <sheetData sheetId="267">
        <row r="34">
          <cell r="B34">
            <v>93889</v>
          </cell>
        </row>
      </sheetData>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ow r="34">
          <cell r="B34">
            <v>93889</v>
          </cell>
        </row>
      </sheetData>
      <sheetData sheetId="294" refreshError="1"/>
      <sheetData sheetId="295">
        <row r="34">
          <cell r="B34">
            <v>93889</v>
          </cell>
        </row>
      </sheetData>
      <sheetData sheetId="296">
        <row r="34">
          <cell r="B34">
            <v>93889</v>
          </cell>
        </row>
      </sheetData>
      <sheetData sheetId="297">
        <row r="34">
          <cell r="B34">
            <v>93889</v>
          </cell>
        </row>
      </sheetData>
      <sheetData sheetId="298">
        <row r="34">
          <cell r="B34">
            <v>93889</v>
          </cell>
        </row>
      </sheetData>
      <sheetData sheetId="299">
        <row r="34">
          <cell r="B34">
            <v>93889</v>
          </cell>
        </row>
      </sheetData>
      <sheetData sheetId="300">
        <row r="34">
          <cell r="B34">
            <v>93889</v>
          </cell>
        </row>
      </sheetData>
      <sheetData sheetId="301">
        <row r="34">
          <cell r="B34">
            <v>93889</v>
          </cell>
        </row>
      </sheetData>
      <sheetData sheetId="302">
        <row r="34">
          <cell r="B34">
            <v>93889</v>
          </cell>
        </row>
      </sheetData>
      <sheetData sheetId="303">
        <row r="34">
          <cell r="B34">
            <v>93889</v>
          </cell>
        </row>
      </sheetData>
      <sheetData sheetId="304">
        <row r="34">
          <cell r="B34">
            <v>93889</v>
          </cell>
        </row>
      </sheetData>
      <sheetData sheetId="305">
        <row r="34">
          <cell r="B34">
            <v>93889</v>
          </cell>
        </row>
      </sheetData>
      <sheetData sheetId="306">
        <row r="34">
          <cell r="B34">
            <v>93889</v>
          </cell>
        </row>
      </sheetData>
      <sheetData sheetId="307">
        <row r="34">
          <cell r="B34">
            <v>93889</v>
          </cell>
        </row>
      </sheetData>
      <sheetData sheetId="308">
        <row r="34">
          <cell r="B34">
            <v>93889</v>
          </cell>
        </row>
      </sheetData>
      <sheetData sheetId="309">
        <row r="34">
          <cell r="B34">
            <v>93889</v>
          </cell>
        </row>
      </sheetData>
      <sheetData sheetId="310">
        <row r="34">
          <cell r="B34">
            <v>93889</v>
          </cell>
        </row>
      </sheetData>
      <sheetData sheetId="311">
        <row r="34">
          <cell r="B34">
            <v>93889</v>
          </cell>
        </row>
      </sheetData>
      <sheetData sheetId="312">
        <row r="34">
          <cell r="B34">
            <v>93889</v>
          </cell>
        </row>
      </sheetData>
      <sheetData sheetId="313">
        <row r="34">
          <cell r="B34">
            <v>93889</v>
          </cell>
        </row>
      </sheetData>
      <sheetData sheetId="314">
        <row r="34">
          <cell r="B34">
            <v>93889</v>
          </cell>
        </row>
      </sheetData>
      <sheetData sheetId="315">
        <row r="34">
          <cell r="B34">
            <v>93889</v>
          </cell>
        </row>
      </sheetData>
      <sheetData sheetId="316">
        <row r="34">
          <cell r="B34">
            <v>93889</v>
          </cell>
        </row>
      </sheetData>
      <sheetData sheetId="317">
        <row r="34">
          <cell r="B34">
            <v>93889</v>
          </cell>
        </row>
      </sheetData>
      <sheetData sheetId="318">
        <row r="34">
          <cell r="B34">
            <v>93889</v>
          </cell>
        </row>
      </sheetData>
      <sheetData sheetId="319">
        <row r="34">
          <cell r="B34">
            <v>93889</v>
          </cell>
        </row>
      </sheetData>
      <sheetData sheetId="320">
        <row r="34">
          <cell r="B34">
            <v>93889</v>
          </cell>
        </row>
      </sheetData>
      <sheetData sheetId="321">
        <row r="34">
          <cell r="B34">
            <v>93889</v>
          </cell>
        </row>
      </sheetData>
      <sheetData sheetId="322">
        <row r="34">
          <cell r="B34">
            <v>93889</v>
          </cell>
        </row>
      </sheetData>
      <sheetData sheetId="323">
        <row r="34">
          <cell r="B34">
            <v>93889</v>
          </cell>
        </row>
      </sheetData>
      <sheetData sheetId="324">
        <row r="34">
          <cell r="B34">
            <v>93889</v>
          </cell>
        </row>
      </sheetData>
      <sheetData sheetId="325">
        <row r="34">
          <cell r="B34">
            <v>93889</v>
          </cell>
        </row>
      </sheetData>
      <sheetData sheetId="326">
        <row r="34">
          <cell r="B34">
            <v>93889</v>
          </cell>
        </row>
      </sheetData>
      <sheetData sheetId="327">
        <row r="34">
          <cell r="B34">
            <v>93889</v>
          </cell>
        </row>
      </sheetData>
      <sheetData sheetId="328">
        <row r="34">
          <cell r="B34">
            <v>93889</v>
          </cell>
        </row>
      </sheetData>
      <sheetData sheetId="329">
        <row r="34">
          <cell r="B34">
            <v>93889</v>
          </cell>
        </row>
      </sheetData>
      <sheetData sheetId="330">
        <row r="34">
          <cell r="B34">
            <v>93889</v>
          </cell>
        </row>
      </sheetData>
      <sheetData sheetId="331">
        <row r="34">
          <cell r="B34">
            <v>93889</v>
          </cell>
        </row>
      </sheetData>
      <sheetData sheetId="332">
        <row r="34">
          <cell r="B34">
            <v>93889</v>
          </cell>
        </row>
      </sheetData>
      <sheetData sheetId="333" refreshError="1"/>
      <sheetData sheetId="334">
        <row r="34">
          <cell r="B34">
            <v>93889</v>
          </cell>
        </row>
      </sheetData>
      <sheetData sheetId="335">
        <row r="34">
          <cell r="B34">
            <v>93889</v>
          </cell>
        </row>
      </sheetData>
      <sheetData sheetId="336">
        <row r="34">
          <cell r="B34">
            <v>93889</v>
          </cell>
        </row>
      </sheetData>
      <sheetData sheetId="337">
        <row r="34">
          <cell r="B34">
            <v>93889</v>
          </cell>
        </row>
      </sheetData>
      <sheetData sheetId="338">
        <row r="34">
          <cell r="B34">
            <v>93889</v>
          </cell>
        </row>
      </sheetData>
      <sheetData sheetId="339">
        <row r="34">
          <cell r="B34">
            <v>93889</v>
          </cell>
        </row>
      </sheetData>
      <sheetData sheetId="340">
        <row r="34">
          <cell r="B34">
            <v>93889</v>
          </cell>
        </row>
      </sheetData>
      <sheetData sheetId="341">
        <row r="34">
          <cell r="B34">
            <v>93889</v>
          </cell>
        </row>
      </sheetData>
      <sheetData sheetId="342">
        <row r="34">
          <cell r="B34">
            <v>93889</v>
          </cell>
        </row>
      </sheetData>
      <sheetData sheetId="343">
        <row r="34">
          <cell r="B34">
            <v>93889</v>
          </cell>
        </row>
      </sheetData>
      <sheetData sheetId="344">
        <row r="34">
          <cell r="B34">
            <v>93889</v>
          </cell>
        </row>
      </sheetData>
      <sheetData sheetId="345">
        <row r="34">
          <cell r="B34">
            <v>93889</v>
          </cell>
        </row>
      </sheetData>
      <sheetData sheetId="346">
        <row r="34">
          <cell r="B34">
            <v>93889</v>
          </cell>
        </row>
      </sheetData>
      <sheetData sheetId="347">
        <row r="34">
          <cell r="B34">
            <v>93889</v>
          </cell>
        </row>
      </sheetData>
      <sheetData sheetId="348">
        <row r="34">
          <cell r="B34">
            <v>93889</v>
          </cell>
        </row>
      </sheetData>
      <sheetData sheetId="349">
        <row r="34">
          <cell r="B34">
            <v>93889</v>
          </cell>
        </row>
      </sheetData>
      <sheetData sheetId="350">
        <row r="34">
          <cell r="B34">
            <v>93889</v>
          </cell>
        </row>
      </sheetData>
      <sheetData sheetId="351">
        <row r="34">
          <cell r="B34">
            <v>93889</v>
          </cell>
        </row>
      </sheetData>
      <sheetData sheetId="352">
        <row r="34">
          <cell r="B34">
            <v>93889</v>
          </cell>
        </row>
      </sheetData>
      <sheetData sheetId="353">
        <row r="34">
          <cell r="B34">
            <v>93889</v>
          </cell>
        </row>
      </sheetData>
      <sheetData sheetId="354">
        <row r="34">
          <cell r="B34">
            <v>93889</v>
          </cell>
        </row>
      </sheetData>
      <sheetData sheetId="355">
        <row r="34">
          <cell r="B34">
            <v>93889</v>
          </cell>
        </row>
      </sheetData>
      <sheetData sheetId="356">
        <row r="34">
          <cell r="B34">
            <v>93889</v>
          </cell>
        </row>
      </sheetData>
      <sheetData sheetId="357">
        <row r="34">
          <cell r="B34">
            <v>93889</v>
          </cell>
        </row>
      </sheetData>
      <sheetData sheetId="358">
        <row r="34">
          <cell r="B34">
            <v>93889</v>
          </cell>
        </row>
      </sheetData>
      <sheetData sheetId="359">
        <row r="34">
          <cell r="B34">
            <v>93889</v>
          </cell>
        </row>
      </sheetData>
      <sheetData sheetId="360">
        <row r="34">
          <cell r="B34">
            <v>93889</v>
          </cell>
        </row>
      </sheetData>
      <sheetData sheetId="361">
        <row r="34">
          <cell r="B34">
            <v>93889</v>
          </cell>
        </row>
      </sheetData>
      <sheetData sheetId="362">
        <row r="34">
          <cell r="B34">
            <v>93889</v>
          </cell>
        </row>
      </sheetData>
      <sheetData sheetId="363">
        <row r="34">
          <cell r="B34">
            <v>93889</v>
          </cell>
        </row>
      </sheetData>
      <sheetData sheetId="364">
        <row r="34">
          <cell r="B34">
            <v>93889</v>
          </cell>
        </row>
      </sheetData>
      <sheetData sheetId="365">
        <row r="34">
          <cell r="B34">
            <v>93889</v>
          </cell>
        </row>
      </sheetData>
      <sheetData sheetId="366">
        <row r="34">
          <cell r="B34">
            <v>93889</v>
          </cell>
        </row>
      </sheetData>
      <sheetData sheetId="367">
        <row r="34">
          <cell r="B34">
            <v>93889</v>
          </cell>
        </row>
      </sheetData>
      <sheetData sheetId="368">
        <row r="34">
          <cell r="B34">
            <v>93889</v>
          </cell>
        </row>
      </sheetData>
      <sheetData sheetId="369">
        <row r="34">
          <cell r="B34">
            <v>93889</v>
          </cell>
        </row>
      </sheetData>
      <sheetData sheetId="370">
        <row r="34">
          <cell r="B34">
            <v>93889</v>
          </cell>
        </row>
      </sheetData>
      <sheetData sheetId="371">
        <row r="34">
          <cell r="B34">
            <v>93889</v>
          </cell>
        </row>
      </sheetData>
      <sheetData sheetId="372">
        <row r="34">
          <cell r="B34">
            <v>93889</v>
          </cell>
        </row>
      </sheetData>
      <sheetData sheetId="373">
        <row r="34">
          <cell r="B34">
            <v>93889</v>
          </cell>
        </row>
      </sheetData>
      <sheetData sheetId="374">
        <row r="34">
          <cell r="B34">
            <v>93889</v>
          </cell>
        </row>
      </sheetData>
      <sheetData sheetId="375">
        <row r="34">
          <cell r="B34">
            <v>93889</v>
          </cell>
        </row>
      </sheetData>
      <sheetData sheetId="376">
        <row r="34">
          <cell r="B34">
            <v>93889</v>
          </cell>
        </row>
      </sheetData>
      <sheetData sheetId="377">
        <row r="34">
          <cell r="B34">
            <v>93889</v>
          </cell>
        </row>
      </sheetData>
      <sheetData sheetId="378">
        <row r="34">
          <cell r="B34">
            <v>93889</v>
          </cell>
        </row>
      </sheetData>
      <sheetData sheetId="379">
        <row r="34">
          <cell r="B34">
            <v>93889</v>
          </cell>
        </row>
      </sheetData>
      <sheetData sheetId="380">
        <row r="34">
          <cell r="B34">
            <v>93889</v>
          </cell>
        </row>
      </sheetData>
      <sheetData sheetId="381">
        <row r="34">
          <cell r="B34">
            <v>93889</v>
          </cell>
        </row>
      </sheetData>
      <sheetData sheetId="382">
        <row r="34">
          <cell r="B34">
            <v>93889</v>
          </cell>
        </row>
      </sheetData>
      <sheetData sheetId="383">
        <row r="34">
          <cell r="B34">
            <v>93889</v>
          </cell>
        </row>
      </sheetData>
      <sheetData sheetId="384">
        <row r="34">
          <cell r="B34">
            <v>93889</v>
          </cell>
        </row>
      </sheetData>
      <sheetData sheetId="385">
        <row r="34">
          <cell r="B34">
            <v>93889</v>
          </cell>
        </row>
      </sheetData>
      <sheetData sheetId="386">
        <row r="34">
          <cell r="B34">
            <v>93889</v>
          </cell>
        </row>
      </sheetData>
      <sheetData sheetId="387">
        <row r="34">
          <cell r="B34">
            <v>93889</v>
          </cell>
        </row>
      </sheetData>
      <sheetData sheetId="388">
        <row r="34">
          <cell r="B34">
            <v>93889</v>
          </cell>
        </row>
      </sheetData>
      <sheetData sheetId="389">
        <row r="34">
          <cell r="B34">
            <v>93889</v>
          </cell>
        </row>
      </sheetData>
      <sheetData sheetId="390">
        <row r="34">
          <cell r="B34">
            <v>93889</v>
          </cell>
        </row>
      </sheetData>
      <sheetData sheetId="391">
        <row r="34">
          <cell r="B34">
            <v>93889</v>
          </cell>
        </row>
      </sheetData>
      <sheetData sheetId="392">
        <row r="34">
          <cell r="B34">
            <v>93889</v>
          </cell>
        </row>
      </sheetData>
      <sheetData sheetId="393">
        <row r="34">
          <cell r="B34">
            <v>93889</v>
          </cell>
        </row>
      </sheetData>
      <sheetData sheetId="394">
        <row r="34">
          <cell r="B34">
            <v>93889</v>
          </cell>
        </row>
      </sheetData>
      <sheetData sheetId="395">
        <row r="34">
          <cell r="B34">
            <v>93889</v>
          </cell>
        </row>
      </sheetData>
      <sheetData sheetId="396">
        <row r="34">
          <cell r="B34">
            <v>93889</v>
          </cell>
        </row>
      </sheetData>
      <sheetData sheetId="397">
        <row r="34">
          <cell r="B34">
            <v>93889</v>
          </cell>
        </row>
      </sheetData>
      <sheetData sheetId="398">
        <row r="34">
          <cell r="B34">
            <v>93889</v>
          </cell>
        </row>
      </sheetData>
      <sheetData sheetId="399">
        <row r="34">
          <cell r="B34">
            <v>93889</v>
          </cell>
        </row>
      </sheetData>
      <sheetData sheetId="400">
        <row r="34">
          <cell r="B34">
            <v>93889</v>
          </cell>
        </row>
      </sheetData>
      <sheetData sheetId="401">
        <row r="34">
          <cell r="B34">
            <v>93889</v>
          </cell>
        </row>
      </sheetData>
      <sheetData sheetId="402">
        <row r="34">
          <cell r="B34">
            <v>93889</v>
          </cell>
        </row>
      </sheetData>
      <sheetData sheetId="403">
        <row r="34">
          <cell r="B34">
            <v>93889</v>
          </cell>
        </row>
      </sheetData>
      <sheetData sheetId="404">
        <row r="34">
          <cell r="B34">
            <v>93889</v>
          </cell>
        </row>
      </sheetData>
      <sheetData sheetId="405">
        <row r="34">
          <cell r="B34">
            <v>93889</v>
          </cell>
        </row>
      </sheetData>
      <sheetData sheetId="406">
        <row r="34">
          <cell r="B34">
            <v>93889</v>
          </cell>
        </row>
      </sheetData>
      <sheetData sheetId="407">
        <row r="34">
          <cell r="B34">
            <v>93889</v>
          </cell>
        </row>
      </sheetData>
      <sheetData sheetId="408">
        <row r="34">
          <cell r="B34">
            <v>93889</v>
          </cell>
        </row>
      </sheetData>
      <sheetData sheetId="409">
        <row r="34">
          <cell r="B34">
            <v>93889</v>
          </cell>
        </row>
      </sheetData>
      <sheetData sheetId="410">
        <row r="34">
          <cell r="B34">
            <v>93889</v>
          </cell>
        </row>
      </sheetData>
      <sheetData sheetId="411">
        <row r="34">
          <cell r="B34">
            <v>93889</v>
          </cell>
        </row>
      </sheetData>
      <sheetData sheetId="412">
        <row r="34">
          <cell r="B34">
            <v>93889</v>
          </cell>
        </row>
      </sheetData>
      <sheetData sheetId="413">
        <row r="34">
          <cell r="B34">
            <v>93889</v>
          </cell>
        </row>
      </sheetData>
      <sheetData sheetId="414">
        <row r="34">
          <cell r="B34">
            <v>93889</v>
          </cell>
        </row>
      </sheetData>
      <sheetData sheetId="415">
        <row r="34">
          <cell r="B34">
            <v>93889</v>
          </cell>
        </row>
      </sheetData>
      <sheetData sheetId="416">
        <row r="34">
          <cell r="B34">
            <v>93889</v>
          </cell>
        </row>
      </sheetData>
      <sheetData sheetId="417">
        <row r="34">
          <cell r="B34">
            <v>93889</v>
          </cell>
        </row>
      </sheetData>
      <sheetData sheetId="418">
        <row r="34">
          <cell r="B34">
            <v>93889</v>
          </cell>
        </row>
      </sheetData>
      <sheetData sheetId="419">
        <row r="34">
          <cell r="B34">
            <v>93889</v>
          </cell>
        </row>
      </sheetData>
      <sheetData sheetId="420">
        <row r="34">
          <cell r="B34">
            <v>93889</v>
          </cell>
        </row>
      </sheetData>
      <sheetData sheetId="421">
        <row r="34">
          <cell r="B34">
            <v>93889</v>
          </cell>
        </row>
      </sheetData>
      <sheetData sheetId="422">
        <row r="34">
          <cell r="B34">
            <v>93889</v>
          </cell>
        </row>
      </sheetData>
      <sheetData sheetId="423">
        <row r="34">
          <cell r="B34">
            <v>93889</v>
          </cell>
        </row>
      </sheetData>
      <sheetData sheetId="424">
        <row r="34">
          <cell r="B34">
            <v>93889</v>
          </cell>
        </row>
      </sheetData>
      <sheetData sheetId="425">
        <row r="34">
          <cell r="B34">
            <v>93889</v>
          </cell>
        </row>
      </sheetData>
      <sheetData sheetId="426">
        <row r="34">
          <cell r="B34">
            <v>93889</v>
          </cell>
        </row>
      </sheetData>
      <sheetData sheetId="427">
        <row r="34">
          <cell r="B34">
            <v>93889</v>
          </cell>
        </row>
      </sheetData>
      <sheetData sheetId="428">
        <row r="34">
          <cell r="B34">
            <v>93889</v>
          </cell>
        </row>
      </sheetData>
      <sheetData sheetId="429">
        <row r="34">
          <cell r="B34">
            <v>93889</v>
          </cell>
        </row>
      </sheetData>
      <sheetData sheetId="430">
        <row r="34">
          <cell r="B34">
            <v>93889</v>
          </cell>
        </row>
      </sheetData>
      <sheetData sheetId="431">
        <row r="34">
          <cell r="B34">
            <v>93889</v>
          </cell>
        </row>
      </sheetData>
      <sheetData sheetId="432">
        <row r="34">
          <cell r="B34">
            <v>93889</v>
          </cell>
        </row>
      </sheetData>
      <sheetData sheetId="433">
        <row r="34">
          <cell r="B34">
            <v>93889</v>
          </cell>
        </row>
      </sheetData>
      <sheetData sheetId="434">
        <row r="34">
          <cell r="B34">
            <v>93889</v>
          </cell>
        </row>
      </sheetData>
      <sheetData sheetId="435">
        <row r="34">
          <cell r="B34">
            <v>93889</v>
          </cell>
        </row>
      </sheetData>
      <sheetData sheetId="436">
        <row r="34">
          <cell r="B34">
            <v>93889</v>
          </cell>
        </row>
      </sheetData>
      <sheetData sheetId="437">
        <row r="34">
          <cell r="B34">
            <v>93889</v>
          </cell>
        </row>
      </sheetData>
      <sheetData sheetId="438">
        <row r="34">
          <cell r="B34">
            <v>93889</v>
          </cell>
        </row>
      </sheetData>
      <sheetData sheetId="439">
        <row r="34">
          <cell r="B34">
            <v>93889</v>
          </cell>
        </row>
      </sheetData>
      <sheetData sheetId="440">
        <row r="34">
          <cell r="B34">
            <v>93889</v>
          </cell>
        </row>
      </sheetData>
      <sheetData sheetId="441">
        <row r="34">
          <cell r="B34">
            <v>93889</v>
          </cell>
        </row>
      </sheetData>
      <sheetData sheetId="442">
        <row r="34">
          <cell r="B34">
            <v>93889</v>
          </cell>
        </row>
      </sheetData>
      <sheetData sheetId="443">
        <row r="34">
          <cell r="B34">
            <v>93889</v>
          </cell>
        </row>
      </sheetData>
      <sheetData sheetId="444">
        <row r="34">
          <cell r="B34">
            <v>93889</v>
          </cell>
        </row>
      </sheetData>
      <sheetData sheetId="445">
        <row r="34">
          <cell r="B34">
            <v>93889</v>
          </cell>
        </row>
      </sheetData>
      <sheetData sheetId="446">
        <row r="34">
          <cell r="B34">
            <v>93889</v>
          </cell>
        </row>
      </sheetData>
      <sheetData sheetId="447">
        <row r="34">
          <cell r="B34">
            <v>93889</v>
          </cell>
        </row>
      </sheetData>
      <sheetData sheetId="448">
        <row r="34">
          <cell r="B34">
            <v>93889</v>
          </cell>
        </row>
      </sheetData>
      <sheetData sheetId="449">
        <row r="34">
          <cell r="B34">
            <v>93889</v>
          </cell>
        </row>
      </sheetData>
      <sheetData sheetId="450">
        <row r="34">
          <cell r="B34">
            <v>93889</v>
          </cell>
        </row>
      </sheetData>
      <sheetData sheetId="451">
        <row r="34">
          <cell r="B34">
            <v>93889</v>
          </cell>
        </row>
      </sheetData>
      <sheetData sheetId="452">
        <row r="34">
          <cell r="B34">
            <v>93889</v>
          </cell>
        </row>
      </sheetData>
      <sheetData sheetId="453">
        <row r="34">
          <cell r="B34">
            <v>93889</v>
          </cell>
        </row>
      </sheetData>
      <sheetData sheetId="454">
        <row r="34">
          <cell r="B34">
            <v>93889</v>
          </cell>
        </row>
      </sheetData>
      <sheetData sheetId="455">
        <row r="34">
          <cell r="B34">
            <v>93889</v>
          </cell>
        </row>
      </sheetData>
      <sheetData sheetId="456">
        <row r="34">
          <cell r="B34">
            <v>93889</v>
          </cell>
        </row>
      </sheetData>
      <sheetData sheetId="457">
        <row r="34">
          <cell r="B34">
            <v>93889</v>
          </cell>
        </row>
      </sheetData>
      <sheetData sheetId="458">
        <row r="34">
          <cell r="B34">
            <v>93889</v>
          </cell>
        </row>
      </sheetData>
      <sheetData sheetId="459">
        <row r="34">
          <cell r="B34">
            <v>93889</v>
          </cell>
        </row>
      </sheetData>
      <sheetData sheetId="460">
        <row r="34">
          <cell r="B34">
            <v>93889</v>
          </cell>
        </row>
      </sheetData>
      <sheetData sheetId="461">
        <row r="34">
          <cell r="B34">
            <v>93889</v>
          </cell>
        </row>
      </sheetData>
      <sheetData sheetId="462">
        <row r="34">
          <cell r="B34">
            <v>93889</v>
          </cell>
        </row>
      </sheetData>
      <sheetData sheetId="463">
        <row r="34">
          <cell r="B34">
            <v>93889</v>
          </cell>
        </row>
      </sheetData>
      <sheetData sheetId="464">
        <row r="34">
          <cell r="B34">
            <v>93889</v>
          </cell>
        </row>
      </sheetData>
      <sheetData sheetId="465">
        <row r="34">
          <cell r="B34">
            <v>93889</v>
          </cell>
        </row>
      </sheetData>
      <sheetData sheetId="466">
        <row r="34">
          <cell r="B34">
            <v>93889</v>
          </cell>
        </row>
      </sheetData>
      <sheetData sheetId="467">
        <row r="34">
          <cell r="B34">
            <v>93889</v>
          </cell>
        </row>
      </sheetData>
      <sheetData sheetId="468">
        <row r="34">
          <cell r="B34">
            <v>93889</v>
          </cell>
        </row>
      </sheetData>
      <sheetData sheetId="469">
        <row r="34">
          <cell r="B34">
            <v>93889</v>
          </cell>
        </row>
      </sheetData>
      <sheetData sheetId="470">
        <row r="34">
          <cell r="B34">
            <v>93889</v>
          </cell>
        </row>
      </sheetData>
      <sheetData sheetId="471">
        <row r="34">
          <cell r="B34">
            <v>93889</v>
          </cell>
        </row>
      </sheetData>
      <sheetData sheetId="472">
        <row r="34">
          <cell r="B34">
            <v>93889</v>
          </cell>
        </row>
      </sheetData>
      <sheetData sheetId="473">
        <row r="34">
          <cell r="B34">
            <v>93889</v>
          </cell>
        </row>
      </sheetData>
      <sheetData sheetId="474">
        <row r="34">
          <cell r="B34">
            <v>93889</v>
          </cell>
        </row>
      </sheetData>
      <sheetData sheetId="475">
        <row r="34">
          <cell r="B34">
            <v>93889</v>
          </cell>
        </row>
      </sheetData>
      <sheetData sheetId="476">
        <row r="34">
          <cell r="B34">
            <v>93889</v>
          </cell>
        </row>
      </sheetData>
      <sheetData sheetId="477">
        <row r="34">
          <cell r="B34">
            <v>93889</v>
          </cell>
        </row>
      </sheetData>
      <sheetData sheetId="478">
        <row r="34">
          <cell r="B34">
            <v>93889</v>
          </cell>
        </row>
      </sheetData>
      <sheetData sheetId="479">
        <row r="34">
          <cell r="B34">
            <v>93889</v>
          </cell>
        </row>
      </sheetData>
      <sheetData sheetId="480">
        <row r="34">
          <cell r="B34">
            <v>93889</v>
          </cell>
        </row>
      </sheetData>
      <sheetData sheetId="481">
        <row r="34">
          <cell r="B34">
            <v>93889</v>
          </cell>
        </row>
      </sheetData>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ow r="34">
          <cell r="B34">
            <v>93889</v>
          </cell>
        </row>
      </sheetData>
      <sheetData sheetId="491"/>
      <sheetData sheetId="492">
        <row r="34">
          <cell r="B34">
            <v>93889</v>
          </cell>
        </row>
      </sheetData>
      <sheetData sheetId="493">
        <row r="34">
          <cell r="B34">
            <v>93889</v>
          </cell>
        </row>
      </sheetData>
      <sheetData sheetId="494">
        <row r="34">
          <cell r="B34">
            <v>93889</v>
          </cell>
        </row>
      </sheetData>
      <sheetData sheetId="495">
        <row r="34">
          <cell r="B34">
            <v>93889</v>
          </cell>
        </row>
      </sheetData>
      <sheetData sheetId="496">
        <row r="34">
          <cell r="B34">
            <v>93889</v>
          </cell>
        </row>
      </sheetData>
      <sheetData sheetId="497">
        <row r="34">
          <cell r="B34">
            <v>93889</v>
          </cell>
        </row>
      </sheetData>
      <sheetData sheetId="498">
        <row r="34">
          <cell r="B34">
            <v>93889</v>
          </cell>
        </row>
      </sheetData>
      <sheetData sheetId="499">
        <row r="34">
          <cell r="B34">
            <v>93889</v>
          </cell>
        </row>
      </sheetData>
      <sheetData sheetId="500">
        <row r="34">
          <cell r="B34">
            <v>93889</v>
          </cell>
        </row>
      </sheetData>
      <sheetData sheetId="501">
        <row r="34">
          <cell r="B34">
            <v>93889</v>
          </cell>
        </row>
      </sheetData>
      <sheetData sheetId="502">
        <row r="34">
          <cell r="B34">
            <v>93889</v>
          </cell>
        </row>
      </sheetData>
      <sheetData sheetId="503">
        <row r="34">
          <cell r="B34">
            <v>93889</v>
          </cell>
        </row>
      </sheetData>
      <sheetData sheetId="504">
        <row r="34">
          <cell r="B34">
            <v>93889</v>
          </cell>
        </row>
      </sheetData>
      <sheetData sheetId="505">
        <row r="34">
          <cell r="B34">
            <v>93889</v>
          </cell>
        </row>
      </sheetData>
      <sheetData sheetId="506">
        <row r="34">
          <cell r="B34">
            <v>93889</v>
          </cell>
        </row>
      </sheetData>
      <sheetData sheetId="507">
        <row r="34">
          <cell r="B34">
            <v>93889</v>
          </cell>
        </row>
      </sheetData>
      <sheetData sheetId="508">
        <row r="34">
          <cell r="B34">
            <v>93889</v>
          </cell>
        </row>
      </sheetData>
      <sheetData sheetId="509"/>
      <sheetData sheetId="510">
        <row r="34">
          <cell r="B34">
            <v>93889</v>
          </cell>
        </row>
      </sheetData>
      <sheetData sheetId="511"/>
      <sheetData sheetId="512"/>
      <sheetData sheetId="513"/>
      <sheetData sheetId="514"/>
      <sheetData sheetId="515"/>
      <sheetData sheetId="516">
        <row r="34">
          <cell r="B34">
            <v>93889</v>
          </cell>
        </row>
      </sheetData>
      <sheetData sheetId="517"/>
      <sheetData sheetId="518">
        <row r="34">
          <cell r="B34">
            <v>93889</v>
          </cell>
        </row>
      </sheetData>
      <sheetData sheetId="519">
        <row r="34">
          <cell r="B34">
            <v>93889</v>
          </cell>
        </row>
      </sheetData>
      <sheetData sheetId="520">
        <row r="34">
          <cell r="B34">
            <v>93889</v>
          </cell>
        </row>
      </sheetData>
      <sheetData sheetId="521">
        <row r="34">
          <cell r="B34">
            <v>93889</v>
          </cell>
        </row>
      </sheetData>
      <sheetData sheetId="522">
        <row r="34">
          <cell r="B34">
            <v>93889</v>
          </cell>
        </row>
      </sheetData>
      <sheetData sheetId="523">
        <row r="34">
          <cell r="B34">
            <v>93889</v>
          </cell>
        </row>
      </sheetData>
      <sheetData sheetId="524">
        <row r="34">
          <cell r="B34">
            <v>93889</v>
          </cell>
        </row>
      </sheetData>
      <sheetData sheetId="525">
        <row r="34">
          <cell r="B34">
            <v>93889</v>
          </cell>
        </row>
      </sheetData>
      <sheetData sheetId="526">
        <row r="34">
          <cell r="B34">
            <v>93889</v>
          </cell>
        </row>
      </sheetData>
      <sheetData sheetId="527">
        <row r="34">
          <cell r="B34">
            <v>93889</v>
          </cell>
        </row>
      </sheetData>
      <sheetData sheetId="528">
        <row r="34">
          <cell r="B34">
            <v>93889</v>
          </cell>
        </row>
      </sheetData>
      <sheetData sheetId="529">
        <row r="34">
          <cell r="B34">
            <v>93889</v>
          </cell>
        </row>
      </sheetData>
      <sheetData sheetId="530">
        <row r="34">
          <cell r="B34">
            <v>93889</v>
          </cell>
        </row>
      </sheetData>
      <sheetData sheetId="531">
        <row r="34">
          <cell r="B34">
            <v>93889</v>
          </cell>
        </row>
      </sheetData>
      <sheetData sheetId="532">
        <row r="34">
          <cell r="B34">
            <v>93889</v>
          </cell>
        </row>
      </sheetData>
      <sheetData sheetId="533">
        <row r="34">
          <cell r="B34">
            <v>93889</v>
          </cell>
        </row>
      </sheetData>
      <sheetData sheetId="534"/>
      <sheetData sheetId="535"/>
      <sheetData sheetId="536"/>
      <sheetData sheetId="537"/>
      <sheetData sheetId="538"/>
      <sheetData sheetId="539"/>
      <sheetData sheetId="540"/>
      <sheetData sheetId="541"/>
      <sheetData sheetId="542">
        <row r="34">
          <cell r="B34">
            <v>93889</v>
          </cell>
        </row>
      </sheetData>
      <sheetData sheetId="543"/>
      <sheetData sheetId="544">
        <row r="34">
          <cell r="B34">
            <v>93889</v>
          </cell>
        </row>
      </sheetData>
      <sheetData sheetId="545">
        <row r="34">
          <cell r="B34">
            <v>93889</v>
          </cell>
        </row>
      </sheetData>
      <sheetData sheetId="546">
        <row r="34">
          <cell r="B34">
            <v>93889</v>
          </cell>
        </row>
      </sheetData>
      <sheetData sheetId="547">
        <row r="34">
          <cell r="B34">
            <v>93889</v>
          </cell>
        </row>
      </sheetData>
      <sheetData sheetId="548">
        <row r="34">
          <cell r="B34">
            <v>93889</v>
          </cell>
        </row>
      </sheetData>
      <sheetData sheetId="549">
        <row r="34">
          <cell r="B34">
            <v>93889</v>
          </cell>
        </row>
      </sheetData>
      <sheetData sheetId="550">
        <row r="34">
          <cell r="B34">
            <v>93889</v>
          </cell>
        </row>
      </sheetData>
      <sheetData sheetId="551"/>
      <sheetData sheetId="552">
        <row r="34">
          <cell r="B34">
            <v>93889</v>
          </cell>
        </row>
      </sheetData>
      <sheetData sheetId="553">
        <row r="34">
          <cell r="B34">
            <v>93889</v>
          </cell>
        </row>
      </sheetData>
      <sheetData sheetId="554">
        <row r="34">
          <cell r="B34">
            <v>93889</v>
          </cell>
        </row>
      </sheetData>
      <sheetData sheetId="555">
        <row r="34">
          <cell r="B34">
            <v>93889</v>
          </cell>
        </row>
      </sheetData>
      <sheetData sheetId="556">
        <row r="34">
          <cell r="B34">
            <v>93889</v>
          </cell>
        </row>
      </sheetData>
      <sheetData sheetId="557"/>
      <sheetData sheetId="558"/>
      <sheetData sheetId="559">
        <row r="34">
          <cell r="B34">
            <v>93889</v>
          </cell>
        </row>
      </sheetData>
      <sheetData sheetId="560">
        <row r="34">
          <cell r="B34">
            <v>93889</v>
          </cell>
        </row>
      </sheetData>
      <sheetData sheetId="561"/>
      <sheetData sheetId="562"/>
      <sheetData sheetId="563"/>
      <sheetData sheetId="564"/>
      <sheetData sheetId="565"/>
      <sheetData sheetId="566">
        <row r="34">
          <cell r="B34">
            <v>93889</v>
          </cell>
        </row>
      </sheetData>
      <sheetData sheetId="567">
        <row r="34">
          <cell r="B34">
            <v>93889</v>
          </cell>
        </row>
      </sheetData>
      <sheetData sheetId="568"/>
      <sheetData sheetId="569"/>
      <sheetData sheetId="570"/>
      <sheetData sheetId="571">
        <row r="34">
          <cell r="B34">
            <v>93889</v>
          </cell>
        </row>
      </sheetData>
      <sheetData sheetId="572">
        <row r="34">
          <cell r="B34">
            <v>93889</v>
          </cell>
        </row>
      </sheetData>
      <sheetData sheetId="573">
        <row r="34">
          <cell r="B34">
            <v>93889</v>
          </cell>
        </row>
      </sheetData>
      <sheetData sheetId="574">
        <row r="34">
          <cell r="B34">
            <v>93889</v>
          </cell>
        </row>
      </sheetData>
      <sheetData sheetId="575">
        <row r="34">
          <cell r="B34">
            <v>93889</v>
          </cell>
        </row>
      </sheetData>
      <sheetData sheetId="576"/>
      <sheetData sheetId="577">
        <row r="34">
          <cell r="B34">
            <v>93889</v>
          </cell>
        </row>
      </sheetData>
      <sheetData sheetId="578">
        <row r="34">
          <cell r="B34">
            <v>93889</v>
          </cell>
        </row>
      </sheetData>
      <sheetData sheetId="579">
        <row r="34">
          <cell r="B34">
            <v>93889</v>
          </cell>
        </row>
      </sheetData>
      <sheetData sheetId="580">
        <row r="34">
          <cell r="B34">
            <v>93889</v>
          </cell>
        </row>
      </sheetData>
      <sheetData sheetId="581">
        <row r="34">
          <cell r="B34">
            <v>93889</v>
          </cell>
        </row>
      </sheetData>
      <sheetData sheetId="582"/>
      <sheetData sheetId="583"/>
      <sheetData sheetId="584">
        <row r="34">
          <cell r="B34">
            <v>93889</v>
          </cell>
        </row>
      </sheetData>
      <sheetData sheetId="585">
        <row r="34">
          <cell r="B34">
            <v>93889</v>
          </cell>
        </row>
      </sheetData>
      <sheetData sheetId="586"/>
      <sheetData sheetId="587"/>
      <sheetData sheetId="588"/>
      <sheetData sheetId="589"/>
      <sheetData sheetId="590"/>
      <sheetData sheetId="591">
        <row r="34">
          <cell r="B34">
            <v>93889</v>
          </cell>
        </row>
      </sheetData>
      <sheetData sheetId="592">
        <row r="34">
          <cell r="B34">
            <v>93889</v>
          </cell>
        </row>
      </sheetData>
      <sheetData sheetId="593"/>
      <sheetData sheetId="594"/>
      <sheetData sheetId="595">
        <row r="34">
          <cell r="B34">
            <v>93889</v>
          </cell>
        </row>
      </sheetData>
      <sheetData sheetId="596">
        <row r="34">
          <cell r="B34">
            <v>93889</v>
          </cell>
        </row>
      </sheetData>
      <sheetData sheetId="597">
        <row r="34">
          <cell r="B34">
            <v>93889</v>
          </cell>
        </row>
      </sheetData>
      <sheetData sheetId="598">
        <row r="34">
          <cell r="B34">
            <v>93889</v>
          </cell>
        </row>
      </sheetData>
      <sheetData sheetId="599">
        <row r="34">
          <cell r="B34">
            <v>93889</v>
          </cell>
        </row>
      </sheetData>
      <sheetData sheetId="600">
        <row r="34">
          <cell r="B34">
            <v>93889</v>
          </cell>
        </row>
      </sheetData>
      <sheetData sheetId="601"/>
      <sheetData sheetId="602">
        <row r="34">
          <cell r="B34">
            <v>93889</v>
          </cell>
        </row>
      </sheetData>
      <sheetData sheetId="603">
        <row r="34">
          <cell r="B34">
            <v>93889</v>
          </cell>
        </row>
      </sheetData>
      <sheetData sheetId="604">
        <row r="34">
          <cell r="B34">
            <v>93889</v>
          </cell>
        </row>
      </sheetData>
      <sheetData sheetId="605">
        <row r="34">
          <cell r="B34">
            <v>93889</v>
          </cell>
        </row>
      </sheetData>
      <sheetData sheetId="606">
        <row r="34">
          <cell r="B34">
            <v>93889</v>
          </cell>
        </row>
      </sheetData>
      <sheetData sheetId="607" refreshError="1"/>
      <sheetData sheetId="608"/>
      <sheetData sheetId="609"/>
      <sheetData sheetId="610"/>
      <sheetData sheetId="61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ow r="34">
          <cell r="B34">
            <v>93889</v>
          </cell>
        </row>
      </sheetData>
      <sheetData sheetId="628">
        <row r="34">
          <cell r="B34">
            <v>93889</v>
          </cell>
        </row>
      </sheetData>
      <sheetData sheetId="629">
        <row r="34">
          <cell r="B34">
            <v>93889</v>
          </cell>
        </row>
      </sheetData>
      <sheetData sheetId="630" refreshError="1"/>
      <sheetData sheetId="631" refreshError="1"/>
      <sheetData sheetId="632" refreshError="1"/>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row r="34">
          <cell r="B34">
            <v>93889</v>
          </cell>
        </row>
      </sheetData>
      <sheetData sheetId="670">
        <row r="34">
          <cell r="B34">
            <v>93889</v>
          </cell>
        </row>
      </sheetData>
      <sheetData sheetId="671">
        <row r="34">
          <cell r="B34">
            <v>93889</v>
          </cell>
        </row>
      </sheetData>
      <sheetData sheetId="672"/>
      <sheetData sheetId="673"/>
      <sheetData sheetId="674">
        <row r="34">
          <cell r="B34">
            <v>93889</v>
          </cell>
        </row>
      </sheetData>
      <sheetData sheetId="675">
        <row r="34">
          <cell r="B34">
            <v>93889</v>
          </cell>
        </row>
      </sheetData>
      <sheetData sheetId="676">
        <row r="34">
          <cell r="B34">
            <v>93889</v>
          </cell>
        </row>
      </sheetData>
      <sheetData sheetId="677">
        <row r="34">
          <cell r="B34">
            <v>93889</v>
          </cell>
        </row>
      </sheetData>
      <sheetData sheetId="678">
        <row r="34">
          <cell r="B34">
            <v>93889</v>
          </cell>
        </row>
      </sheetData>
      <sheetData sheetId="679">
        <row r="34">
          <cell r="B34">
            <v>93889</v>
          </cell>
        </row>
      </sheetData>
      <sheetData sheetId="680">
        <row r="34">
          <cell r="B34">
            <v>93889</v>
          </cell>
        </row>
      </sheetData>
      <sheetData sheetId="681">
        <row r="34">
          <cell r="B34">
            <v>93889</v>
          </cell>
        </row>
      </sheetData>
      <sheetData sheetId="682">
        <row r="34">
          <cell r="B34">
            <v>93889</v>
          </cell>
        </row>
      </sheetData>
      <sheetData sheetId="683">
        <row r="34">
          <cell r="B34">
            <v>93889</v>
          </cell>
        </row>
      </sheetData>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row r="34">
          <cell r="B34">
            <v>93889</v>
          </cell>
        </row>
      </sheetData>
      <sheetData sheetId="723">
        <row r="34">
          <cell r="B34">
            <v>93889</v>
          </cell>
        </row>
      </sheetData>
      <sheetData sheetId="724">
        <row r="34">
          <cell r="B34">
            <v>93889</v>
          </cell>
        </row>
      </sheetData>
      <sheetData sheetId="725"/>
      <sheetData sheetId="726"/>
      <sheetData sheetId="727">
        <row r="34">
          <cell r="B34">
            <v>93889</v>
          </cell>
        </row>
      </sheetData>
      <sheetData sheetId="728">
        <row r="34">
          <cell r="B34">
            <v>93889</v>
          </cell>
        </row>
      </sheetData>
      <sheetData sheetId="729">
        <row r="34">
          <cell r="B34">
            <v>93889</v>
          </cell>
        </row>
      </sheetData>
      <sheetData sheetId="730">
        <row r="34">
          <cell r="B34">
            <v>93889</v>
          </cell>
        </row>
      </sheetData>
      <sheetData sheetId="731">
        <row r="34">
          <cell r="B34">
            <v>93889</v>
          </cell>
        </row>
      </sheetData>
      <sheetData sheetId="732">
        <row r="34">
          <cell r="B34">
            <v>93889</v>
          </cell>
        </row>
      </sheetData>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row r="34">
          <cell r="B34">
            <v>93889</v>
          </cell>
        </row>
      </sheetData>
      <sheetData sheetId="776">
        <row r="34">
          <cell r="B34">
            <v>93889</v>
          </cell>
        </row>
      </sheetData>
      <sheetData sheetId="777">
        <row r="34">
          <cell r="B34">
            <v>93889</v>
          </cell>
        </row>
      </sheetData>
      <sheetData sheetId="778"/>
      <sheetData sheetId="779"/>
      <sheetData sheetId="780">
        <row r="34">
          <cell r="B34">
            <v>93889</v>
          </cell>
        </row>
      </sheetData>
      <sheetData sheetId="781">
        <row r="34">
          <cell r="B34">
            <v>93889</v>
          </cell>
        </row>
      </sheetData>
      <sheetData sheetId="782">
        <row r="34">
          <cell r="B34">
            <v>93889</v>
          </cell>
        </row>
      </sheetData>
      <sheetData sheetId="783">
        <row r="34">
          <cell r="B34">
            <v>93889</v>
          </cell>
        </row>
      </sheetData>
      <sheetData sheetId="784">
        <row r="34">
          <cell r="B34">
            <v>93889</v>
          </cell>
        </row>
      </sheetData>
      <sheetData sheetId="785">
        <row r="34">
          <cell r="B34">
            <v>93889</v>
          </cell>
        </row>
      </sheetData>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row r="34">
          <cell r="B34">
            <v>93889</v>
          </cell>
        </row>
      </sheetData>
      <sheetData sheetId="869">
        <row r="34">
          <cell r="B34">
            <v>93889</v>
          </cell>
        </row>
      </sheetData>
      <sheetData sheetId="870">
        <row r="34">
          <cell r="B34">
            <v>93889</v>
          </cell>
        </row>
      </sheetData>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row r="34">
          <cell r="B34">
            <v>93889</v>
          </cell>
        </row>
      </sheetData>
      <sheetData sheetId="922">
        <row r="34">
          <cell r="B34">
            <v>93889</v>
          </cell>
        </row>
      </sheetData>
      <sheetData sheetId="923">
        <row r="34">
          <cell r="B34">
            <v>93889</v>
          </cell>
        </row>
      </sheetData>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ow r="34">
          <cell r="B34">
            <v>93889</v>
          </cell>
        </row>
      </sheetData>
      <sheetData sheetId="1000">
        <row r="34">
          <cell r="B34">
            <v>93889</v>
          </cell>
        </row>
      </sheetData>
      <sheetData sheetId="1001">
        <row r="34">
          <cell r="B34">
            <v>93889</v>
          </cell>
        </row>
      </sheetData>
      <sheetData sheetId="1002" refreshError="1"/>
      <sheetData sheetId="1003">
        <row r="34">
          <cell r="B34">
            <v>93889</v>
          </cell>
        </row>
      </sheetData>
      <sheetData sheetId="1004"/>
      <sheetData sheetId="1005"/>
      <sheetData sheetId="1006"/>
      <sheetData sheetId="1007"/>
      <sheetData sheetId="1008"/>
      <sheetData sheetId="1009"/>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sheetData sheetId="1019"/>
      <sheetData sheetId="1020"/>
      <sheetData sheetId="1021"/>
      <sheetData sheetId="1022">
        <row r="34">
          <cell r="B34">
            <v>93889</v>
          </cell>
        </row>
      </sheetData>
      <sheetData sheetId="1023">
        <row r="34">
          <cell r="B34">
            <v>93889</v>
          </cell>
        </row>
      </sheetData>
      <sheetData sheetId="1024">
        <row r="34">
          <cell r="B34">
            <v>93889</v>
          </cell>
        </row>
      </sheetData>
      <sheetData sheetId="1025"/>
      <sheetData sheetId="1026"/>
      <sheetData sheetId="1027"/>
      <sheetData sheetId="1028"/>
      <sheetData sheetId="1029" refreshError="1"/>
      <sheetData sheetId="1030" refreshError="1"/>
      <sheetData sheetId="1031" refreshError="1"/>
      <sheetData sheetId="1032" refreshError="1"/>
      <sheetData sheetId="1033" refreshError="1"/>
      <sheetData sheetId="1034"/>
      <sheetData sheetId="1035"/>
      <sheetData sheetId="1036"/>
      <sheetData sheetId="1037"/>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ow r="34">
          <cell r="B34">
            <v>93889</v>
          </cell>
        </row>
      </sheetData>
      <sheetData sheetId="1051">
        <row r="34">
          <cell r="B34">
            <v>93889</v>
          </cell>
        </row>
      </sheetData>
      <sheetData sheetId="1052">
        <row r="34">
          <cell r="B34">
            <v>93889</v>
          </cell>
        </row>
      </sheetData>
      <sheetData sheetId="1053">
        <row r="34">
          <cell r="B34">
            <v>93889</v>
          </cell>
        </row>
      </sheetData>
      <sheetData sheetId="1054">
        <row r="34">
          <cell r="B34">
            <v>93889</v>
          </cell>
        </row>
      </sheetData>
      <sheetData sheetId="1055">
        <row r="34">
          <cell r="B34">
            <v>93889</v>
          </cell>
        </row>
      </sheetData>
      <sheetData sheetId="1056">
        <row r="34">
          <cell r="B34">
            <v>93889</v>
          </cell>
        </row>
      </sheetData>
      <sheetData sheetId="1057">
        <row r="34">
          <cell r="B34">
            <v>93889</v>
          </cell>
        </row>
      </sheetData>
      <sheetData sheetId="1058">
        <row r="34">
          <cell r="B34">
            <v>93889</v>
          </cell>
        </row>
      </sheetData>
      <sheetData sheetId="1059">
        <row r="34">
          <cell r="B34">
            <v>93889</v>
          </cell>
        </row>
      </sheetData>
      <sheetData sheetId="1060">
        <row r="34">
          <cell r="B34">
            <v>93889</v>
          </cell>
        </row>
      </sheetData>
      <sheetData sheetId="1061">
        <row r="34">
          <cell r="B34">
            <v>93889</v>
          </cell>
        </row>
      </sheetData>
      <sheetData sheetId="1062">
        <row r="34">
          <cell r="B34">
            <v>93889</v>
          </cell>
        </row>
      </sheetData>
      <sheetData sheetId="1063">
        <row r="34">
          <cell r="B34">
            <v>93889</v>
          </cell>
        </row>
      </sheetData>
      <sheetData sheetId="1064">
        <row r="34">
          <cell r="B34">
            <v>93889</v>
          </cell>
        </row>
      </sheetData>
      <sheetData sheetId="1065">
        <row r="34">
          <cell r="B34">
            <v>93889</v>
          </cell>
        </row>
      </sheetData>
      <sheetData sheetId="1066">
        <row r="34">
          <cell r="B34">
            <v>93889</v>
          </cell>
        </row>
      </sheetData>
      <sheetData sheetId="1067">
        <row r="34">
          <cell r="B34">
            <v>93889</v>
          </cell>
        </row>
      </sheetData>
      <sheetData sheetId="1068">
        <row r="34">
          <cell r="B34">
            <v>93889</v>
          </cell>
        </row>
      </sheetData>
      <sheetData sheetId="1069">
        <row r="34">
          <cell r="B34">
            <v>93889</v>
          </cell>
        </row>
      </sheetData>
      <sheetData sheetId="1070">
        <row r="34">
          <cell r="B34">
            <v>93889</v>
          </cell>
        </row>
      </sheetData>
      <sheetData sheetId="1071">
        <row r="34">
          <cell r="B34">
            <v>93889</v>
          </cell>
        </row>
      </sheetData>
      <sheetData sheetId="1072">
        <row r="34">
          <cell r="B34">
            <v>93889</v>
          </cell>
        </row>
      </sheetData>
      <sheetData sheetId="1073">
        <row r="34">
          <cell r="B34">
            <v>93889</v>
          </cell>
        </row>
      </sheetData>
      <sheetData sheetId="1074">
        <row r="34">
          <cell r="B34">
            <v>93889</v>
          </cell>
        </row>
      </sheetData>
      <sheetData sheetId="1075">
        <row r="34">
          <cell r="B34">
            <v>93889</v>
          </cell>
        </row>
      </sheetData>
      <sheetData sheetId="1076">
        <row r="34">
          <cell r="B34">
            <v>93889</v>
          </cell>
        </row>
      </sheetData>
      <sheetData sheetId="1077">
        <row r="34">
          <cell r="B34">
            <v>93889</v>
          </cell>
        </row>
      </sheetData>
      <sheetData sheetId="1078">
        <row r="34">
          <cell r="B34">
            <v>93889</v>
          </cell>
        </row>
      </sheetData>
      <sheetData sheetId="1079">
        <row r="34">
          <cell r="B34">
            <v>93889</v>
          </cell>
        </row>
      </sheetData>
      <sheetData sheetId="1080">
        <row r="34">
          <cell r="B34">
            <v>93889</v>
          </cell>
        </row>
      </sheetData>
      <sheetData sheetId="1081">
        <row r="34">
          <cell r="B34">
            <v>93889</v>
          </cell>
        </row>
      </sheetData>
      <sheetData sheetId="1082">
        <row r="34">
          <cell r="B34">
            <v>93889</v>
          </cell>
        </row>
      </sheetData>
      <sheetData sheetId="1083">
        <row r="34">
          <cell r="B34">
            <v>93889</v>
          </cell>
        </row>
      </sheetData>
      <sheetData sheetId="1084">
        <row r="34">
          <cell r="B34">
            <v>93889</v>
          </cell>
        </row>
      </sheetData>
      <sheetData sheetId="1085">
        <row r="34">
          <cell r="B34">
            <v>93889</v>
          </cell>
        </row>
      </sheetData>
      <sheetData sheetId="1086">
        <row r="34">
          <cell r="B34">
            <v>93889</v>
          </cell>
        </row>
      </sheetData>
      <sheetData sheetId="1087">
        <row r="34">
          <cell r="B34">
            <v>93889</v>
          </cell>
        </row>
      </sheetData>
      <sheetData sheetId="1088">
        <row r="34">
          <cell r="B34">
            <v>93889</v>
          </cell>
        </row>
      </sheetData>
      <sheetData sheetId="1089">
        <row r="34">
          <cell r="B34">
            <v>93889</v>
          </cell>
        </row>
      </sheetData>
      <sheetData sheetId="1090">
        <row r="34">
          <cell r="B34">
            <v>93889</v>
          </cell>
        </row>
      </sheetData>
      <sheetData sheetId="1091">
        <row r="34">
          <cell r="B34">
            <v>93889</v>
          </cell>
        </row>
      </sheetData>
      <sheetData sheetId="1092">
        <row r="34">
          <cell r="B34">
            <v>93889</v>
          </cell>
        </row>
      </sheetData>
      <sheetData sheetId="1093">
        <row r="34">
          <cell r="B34">
            <v>93889</v>
          </cell>
        </row>
      </sheetData>
      <sheetData sheetId="1094">
        <row r="34">
          <cell r="B34">
            <v>93889</v>
          </cell>
        </row>
      </sheetData>
      <sheetData sheetId="1095">
        <row r="34">
          <cell r="B34">
            <v>93889</v>
          </cell>
        </row>
      </sheetData>
      <sheetData sheetId="1096">
        <row r="34">
          <cell r="B34">
            <v>93889</v>
          </cell>
        </row>
      </sheetData>
      <sheetData sheetId="1097">
        <row r="34">
          <cell r="B34">
            <v>93889</v>
          </cell>
        </row>
      </sheetData>
      <sheetData sheetId="1098">
        <row r="34">
          <cell r="B34">
            <v>93889</v>
          </cell>
        </row>
      </sheetData>
      <sheetData sheetId="1099">
        <row r="34">
          <cell r="B34">
            <v>93889</v>
          </cell>
        </row>
      </sheetData>
      <sheetData sheetId="1100">
        <row r="34">
          <cell r="B34">
            <v>93889</v>
          </cell>
        </row>
      </sheetData>
      <sheetData sheetId="1101">
        <row r="34">
          <cell r="B34">
            <v>93889</v>
          </cell>
        </row>
      </sheetData>
      <sheetData sheetId="1102">
        <row r="34">
          <cell r="B34">
            <v>93889</v>
          </cell>
        </row>
      </sheetData>
      <sheetData sheetId="1103">
        <row r="34">
          <cell r="B34">
            <v>93889</v>
          </cell>
        </row>
      </sheetData>
      <sheetData sheetId="1104">
        <row r="34">
          <cell r="B34">
            <v>93889</v>
          </cell>
        </row>
      </sheetData>
      <sheetData sheetId="1105">
        <row r="34">
          <cell r="B34">
            <v>93889</v>
          </cell>
        </row>
      </sheetData>
      <sheetData sheetId="1106">
        <row r="34">
          <cell r="B34">
            <v>93889</v>
          </cell>
        </row>
      </sheetData>
      <sheetData sheetId="1107">
        <row r="34">
          <cell r="B34">
            <v>93889</v>
          </cell>
        </row>
      </sheetData>
      <sheetData sheetId="1108">
        <row r="34">
          <cell r="B34">
            <v>93889</v>
          </cell>
        </row>
      </sheetData>
      <sheetData sheetId="1109">
        <row r="34">
          <cell r="B34">
            <v>93889</v>
          </cell>
        </row>
      </sheetData>
      <sheetData sheetId="1110">
        <row r="34">
          <cell r="B34">
            <v>93889</v>
          </cell>
        </row>
      </sheetData>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ow r="34">
          <cell r="B34">
            <v>93889</v>
          </cell>
        </row>
      </sheetData>
      <sheetData sheetId="1124">
        <row r="34">
          <cell r="B34">
            <v>93889</v>
          </cell>
        </row>
      </sheetData>
      <sheetData sheetId="1125">
        <row r="34">
          <cell r="B34">
            <v>93889</v>
          </cell>
        </row>
      </sheetData>
      <sheetData sheetId="1126">
        <row r="34">
          <cell r="B34">
            <v>93889</v>
          </cell>
        </row>
      </sheetData>
      <sheetData sheetId="1127">
        <row r="34">
          <cell r="B34">
            <v>93889</v>
          </cell>
        </row>
      </sheetData>
      <sheetData sheetId="1128">
        <row r="34">
          <cell r="B34">
            <v>93889</v>
          </cell>
        </row>
      </sheetData>
      <sheetData sheetId="1129">
        <row r="34">
          <cell r="B34">
            <v>93889</v>
          </cell>
        </row>
      </sheetData>
      <sheetData sheetId="1130" refreshError="1"/>
      <sheetData sheetId="1131" refreshError="1"/>
      <sheetData sheetId="1132" refreshError="1"/>
      <sheetData sheetId="1133" refreshError="1"/>
      <sheetData sheetId="1134" refreshError="1"/>
      <sheetData sheetId="1135" refreshError="1"/>
      <sheetData sheetId="1136">
        <row r="34">
          <cell r="B34">
            <v>93889</v>
          </cell>
        </row>
      </sheetData>
      <sheetData sheetId="1137">
        <row r="34">
          <cell r="B34">
            <v>93889</v>
          </cell>
        </row>
      </sheetData>
      <sheetData sheetId="1138">
        <row r="34">
          <cell r="B34">
            <v>93889</v>
          </cell>
        </row>
      </sheetData>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ow r="34">
          <cell r="B34">
            <v>93889</v>
          </cell>
        </row>
      </sheetData>
      <sheetData sheetId="1242">
        <row r="34">
          <cell r="B34">
            <v>93889</v>
          </cell>
        </row>
      </sheetData>
      <sheetData sheetId="1243">
        <row r="34">
          <cell r="B34">
            <v>93889</v>
          </cell>
        </row>
      </sheetData>
      <sheetData sheetId="1244">
        <row r="34">
          <cell r="B34">
            <v>93889</v>
          </cell>
        </row>
      </sheetData>
      <sheetData sheetId="1245">
        <row r="34">
          <cell r="B34">
            <v>93889</v>
          </cell>
        </row>
      </sheetData>
      <sheetData sheetId="1246">
        <row r="34">
          <cell r="B34">
            <v>93889</v>
          </cell>
        </row>
      </sheetData>
      <sheetData sheetId="1247">
        <row r="34">
          <cell r="B34">
            <v>93889</v>
          </cell>
        </row>
      </sheetData>
      <sheetData sheetId="1248">
        <row r="34">
          <cell r="B34">
            <v>93889</v>
          </cell>
        </row>
      </sheetData>
      <sheetData sheetId="1249">
        <row r="34">
          <cell r="B34">
            <v>93889</v>
          </cell>
        </row>
      </sheetData>
      <sheetData sheetId="1250">
        <row r="34">
          <cell r="B34">
            <v>93889</v>
          </cell>
        </row>
      </sheetData>
      <sheetData sheetId="1251">
        <row r="34">
          <cell r="B34">
            <v>93889</v>
          </cell>
        </row>
      </sheetData>
      <sheetData sheetId="1252">
        <row r="34">
          <cell r="B34">
            <v>93889</v>
          </cell>
        </row>
      </sheetData>
      <sheetData sheetId="1253">
        <row r="34">
          <cell r="B34">
            <v>93889</v>
          </cell>
        </row>
      </sheetData>
      <sheetData sheetId="1254">
        <row r="34">
          <cell r="B34">
            <v>93889</v>
          </cell>
        </row>
      </sheetData>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row r="34">
          <cell r="B34">
            <v>93889</v>
          </cell>
        </row>
      </sheetData>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refreshError="1"/>
      <sheetData sheetId="1331"/>
      <sheetData sheetId="1332"/>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ow r="34">
          <cell r="B34">
            <v>93889</v>
          </cell>
        </row>
      </sheetData>
      <sheetData sheetId="1473">
        <row r="34">
          <cell r="B34">
            <v>93889</v>
          </cell>
        </row>
      </sheetData>
      <sheetData sheetId="1474">
        <row r="34">
          <cell r="B34">
            <v>93889</v>
          </cell>
        </row>
      </sheetData>
      <sheetData sheetId="1475">
        <row r="34">
          <cell r="B34">
            <v>93889</v>
          </cell>
        </row>
      </sheetData>
      <sheetData sheetId="1476">
        <row r="34">
          <cell r="B34">
            <v>93889</v>
          </cell>
        </row>
      </sheetData>
      <sheetData sheetId="1477"/>
      <sheetData sheetId="1478"/>
      <sheetData sheetId="1479">
        <row r="34">
          <cell r="B34">
            <v>93889</v>
          </cell>
        </row>
      </sheetData>
      <sheetData sheetId="1480">
        <row r="34">
          <cell r="B34">
            <v>93889</v>
          </cell>
        </row>
      </sheetData>
      <sheetData sheetId="1481"/>
      <sheetData sheetId="1482">
        <row r="34">
          <cell r="B34">
            <v>93889</v>
          </cell>
        </row>
      </sheetData>
      <sheetData sheetId="1483">
        <row r="34">
          <cell r="B34">
            <v>93889</v>
          </cell>
        </row>
      </sheetData>
      <sheetData sheetId="1484">
        <row r="34">
          <cell r="B34">
            <v>93889</v>
          </cell>
        </row>
      </sheetData>
      <sheetData sheetId="1485">
        <row r="34">
          <cell r="B34">
            <v>93889</v>
          </cell>
        </row>
      </sheetData>
      <sheetData sheetId="1486">
        <row r="34">
          <cell r="B34">
            <v>93889</v>
          </cell>
        </row>
      </sheetData>
      <sheetData sheetId="1487"/>
      <sheetData sheetId="1488">
        <row r="34">
          <cell r="B34">
            <v>93889</v>
          </cell>
        </row>
      </sheetData>
      <sheetData sheetId="1489">
        <row r="34">
          <cell r="B34">
            <v>93889</v>
          </cell>
        </row>
      </sheetData>
      <sheetData sheetId="1490">
        <row r="34">
          <cell r="B34">
            <v>93889</v>
          </cell>
        </row>
      </sheetData>
      <sheetData sheetId="1491"/>
      <sheetData sheetId="1492">
        <row r="34">
          <cell r="B34">
            <v>93889</v>
          </cell>
        </row>
      </sheetData>
      <sheetData sheetId="1493"/>
      <sheetData sheetId="1494"/>
      <sheetData sheetId="1495">
        <row r="34">
          <cell r="B34">
            <v>93889</v>
          </cell>
        </row>
      </sheetData>
      <sheetData sheetId="1496"/>
      <sheetData sheetId="1497"/>
      <sheetData sheetId="1498">
        <row r="34">
          <cell r="B34">
            <v>93889</v>
          </cell>
        </row>
      </sheetData>
      <sheetData sheetId="1499"/>
      <sheetData sheetId="1500">
        <row r="34">
          <cell r="B34">
            <v>93889</v>
          </cell>
        </row>
      </sheetData>
      <sheetData sheetId="1501"/>
      <sheetData sheetId="1502"/>
      <sheetData sheetId="1503"/>
      <sheetData sheetId="1504">
        <row r="34">
          <cell r="B34">
            <v>93889</v>
          </cell>
        </row>
      </sheetData>
      <sheetData sheetId="1505">
        <row r="34">
          <cell r="B34">
            <v>93889</v>
          </cell>
        </row>
      </sheetData>
      <sheetData sheetId="1506">
        <row r="34">
          <cell r="B34">
            <v>93889</v>
          </cell>
        </row>
      </sheetData>
      <sheetData sheetId="1507">
        <row r="34">
          <cell r="B34">
            <v>93889</v>
          </cell>
        </row>
      </sheetData>
      <sheetData sheetId="1508">
        <row r="34">
          <cell r="B34">
            <v>93889</v>
          </cell>
        </row>
      </sheetData>
      <sheetData sheetId="1509">
        <row r="34">
          <cell r="B34">
            <v>93889</v>
          </cell>
        </row>
      </sheetData>
      <sheetData sheetId="1510">
        <row r="34">
          <cell r="B34">
            <v>93889</v>
          </cell>
        </row>
      </sheetData>
      <sheetData sheetId="1511"/>
      <sheetData sheetId="1512"/>
      <sheetData sheetId="1513">
        <row r="34">
          <cell r="B34">
            <v>93889</v>
          </cell>
        </row>
      </sheetData>
      <sheetData sheetId="1514">
        <row r="34">
          <cell r="B34">
            <v>93889</v>
          </cell>
        </row>
      </sheetData>
      <sheetData sheetId="1515"/>
      <sheetData sheetId="1516">
        <row r="34">
          <cell r="B34">
            <v>93889</v>
          </cell>
        </row>
      </sheetData>
      <sheetData sheetId="1517">
        <row r="34">
          <cell r="B34">
            <v>93889</v>
          </cell>
        </row>
      </sheetData>
      <sheetData sheetId="1518"/>
      <sheetData sheetId="1519">
        <row r="34">
          <cell r="B34">
            <v>93889</v>
          </cell>
        </row>
      </sheetData>
      <sheetData sheetId="1520">
        <row r="34">
          <cell r="B34">
            <v>93889</v>
          </cell>
        </row>
      </sheetData>
      <sheetData sheetId="1521">
        <row r="34">
          <cell r="B34">
            <v>93889</v>
          </cell>
        </row>
      </sheetData>
      <sheetData sheetId="1522"/>
      <sheetData sheetId="1523">
        <row r="34">
          <cell r="B34">
            <v>93889</v>
          </cell>
        </row>
      </sheetData>
      <sheetData sheetId="1524"/>
      <sheetData sheetId="1525"/>
      <sheetData sheetId="1526"/>
      <sheetData sheetId="1527"/>
      <sheetData sheetId="1528"/>
      <sheetData sheetId="1529">
        <row r="34">
          <cell r="B34">
            <v>93889</v>
          </cell>
        </row>
      </sheetData>
      <sheetData sheetId="1530"/>
      <sheetData sheetId="1531">
        <row r="34">
          <cell r="B34">
            <v>93889</v>
          </cell>
        </row>
      </sheetData>
      <sheetData sheetId="1532">
        <row r="34">
          <cell r="B34">
            <v>93889</v>
          </cell>
        </row>
      </sheetData>
      <sheetData sheetId="1533">
        <row r="34">
          <cell r="B34">
            <v>93889</v>
          </cell>
        </row>
      </sheetData>
      <sheetData sheetId="1534">
        <row r="34">
          <cell r="B34">
            <v>93889</v>
          </cell>
        </row>
      </sheetData>
      <sheetData sheetId="1535"/>
      <sheetData sheetId="1536"/>
      <sheetData sheetId="1537"/>
      <sheetData sheetId="1538"/>
      <sheetData sheetId="1539">
        <row r="34">
          <cell r="B34">
            <v>93889</v>
          </cell>
        </row>
      </sheetData>
      <sheetData sheetId="1540"/>
      <sheetData sheetId="1541"/>
      <sheetData sheetId="1542"/>
      <sheetData sheetId="1543">
        <row r="34">
          <cell r="B34">
            <v>93889</v>
          </cell>
        </row>
      </sheetData>
      <sheetData sheetId="1544"/>
      <sheetData sheetId="1545"/>
      <sheetData sheetId="1546"/>
      <sheetData sheetId="1547">
        <row r="34">
          <cell r="B34">
            <v>93889</v>
          </cell>
        </row>
      </sheetData>
      <sheetData sheetId="1548"/>
      <sheetData sheetId="1549"/>
      <sheetData sheetId="1550"/>
      <sheetData sheetId="1551">
        <row r="34">
          <cell r="B34">
            <v>93889</v>
          </cell>
        </row>
      </sheetData>
      <sheetData sheetId="1552">
        <row r="34">
          <cell r="B34">
            <v>93889</v>
          </cell>
        </row>
      </sheetData>
      <sheetData sheetId="1553">
        <row r="34">
          <cell r="B34">
            <v>93889</v>
          </cell>
        </row>
      </sheetData>
      <sheetData sheetId="1554"/>
      <sheetData sheetId="1555"/>
      <sheetData sheetId="1556"/>
      <sheetData sheetId="1557">
        <row r="34">
          <cell r="B34">
            <v>93889</v>
          </cell>
        </row>
      </sheetData>
      <sheetData sheetId="1558">
        <row r="34">
          <cell r="B34">
            <v>93889</v>
          </cell>
        </row>
      </sheetData>
      <sheetData sheetId="1559">
        <row r="34">
          <cell r="B34">
            <v>93889</v>
          </cell>
        </row>
      </sheetData>
      <sheetData sheetId="1560"/>
      <sheetData sheetId="1561"/>
      <sheetData sheetId="1562"/>
      <sheetData sheetId="1563">
        <row r="34">
          <cell r="B34">
            <v>93889</v>
          </cell>
        </row>
      </sheetData>
      <sheetData sheetId="1564"/>
      <sheetData sheetId="1565">
        <row r="34">
          <cell r="B34">
            <v>93889</v>
          </cell>
        </row>
      </sheetData>
      <sheetData sheetId="1566">
        <row r="34">
          <cell r="B34">
            <v>93889</v>
          </cell>
        </row>
      </sheetData>
      <sheetData sheetId="1567">
        <row r="34">
          <cell r="B34">
            <v>93889</v>
          </cell>
        </row>
      </sheetData>
      <sheetData sheetId="1568"/>
      <sheetData sheetId="1569">
        <row r="34">
          <cell r="B34">
            <v>93889</v>
          </cell>
        </row>
      </sheetData>
      <sheetData sheetId="1570"/>
      <sheetData sheetId="1571">
        <row r="34">
          <cell r="B34">
            <v>93889</v>
          </cell>
        </row>
      </sheetData>
      <sheetData sheetId="1572"/>
      <sheetData sheetId="1573"/>
      <sheetData sheetId="1574">
        <row r="34">
          <cell r="B34">
            <v>93889</v>
          </cell>
        </row>
      </sheetData>
      <sheetData sheetId="1575">
        <row r="34">
          <cell r="B34">
            <v>93889</v>
          </cell>
        </row>
      </sheetData>
      <sheetData sheetId="1576"/>
      <sheetData sheetId="1577">
        <row r="34">
          <cell r="B34">
            <v>93889</v>
          </cell>
        </row>
      </sheetData>
      <sheetData sheetId="1578">
        <row r="34">
          <cell r="B34">
            <v>93889</v>
          </cell>
        </row>
      </sheetData>
      <sheetData sheetId="1579">
        <row r="34">
          <cell r="B34">
            <v>93889</v>
          </cell>
        </row>
      </sheetData>
      <sheetData sheetId="1580">
        <row r="34">
          <cell r="B34">
            <v>93889</v>
          </cell>
        </row>
      </sheetData>
      <sheetData sheetId="1581"/>
      <sheetData sheetId="1582">
        <row r="34">
          <cell r="B34">
            <v>93889</v>
          </cell>
        </row>
      </sheetData>
      <sheetData sheetId="1583"/>
      <sheetData sheetId="1584">
        <row r="34">
          <cell r="B34">
            <v>93889</v>
          </cell>
        </row>
      </sheetData>
      <sheetData sheetId="1585"/>
      <sheetData sheetId="1586"/>
      <sheetData sheetId="1587"/>
      <sheetData sheetId="1588"/>
      <sheetData sheetId="1589"/>
      <sheetData sheetId="1590">
        <row r="34">
          <cell r="B34">
            <v>93889</v>
          </cell>
        </row>
      </sheetData>
      <sheetData sheetId="1591">
        <row r="34">
          <cell r="B34">
            <v>93889</v>
          </cell>
        </row>
      </sheetData>
      <sheetData sheetId="1592">
        <row r="34">
          <cell r="B34">
            <v>93889</v>
          </cell>
        </row>
      </sheetData>
      <sheetData sheetId="1593">
        <row r="34">
          <cell r="B34">
            <v>93889</v>
          </cell>
        </row>
      </sheetData>
      <sheetData sheetId="1594">
        <row r="34">
          <cell r="B34">
            <v>93889</v>
          </cell>
        </row>
      </sheetData>
      <sheetData sheetId="1595">
        <row r="34">
          <cell r="B34">
            <v>93889</v>
          </cell>
        </row>
      </sheetData>
      <sheetData sheetId="1596">
        <row r="34">
          <cell r="B34">
            <v>93889</v>
          </cell>
        </row>
      </sheetData>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row r="34">
          <cell r="B34">
            <v>93889</v>
          </cell>
        </row>
      </sheetData>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row r="34">
          <cell r="B34">
            <v>93889</v>
          </cell>
        </row>
      </sheetData>
      <sheetData sheetId="1662">
        <row r="34">
          <cell r="B34">
            <v>93889</v>
          </cell>
        </row>
      </sheetData>
      <sheetData sheetId="1663">
        <row r="34">
          <cell r="B34">
            <v>93889</v>
          </cell>
        </row>
      </sheetData>
      <sheetData sheetId="1664">
        <row r="34">
          <cell r="B34">
            <v>93889</v>
          </cell>
        </row>
      </sheetData>
      <sheetData sheetId="1665">
        <row r="34">
          <cell r="B34">
            <v>93889</v>
          </cell>
        </row>
      </sheetData>
      <sheetData sheetId="1666">
        <row r="34">
          <cell r="B34">
            <v>93889</v>
          </cell>
        </row>
      </sheetData>
      <sheetData sheetId="1667"/>
      <sheetData sheetId="1668"/>
      <sheetData sheetId="1669"/>
      <sheetData sheetId="1670"/>
      <sheetData sheetId="1671"/>
      <sheetData sheetId="1672"/>
      <sheetData sheetId="1673"/>
      <sheetData sheetId="1674"/>
      <sheetData sheetId="1675"/>
      <sheetData sheetId="1676"/>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ow r="34">
          <cell r="B34">
            <v>93889</v>
          </cell>
        </row>
      </sheetData>
      <sheetData sheetId="1770">
        <row r="34">
          <cell r="B34">
            <v>93889</v>
          </cell>
        </row>
      </sheetData>
      <sheetData sheetId="1771">
        <row r="34">
          <cell r="B34">
            <v>93889</v>
          </cell>
        </row>
      </sheetData>
      <sheetData sheetId="1772">
        <row r="34">
          <cell r="B34">
            <v>93889</v>
          </cell>
        </row>
      </sheetData>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row r="34">
          <cell r="B34">
            <v>93889</v>
          </cell>
        </row>
      </sheetData>
      <sheetData sheetId="1793">
        <row r="34">
          <cell r="B34">
            <v>93889</v>
          </cell>
        </row>
      </sheetData>
      <sheetData sheetId="1794">
        <row r="34">
          <cell r="B34">
            <v>93889</v>
          </cell>
        </row>
      </sheetData>
      <sheetData sheetId="1795">
        <row r="34">
          <cell r="B34">
            <v>93889</v>
          </cell>
        </row>
      </sheetData>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row r="34">
          <cell r="B34">
            <v>93889</v>
          </cell>
        </row>
      </sheetData>
      <sheetData sheetId="1829">
        <row r="34">
          <cell r="B34">
            <v>93889</v>
          </cell>
        </row>
      </sheetData>
      <sheetData sheetId="1830">
        <row r="34">
          <cell r="B34">
            <v>93889</v>
          </cell>
        </row>
      </sheetData>
      <sheetData sheetId="1831">
        <row r="34">
          <cell r="B34">
            <v>93889</v>
          </cell>
        </row>
      </sheetData>
      <sheetData sheetId="1832"/>
      <sheetData sheetId="1833"/>
      <sheetData sheetId="1834">
        <row r="34">
          <cell r="B34">
            <v>93889</v>
          </cell>
        </row>
      </sheetData>
      <sheetData sheetId="1835">
        <row r="34">
          <cell r="B34">
            <v>93889</v>
          </cell>
        </row>
      </sheetData>
      <sheetData sheetId="1836">
        <row r="34">
          <cell r="B34">
            <v>93889</v>
          </cell>
        </row>
      </sheetData>
      <sheetData sheetId="1837">
        <row r="34">
          <cell r="B34">
            <v>93889</v>
          </cell>
        </row>
      </sheetData>
      <sheetData sheetId="1838">
        <row r="34">
          <cell r="B34">
            <v>93889</v>
          </cell>
        </row>
      </sheetData>
      <sheetData sheetId="1839">
        <row r="34">
          <cell r="B34">
            <v>93889</v>
          </cell>
        </row>
      </sheetData>
      <sheetData sheetId="1840">
        <row r="34">
          <cell r="B34">
            <v>93889</v>
          </cell>
        </row>
      </sheetData>
      <sheetData sheetId="1841">
        <row r="34">
          <cell r="B34">
            <v>93889</v>
          </cell>
        </row>
      </sheetData>
      <sheetData sheetId="1842">
        <row r="34">
          <cell r="B34">
            <v>93889</v>
          </cell>
        </row>
      </sheetData>
      <sheetData sheetId="1843">
        <row r="34">
          <cell r="B34">
            <v>93889</v>
          </cell>
        </row>
      </sheetData>
      <sheetData sheetId="1844">
        <row r="34">
          <cell r="B34">
            <v>93889</v>
          </cell>
        </row>
      </sheetData>
      <sheetData sheetId="1845">
        <row r="34">
          <cell r="B34">
            <v>93889</v>
          </cell>
        </row>
      </sheetData>
      <sheetData sheetId="1846">
        <row r="34">
          <cell r="B34">
            <v>93889</v>
          </cell>
        </row>
      </sheetData>
      <sheetData sheetId="1847">
        <row r="34">
          <cell r="B34">
            <v>93889</v>
          </cell>
        </row>
      </sheetData>
      <sheetData sheetId="1848">
        <row r="34">
          <cell r="B34">
            <v>93889</v>
          </cell>
        </row>
      </sheetData>
      <sheetData sheetId="1849">
        <row r="34">
          <cell r="B34">
            <v>93889</v>
          </cell>
        </row>
      </sheetData>
      <sheetData sheetId="1850">
        <row r="34">
          <cell r="B34">
            <v>93889</v>
          </cell>
        </row>
      </sheetData>
      <sheetData sheetId="1851">
        <row r="34">
          <cell r="B34">
            <v>93889</v>
          </cell>
        </row>
      </sheetData>
      <sheetData sheetId="1852">
        <row r="34">
          <cell r="B34">
            <v>93889</v>
          </cell>
        </row>
      </sheetData>
      <sheetData sheetId="1853">
        <row r="34">
          <cell r="B34">
            <v>93889</v>
          </cell>
        </row>
      </sheetData>
      <sheetData sheetId="1854">
        <row r="34">
          <cell r="B34">
            <v>93889</v>
          </cell>
        </row>
      </sheetData>
      <sheetData sheetId="1855"/>
      <sheetData sheetId="1856">
        <row r="34">
          <cell r="B34">
            <v>93889</v>
          </cell>
        </row>
      </sheetData>
      <sheetData sheetId="1857">
        <row r="34">
          <cell r="B34">
            <v>93889</v>
          </cell>
        </row>
      </sheetData>
      <sheetData sheetId="1858">
        <row r="34">
          <cell r="B34">
            <v>93889</v>
          </cell>
        </row>
      </sheetData>
      <sheetData sheetId="1859">
        <row r="34">
          <cell r="B34">
            <v>93889</v>
          </cell>
        </row>
      </sheetData>
      <sheetData sheetId="1860">
        <row r="34">
          <cell r="B34">
            <v>93889</v>
          </cell>
        </row>
      </sheetData>
      <sheetData sheetId="1861">
        <row r="34">
          <cell r="B34">
            <v>93889</v>
          </cell>
        </row>
      </sheetData>
      <sheetData sheetId="1862">
        <row r="34">
          <cell r="B34">
            <v>93889</v>
          </cell>
        </row>
      </sheetData>
      <sheetData sheetId="1863">
        <row r="34">
          <cell r="B34">
            <v>93889</v>
          </cell>
        </row>
      </sheetData>
      <sheetData sheetId="1864">
        <row r="34">
          <cell r="B34">
            <v>93889</v>
          </cell>
        </row>
      </sheetData>
      <sheetData sheetId="1865">
        <row r="34">
          <cell r="B34">
            <v>93889</v>
          </cell>
        </row>
      </sheetData>
      <sheetData sheetId="1866">
        <row r="34">
          <cell r="B34">
            <v>93889</v>
          </cell>
        </row>
      </sheetData>
      <sheetData sheetId="1867">
        <row r="34">
          <cell r="B34">
            <v>93889</v>
          </cell>
        </row>
      </sheetData>
      <sheetData sheetId="1868">
        <row r="34">
          <cell r="B34">
            <v>93889</v>
          </cell>
        </row>
      </sheetData>
      <sheetData sheetId="1869">
        <row r="34">
          <cell r="B34">
            <v>93889</v>
          </cell>
        </row>
      </sheetData>
      <sheetData sheetId="1870">
        <row r="34">
          <cell r="B34">
            <v>93889</v>
          </cell>
        </row>
      </sheetData>
      <sheetData sheetId="1871">
        <row r="34">
          <cell r="B34">
            <v>93889</v>
          </cell>
        </row>
      </sheetData>
      <sheetData sheetId="1872">
        <row r="34">
          <cell r="B34">
            <v>93889</v>
          </cell>
        </row>
      </sheetData>
      <sheetData sheetId="1873">
        <row r="34">
          <cell r="B34">
            <v>93889</v>
          </cell>
        </row>
      </sheetData>
      <sheetData sheetId="1874">
        <row r="34">
          <cell r="B34">
            <v>93889</v>
          </cell>
        </row>
      </sheetData>
      <sheetData sheetId="1875">
        <row r="34">
          <cell r="B34">
            <v>93889</v>
          </cell>
        </row>
      </sheetData>
      <sheetData sheetId="1876">
        <row r="34">
          <cell r="B34">
            <v>93889</v>
          </cell>
        </row>
      </sheetData>
      <sheetData sheetId="1877">
        <row r="34">
          <cell r="B34">
            <v>93889</v>
          </cell>
        </row>
      </sheetData>
      <sheetData sheetId="1878">
        <row r="34">
          <cell r="B34">
            <v>93889</v>
          </cell>
        </row>
      </sheetData>
      <sheetData sheetId="1879"/>
      <sheetData sheetId="1880"/>
      <sheetData sheetId="1881">
        <row r="34">
          <cell r="B34">
            <v>93889</v>
          </cell>
        </row>
      </sheetData>
      <sheetData sheetId="1882">
        <row r="34">
          <cell r="B34">
            <v>93889</v>
          </cell>
        </row>
      </sheetData>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row r="34">
          <cell r="B34">
            <v>93889</v>
          </cell>
        </row>
      </sheetData>
      <sheetData sheetId="1906">
        <row r="34">
          <cell r="B34">
            <v>93889</v>
          </cell>
        </row>
      </sheetData>
      <sheetData sheetId="1907">
        <row r="34">
          <cell r="B34">
            <v>93889</v>
          </cell>
        </row>
      </sheetData>
      <sheetData sheetId="1908">
        <row r="34">
          <cell r="B34">
            <v>93889</v>
          </cell>
        </row>
      </sheetData>
      <sheetData sheetId="1909">
        <row r="34">
          <cell r="B34">
            <v>93889</v>
          </cell>
        </row>
      </sheetData>
      <sheetData sheetId="1910">
        <row r="34">
          <cell r="B34">
            <v>93889</v>
          </cell>
        </row>
      </sheetData>
      <sheetData sheetId="1911"/>
      <sheetData sheetId="1912"/>
      <sheetData sheetId="1913"/>
      <sheetData sheetId="1914"/>
      <sheetData sheetId="1915"/>
      <sheetData sheetId="1916"/>
      <sheetData sheetId="1917">
        <row r="34">
          <cell r="B34">
            <v>93889</v>
          </cell>
        </row>
      </sheetData>
      <sheetData sheetId="1918">
        <row r="34">
          <cell r="B34">
            <v>93889</v>
          </cell>
        </row>
      </sheetData>
      <sheetData sheetId="1919"/>
      <sheetData sheetId="1920"/>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row r="34">
          <cell r="B34">
            <v>93889</v>
          </cell>
        </row>
      </sheetData>
      <sheetData sheetId="2095">
        <row r="34">
          <cell r="B34">
            <v>93889</v>
          </cell>
        </row>
      </sheetData>
      <sheetData sheetId="2096">
        <row r="34">
          <cell r="B34">
            <v>93889</v>
          </cell>
        </row>
      </sheetData>
      <sheetData sheetId="2097"/>
      <sheetData sheetId="2098"/>
      <sheetData sheetId="2099"/>
      <sheetData sheetId="2100"/>
      <sheetData sheetId="2101"/>
      <sheetData sheetId="2102"/>
      <sheetData sheetId="2103"/>
      <sheetData sheetId="2104"/>
      <sheetData sheetId="2105">
        <row r="34">
          <cell r="B34">
            <v>93889</v>
          </cell>
        </row>
      </sheetData>
      <sheetData sheetId="2106">
        <row r="34">
          <cell r="B34">
            <v>93889</v>
          </cell>
        </row>
      </sheetData>
      <sheetData sheetId="2107"/>
      <sheetData sheetId="2108"/>
      <sheetData sheetId="2109"/>
      <sheetData sheetId="2110"/>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sheetData sheetId="2131"/>
      <sheetData sheetId="2132"/>
      <sheetData sheetId="2133"/>
      <sheetData sheetId="2134"/>
      <sheetData sheetId="2135"/>
      <sheetData sheetId="2136"/>
      <sheetData sheetId="2137">
        <row r="34">
          <cell r="B34">
            <v>93889</v>
          </cell>
        </row>
      </sheetData>
      <sheetData sheetId="2138">
        <row r="34">
          <cell r="B34">
            <v>93889</v>
          </cell>
        </row>
      </sheetData>
      <sheetData sheetId="2139">
        <row r="34">
          <cell r="B34">
            <v>93889</v>
          </cell>
        </row>
      </sheetData>
      <sheetData sheetId="2140">
        <row r="34">
          <cell r="B34">
            <v>93889</v>
          </cell>
        </row>
      </sheetData>
      <sheetData sheetId="2141">
        <row r="34">
          <cell r="B34">
            <v>93889</v>
          </cell>
        </row>
      </sheetData>
      <sheetData sheetId="2142">
        <row r="34">
          <cell r="B34">
            <v>93889</v>
          </cell>
        </row>
      </sheetData>
      <sheetData sheetId="2143">
        <row r="34">
          <cell r="B34">
            <v>93889</v>
          </cell>
        </row>
      </sheetData>
      <sheetData sheetId="2144">
        <row r="34">
          <cell r="B34">
            <v>93889</v>
          </cell>
        </row>
      </sheetData>
      <sheetData sheetId="2145">
        <row r="34">
          <cell r="B34">
            <v>93889</v>
          </cell>
        </row>
      </sheetData>
      <sheetData sheetId="2146">
        <row r="34">
          <cell r="B34">
            <v>93889</v>
          </cell>
        </row>
      </sheetData>
      <sheetData sheetId="2147">
        <row r="34">
          <cell r="B34">
            <v>93889</v>
          </cell>
        </row>
      </sheetData>
      <sheetData sheetId="2148">
        <row r="34">
          <cell r="B34">
            <v>93889</v>
          </cell>
        </row>
      </sheetData>
      <sheetData sheetId="2149">
        <row r="34">
          <cell r="B34">
            <v>93889</v>
          </cell>
        </row>
      </sheetData>
      <sheetData sheetId="2150">
        <row r="34">
          <cell r="B34">
            <v>93889</v>
          </cell>
        </row>
      </sheetData>
      <sheetData sheetId="2151">
        <row r="34">
          <cell r="B34">
            <v>93889</v>
          </cell>
        </row>
      </sheetData>
      <sheetData sheetId="2152">
        <row r="34">
          <cell r="B34">
            <v>93889</v>
          </cell>
        </row>
      </sheetData>
      <sheetData sheetId="2153">
        <row r="34">
          <cell r="B34">
            <v>93889</v>
          </cell>
        </row>
      </sheetData>
      <sheetData sheetId="2154">
        <row r="34">
          <cell r="B34">
            <v>93889</v>
          </cell>
        </row>
      </sheetData>
      <sheetData sheetId="2155">
        <row r="34">
          <cell r="B34">
            <v>93889</v>
          </cell>
        </row>
      </sheetData>
      <sheetData sheetId="2156">
        <row r="34">
          <cell r="B34">
            <v>93889</v>
          </cell>
        </row>
      </sheetData>
      <sheetData sheetId="2157">
        <row r="34">
          <cell r="B34">
            <v>93889</v>
          </cell>
        </row>
      </sheetData>
      <sheetData sheetId="2158">
        <row r="34">
          <cell r="B34">
            <v>93889</v>
          </cell>
        </row>
      </sheetData>
      <sheetData sheetId="2159">
        <row r="34">
          <cell r="B34">
            <v>93889</v>
          </cell>
        </row>
      </sheetData>
      <sheetData sheetId="2160">
        <row r="34">
          <cell r="B34">
            <v>93889</v>
          </cell>
        </row>
      </sheetData>
      <sheetData sheetId="2161">
        <row r="34">
          <cell r="B34">
            <v>93889</v>
          </cell>
        </row>
      </sheetData>
      <sheetData sheetId="2162">
        <row r="34">
          <cell r="B34">
            <v>93889</v>
          </cell>
        </row>
      </sheetData>
      <sheetData sheetId="2163">
        <row r="34">
          <cell r="B34">
            <v>93889</v>
          </cell>
        </row>
      </sheetData>
      <sheetData sheetId="2164">
        <row r="34">
          <cell r="B34">
            <v>93889</v>
          </cell>
        </row>
      </sheetData>
      <sheetData sheetId="2165">
        <row r="34">
          <cell r="B34">
            <v>93889</v>
          </cell>
        </row>
      </sheetData>
      <sheetData sheetId="2166">
        <row r="34">
          <cell r="B34">
            <v>93889</v>
          </cell>
        </row>
      </sheetData>
      <sheetData sheetId="2167"/>
      <sheetData sheetId="2168"/>
      <sheetData sheetId="2169"/>
      <sheetData sheetId="2170"/>
      <sheetData sheetId="2171"/>
      <sheetData sheetId="2172"/>
      <sheetData sheetId="2173"/>
      <sheetData sheetId="2174">
        <row r="34">
          <cell r="B34">
            <v>93889</v>
          </cell>
        </row>
      </sheetData>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row r="34">
          <cell r="B34">
            <v>93889</v>
          </cell>
        </row>
      </sheetData>
      <sheetData sheetId="2225">
        <row r="34">
          <cell r="B34">
            <v>93889</v>
          </cell>
        </row>
      </sheetData>
      <sheetData sheetId="2226">
        <row r="34">
          <cell r="B34">
            <v>93889</v>
          </cell>
        </row>
      </sheetData>
      <sheetData sheetId="2227">
        <row r="34">
          <cell r="B34">
            <v>93889</v>
          </cell>
        </row>
      </sheetData>
      <sheetData sheetId="2228">
        <row r="34">
          <cell r="B34">
            <v>93889</v>
          </cell>
        </row>
      </sheetData>
      <sheetData sheetId="2229">
        <row r="34">
          <cell r="B34">
            <v>93889</v>
          </cell>
        </row>
      </sheetData>
      <sheetData sheetId="2230">
        <row r="34">
          <cell r="B34">
            <v>93889</v>
          </cell>
        </row>
      </sheetData>
      <sheetData sheetId="2231">
        <row r="34">
          <cell r="B34">
            <v>93889</v>
          </cell>
        </row>
      </sheetData>
      <sheetData sheetId="2232">
        <row r="34">
          <cell r="B34">
            <v>93889</v>
          </cell>
        </row>
      </sheetData>
      <sheetData sheetId="2233">
        <row r="34">
          <cell r="B34">
            <v>93889</v>
          </cell>
        </row>
      </sheetData>
      <sheetData sheetId="2234">
        <row r="34">
          <cell r="B34">
            <v>93889</v>
          </cell>
        </row>
      </sheetData>
      <sheetData sheetId="2235">
        <row r="34">
          <cell r="B34">
            <v>93889</v>
          </cell>
        </row>
      </sheetData>
      <sheetData sheetId="2236">
        <row r="34">
          <cell r="B34">
            <v>93889</v>
          </cell>
        </row>
      </sheetData>
      <sheetData sheetId="2237">
        <row r="34">
          <cell r="B34">
            <v>93889</v>
          </cell>
        </row>
      </sheetData>
      <sheetData sheetId="2238">
        <row r="34">
          <cell r="B34">
            <v>93889</v>
          </cell>
        </row>
      </sheetData>
      <sheetData sheetId="2239">
        <row r="34">
          <cell r="B34">
            <v>93889</v>
          </cell>
        </row>
      </sheetData>
      <sheetData sheetId="2240">
        <row r="34">
          <cell r="B34">
            <v>93889</v>
          </cell>
        </row>
      </sheetData>
      <sheetData sheetId="2241">
        <row r="34">
          <cell r="B34">
            <v>93889</v>
          </cell>
        </row>
      </sheetData>
      <sheetData sheetId="2242">
        <row r="34">
          <cell r="B34">
            <v>93889</v>
          </cell>
        </row>
      </sheetData>
      <sheetData sheetId="2243">
        <row r="34">
          <cell r="B34">
            <v>93889</v>
          </cell>
        </row>
      </sheetData>
      <sheetData sheetId="2244">
        <row r="34">
          <cell r="B34">
            <v>93889</v>
          </cell>
        </row>
      </sheetData>
      <sheetData sheetId="2245">
        <row r="34">
          <cell r="B34">
            <v>93889</v>
          </cell>
        </row>
      </sheetData>
      <sheetData sheetId="2246">
        <row r="34">
          <cell r="B34">
            <v>93889</v>
          </cell>
        </row>
      </sheetData>
      <sheetData sheetId="2247">
        <row r="34">
          <cell r="B34">
            <v>93889</v>
          </cell>
        </row>
      </sheetData>
      <sheetData sheetId="2248">
        <row r="34">
          <cell r="B34">
            <v>93889</v>
          </cell>
        </row>
      </sheetData>
      <sheetData sheetId="2249">
        <row r="34">
          <cell r="B34">
            <v>93889</v>
          </cell>
        </row>
      </sheetData>
      <sheetData sheetId="2250">
        <row r="34">
          <cell r="B34">
            <v>93889</v>
          </cell>
        </row>
      </sheetData>
      <sheetData sheetId="2251">
        <row r="34">
          <cell r="B34">
            <v>93889</v>
          </cell>
        </row>
      </sheetData>
      <sheetData sheetId="2252">
        <row r="34">
          <cell r="B34">
            <v>93889</v>
          </cell>
        </row>
      </sheetData>
      <sheetData sheetId="2253">
        <row r="34">
          <cell r="B34">
            <v>93889</v>
          </cell>
        </row>
      </sheetData>
      <sheetData sheetId="2254"/>
      <sheetData sheetId="2255" refreshError="1"/>
      <sheetData sheetId="2256" refreshError="1"/>
      <sheetData sheetId="2257" refreshError="1"/>
      <sheetData sheetId="2258" refreshError="1"/>
      <sheetData sheetId="2259" refreshError="1"/>
      <sheetData sheetId="2260" refreshError="1"/>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T"/>
      <sheetName val="ESCON"/>
      <sheetName val="SUM-PRO (4)"/>
      <sheetName val="SUM-PRO (3)"/>
      <sheetName val="SUM-PRO (2)"/>
      <sheetName val="SUM-PRO"/>
      <sheetName val="SEX (4)"/>
      <sheetName val="SEX (3)"/>
      <sheetName val="SEX (2)"/>
      <sheetName val="SEX"/>
      <sheetName val="scope"/>
      <sheetName val="MAKER"/>
      <sheetName val="PRO-PH3"/>
      <sheetName val="PRO-PH2"/>
      <sheetName val="PRO"/>
      <sheetName val="BQ"/>
      <sheetName val="equipment"/>
      <sheetName val="B - Norelec"/>
      <sheetName val="A"/>
      <sheetName val="AC"/>
      <sheetName val="lintec-sumicon"/>
      <sheetName val="Unit Rate"/>
      <sheetName val="Pipe"/>
      <sheetName val="SUM-PRO_(4)"/>
      <sheetName val="SUM-PRO_(3)"/>
      <sheetName val="SUM-PRO_(2)"/>
      <sheetName val="SEX_(4)"/>
      <sheetName val="SEX_(3)"/>
      <sheetName val="SEX_(2)"/>
      <sheetName val="B_-_Norelec"/>
      <sheetName val="LIST"/>
      <sheetName val="OLDMAP"/>
      <sheetName val="Trading Statement"/>
      <sheetName val="tifico"/>
      <sheetName val="sort2"/>
      <sheetName val="I-KAMAR"/>
      <sheetName val="Cover Daf-2"/>
      <sheetName val="CAT_HAR"/>
      <sheetName val="Fill this out first___"/>
      <sheetName val="I_KAMAR"/>
      <sheetName val="Unit_Rate"/>
      <sheetName val="Cash Flow bulanan"/>
      <sheetName val="#REF"/>
      <sheetName val="SUM-PRO_(4)1"/>
      <sheetName val="SUM-PRO_(3)1"/>
      <sheetName val="SUM-PRO_(2)1"/>
      <sheetName val="SEX_(4)1"/>
      <sheetName val="SEX_(3)1"/>
      <sheetName val="SEX_(2)1"/>
      <sheetName val="B_-_Norelec1"/>
      <sheetName val="Fill_this_out_first___"/>
      <sheetName val="H.Satuan"/>
      <sheetName val="Daftar Upah"/>
      <sheetName val="BAG-2"/>
      <sheetName val="Cover"/>
      <sheetName val="harsat"/>
      <sheetName val="Bill of Qty MEP"/>
      <sheetName val="DSBDY"/>
      <sheetName val="NAMES"/>
      <sheetName val="RAB AR&amp;STR"/>
      <sheetName val="Material"/>
      <sheetName val="4-Basic Price"/>
      <sheetName val="DAF-1"/>
      <sheetName val="COVERUSRP"/>
      <sheetName val="SITE"/>
      <sheetName val="ESCOND"/>
      <sheetName val="BQUSRP"/>
      <sheetName val="PRD 01-7"/>
      <sheetName val="PRD 01-8"/>
      <sheetName val="PRD 01-9"/>
      <sheetName val="PRD 01-10"/>
      <sheetName val="PRD 01-11"/>
      <sheetName val="PRD 01-3"/>
      <sheetName val="PRD 01-4"/>
      <sheetName val="Pers"/>
      <sheetName val="HM"/>
      <sheetName val="Bahan"/>
      <sheetName val="HRG BHN"/>
      <sheetName val="HARGA MATERIAL"/>
      <sheetName val="EE-PROP"/>
      <sheetName val="Mat"/>
      <sheetName val="FINISHING"/>
      <sheetName val="LOADDAT"/>
      <sheetName val="HB "/>
      <sheetName val="GSMTOWER"/>
      <sheetName val="BQ-E20-02(Rp)"/>
      <sheetName val="RAB T-95 BK"/>
      <sheetName val="GTS I PS"/>
      <sheetName val="SUM 200"/>
      <sheetName val=" Rencana Vol per Section"/>
      <sheetName val="NET表"/>
      <sheetName val="BQ表"/>
      <sheetName val="DAFTAR 7"/>
      <sheetName val="Analisa STR"/>
      <sheetName val="SUM-PRO_(4)2"/>
      <sheetName val="SUM-PRO_(3)2"/>
      <sheetName val="SUM-PRO_(2)2"/>
      <sheetName val="SEX_(4)2"/>
      <sheetName val="SEX_(3)2"/>
      <sheetName val="SEX_(2)2"/>
      <sheetName val="B_-_Norelec2"/>
      <sheetName val="Unit_Rate1"/>
      <sheetName val="4-Basic_Price"/>
      <sheetName val="Cover_Daf-2"/>
      <sheetName val="Fill_this_out_first___1"/>
      <sheetName val="Cash_Flow_bulanan"/>
      <sheetName val="Bill_of_Qty_MEP"/>
      <sheetName val="Daftar_Upah"/>
      <sheetName val="H_Satuan"/>
      <sheetName val="Isolasi Luar Dalam"/>
      <sheetName val="Isolasi Luar"/>
      <sheetName val="Kuantitas &amp; Harga"/>
      <sheetName val="JAD-PEL"/>
      <sheetName val="Fill this out first..."/>
      <sheetName val="Tabel Berat"/>
      <sheetName val="STRUKTUR"/>
      <sheetName val="JKT (2)"/>
      <sheetName val="Markup"/>
      <sheetName val="RAB_AR&amp;STR"/>
      <sheetName val="PRD_01-7"/>
      <sheetName val="PRD_01-8"/>
      <sheetName val="PRD_01-9"/>
      <sheetName val="PRD_01-10"/>
      <sheetName val="PRD_01-11"/>
      <sheetName val="PRD_01-3"/>
      <sheetName val="PRD_01-4"/>
      <sheetName val="L-Mechanical"/>
      <sheetName val="Faktor"/>
      <sheetName val="SITE-E"/>
      <sheetName val="STR"/>
      <sheetName val="Sheet1"/>
      <sheetName val="351BQMCN"/>
      <sheetName val="Analisa"/>
      <sheetName val="Estimate"/>
      <sheetName val="D.1.7"/>
      <sheetName val="D.1.5"/>
      <sheetName val="D.2.3"/>
      <sheetName val="D.2.2"/>
      <sheetName val="D &amp; W sizes"/>
      <sheetName val="I-ME"/>
      <sheetName val="Steel-Twr"/>
      <sheetName val="hrg-sat.pek"/>
      <sheetName val="NET?"/>
      <sheetName val="BQ?"/>
      <sheetName val="Prelim"/>
      <sheetName val="CODE"/>
      <sheetName val="24V"/>
      <sheetName val="TS"/>
      <sheetName val="Div2"/>
      <sheetName val="an. struktur"/>
      <sheetName val="Dashboard"/>
      <sheetName val="Currency Rate"/>
      <sheetName val="index"/>
      <sheetName val="Urai _Resap pengikat"/>
      <sheetName val="Plafond"/>
      <sheetName val="Panel,feeder,elek"/>
      <sheetName val="struktur tdk dipakai"/>
      <sheetName val="NET_"/>
      <sheetName val="BQ_"/>
      <sheetName val="rekap ahs"/>
      <sheetName val="rekap-bialat"/>
      <sheetName val="villa"/>
      <sheetName val="01A- RAB"/>
      <sheetName val="chitimc"/>
      <sheetName val="dongia (2)"/>
      <sheetName val="LKVL-CK-HT-GD1"/>
      <sheetName val="giathanh1"/>
      <sheetName val="THPDMoi  (2)"/>
      <sheetName val="gtrinh"/>
      <sheetName val="phuluc1"/>
      <sheetName val="TONG HOP VL-NC"/>
      <sheetName val="lam-moi"/>
      <sheetName val="chitiet"/>
      <sheetName val="TONGKE3p "/>
      <sheetName val="TH VL, NC, DDHT Thanhphuoc"/>
      <sheetName val="DONGIA"/>
      <sheetName val="thao-go"/>
      <sheetName val="DON GIA"/>
      <sheetName val="TONGKE-HT"/>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VLOOKUP"/>
      <sheetName val="RAB"/>
      <sheetName val="Isolasi_Luar_Dalam"/>
      <sheetName val="Isolasi_Luar"/>
      <sheetName val="Duc-3"/>
      <sheetName val="AHSbj"/>
      <sheetName val="TJ1Q47"/>
      <sheetName val="Sch"/>
      <sheetName val="TOTAL"/>
      <sheetName val="Piping"/>
      <sheetName val="PL1"/>
      <sheetName val="PL2"/>
      <sheetName val="PL3"/>
      <sheetName val="PL4"/>
      <sheetName val="H. Satuan"/>
      <sheetName val="AHS. Keg"/>
      <sheetName val="____"/>
      <sheetName val="Elec-ins"/>
      <sheetName val="플랜트 설치"/>
      <sheetName val="plumbing"/>
      <sheetName val="Quantity"/>
      <sheetName val="SAT-BHN"/>
      <sheetName val="DAF-9"/>
      <sheetName val="INPUT DATAS"/>
      <sheetName val="HRG_BHN"/>
      <sheetName val="HB_"/>
      <sheetName val="HARGA_MATERIAL"/>
      <sheetName val="TABEL BAJA"/>
      <sheetName val="DAF-2"/>
      <sheetName val="ocean voyage"/>
      <sheetName val="Memb Schd"/>
      <sheetName val="Summary"/>
      <sheetName val="GLP's and PSPC's"/>
      <sheetName val="Internal Summary"/>
      <sheetName val="Antenna"/>
      <sheetName val="harga"/>
      <sheetName val="Admin"/>
      <sheetName val="bobot"/>
      <sheetName val="BS pricing"/>
      <sheetName val="Parameter"/>
      <sheetName val="BOM"/>
      <sheetName val="Project Summary"/>
      <sheetName val="lookup"/>
      <sheetName val="Factor"/>
      <sheetName val="GLP_s_changed_from_previous"/>
      <sheetName val="Alloc 1"/>
      <sheetName val="CONV_TAB"/>
      <sheetName val="BILL"/>
      <sheetName val="Legend"/>
      <sheetName val="GLP-DISCOUNT"/>
      <sheetName val="BER CAL"/>
      <sheetName val="Legenda"/>
      <sheetName val="BSC_UPGRADES"/>
      <sheetName val="Problem Class"/>
      <sheetName val="ALL"/>
      <sheetName val="BQ-Str"/>
      <sheetName val="Bahan upah"/>
      <sheetName val="BQ ARS"/>
      <sheetName val="PESANTREN"/>
      <sheetName val="G"/>
      <sheetName val="Curup"/>
      <sheetName val="Prabu"/>
      <sheetName val="On Time"/>
      <sheetName val="Eta-maxC Lager"/>
      <sheetName val="6 Felder - Md"/>
      <sheetName val="AG25 inner maxQ-Truck"/>
      <sheetName val="U1"/>
      <sheetName val="6 Felder - maxQ"/>
      <sheetName val="RAB KapukII"/>
      <sheetName val="BAU"/>
      <sheetName val="REKAP A BESAR"/>
      <sheetName val="hrg_sat"/>
      <sheetName val="AnalisaSIPIL RIIL"/>
      <sheetName val="SUM-PRO_(4)3"/>
      <sheetName val="SUM-PRO_(3)3"/>
      <sheetName val="SUM-PRO_(2)3"/>
      <sheetName val="SEX_(4)3"/>
      <sheetName val="SEX_(3)3"/>
      <sheetName val="SEX_(2)3"/>
      <sheetName val="B_-_Norelec3"/>
      <sheetName val="Unit_Rate2"/>
      <sheetName val="Daftar_Upah1"/>
      <sheetName val="Cover_Daf-21"/>
      <sheetName val="Fill_this_out_first___3"/>
      <sheetName val="Cash_Flow_bulanan1"/>
      <sheetName val="H_Satuan1"/>
      <sheetName val="Bill_of_Qty_MEP1"/>
      <sheetName val="4-Basic_Price1"/>
      <sheetName val="PRD_01-71"/>
      <sheetName val="PRD_01-81"/>
      <sheetName val="PRD_01-91"/>
      <sheetName val="PRD_01-101"/>
      <sheetName val="PRD_01-111"/>
      <sheetName val="PRD_01-31"/>
      <sheetName val="PRD_01-41"/>
      <sheetName val="Fill_this_out_first___4"/>
      <sheetName val="Tabel_Berat1"/>
      <sheetName val="Analisa_STR1"/>
      <sheetName val="HARGA_MATERIAL1"/>
      <sheetName val="RAB_AR&amp;STR1"/>
      <sheetName val="HRG_BHN1"/>
      <sheetName val="JKT_(2)1"/>
      <sheetName val="Fill_this_out_first___2"/>
      <sheetName val="Tabel_Berat"/>
      <sheetName val="Analisa_STR"/>
      <sheetName val="JKT_(2)"/>
      <sheetName val="SUM-PRO_(4)4"/>
      <sheetName val="SUM-PRO_(3)4"/>
      <sheetName val="SUM-PRO_(2)4"/>
      <sheetName val="SEX_(4)4"/>
      <sheetName val="SEX_(3)4"/>
      <sheetName val="SEX_(2)4"/>
      <sheetName val="B_-_Norelec4"/>
      <sheetName val="Unit_Rate3"/>
      <sheetName val="Daftar_Upah2"/>
      <sheetName val="Cover_Daf-22"/>
      <sheetName val="Fill_this_out_first___5"/>
      <sheetName val="Cash_Flow_bulanan2"/>
      <sheetName val="H_Satuan2"/>
      <sheetName val="Bill_of_Qty_MEP2"/>
      <sheetName val="4-Basic_Price2"/>
      <sheetName val="PRD_01-72"/>
      <sheetName val="PRD_01-82"/>
      <sheetName val="PRD_01-92"/>
      <sheetName val="PRD_01-102"/>
      <sheetName val="PRD_01-112"/>
      <sheetName val="PRD_01-32"/>
      <sheetName val="PRD_01-42"/>
      <sheetName val="Fill_this_out_first___6"/>
      <sheetName val="Tabel_Berat2"/>
      <sheetName val="Analisa_STR2"/>
      <sheetName val="HARGA_MATERIAL2"/>
      <sheetName val="RAB_AR&amp;STR2"/>
      <sheetName val="HRG_BHN2"/>
      <sheetName val="JKT_(2)2"/>
      <sheetName val="SUM-PRO_(4)5"/>
      <sheetName val="SUM-PRO_(3)5"/>
      <sheetName val="SUM-PRO_(2)5"/>
      <sheetName val="SEX_(4)5"/>
      <sheetName val="SEX_(3)5"/>
      <sheetName val="SEX_(2)5"/>
      <sheetName val="B_-_Norelec5"/>
      <sheetName val="Unit_Rate4"/>
      <sheetName val="Daftar_Upah3"/>
      <sheetName val="Cover_Daf-23"/>
      <sheetName val="Fill_this_out_first___7"/>
      <sheetName val="Cash_Flow_bulanan3"/>
      <sheetName val="H_Satuan3"/>
      <sheetName val="Bill_of_Qty_MEP3"/>
      <sheetName val="4-Basic_Price3"/>
      <sheetName val="PRD_01-73"/>
      <sheetName val="PRD_01-83"/>
      <sheetName val="PRD_01-93"/>
      <sheetName val="PRD_01-103"/>
      <sheetName val="PRD_01-113"/>
      <sheetName val="PRD_01-33"/>
      <sheetName val="PRD_01-43"/>
      <sheetName val="Fill_this_out_first___8"/>
      <sheetName val="Tabel_Berat3"/>
      <sheetName val="Analisa_STR3"/>
      <sheetName val="HARGA_MATERIAL3"/>
      <sheetName val="RAB_AR&amp;STR3"/>
      <sheetName val="HRG_BHN3"/>
      <sheetName val="JKT_(2)3"/>
      <sheetName val="overall"/>
      <sheetName val="hs-str"/>
      <sheetName val="Sheet9"/>
      <sheetName val="Harga Dasar"/>
      <sheetName val="TBM"/>
      <sheetName val="Basic Price"/>
      <sheetName val="RAB PRO"/>
      <sheetName val="TYPE A"/>
      <sheetName val="TYPE B"/>
      <sheetName val="TYPE C"/>
      <sheetName val="TYPE D"/>
      <sheetName val="BOR PILE"/>
      <sheetName val="BASEMENT PELATARAN"/>
      <sheetName val="SIRKULASI, PELATARAN, EKSTERNAL"/>
      <sheetName val="JARINGAN AIR BERSIH"/>
      <sheetName val="JARINGAN LISTRIK"/>
      <sheetName val="JARINGAN TELEPHON"/>
      <sheetName val="PERSIAPAN"/>
      <sheetName val="REKAP ME"/>
      <sheetName val="TYPIKAL UNIT"/>
      <sheetName val="REKAPTOTAL"/>
      <sheetName val="REKAP TOTAL"/>
      <sheetName val="REKAP STR"/>
      <sheetName val="REKAP UNIT"/>
      <sheetName val="Rekap Direct Cost"/>
      <sheetName val="Upah"/>
      <sheetName val=""/>
      <sheetName val="AC unit"/>
      <sheetName val="EL acc"/>
      <sheetName val="EL lamp"/>
      <sheetName val="EL outlet"/>
      <sheetName val="Chiller acc"/>
      <sheetName val="Pipa PL"/>
      <sheetName val="PK acc"/>
      <sheetName val="PL acc"/>
      <sheetName val="PK valve"/>
      <sheetName val="PL valve"/>
      <sheetName val="AC valve"/>
      <sheetName val="PK pipe"/>
      <sheetName val="EL kabel"/>
      <sheetName val="AC power"/>
      <sheetName val="EL tray"/>
      <sheetName val="PL power"/>
      <sheetName val="PL unit"/>
      <sheetName val="PK unit"/>
      <sheetName val="EL arde"/>
      <sheetName val="Meth "/>
      <sheetName val="GLP's_and_PSPC's1"/>
      <sheetName val="Mat_Tower"/>
      <sheetName val="Mat_Tower2"/>
      <sheetName val="US_indoor_vs_macro_outdoor"/>
      <sheetName val="63_Swap"/>
      <sheetName val="berlang"/>
      <sheetName val="CRITERIA2"/>
      <sheetName val="COSY"/>
      <sheetName val="Parameters"/>
      <sheetName val="Project_Summary1"/>
      <sheetName val="Factors"/>
      <sheetName val="Rekapsub-total-ME"/>
      <sheetName val="SITAC-Model"/>
      <sheetName val="BS_pricing"/>
      <sheetName val="Temp"/>
      <sheetName val="Param"/>
      <sheetName val="Material_Mounting2"/>
      <sheetName val="Lampiran_MTO"/>
      <sheetName val="Rekap-ME"/>
      <sheetName val="NWEXT"/>
      <sheetName val="OFFEREXT"/>
      <sheetName val="Allowance"/>
      <sheetName val="Problem_Class"/>
      <sheetName val="Validasi"/>
      <sheetName val="PSPC_LE_Pnext_Current"/>
      <sheetName val="Validation"/>
      <sheetName val="AM-MARGIN"/>
      <sheetName val="SUPPEXT"/>
      <sheetName val="Forecast"/>
      <sheetName val="Data"/>
      <sheetName val="US_indoor_vs_macro_outdoor2"/>
      <sheetName val="Perm. Test"/>
      <sheetName val="Galian 1"/>
      <sheetName val="uraian analisa"/>
      <sheetName val="DATA PROYEK"/>
      <sheetName val="Bill_Qua"/>
      <sheetName val="REKAP"/>
      <sheetName val="AKP"/>
      <sheetName val="Bi-BANK"/>
      <sheetName val="BU"/>
      <sheetName val="PP"/>
      <sheetName val="PRLTN"/>
      <sheetName val="R_BOS"/>
      <sheetName val="R_PRLT"/>
      <sheetName val="R_UPH"/>
      <sheetName val="RBP_1"/>
      <sheetName val="RBP-MAT"/>
      <sheetName val="RBP-SKON"/>
      <sheetName val="RUPA2"/>
      <sheetName val="SUBKON"/>
      <sheetName val="DISBIA"/>
      <sheetName val="BBM"/>
      <sheetName val="BRK-DWN"/>
      <sheetName val="MTRL"/>
      <sheetName val="R_BANK"/>
      <sheetName val="R_PP"/>
      <sheetName val="R_RUPA"/>
      <sheetName val="RBP"/>
      <sheetName val="SKAT"/>
      <sheetName val="SURAT"/>
      <sheetName val="div7"/>
      <sheetName val="RBP2"/>
      <sheetName val="RBP- 2"/>
      <sheetName val="AKP-1"/>
      <sheetName val="B"/>
      <sheetName val="D.3.1 Dinding"/>
      <sheetName val="HRG-DASAR"/>
      <sheetName val="Hrg Sat"/>
      <sheetName val="rate"/>
      <sheetName val="D985"/>
      <sheetName val="LR-APR-06"/>
      <sheetName val="hARGA SAT"/>
      <sheetName val="aN-suku"/>
      <sheetName val="BAB_5_13_Anal"/>
      <sheetName val="LR-JUN-06"/>
      <sheetName val="3-DIV4"/>
      <sheetName val="LR-MAR-06"/>
      <sheetName val="koef"/>
      <sheetName val="BARU-3"/>
      <sheetName val="BARU-4 "/>
      <sheetName val="LAMA-3"/>
      <sheetName val="LAMA-4"/>
      <sheetName val="LR-MEI-06"/>
      <sheetName val="LR-SPT-06"/>
      <sheetName val="bialangsung"/>
      <sheetName val="schbhn"/>
      <sheetName val="schalt"/>
      <sheetName val="schtng"/>
      <sheetName val="REF.ONLY"/>
      <sheetName val="Analisa Upah &amp; Bahan Plum"/>
      <sheetName val="tb. besi"/>
      <sheetName val="tulang"/>
      <sheetName val="DIV-03"/>
      <sheetName val="Sheet2"/>
      <sheetName val="name"/>
      <sheetName val="H S D"/>
      <sheetName val="anal"/>
      <sheetName val="L_TIGA"/>
      <sheetName val="L-TIGA"/>
      <sheetName val="Q_01__BLL_per_kode"/>
      <sheetName val="Q_02__PO_per_kode"/>
      <sheetName val="EVALUASI"/>
      <sheetName val="#REF!"/>
      <sheetName val="Rekap Addendum"/>
      <sheetName val="BQ Dudukan Fascade OT KC"/>
      <sheetName val="ANALISA HARGA SATUAN"/>
      <sheetName val="Mall"/>
      <sheetName val="Balok_1"/>
      <sheetName val="Input"/>
      <sheetName val="3ဵ1BQMCN"/>
      <sheetName val="Ahs.2"/>
      <sheetName val="Ahs.1"/>
      <sheetName val="INPUT_DATAS"/>
      <sheetName val="RAB_T-95_BK"/>
      <sheetName val="GTS_I_PS"/>
      <sheetName val="SUM_200"/>
      <sheetName val="Kuantitas_&amp;_Harga"/>
      <sheetName val="DAFTAR_7"/>
      <sheetName val="_Rencana_Vol_per_Section"/>
      <sheetName val="D_1_7"/>
      <sheetName val="D_1_5"/>
      <sheetName val="D_2_3"/>
      <sheetName val="D_2_2"/>
      <sheetName val="D_&amp;_W_sizes"/>
      <sheetName val="hrg-sat_pek"/>
      <sheetName val="Currency_Rate"/>
      <sheetName val="an__struktur"/>
      <sheetName val="概総括1"/>
      <sheetName val="BQMPALOC"/>
      <sheetName val="BAG-III"/>
      <sheetName val="ALEK"/>
      <sheetName val="DAF-5"/>
      <sheetName val="PPC"/>
      <sheetName val="Pt"/>
      <sheetName val="SUB TOTAL "/>
      <sheetName val="Daf Pekerjaan"/>
      <sheetName val="ah sanitary"/>
      <sheetName val="Analisa Alat"/>
      <sheetName val="DIV1"/>
      <sheetName val="Tabel"/>
      <sheetName val="TRANS"/>
      <sheetName val="Perm__Test"/>
      <sheetName val="Urai__Resap_pengikat"/>
      <sheetName val="uraian_analisa"/>
      <sheetName val="DATA_PROYEK"/>
      <sheetName val="RBP-_2"/>
      <sheetName val="Galian_1"/>
      <sheetName val="rekap_ahs"/>
      <sheetName val="Rinci-Biaya"/>
      <sheetName val="Rinci-Pendapatan"/>
      <sheetName val="CPO 16-9-TID "/>
      <sheetName val="rab j17"/>
      <sheetName val="HB_1"/>
      <sheetName val="Isolasi_Luar_Dalam1"/>
      <sheetName val="Isolasi_Luar1"/>
      <sheetName val="H__Satuan"/>
      <sheetName val="AHS__Keg"/>
      <sheetName val="struktur_tdk_dipakai"/>
      <sheetName val="01A-_RAB"/>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Bahan_upah"/>
      <sheetName val="BQ_ARS"/>
      <sheetName val="Eta-maxC_Lager"/>
      <sheetName val="6_Felder_-_Md"/>
      <sheetName val="AG25_inner_maxQ-Truck"/>
      <sheetName val="6_Felder_-_maxQ"/>
      <sheetName val="RAB_KapukII"/>
      <sheetName val="Memb_Schd"/>
      <sheetName val="REKAP_A_BESAR"/>
      <sheetName val="플랜트_설치"/>
      <sheetName val="TABEL_BAJA"/>
      <sheetName val="GLP's_and_PSPC's"/>
      <sheetName val="Internal_Summary"/>
      <sheetName val="BS_pricing1"/>
      <sheetName val="Project_Summary"/>
      <sheetName val="Alloc_1"/>
      <sheetName val="BER_CAL"/>
      <sheetName val="Problem_Class1"/>
      <sheetName val="ah_sanitary"/>
      <sheetName val="Analisa_Alat"/>
      <sheetName val="On_Time"/>
      <sheetName val="Rekap_Direct_Cost"/>
      <sheetName val="AC_unit"/>
      <sheetName val="EL_acc"/>
      <sheetName val="EL_lamp"/>
      <sheetName val="EL_outlet"/>
      <sheetName val="Chiller_acc"/>
      <sheetName val="Pipa_PL"/>
      <sheetName val="PK_acc"/>
      <sheetName val="PL_acc"/>
      <sheetName val="PK_valve"/>
      <sheetName val="PL_valve"/>
      <sheetName val="AC_valve"/>
      <sheetName val="PK_pipe"/>
      <sheetName val="EL_kabel"/>
      <sheetName val="AC_power"/>
      <sheetName val="EL_tray"/>
      <sheetName val="PL_power"/>
      <sheetName val="PL_unit"/>
      <sheetName val="PK_unit"/>
      <sheetName val="EL_arde"/>
      <sheetName val="hARGA_SAT"/>
      <sheetName val="BARU-4_"/>
      <sheetName val="rab_j17"/>
      <sheetName val="H_S_D"/>
      <sheetName val="TYPE_A"/>
      <sheetName val="TYPE_B"/>
      <sheetName val="TYPE_C"/>
      <sheetName val="TYPE_D"/>
      <sheetName val="BOR_PILE"/>
      <sheetName val="BASEMENT_PELATARAN"/>
      <sheetName val="SIRKULASI,_PELATARAN,_EKSTERNAL"/>
      <sheetName val="JARINGAN_AIR_BERSIH"/>
      <sheetName val="JARINGAN_LISTRIK"/>
      <sheetName val="JARINGAN_TELEPHON"/>
      <sheetName val="REKAP_ME"/>
      <sheetName val="TYPIKAL_UNIT"/>
      <sheetName val="_Rencana_Vol_per_Section1"/>
      <sheetName val="HB_2"/>
      <sheetName val="Kuantitas_&amp;_Harga1"/>
      <sheetName val="DAFTAR_71"/>
      <sheetName val="Isolasi_Luar_Dalam2"/>
      <sheetName val="Isolasi_Luar2"/>
      <sheetName val="rekap_ahs1"/>
      <sheetName val="RAB_T-95_BK1"/>
      <sheetName val="GTS_I_PS1"/>
      <sheetName val="SUM_2001"/>
      <sheetName val="Urai__Resap_pengikat1"/>
      <sheetName val="D_1_71"/>
      <sheetName val="D_1_51"/>
      <sheetName val="D_2_31"/>
      <sheetName val="D_2_21"/>
      <sheetName val="D_&amp;_W_sizes1"/>
      <sheetName val="hrg-sat_pek1"/>
      <sheetName val="H__Satuan1"/>
      <sheetName val="AHS__Keg1"/>
      <sheetName val="struktur_tdk_dipakai1"/>
      <sheetName val="an__struktur1"/>
      <sheetName val="Currency_Rate1"/>
      <sheetName val="01A-_RAB1"/>
      <sheetName val="dongia_(2)1"/>
      <sheetName val="NP"/>
      <sheetName val="FitOutConfCentre"/>
      <sheetName val="RUPS"/>
      <sheetName val="An Arsitektur"/>
      <sheetName val="An Struktur"/>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Bahan_upah1"/>
      <sheetName val="BQ_ARS1"/>
      <sheetName val="Perm__Test1"/>
      <sheetName val="Eta-maxC_Lager1"/>
      <sheetName val="6_Felder_-_Md1"/>
      <sheetName val="AG25_inner_maxQ-Truck1"/>
      <sheetName val="6_Felder_-_maxQ1"/>
      <sheetName val="RAB_KapukII1"/>
      <sheetName val="Memb_Schd1"/>
      <sheetName val="REKAP_A_BESAR1"/>
      <sheetName val="INPUT_DATAS1"/>
      <sheetName val="플랜트_설치1"/>
      <sheetName val="TABEL_BAJA1"/>
      <sheetName val="uraian_analisa1"/>
      <sheetName val="DATA_PROYEK1"/>
      <sheetName val="RBP-_21"/>
      <sheetName val="GLP's_and_PSPC's2"/>
      <sheetName val="Internal_Summary1"/>
      <sheetName val="BS_pricing2"/>
      <sheetName val="Project_Summary2"/>
      <sheetName val="Alloc_11"/>
      <sheetName val="BER_CAL1"/>
      <sheetName val="Problem_Class2"/>
      <sheetName val="ah_sanitary1"/>
      <sheetName val="Analisa_Alat1"/>
      <sheetName val="On_Time1"/>
      <sheetName val="Rekap_Direct_Cost1"/>
      <sheetName val="AC_unit1"/>
      <sheetName val="EL_acc1"/>
      <sheetName val="EL_lamp1"/>
      <sheetName val="EL_outlet1"/>
      <sheetName val="Chiller_acc1"/>
      <sheetName val="Pipa_PL1"/>
      <sheetName val="PK_acc1"/>
      <sheetName val="PL_acc1"/>
      <sheetName val="PK_valve1"/>
      <sheetName val="PL_valve1"/>
      <sheetName val="AC_valve1"/>
      <sheetName val="PK_pipe1"/>
      <sheetName val="EL_kabel1"/>
      <sheetName val="AC_power1"/>
      <sheetName val="EL_tray1"/>
      <sheetName val="PL_power1"/>
      <sheetName val="PL_unit1"/>
      <sheetName val="PK_unit1"/>
      <sheetName val="EL_arde1"/>
      <sheetName val="hARGA_SAT1"/>
      <sheetName val="BARU-4_1"/>
      <sheetName val="Galian_11"/>
      <sheetName val="rab_j171"/>
      <sheetName val="H_S_D1"/>
      <sheetName val="TYPE_A1"/>
      <sheetName val="TYPE_B1"/>
      <sheetName val="TYPE_C1"/>
      <sheetName val="TYPE_D1"/>
      <sheetName val="BOR_PILE1"/>
      <sheetName val="BASEMENT_PELATARAN1"/>
      <sheetName val="SIRKULASI,_PELATARAN,_EKSTERNA1"/>
      <sheetName val="JARINGAN_AIR_BERSIH1"/>
      <sheetName val="JARINGAN_LISTRIK1"/>
      <sheetName val="JARINGAN_TELEPHON1"/>
      <sheetName val="REKAP_ME1"/>
      <sheetName val="TYPIKAL_UNIT1"/>
      <sheetName val="2.3.5-Bsmt-Elc (ADD)"/>
      <sheetName val="2.3.6-Bsmt-Fire"/>
      <sheetName val="3.3.1-Apt-Sanitary (AD)"/>
      <sheetName val="3.3.2-Apt-Plb"/>
      <sheetName val="3.3.2-Apt-Plb (ADD)"/>
      <sheetName val="3.3.3-Apt-AC"/>
      <sheetName val="3.3.5-Apt-Elc (ADD)"/>
      <sheetName val="3.3.6-Apt-Fire"/>
      <sheetName val="6.1.Genset"/>
      <sheetName val="2.3.5-Bsmt-AC (ADD)"/>
      <sheetName val="2.3.3-Bsmt-AC (ADD)"/>
      <sheetName val="Balok"/>
      <sheetName val="BOQ CBM"/>
      <sheetName val="PileCap"/>
      <sheetName val="Mech. BQ"/>
      <sheetName val="Cover Daf_2"/>
      <sheetName val="산근"/>
      <sheetName val="BOQ"/>
      <sheetName val="B. Arch"/>
      <sheetName val="TOWN"/>
      <sheetName val="Compressor Air Blow Cleaning"/>
      <sheetName val="S-curve MKBC"/>
      <sheetName val="AT 2"/>
      <sheetName val="주관사업"/>
      <sheetName val="요약배부"/>
      <sheetName val="Terbilang"/>
      <sheetName val="Q'TY"/>
      <sheetName val="DIV.1"/>
      <sheetName val="DIV.2"/>
      <sheetName val="DIV.2a"/>
      <sheetName val="DIV.2a (2)"/>
      <sheetName val="DIV.2a.BET"/>
      <sheetName val="DIV.2a.TUL"/>
      <sheetName val="DIV.2b"/>
      <sheetName val="DIV.2b (2)"/>
      <sheetName val="DIV.2c"/>
      <sheetName val="DIV.2d"/>
      <sheetName val="DIV.3"/>
      <sheetName val="DIV.5"/>
      <sheetName val="DIV.6"/>
      <sheetName val="DIV.8"/>
      <sheetName val="DIV.8.a"/>
      <sheetName val="DIV.9"/>
      <sheetName val="ALAT"/>
      <sheetName val="INFO"/>
      <sheetName val="SKEDUL"/>
      <sheetName val="PANEL"/>
      <sheetName val="BASIC"/>
      <sheetName val="EVAL-ANAL"/>
      <sheetName val="MAP"/>
      <sheetName val="div-6"/>
      <sheetName val="RKP"/>
      <sheetName val="div-2"/>
      <sheetName val="schtot"/>
      <sheetName val="PRICE (2)"/>
      <sheetName val="A-ars"/>
      <sheetName val="harga dasar T-M-A"/>
      <sheetName val="Bill rekap"/>
      <sheetName val="Bill of Qty"/>
      <sheetName val="D _ W sizes"/>
      <sheetName val="Gudang non AC-AC Struktur"/>
      <sheetName val="INF"/>
      <sheetName val="9 PEK-HARIAN"/>
      <sheetName val="Form PKT"/>
      <sheetName val="Volume (2)"/>
      <sheetName val="Daftar Harga"/>
      <sheetName val="SIRKULASI, PELATAR_xdcdd_廛_x0000_ഀ쮚_x0000__x0000_Ԁ_x0000_퀀"/>
      <sheetName val="Material Bangunan"/>
      <sheetName val="Analisa Bang"/>
      <sheetName val="ANK"/>
      <sheetName val="FORM X COST"/>
      <sheetName val="5.EMT1-MASTER SCH S_curve (r.1)"/>
      <sheetName val="Ana Fin"/>
      <sheetName val="kalibrasi-Tank"/>
      <sheetName val="5-ALAT(1)"/>
      <sheetName val="ana-alat"/>
      <sheetName val="DHSD"/>
      <sheetName val="Upah "/>
      <sheetName val="hotel"/>
      <sheetName val="U&amp;B"/>
      <sheetName val="duct"/>
      <sheetName val="Daftmat"/>
      <sheetName val="DAF.HRG"/>
      <sheetName val="2. MVAC R1"/>
      <sheetName val="MASTER 1"/>
      <sheetName val="Rekapitulasi"/>
      <sheetName val="pivot2"/>
      <sheetName val="pivot1"/>
      <sheetName val="Summary_Tech"/>
      <sheetName val="DHS AC"/>
      <sheetName val="Cash2"/>
      <sheetName val="Z"/>
      <sheetName val="Eng_Hrs (HO)"/>
      <sheetName val="fee"/>
      <sheetName val="LAMPU &amp; STK"/>
      <sheetName val="CABLE"/>
      <sheetName val="COMPONENT"/>
      <sheetName val="AHS SAKLAR &amp;STK"/>
      <sheetName val="AHS LAMPU"/>
      <sheetName val="AHS INSTALASI"/>
      <sheetName val="AHS PANEL"/>
      <sheetName val="TRAY"/>
      <sheetName val="AHS TRAFO"/>
      <sheetName val="AHS KABEL"/>
      <sheetName val="AHS TRAY "/>
      <sheetName val="AHS PHBUTM"/>
      <sheetName val="Anls teknis"/>
      <sheetName val="Gal tanah"/>
      <sheetName val="Pancang"/>
      <sheetName val="5-ALAT"/>
      <sheetName val="TTL"/>
      <sheetName val="基本ﾃﾞｰﾀ"/>
      <sheetName val="WAREHOUSE"/>
      <sheetName val="(3)RAB-Labuan"/>
      <sheetName val="L-4a,b"/>
      <sheetName val="Analisa H.Sat.Pek."/>
      <sheetName val="H.Material, Upah &amp; Alat"/>
      <sheetName val="Electrikal"/>
      <sheetName val="Elektronik"/>
      <sheetName val="Fire Fighting"/>
      <sheetName val="Item Kompensasi"/>
      <sheetName val="My Kitchen"/>
      <sheetName val="Earthwork"/>
      <sheetName val="FitOutConfCent@¥"/>
      <sheetName val="FitOutConfCent_x0003_"/>
      <sheetName val="H-BHN"/>
      <sheetName val="Peralatan"/>
      <sheetName val="PIK_QUO"/>
      <sheetName val="SAT_BHN"/>
      <sheetName val="bldg list"/>
      <sheetName val="HS-2"/>
      <sheetName val="Fill_this_out_firstìÁ_x0009_"/>
      <sheetName val="_x0000_Â8B_x0000__x0000__x0000__x0000__x0000__x0000__x0000__x0000__x0000_6"/>
      <sheetName val="숯䈸숀䈶ༀ_x0000_ༀ_x0000_Ā_x0000_䐀ሑℰ_x0004_℀_x0004_Ā_x0000__x0000__x0000__x0000__x0000_㈀_x0009_저䈺ᵡ숯䈸숀"/>
      <sheetName val="Fill_this_out_firstìÁ "/>
      <sheetName val="숯䈸숀䈶ༀ_x0000_ༀ_x0000_Ā_x0000_䐀ሑℰ_x0004_℀_x0004_Ā_x0000__x0000__x0000__x0000__x0000_㈀ 저䈺ᵡ숯䈸숀"/>
      <sheetName val="Agregat Halus &amp; Kasar"/>
      <sheetName val="detail"/>
      <sheetName val="DOORWINDOW"/>
      <sheetName val="DETAIL 1"/>
      <sheetName val="ISIAN"/>
      <sheetName val="JANGAN HAPUS"/>
      <sheetName val="Budget"/>
      <sheetName val="RekapSubCont"/>
      <sheetName val="Scedule"/>
      <sheetName val="Summary "/>
      <sheetName val="KOL 50 X 125"/>
      <sheetName val="L I C O 50 x 50"/>
      <sheetName val="KOL D 1200"/>
      <sheetName val="KOL 65 x 65"/>
      <sheetName val="BLK tower (lt 1)"/>
      <sheetName val="BLK tower (lt 1) add (2)"/>
      <sheetName val="BLK tower (lt 2)"/>
      <sheetName val="BLK tower (lt 2) add"/>
      <sheetName val="BLK lt base (ball rom)"/>
      <sheetName val="SLB Balroom"/>
      <sheetName val="SLB (2 3) tower"/>
      <sheetName val="SLB"/>
      <sheetName val="WAll"/>
      <sheetName val="pd8"/>
      <sheetName val="KOL_K3"/>
      <sheetName val="PERI UP_ok"/>
      <sheetName val="PERI UP TANGGA"/>
      <sheetName val="HANDSET_ok"/>
      <sheetName val="CLAMBING"/>
      <sheetName val="BEAM&amp;SLAB_ok"/>
      <sheetName val="SCF LT 1"/>
      <sheetName val="SCF LT 1~3"/>
      <sheetName val="Sat Bah &amp; Up"/>
      <sheetName val="daywork- Tham khao"/>
      <sheetName val="TTDZ22"/>
      <sheetName val="03 Detailed"/>
      <sheetName val="01 Bid Price summary"/>
      <sheetName val="Rumus2"/>
      <sheetName val="CALCULATION"/>
      <sheetName val="PO."/>
      <sheetName val="TABEL ORDER"/>
      <sheetName val="TABEL BOOK"/>
      <sheetName val="XL4Poppy"/>
      <sheetName val="PASOK"/>
      <sheetName val="BIALANG"/>
      <sheetName val="cat"/>
      <sheetName val="HARDAS-ALAT"/>
      <sheetName val="jadual material"/>
      <sheetName val="HARDAS-UPAH"/>
      <sheetName val="HARDAS-MAT"/>
      <sheetName val="LNPB-2"/>
      <sheetName val="RBP1"/>
      <sheetName val="bd"/>
      <sheetName val="keb_alat"/>
      <sheetName val="biaMAT"/>
      <sheetName val="biaSUB"/>
      <sheetName val="biatng"/>
      <sheetName val="BL"/>
      <sheetName val="BTL"/>
      <sheetName val="gaji"/>
      <sheetName val="hardas"/>
      <sheetName val="jadual bobot"/>
      <sheetName val="keb_mat"/>
      <sheetName val="keb_tng"/>
      <sheetName val="Tabel-tabel"/>
      <sheetName val="Cash Flow _2_"/>
      <sheetName val="2"/>
      <sheetName val="TBO"/>
      <sheetName val="合成単価作成・-BLDG"/>
      <sheetName val="S_Suramadu"/>
      <sheetName val="HS_TRG"/>
      <sheetName val="VL,NC,MTC"/>
      <sheetName val="MTO REV.2(ARMOR)"/>
      <sheetName val="PNT-QUOT-#3"/>
      <sheetName val="COAT&amp;WRAP-QIOT-#3"/>
      <sheetName val="KET"/>
      <sheetName val="Breadown-Nop"/>
      <sheetName val="TB"/>
      <sheetName val="Spec ME"/>
      <sheetName val="extern"/>
      <sheetName val="A6"/>
      <sheetName val="NC"/>
      <sheetName val="van khuon"/>
      <sheetName val="Menu"/>
      <sheetName val="Daf Harga"/>
      <sheetName val="Rekap Bill"/>
      <sheetName val="An_ Harga"/>
      <sheetName val="Akun Pajak"/>
      <sheetName val="SAP"/>
      <sheetName val="K.6DEPOSIT"/>
      <sheetName val="tuong"/>
      <sheetName val="Har-mat"/>
      <sheetName val="GiaVL"/>
      <sheetName val="gVL"/>
      <sheetName val="GKP"/>
      <sheetName val="skejul"/>
      <sheetName val="General Schedule"/>
      <sheetName val="BasicPrice"/>
      <sheetName val="1.Entry data."/>
      <sheetName val="PO-2"/>
      <sheetName val="SLNK (1)"/>
      <sheetName val="Progress"/>
      <sheetName val="hrg-dsr"/>
      <sheetName val="Sat Bah _ Up"/>
      <sheetName val="ANALISA PEK.UMUM"/>
      <sheetName val="UPAH DAN BAHAN"/>
      <sheetName val="Umum"/>
      <sheetName val="Harga Sat Dasar"/>
      <sheetName val="Quary"/>
      <sheetName val="Basic P"/>
      <sheetName val="Subcont"/>
      <sheetName val="supporting data"/>
      <sheetName val="ALAT1"/>
      <sheetName val="RAB_KL"/>
      <sheetName val="Rekap RAB_Amd"/>
      <sheetName val="RAB_Amd"/>
      <sheetName val="REKAP_Dftr_Kuan_Hrg_Amd"/>
      <sheetName val="Dftr_Kuan_Hrg Amd"/>
      <sheetName val="Schedule"/>
      <sheetName val="Penwrn"/>
      <sheetName val="Mobilisasi"/>
      <sheetName val="ANALIS2"/>
      <sheetName val="ANALISAGATE"/>
      <sheetName val="D-3"/>
      <sheetName val="komponen"/>
      <sheetName val="Anls"/>
      <sheetName val="HSAT"/>
      <sheetName val="S"/>
      <sheetName val="SUM-PRO_(4)6"/>
      <sheetName val="SUM-PRO_(3)6"/>
      <sheetName val="SUM-PRO_(2)6"/>
      <sheetName val="SEX_(4)6"/>
      <sheetName val="SEX_(3)6"/>
      <sheetName val="SEX_(2)6"/>
      <sheetName val="B_-_Norelec6"/>
      <sheetName val="Unit_Rate5"/>
      <sheetName val="Cover_Daf-24"/>
      <sheetName val="Fill_this_out_first___9"/>
      <sheetName val="Cash_Flow_bulanan4"/>
      <sheetName val="Daftar_Upah4"/>
      <sheetName val="H_Satuan4"/>
      <sheetName val="Bill_of_Qty_MEP4"/>
      <sheetName val="RAB_AR&amp;STR4"/>
      <sheetName val="HRG_BHN4"/>
      <sheetName val="HARGA_MATERIAL4"/>
      <sheetName val="Analisa_STR4"/>
      <sheetName val="4-Basic_Price4"/>
      <sheetName val="PRD_01-74"/>
      <sheetName val="PRD_01-84"/>
      <sheetName val="PRD_01-94"/>
      <sheetName val="PRD_01-104"/>
      <sheetName val="PRD_01-114"/>
      <sheetName val="PRD_01-34"/>
      <sheetName val="PRD_01-44"/>
      <sheetName val="Fill_this_out_first___10"/>
      <sheetName val="Tabel_Berat4"/>
      <sheetName val="JKT_(2)4"/>
      <sheetName val="Meth_"/>
      <sheetName val="Harga_Dasar"/>
      <sheetName val="Basic_Price"/>
      <sheetName val="RAB_PRO"/>
      <sheetName val="AnalisaSIPIL_RIIL"/>
      <sheetName val="REKAP_TOTAL"/>
      <sheetName val="REKAP_STR"/>
      <sheetName val="REKAP_UNIT"/>
      <sheetName val="D_3_1_Dinding"/>
      <sheetName val="REF_ONLY"/>
      <sheetName val="Analisa_Upah_&amp;_Bahan_Plum"/>
      <sheetName val="CPO_16-9-TID_"/>
      <sheetName val="SUM-PRO_(4)7"/>
      <sheetName val="SUM-PRO_(3)7"/>
      <sheetName val="SUM-PRO_(2)7"/>
      <sheetName val="SEX_(4)7"/>
      <sheetName val="SEX_(3)7"/>
      <sheetName val="SEX_(2)7"/>
      <sheetName val="B_-_Norelec7"/>
      <sheetName val="Unit_Rate6"/>
      <sheetName val="Cover_Daf-25"/>
      <sheetName val="Fill_this_out_first___11"/>
      <sheetName val="Cash_Flow_bulanan5"/>
      <sheetName val="Daftar_Upah5"/>
      <sheetName val="H_Satuan5"/>
      <sheetName val="Bill_of_Qty_MEP5"/>
      <sheetName val="RAB_AR&amp;STR5"/>
      <sheetName val="HRG_BHN5"/>
      <sheetName val="HARGA_MATERIAL5"/>
      <sheetName val="Analisa_STR5"/>
      <sheetName val="4-Basic_Price5"/>
      <sheetName val="PRD_01-75"/>
      <sheetName val="PRD_01-85"/>
      <sheetName val="PRD_01-95"/>
      <sheetName val="PRD_01-105"/>
      <sheetName val="PRD_01-115"/>
      <sheetName val="PRD_01-35"/>
      <sheetName val="PRD_01-45"/>
      <sheetName val="Fill_this_out_first___12"/>
      <sheetName val="Tabel_Berat5"/>
      <sheetName val="JKT_(2)5"/>
      <sheetName val="Meth_1"/>
      <sheetName val="Harga_Dasar1"/>
      <sheetName val="Basic_Price1"/>
      <sheetName val="RAB_PRO1"/>
      <sheetName val="AnalisaSIPIL_RIIL1"/>
      <sheetName val="REKAP_TOTAL1"/>
      <sheetName val="REKAP_STR1"/>
      <sheetName val="REKAP_UNIT1"/>
      <sheetName val="D_3_1_Dinding1"/>
      <sheetName val="REF_ONLY1"/>
      <sheetName val="Analisa_Upah_&amp;_Bahan_Plum1"/>
      <sheetName val="CPO_16-9-TID_1"/>
      <sheetName val="SUM-PRO_(4)8"/>
      <sheetName val="SUM-PRO_(3)8"/>
      <sheetName val="SUM-PRO_(2)8"/>
      <sheetName val="SEX_(4)8"/>
      <sheetName val="SEX_(3)8"/>
      <sheetName val="SEX_(2)8"/>
      <sheetName val="B_-_Norelec8"/>
      <sheetName val="Unit_Rate7"/>
      <sheetName val="Cover_Daf-26"/>
      <sheetName val="Fill_this_out_first___13"/>
      <sheetName val="Cash_Flow_bulanan6"/>
      <sheetName val="Daftar_Upah6"/>
      <sheetName val="H_Satuan6"/>
      <sheetName val="Bill_of_Qty_MEP6"/>
      <sheetName val="RAB_AR&amp;STR6"/>
      <sheetName val="HRG_BHN6"/>
      <sheetName val="HARGA_MATERIAL6"/>
      <sheetName val="Analisa_STR6"/>
      <sheetName val="4-Basic_Price6"/>
      <sheetName val="PRD_01-76"/>
      <sheetName val="PRD_01-86"/>
      <sheetName val="PRD_01-96"/>
      <sheetName val="PRD_01-106"/>
      <sheetName val="PRD_01-116"/>
      <sheetName val="PRD_01-36"/>
      <sheetName val="PRD_01-46"/>
      <sheetName val="Fill_this_out_first___14"/>
      <sheetName val="Tabel_Berat6"/>
      <sheetName val="JKT_(2)6"/>
      <sheetName val="HB_3"/>
      <sheetName val="DAFTAR_72"/>
      <sheetName val="Isolasi_Luar_Dalam3"/>
      <sheetName val="Isolasi_Luar3"/>
      <sheetName val="Kuantitas_&amp;_Harga2"/>
      <sheetName val="BQ_ARS2"/>
      <sheetName val="RAB_T-95_BK2"/>
      <sheetName val="GTS_I_PS2"/>
      <sheetName val="SUM_2002"/>
      <sheetName val="_Rencana_Vol_per_Section2"/>
      <sheetName val="D_1_72"/>
      <sheetName val="D_1_52"/>
      <sheetName val="D_2_32"/>
      <sheetName val="D_2_22"/>
      <sheetName val="D_&amp;_W_sizes2"/>
      <sheetName val="hrg-sat_pek2"/>
      <sheetName val="struktur_tdk_dipakai2"/>
      <sheetName val="rekap_ahs2"/>
      <sheetName val="Currency_Rate2"/>
      <sheetName val="Urai__Resap_pengikat2"/>
      <sheetName val="an__struktur2"/>
      <sheetName val="H__Satuan2"/>
      <sheetName val="AHS__Keg2"/>
      <sheetName val="01A-_RAB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Bahan_upah2"/>
      <sheetName val="On_Time2"/>
      <sheetName val="Eta-maxC_Lager2"/>
      <sheetName val="6_Felder_-_Md2"/>
      <sheetName val="AG25_inner_maxQ-Truck2"/>
      <sheetName val="6_Felder_-_maxQ2"/>
      <sheetName val="RAB_KapukII2"/>
      <sheetName val="Memb_Schd2"/>
      <sheetName val="Rekap_Direct_Cost2"/>
      <sheetName val="INPUT_DATAS2"/>
      <sheetName val="플랜트_설치2"/>
      <sheetName val="TABEL_BAJA2"/>
      <sheetName val="GLP's_and_PSPC's3"/>
      <sheetName val="Internal_Summary2"/>
      <sheetName val="BS_pricing3"/>
      <sheetName val="Project_Summary3"/>
      <sheetName val="Alloc_12"/>
      <sheetName val="BER_CAL2"/>
      <sheetName val="Problem_Class3"/>
      <sheetName val="AC_unit2"/>
      <sheetName val="EL_acc2"/>
      <sheetName val="EL_lamp2"/>
      <sheetName val="EL_outlet2"/>
      <sheetName val="Chiller_acc2"/>
      <sheetName val="Pipa_PL2"/>
      <sheetName val="PK_acc2"/>
      <sheetName val="PL_acc2"/>
      <sheetName val="PK_valve2"/>
      <sheetName val="PL_valve2"/>
      <sheetName val="AC_valve2"/>
      <sheetName val="PK_pipe2"/>
      <sheetName val="EL_kabel2"/>
      <sheetName val="AC_power2"/>
      <sheetName val="EL_tray2"/>
      <sheetName val="PL_power2"/>
      <sheetName val="PL_unit2"/>
      <sheetName val="PK_unit2"/>
      <sheetName val="EL_arde2"/>
      <sheetName val="Meth_2"/>
      <sheetName val="TYPE_A2"/>
      <sheetName val="TYPE_B2"/>
      <sheetName val="TYPE_C2"/>
      <sheetName val="TYPE_D2"/>
      <sheetName val="BOR_PILE2"/>
      <sheetName val="BASEMENT_PELATARAN2"/>
      <sheetName val="SIRKULASI,_PELATARAN,_EKSTERNA2"/>
      <sheetName val="JARINGAN_AIR_BERSIH2"/>
      <sheetName val="JARINGAN_LISTRIK2"/>
      <sheetName val="JARINGAN_TELEPHON2"/>
      <sheetName val="REKAP_ME2"/>
      <sheetName val="TYPIKAL_UNIT2"/>
      <sheetName val="Harga_Dasar2"/>
      <sheetName val="Basic_Price2"/>
      <sheetName val="RAB_PRO2"/>
      <sheetName val="AnalisaSIPIL_RIIL2"/>
      <sheetName val="Perm__Test2"/>
      <sheetName val="Galian_12"/>
      <sheetName val="uraian_analisa2"/>
      <sheetName val="DATA_PROYEK2"/>
      <sheetName val="RBP-_22"/>
      <sheetName val="REKAP_TOTAL2"/>
      <sheetName val="REKAP_STR2"/>
      <sheetName val="REKAP_UNIT2"/>
      <sheetName val="D_3_1_Dinding2"/>
      <sheetName val="H_S_D2"/>
      <sheetName val="hARGA_SAT2"/>
      <sheetName val="BARU-4_2"/>
      <sheetName val="REF_ONLY2"/>
      <sheetName val="Analisa_Upah_&amp;_Bahan_Plum2"/>
      <sheetName val="CPO_16-9-TID_2"/>
      <sheetName val="REKAP_A_BESAR2"/>
      <sheetName val="PROTECTION "/>
      <sheetName val="Du_lieu"/>
      <sheetName val="Balok L_2"/>
      <sheetName val="ah_sanitary2"/>
      <sheetName val="Analisa_Alat2"/>
      <sheetName val="rab_j172"/>
      <sheetName val="ocean_voyage"/>
      <sheetName val="tb__besi"/>
      <sheetName val="Ahs_2"/>
      <sheetName val="Ahs_1"/>
      <sheetName val="PRICE_(2)"/>
      <sheetName val="harga_dasar_T-M-A"/>
      <sheetName val="Rekap_Addendum"/>
      <sheetName val="BQ_Dudukan_Fascade_OT_KC"/>
      <sheetName val="ANALISA_HARGA_SATUAN"/>
      <sheetName val="SUB_TOTAL_"/>
      <sheetName val="Daf_Pekerjaan"/>
      <sheetName val="Anls_teknis"/>
      <sheetName val="SUM-PRO_(4)9"/>
      <sheetName val="SUM-PRO_(3)9"/>
      <sheetName val="SUM-PRO_(2)9"/>
      <sheetName val="SEX_(4)9"/>
      <sheetName val="SEX_(3)9"/>
      <sheetName val="SEX_(2)9"/>
      <sheetName val="B_-_Norelec9"/>
      <sheetName val="Unit_Rate8"/>
      <sheetName val="Cover_Daf-27"/>
      <sheetName val="Fill_this_out_first___15"/>
      <sheetName val="Cash_Flow_bulanan7"/>
      <sheetName val="Daftar_Upah7"/>
      <sheetName val="H_Satuan7"/>
      <sheetName val="Bill_of_Qty_MEP7"/>
      <sheetName val="RAB_AR&amp;STR7"/>
      <sheetName val="4-Basic_Price7"/>
      <sheetName val="PRD_01-77"/>
      <sheetName val="PRD_01-87"/>
      <sheetName val="PRD_01-97"/>
      <sheetName val="PRD_01-107"/>
      <sheetName val="PRD_01-117"/>
      <sheetName val="PRD_01-37"/>
      <sheetName val="PRD_01-47"/>
      <sheetName val="HRG_BHN7"/>
      <sheetName val="HARGA_MATERIAL7"/>
      <sheetName val="Analisa_STR7"/>
      <sheetName val="Fill_this_out_first___16"/>
      <sheetName val="Tabel_Berat7"/>
      <sheetName val="JKT_(2)7"/>
      <sheetName val="HB_4"/>
      <sheetName val="DAFTAR_73"/>
      <sheetName val="Isolasi_Luar_Dalam4"/>
      <sheetName val="Isolasi_Luar4"/>
      <sheetName val="Kuantitas_&amp;_Harga3"/>
      <sheetName val="BQ_ARS3"/>
      <sheetName val="RAB_T-95_BK3"/>
      <sheetName val="GTS_I_PS3"/>
      <sheetName val="SUM_2003"/>
      <sheetName val="_Rencana_Vol_per_Section3"/>
      <sheetName val="D_1_73"/>
      <sheetName val="D_1_53"/>
      <sheetName val="D_2_33"/>
      <sheetName val="D_2_23"/>
      <sheetName val="D_&amp;_W_sizes3"/>
      <sheetName val="hrg-sat_pek3"/>
      <sheetName val="struktur_tdk_dipakai3"/>
      <sheetName val="rekap_ahs3"/>
      <sheetName val="Currency_Rate3"/>
      <sheetName val="Urai__Resap_pengikat3"/>
      <sheetName val="an__struktur3"/>
      <sheetName val="H__Satuan3"/>
      <sheetName val="AHS__Keg3"/>
      <sheetName val="01A-_RAB3"/>
      <sheetName val="dongia_(2)3"/>
      <sheetName val="THPDMoi__(2)3"/>
      <sheetName val="TONG_HOP_VL-NC3"/>
      <sheetName val="TONGKE3p_3"/>
      <sheetName val="TH_VL,_NC,_DDHT_Thanhphuoc3"/>
      <sheetName val="DON_GIA3"/>
      <sheetName val="t-h_HA_THE3"/>
      <sheetName val="CHITIET_VL-NC-TT_-1p3"/>
      <sheetName val="TONG_HOP_VL-NC_TT3"/>
      <sheetName val="TH_XL3"/>
      <sheetName val="CHITIET_VL-NC3"/>
      <sheetName val="CHITIET_VL-NC-TT-3p3"/>
      <sheetName val="KPVC-BD_3"/>
      <sheetName val="Bahan_upah3"/>
      <sheetName val="On_Time3"/>
      <sheetName val="Eta-maxC_Lager3"/>
      <sheetName val="6_Felder_-_Md3"/>
      <sheetName val="AG25_inner_maxQ-Truck3"/>
      <sheetName val="6_Felder_-_maxQ3"/>
      <sheetName val="RAB_KapukII3"/>
      <sheetName val="Memb_Schd3"/>
      <sheetName val="Rekap_Direct_Cost3"/>
      <sheetName val="INPUT_DATAS3"/>
      <sheetName val="플랜트_설치3"/>
      <sheetName val="TABEL_BAJA3"/>
      <sheetName val="GLP's_and_PSPC's4"/>
      <sheetName val="Internal_Summary3"/>
      <sheetName val="BS_pricing4"/>
      <sheetName val="Project_Summary4"/>
      <sheetName val="Alloc_13"/>
      <sheetName val="BER_CAL3"/>
      <sheetName val="Problem_Class4"/>
      <sheetName val="AC_unit3"/>
      <sheetName val="EL_acc3"/>
      <sheetName val="EL_lamp3"/>
      <sheetName val="EL_outlet3"/>
      <sheetName val="Chiller_acc3"/>
      <sheetName val="Pipa_PL3"/>
      <sheetName val="PK_acc3"/>
      <sheetName val="PL_acc3"/>
      <sheetName val="PK_valve3"/>
      <sheetName val="PL_valve3"/>
      <sheetName val="AC_valve3"/>
      <sheetName val="PK_pipe3"/>
      <sheetName val="EL_kabel3"/>
      <sheetName val="AC_power3"/>
      <sheetName val="EL_tray3"/>
      <sheetName val="PL_power3"/>
      <sheetName val="PL_unit3"/>
      <sheetName val="PK_unit3"/>
      <sheetName val="EL_arde3"/>
      <sheetName val="Meth_3"/>
      <sheetName val="TYPE_A3"/>
      <sheetName val="TYPE_B3"/>
      <sheetName val="TYPE_C3"/>
      <sheetName val="TYPE_D3"/>
      <sheetName val="BOR_PILE3"/>
      <sheetName val="BASEMENT_PELATARAN3"/>
      <sheetName val="SIRKULASI,_PELATARAN,_EKSTERNA3"/>
      <sheetName val="JARINGAN_AIR_BERSIH3"/>
      <sheetName val="JARINGAN_LISTRIK3"/>
      <sheetName val="JARINGAN_TELEPHON3"/>
      <sheetName val="REKAP_ME3"/>
      <sheetName val="TYPIKAL_UNIT3"/>
      <sheetName val="Harga_Dasar3"/>
      <sheetName val="Basic_Price3"/>
      <sheetName val="RAB_PRO3"/>
      <sheetName val="AnalisaSIPIL_RIIL3"/>
      <sheetName val="Perm__Test3"/>
      <sheetName val="Galian_13"/>
      <sheetName val="uraian_analisa3"/>
      <sheetName val="DATA_PROYEK3"/>
      <sheetName val="RBP-_23"/>
      <sheetName val="REKAP_TOTAL3"/>
      <sheetName val="REKAP_STR3"/>
      <sheetName val="REKAP_UNIT3"/>
      <sheetName val="D_3_1_Dinding3"/>
      <sheetName val="H_S_D3"/>
      <sheetName val="hARGA_SAT3"/>
      <sheetName val="BARU-4_3"/>
      <sheetName val="REF_ONLY3"/>
      <sheetName val="Analisa_Upah_&amp;_Bahan_Plum3"/>
      <sheetName val="CPO_16-9-TID_3"/>
      <sheetName val="REKAP_A_BESAR3"/>
      <sheetName val="DIV_1"/>
      <sheetName val="DIV_2"/>
      <sheetName val="DIV_2a"/>
      <sheetName val="DIV_2a_(2)"/>
      <sheetName val="DIV_2a_BET"/>
      <sheetName val="DIV_2a_TUL"/>
      <sheetName val="DIV_2b"/>
      <sheetName val="DIV_2b_(2)"/>
      <sheetName val="DIV_2c"/>
      <sheetName val="DIV_2d"/>
      <sheetName val="DIV_3"/>
      <sheetName val="DIV_5"/>
      <sheetName val="DIV_6"/>
      <sheetName val="DIV_8"/>
      <sheetName val="DIV_8_a"/>
      <sheetName val="DIV_9"/>
      <sheetName val="Gudang_non_AC-AC_Struktur"/>
      <sheetName val="Cover_Daf_2"/>
      <sheetName val="BOQ_CBM"/>
      <sheetName val="D___W_sizes"/>
      <sheetName val="Ana_Fin"/>
      <sheetName val="An_Arsitektur"/>
      <sheetName val="An_Struktur"/>
      <sheetName val="9_PEK-HARIAN"/>
      <sheetName val="2_3_5-Bsmt-Elc_(ADD)"/>
      <sheetName val="2_3_6-Bsmt-Fire"/>
      <sheetName val="3_3_1-Apt-Sanitary_(AD)"/>
      <sheetName val="3_3_2-Apt-Plb"/>
      <sheetName val="3_3_2-Apt-Plb_(ADD)"/>
      <sheetName val="3_3_3-Apt-AC"/>
      <sheetName val="3_3_5-Apt-Elc_(ADD)"/>
      <sheetName val="3_3_6-Apt-Fire"/>
      <sheetName val="6_1_Genset"/>
      <sheetName val="2_3_5-Bsmt-AC_(ADD)"/>
      <sheetName val="2_3_3-Bsmt-AC_(ADD)"/>
      <sheetName val="Bill_rekap"/>
      <sheetName val="Bill_of_Qty"/>
      <sheetName val="Form_PKT"/>
      <sheetName val="Volume_(2)"/>
      <sheetName val="AT_2"/>
      <sheetName val="Mech__BQ"/>
      <sheetName val="Upah_"/>
      <sheetName val="Daftar_Harga"/>
      <sheetName val="Gal_tanah"/>
      <sheetName val="PROTECTION_"/>
      <sheetName val="DAF_HRG"/>
      <sheetName val="2__MVAC_R1"/>
      <sheetName val="S-curve_MKBC"/>
      <sheetName val="Material_Bangunan"/>
      <sheetName val="Analisa_Bang"/>
      <sheetName val="B__Arch"/>
      <sheetName val="SUM-PRO_(4)10"/>
      <sheetName val="SUM-PRO_(3)10"/>
      <sheetName val="SUM-PRO_(2)10"/>
      <sheetName val="SEX_(4)10"/>
      <sheetName val="SEX_(3)10"/>
      <sheetName val="SEX_(2)10"/>
      <sheetName val="B_-_Norelec10"/>
      <sheetName val="Unit_Rate9"/>
      <sheetName val="Cover_Daf-28"/>
      <sheetName val="Fill_this_out_first___17"/>
      <sheetName val="Cash_Flow_bulanan8"/>
      <sheetName val="Daftar_Upah8"/>
      <sheetName val="H_Satuan8"/>
      <sheetName val="Bill_of_Qty_MEP8"/>
      <sheetName val="RAB_AR&amp;STR8"/>
      <sheetName val="4-Basic_Price8"/>
      <sheetName val="PRD_01-78"/>
      <sheetName val="PRD_01-88"/>
      <sheetName val="PRD_01-98"/>
      <sheetName val="PRD_01-108"/>
      <sheetName val="PRD_01-118"/>
      <sheetName val="PRD_01-38"/>
      <sheetName val="PRD_01-48"/>
      <sheetName val="HRG_BHN8"/>
      <sheetName val="HARGA_MATERIAL8"/>
      <sheetName val="Analisa_STR8"/>
      <sheetName val="Fill_this_out_first___18"/>
      <sheetName val="Tabel_Berat8"/>
      <sheetName val="JKT_(2)8"/>
      <sheetName val="HB_5"/>
      <sheetName val="DAFTAR_74"/>
      <sheetName val="Isolasi_Luar_Dalam5"/>
      <sheetName val="Isolasi_Luar5"/>
      <sheetName val="Kuantitas_&amp;_Harga4"/>
      <sheetName val="BQ_ARS4"/>
      <sheetName val="RAB_T-95_BK4"/>
      <sheetName val="GTS_I_PS4"/>
      <sheetName val="SUM_2004"/>
      <sheetName val="_Rencana_Vol_per_Section4"/>
      <sheetName val="D_1_74"/>
      <sheetName val="D_1_54"/>
      <sheetName val="D_2_34"/>
      <sheetName val="D_2_24"/>
      <sheetName val="D_&amp;_W_sizes4"/>
      <sheetName val="hrg-sat_pek4"/>
      <sheetName val="struktur_tdk_dipakai4"/>
      <sheetName val="rekap_ahs4"/>
      <sheetName val="Currency_Rate4"/>
      <sheetName val="Urai__Resap_pengikat4"/>
      <sheetName val="an__struktur4"/>
      <sheetName val="H__Satuan4"/>
      <sheetName val="AHS__Keg4"/>
      <sheetName val="01A-_RAB4"/>
      <sheetName val="dongia_(2)4"/>
      <sheetName val="THPDMoi__(2)4"/>
      <sheetName val="TONG_HOP_VL-NC4"/>
      <sheetName val="TONGKE3p_4"/>
      <sheetName val="TH_VL,_NC,_DDHT_Thanhphuoc4"/>
      <sheetName val="DON_GIA4"/>
      <sheetName val="t-h_HA_THE4"/>
      <sheetName val="CHITIET_VL-NC-TT_-1p4"/>
      <sheetName val="TONG_HOP_VL-NC_TT4"/>
      <sheetName val="TH_XL4"/>
      <sheetName val="CHITIET_VL-NC4"/>
      <sheetName val="CHITIET_VL-NC-TT-3p4"/>
      <sheetName val="KPVC-BD_4"/>
      <sheetName val="Bahan_upah4"/>
      <sheetName val="On_Time4"/>
      <sheetName val="Eta-maxC_Lager4"/>
      <sheetName val="6_Felder_-_Md4"/>
      <sheetName val="AG25_inner_maxQ-Truck4"/>
      <sheetName val="6_Felder_-_maxQ4"/>
      <sheetName val="RAB_KapukII4"/>
      <sheetName val="Memb_Schd4"/>
      <sheetName val="Rekap_Direct_Cost4"/>
      <sheetName val="INPUT_DATAS4"/>
      <sheetName val="플랜트_설치4"/>
      <sheetName val="TABEL_BAJA4"/>
      <sheetName val="GLP's_and_PSPC's5"/>
      <sheetName val="Internal_Summary4"/>
      <sheetName val="BS_pricing5"/>
      <sheetName val="Project_Summary5"/>
      <sheetName val="Alloc_14"/>
      <sheetName val="BER_CAL4"/>
      <sheetName val="Problem_Class5"/>
      <sheetName val="AC_unit4"/>
      <sheetName val="EL_acc4"/>
      <sheetName val="EL_lamp4"/>
      <sheetName val="EL_outlet4"/>
      <sheetName val="Chiller_acc4"/>
      <sheetName val="Pipa_PL4"/>
      <sheetName val="PK_acc4"/>
      <sheetName val="PL_acc4"/>
      <sheetName val="PK_valve4"/>
      <sheetName val="PL_valve4"/>
      <sheetName val="AC_valve4"/>
      <sheetName val="PK_pipe4"/>
      <sheetName val="EL_kabel4"/>
      <sheetName val="AC_power4"/>
      <sheetName val="EL_tray4"/>
      <sheetName val="PL_power4"/>
      <sheetName val="PL_unit4"/>
      <sheetName val="PK_unit4"/>
      <sheetName val="EL_arde4"/>
      <sheetName val="Meth_4"/>
      <sheetName val="TYPE_A4"/>
      <sheetName val="TYPE_B4"/>
      <sheetName val="TYPE_C4"/>
      <sheetName val="TYPE_D4"/>
      <sheetName val="BOR_PILE4"/>
      <sheetName val="BASEMENT_PELATARAN4"/>
      <sheetName val="SIRKULASI,_PELATARAN,_EKSTERNA4"/>
      <sheetName val="JARINGAN_AIR_BERSIH4"/>
      <sheetName val="JARINGAN_LISTRIK4"/>
      <sheetName val="JARINGAN_TELEPHON4"/>
      <sheetName val="REKAP_ME4"/>
      <sheetName val="TYPIKAL_UNIT4"/>
      <sheetName val="Harga_Dasar4"/>
      <sheetName val="Basic_Price4"/>
      <sheetName val="RAB_PRO4"/>
      <sheetName val="AnalisaSIPIL_RIIL4"/>
      <sheetName val="Perm__Test4"/>
      <sheetName val="Galian_14"/>
      <sheetName val="uraian_analisa4"/>
      <sheetName val="DATA_PROYEK4"/>
      <sheetName val="RBP-_24"/>
      <sheetName val="REKAP_TOTAL4"/>
      <sheetName val="REKAP_STR4"/>
      <sheetName val="REKAP_UNIT4"/>
      <sheetName val="D_3_1_Dinding4"/>
      <sheetName val="H_S_D4"/>
      <sheetName val="Hrg_Sat1"/>
      <sheetName val="hARGA_SAT4"/>
      <sheetName val="BARU-4_4"/>
      <sheetName val="REF_ONLY4"/>
      <sheetName val="Analisa_Upah_&amp;_Bahan_Plum4"/>
      <sheetName val="SUB_TOTAL_1"/>
      <sheetName val="Daf_Pekerjaan1"/>
      <sheetName val="ocean_voyage1"/>
      <sheetName val="tb__besi1"/>
      <sheetName val="CPO_16-9-TID_4"/>
      <sheetName val="REKAP_A_BESAR4"/>
      <sheetName val="Ahs_21"/>
      <sheetName val="Ahs_11"/>
      <sheetName val="Rekap_Addendum1"/>
      <sheetName val="BQ_Dudukan_Fascade_OT_KC1"/>
      <sheetName val="ANALISA_HARGA_SATUAN1"/>
      <sheetName val="ah_sanitary3"/>
      <sheetName val="Analisa_Alat3"/>
      <sheetName val="DIV_11"/>
      <sheetName val="DIV_21"/>
      <sheetName val="DIV_2a1"/>
      <sheetName val="DIV_2a_(2)1"/>
      <sheetName val="DIV_2a_BET1"/>
      <sheetName val="DIV_2a_TUL1"/>
      <sheetName val="DIV_2b1"/>
      <sheetName val="DIV_2b_(2)1"/>
      <sheetName val="DIV_2c1"/>
      <sheetName val="DIV_2d1"/>
      <sheetName val="DIV_31"/>
      <sheetName val="DIV_51"/>
      <sheetName val="DIV_61"/>
      <sheetName val="DIV_81"/>
      <sheetName val="DIV_8_a1"/>
      <sheetName val="DIV_91"/>
      <sheetName val="Gudang_non_AC-AC_Struktur1"/>
      <sheetName val="rab_j173"/>
      <sheetName val="Cover_Daf_21"/>
      <sheetName val="BOQ_CBM1"/>
      <sheetName val="D___W_sizes1"/>
      <sheetName val="Ana_Fin1"/>
      <sheetName val="PRICE_(2)1"/>
      <sheetName val="An_Arsitektur1"/>
      <sheetName val="An_Struktur1"/>
      <sheetName val="9_PEK-HARIAN1"/>
      <sheetName val="2_3_5-Bsmt-Elc_(ADD)1"/>
      <sheetName val="2_3_6-Bsmt-Fire1"/>
      <sheetName val="3_3_1-Apt-Sanitary_(AD)1"/>
      <sheetName val="3_3_2-Apt-Plb1"/>
      <sheetName val="3_3_2-Apt-Plb_(ADD)1"/>
      <sheetName val="3_3_3-Apt-AC1"/>
      <sheetName val="3_3_5-Apt-Elc_(ADD)1"/>
      <sheetName val="3_3_6-Apt-Fire1"/>
      <sheetName val="6_1_Genset1"/>
      <sheetName val="2_3_5-Bsmt-AC_(ADD)1"/>
      <sheetName val="2_3_3-Bsmt-AC_(ADD)1"/>
      <sheetName val="Bill_rekap1"/>
      <sheetName val="Bill_of_Qty1"/>
      <sheetName val="Form_PKT1"/>
      <sheetName val="Volume_(2)1"/>
      <sheetName val="AT_21"/>
      <sheetName val="Mech__BQ1"/>
      <sheetName val="Upah_1"/>
      <sheetName val="Daftar_Harga1"/>
      <sheetName val="harga_dasar_T-M-A1"/>
      <sheetName val="Anls_teknis1"/>
      <sheetName val="Gal_tanah1"/>
      <sheetName val="PROTECTION_1"/>
      <sheetName val="DAF_HRG1"/>
      <sheetName val="2__MVAC_R11"/>
      <sheetName val="S-curve_MKBC1"/>
      <sheetName val="Material_Bangunan1"/>
      <sheetName val="Analisa_Bang1"/>
      <sheetName val="B__Arch1"/>
      <sheetName val="Rekap "/>
      <sheetName val="Transfer Master"/>
      <sheetName val="Transfer"/>
      <sheetName val="K3-Gaji Kontrak"/>
      <sheetName val="Gaji Kontrak"/>
      <sheetName val="K3-Honor"/>
      <sheetName val="Kwitansi Honor"/>
      <sheetName val="Statprod gab"/>
      <sheetName val="2-resume"/>
      <sheetName val="Scurty"/>
      <sheetName val="Power House"/>
      <sheetName val="BOOsTER PUMP"/>
      <sheetName val="Additional"/>
      <sheetName val="NP (2)"/>
      <sheetName val="SIRKULASI, PELATAR?廛"/>
      <sheetName val="Master"/>
      <sheetName val="SIRKULASI, PELATAR_xdcdd_廛"/>
      <sheetName val="PKK"/>
      <sheetName val="発注稟議決裁処理フロー"/>
      <sheetName val="ﾃﾞｰﾀ入力ｼｰﾄ"/>
      <sheetName val="発注稟議書"/>
      <sheetName val="対象予算（今後所要）"/>
      <sheetName val="業者見積り"/>
      <sheetName val="前渡金支払申請書"/>
      <sheetName val="発注稟議書2頁目"/>
      <sheetName val="ｺｰﾄﾞ表"/>
      <sheetName val="Procurement Approval Form"/>
      <sheetName val="New Box(20022018)"/>
      <sheetName val="出図表"/>
      <sheetName val="IPL_SCHEDULE"/>
      <sheetName val="BQ (Case-A Rev-2)"/>
      <sheetName val="SUM (CASE-A Rev-2)"/>
      <sheetName val="Sheet3"/>
      <sheetName val="BQ (Case-A Rev-2) (2)"/>
      <sheetName val="Analisa 2"/>
      <sheetName val="STAF"/>
      <sheetName val="基本"/>
      <sheetName val="BÁO GIÁ TỔNG"/>
      <sheetName val="6MONTHS"/>
      <sheetName val="NKC6"/>
      <sheetName val="単価表"/>
      <sheetName val="Architectural（建築）"/>
      <sheetName val="Measured Qty Demarcation"/>
      <sheetName val="Floor Area 24 June 2019"/>
      <sheetName val="Floor Area 31 July 2019"/>
      <sheetName val="Floor Area 12 July 2019"/>
      <sheetName val="Exchange rate 2019.07"/>
      <sheetName val="Elektrikal"/>
      <sheetName val="JAN2002"/>
      <sheetName val="price"/>
      <sheetName val="Harsat Bahan"/>
      <sheetName val="Harsat Upah"/>
      <sheetName val="대비표"/>
      <sheetName val="BONGKARAN"/>
      <sheetName val="STR-ARS OFFICE"/>
      <sheetName val="STR-ARS BAKHUM"/>
      <sheetName val="REKAP MEK BAKHUM"/>
      <sheetName val="1.MEKANIKAL DAKSINAPATI"/>
      <sheetName val="REKAP ELEKT BAKHUM"/>
      <sheetName val="2.ELEKTRIKAL DAKSINAPATI"/>
      <sheetName val="숯䈸숀䈶ༀ"/>
      <sheetName val="SIRKULASI, PELATAR_xdcdd_廛_x00"/>
      <sheetName val="_x0000_Â8B_x0000__x0000__x0000_"/>
      <sheetName val="숯䈸숀䈶ༀ_x0000_ༀ_x0000_Ā_x0000_䐀ሑℰ"/>
      <sheetName val="SIRKULASI, PELATAR_廛"/>
      <sheetName val="Corptax2003"/>
      <sheetName val="5_EMT1-MASTER_SCH_S_curve_(r_1)"/>
      <sheetName val="Compressor_Air_Blow_Cleaning"/>
      <sheetName val="DHS_AC"/>
      <sheetName val="Fire_Fighting"/>
      <sheetName val="Item_Kompensasi"/>
      <sheetName val="My_Kitchen"/>
      <sheetName val="SIRKULASI,_PELATAR廛ഀ쮚Ԁ퀀"/>
      <sheetName val="FORM_X_COST"/>
      <sheetName val="MEP"/>
      <sheetName val="page 1"/>
      <sheetName val="Analisa ELC"/>
      <sheetName val="Titik"/>
      <sheetName val="Eqp. EL"/>
      <sheetName val="Eqp. ELC"/>
      <sheetName val="Grounding"/>
      <sheetName val="SIRKULASI, PELATAR廛"/>
      <sheetName val="TEST LINK"/>
      <sheetName val="KURS VALAS"/>
      <sheetName val="SATUAN"/>
      <sheetName val="DIMENSI STEEL PROFIL"/>
      <sheetName val="DIMENSI PIPA"/>
      <sheetName val="SIZE Fitting Pipa"/>
      <sheetName val="TOP"/>
      <sheetName val="CORET KERAMIK"/>
      <sheetName val="ICT"/>
      <sheetName val="TENAGA KERJA 2019-A"/>
      <sheetName val="SATUAN UPAH"/>
      <sheetName val="CORET MASTER"/>
      <sheetName val="AHS MASTER"/>
      <sheetName val="mob (2)"/>
      <sheetName val="Aggr"/>
      <sheetName val="BAG_2"/>
      <sheetName val="Readme"/>
      <sheetName val="L"/>
      <sheetName val="F801"/>
      <sheetName val="F802"/>
      <sheetName val="Breakdown"/>
      <sheetName val="Costing"/>
      <sheetName val="BMS IO"/>
      <sheetName val="IO Summary"/>
      <sheetName val="Labour"/>
      <sheetName val="Installation"/>
      <sheetName val="Weekly"/>
      <sheetName val="UP MINOR"/>
      <sheetName val="Harga Bahan"/>
      <sheetName val="SNI"/>
      <sheetName val="SNI STRUKTUR"/>
      <sheetName val="Volume"/>
      <sheetName val="Mob"/>
      <sheetName val="D7"/>
      <sheetName val="Jadwal"/>
      <sheetName val="CAB 2"/>
      <sheetName val="AnlSpek"/>
      <sheetName val="BQ Detail"/>
      <sheetName val="KH-Q1,Q2,01"/>
      <sheetName val="4334-Summary"/>
      <sheetName val="Konfirm"/>
      <sheetName val="Analis Kusen okk"/>
      <sheetName val="HRG BAHAN &amp; UPAH okk"/>
      <sheetName val="PNT"/>
      <sheetName val="upah_borong"/>
      <sheetName val="satuan_pek"/>
      <sheetName val="10"/>
      <sheetName val="5"/>
      <sheetName val="uph"/>
      <sheetName val="Har Sat"/>
      <sheetName val="Sumber Daya"/>
      <sheetName val="General_Schedule"/>
      <sheetName val="Analisa_H_Sat_Pek_"/>
      <sheetName val="H_Material,_Upah_&amp;_Alat"/>
      <sheetName val="1_Entry_data_"/>
      <sheetName val="SLNK_(1)"/>
      <sheetName val="Sat_Bah___Up"/>
      <sheetName val="ANALISA_PEK_UMUM"/>
      <sheetName val="UPAH_DAN_BAHAN"/>
      <sheetName val="Harga_Sat_Dasar"/>
      <sheetName val="Basic_P"/>
      <sheetName val="supporting_data"/>
      <sheetName val="Rekap_RAB_Amd"/>
      <sheetName val="Dftr_Kuan_Hrg_Amd"/>
      <sheetName val="LAMPU_&amp;_STK"/>
      <sheetName val="AHS_SAKLAR_&amp;STK"/>
      <sheetName val="AHS_LAMPU"/>
      <sheetName val="AHS_INSTALASI"/>
      <sheetName val="AHS_PANEL"/>
      <sheetName val="AHS_TRAFO"/>
      <sheetName val="AHS_KABEL"/>
      <sheetName val="AHS_TRAY_"/>
      <sheetName val="AHS_PHBUTM"/>
      <sheetName val="jadual_material"/>
      <sheetName val="MASTER_1"/>
      <sheetName val="jadual_bobot"/>
      <sheetName val="Trading_Statement"/>
      <sheetName val="Harga_Bahan"/>
      <sheetName val="SNI_STRUKTUR"/>
      <sheetName val="Eq. Mobilization"/>
      <sheetName val="UPH,BHN,ALT"/>
      <sheetName val="ANALISA railing"/>
      <sheetName val="Vibro_Roller"/>
      <sheetName val="Boq-civil"/>
      <sheetName val="Urugan Pasir"/>
      <sheetName val="Master Edit"/>
      <sheetName val="REKAP MEP GD.I"/>
      <sheetName val="RAB MEP GD.I"/>
      <sheetName val="REKAP MEP GD.K"/>
      <sheetName val="RAB MEP GD.K"/>
      <sheetName val="8LT 12"/>
      <sheetName val="Resume Investasi Awal"/>
      <sheetName val="Rincian Penjualan Tahunan"/>
      <sheetName val="Rincian Biaya Operasional"/>
      <sheetName val="Rincian Belanja Alat Dapur"/>
      <sheetName val="Rincian Belanja Keb Karyawan"/>
      <sheetName val="DB MTC SKJ "/>
      <sheetName val="MASTER BAHAN ME"/>
      <sheetName val="UPAH &amp; BHN ARS"/>
      <sheetName val="AHS ARS"/>
      <sheetName val="FA"/>
      <sheetName val="SOUND"/>
      <sheetName val="CCTV"/>
      <sheetName val="ACCESS"/>
      <sheetName val="GPON"/>
      <sheetName val="RACK_EC"/>
      <sheetName val="GR_EC"/>
      <sheetName val="SS"/>
      <sheetName val="A.Card"/>
      <sheetName val="TLP"/>
      <sheetName val="TP"/>
      <sheetName val="D.Kamar"/>
      <sheetName val="SPEC"/>
      <sheetName val="Rekap Biaya"/>
      <sheetName val="PAKET2-namohalu"/>
      <sheetName val="Hargamat"/>
      <sheetName val="daftar upah,bahan,alat"/>
      <sheetName val="Rupiah"/>
      <sheetName val="HK&amp;Mat"/>
      <sheetName val="Fin-model"/>
      <sheetName val="JSiar"/>
      <sheetName val="3-DIV10"/>
      <sheetName val="3-DIV8"/>
      <sheetName val="pemel-rutin"/>
      <sheetName val="3-DIV2"/>
      <sheetName val="3-DIV3"/>
      <sheetName val="3-DIV5"/>
      <sheetName val="3-DIV6"/>
      <sheetName val="3-DIV7"/>
      <sheetName val="Py.Schedule"/>
      <sheetName val="Rekap_"/>
      <sheetName val="Transfer_Master"/>
      <sheetName val="K3-Gaji_Kontrak"/>
      <sheetName val="Gaji_Kontrak"/>
      <sheetName val="Kwitansi_Honor"/>
      <sheetName val="Statprod_gab"/>
      <sheetName val="Act_Bgdt"/>
      <sheetName val="MA"/>
      <sheetName val="grpsr2"/>
      <sheetName val="AHS"/>
      <sheetName val="SITE ORG.CHART"/>
      <sheetName val="SITE MANNING"/>
      <sheetName val="Uraian"/>
      <sheetName val="Power_SG"/>
      <sheetName val="Process Data"/>
      <sheetName val="database"/>
      <sheetName val="HARGA ALAT"/>
      <sheetName val="BOQ_Aula"/>
      <sheetName val="Kolom UT"/>
      <sheetName val="HB"/>
      <sheetName val="SAT-DAS"/>
      <sheetName val="QUARI"/>
      <sheetName val="SIRKULASI, PELATAR?廛_x0000_ഀ쮚_x0000__x0000_Ԁ_x0000_퀀"/>
      <sheetName val="daf_1"/>
      <sheetName val="Project List"/>
      <sheetName val="Rek_SA"/>
      <sheetName val="ES_T_B_C"/>
      <sheetName val="Spec_ME"/>
      <sheetName val="Sat_Bah_&amp;_Up"/>
      <sheetName val="PO_"/>
      <sheetName val="TABEL_ORDER"/>
      <sheetName val="TABEL_BOOK"/>
      <sheetName val="Balok_L_2"/>
      <sheetName val="jadw"/>
      <sheetName val="Diffuser, Grille R1"/>
      <sheetName val="FAN"/>
      <sheetName val="CFS3"/>
      <sheetName val="Peralatan (2)"/>
      <sheetName val="Daf 1"/>
      <sheetName val="FitOutConfCent_x0010__x0000_"/>
      <sheetName val="FitOutConfCent_x0005__x0000_"/>
      <sheetName val="FitOutConfCent §"/>
      <sheetName val="FitOutConfCent_x0000_Î"/>
      <sheetName val="FitOutConfCenttó"/>
      <sheetName val="FitOutConfCent_x0010_"/>
      <sheetName val="FitOutConfCent_x0005_"/>
      <sheetName val="FitOutConfCent"/>
      <sheetName val="Master 1.0"/>
      <sheetName val="Duc_3"/>
      <sheetName val="ABB_Trans"/>
      <sheetName val="Main Feeder"/>
      <sheetName val="Capacitor"/>
      <sheetName val="Input_Data-1"/>
      <sheetName val="PE Wire"/>
      <sheetName val="XLPE_Cable"/>
      <sheetName val="電気設備表"/>
      <sheetName val="COMP"/>
      <sheetName val="钢管人工"/>
      <sheetName val="一発シート"/>
      <sheetName val="预算"/>
      <sheetName val="GIAVLIEU"/>
      <sheetName val="Manpower (M)"/>
      <sheetName val="Site Infrastructure"/>
      <sheetName val="L3 An H Sat Mob"/>
      <sheetName val="Embank"/>
      <sheetName val="Jenis Pekerjaan"/>
      <sheetName val="Harga Satuan"/>
      <sheetName val="Terbilang &quot;Risalah DP&quot;"/>
      <sheetName val="Terbilang &quot;Risalah&quot;"/>
      <sheetName val="Password PPN"/>
      <sheetName val="rt2"/>
      <sheetName val="Index Proyek"/>
      <sheetName val="Data Rekanan"/>
      <sheetName val="Harga dan Jenis Pekerjaan"/>
      <sheetName val="Data Risalah"/>
      <sheetName val="Rumus Terbilang"/>
      <sheetName val="Data Rekap Berita Acara"/>
      <sheetName val="RISALAH Termin"/>
      <sheetName val="BA Progress"/>
      <sheetName val="BA PEMBAYARAN"/>
      <sheetName val="RISALAH DP"/>
      <sheetName val="BA PEMBAYARAN DP"/>
      <sheetName val="BA PO"/>
      <sheetName val="RISALAH Retensi"/>
      <sheetName val="BA Retensi"/>
      <sheetName val="304-06"/>
      <sheetName val="Ch"/>
      <sheetName val="telp"/>
      <sheetName val="bank-data"/>
      <sheetName val="FR"/>
      <sheetName val="Analisa Gabungan"/>
      <sheetName val="Sub"/>
      <sheetName val="TE TS FA LAN MATV"/>
      <sheetName val="갑지"/>
      <sheetName val="内訳"/>
      <sheetName val="ANSAT"/>
      <sheetName val="SPJ"/>
      <sheetName val="Penawaran"/>
      <sheetName val="BQ Banding "/>
      <sheetName val="VERSI-PP"/>
      <sheetName val="RBP-1"/>
      <sheetName val="Des"/>
      <sheetName val="Connections"/>
      <sheetName val="DWTables"/>
      <sheetName val="DivVII"/>
      <sheetName val="CH-RANC"/>
      <sheetName val="Page2"/>
      <sheetName val="Hx_A"/>
      <sheetName val="Sat~Bahu"/>
      <sheetName val="Lamp_V"/>
      <sheetName val="RINCIAN BPP"/>
      <sheetName val="OP. ALAT"/>
      <sheetName val="OP. PERJAM"/>
      <sheetName val="B. PERSONIL"/>
      <sheetName val="KAN. LOKAL"/>
      <sheetName val="HM.MEK."/>
      <sheetName val="Koordinat"/>
      <sheetName val="Kolom"/>
      <sheetName val="손익차9월2"/>
      <sheetName val="PRO_COAL"/>
      <sheetName val="Unit List"/>
      <sheetName val="04"/>
      <sheetName val="07"/>
      <sheetName val="08"/>
      <sheetName val="05"/>
      <sheetName val="06"/>
      <sheetName val="HSD"/>
      <sheetName val="Daf-Harg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
          <cell r="P7" t="str">
            <v xml:space="preserve">B U D G E T A R Y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sheetData sheetId="760" refreshError="1"/>
      <sheetData sheetId="761"/>
      <sheetData sheetId="762" refreshError="1"/>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refreshError="1"/>
      <sheetData sheetId="783"/>
      <sheetData sheetId="784"/>
      <sheetData sheetId="785"/>
      <sheetData sheetId="786" refreshError="1"/>
      <sheetData sheetId="787" refreshError="1"/>
      <sheetData sheetId="788" refreshError="1"/>
      <sheetData sheetId="789" refreshError="1"/>
      <sheetData sheetId="790"/>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sheetData sheetId="802"/>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refreshError="1"/>
      <sheetData sheetId="818"/>
      <sheetData sheetId="819"/>
      <sheetData sheetId="820" refreshError="1"/>
      <sheetData sheetId="821" refreshError="1"/>
      <sheetData sheetId="822"/>
      <sheetData sheetId="823"/>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sheetData sheetId="918"/>
      <sheetData sheetId="919"/>
      <sheetData sheetId="920"/>
      <sheetData sheetId="921">
        <row r="7">
          <cell r="P7">
            <v>0</v>
          </cell>
        </row>
      </sheetData>
      <sheetData sheetId="922">
        <row r="7">
          <cell r="P7">
            <v>0</v>
          </cell>
        </row>
      </sheetData>
      <sheetData sheetId="923">
        <row r="7">
          <cell r="P7">
            <v>0</v>
          </cell>
        </row>
      </sheetData>
      <sheetData sheetId="924">
        <row r="7">
          <cell r="P7">
            <v>0</v>
          </cell>
        </row>
      </sheetData>
      <sheetData sheetId="925">
        <row r="7">
          <cell r="P7">
            <v>0</v>
          </cell>
        </row>
      </sheetData>
      <sheetData sheetId="926">
        <row r="7">
          <cell r="P7">
            <v>0</v>
          </cell>
        </row>
      </sheetData>
      <sheetData sheetId="927">
        <row r="7">
          <cell r="P7">
            <v>0</v>
          </cell>
        </row>
      </sheetData>
      <sheetData sheetId="928">
        <row r="7">
          <cell r="P7">
            <v>0</v>
          </cell>
        </row>
      </sheetData>
      <sheetData sheetId="929">
        <row r="7">
          <cell r="P7">
            <v>0</v>
          </cell>
        </row>
      </sheetData>
      <sheetData sheetId="930"/>
      <sheetData sheetId="931"/>
      <sheetData sheetId="932">
        <row r="7">
          <cell r="P7">
            <v>0</v>
          </cell>
        </row>
      </sheetData>
      <sheetData sheetId="933"/>
      <sheetData sheetId="934"/>
      <sheetData sheetId="935"/>
      <sheetData sheetId="936"/>
      <sheetData sheetId="937"/>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sheetData sheetId="969" refreshError="1"/>
      <sheetData sheetId="970"/>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ow r="7">
          <cell r="P7">
            <v>0</v>
          </cell>
        </row>
      </sheetData>
      <sheetData sheetId="1019">
        <row r="7">
          <cell r="P7">
            <v>0</v>
          </cell>
        </row>
      </sheetData>
      <sheetData sheetId="1020">
        <row r="7">
          <cell r="P7">
            <v>0</v>
          </cell>
        </row>
      </sheetData>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refreshError="1"/>
      <sheetData sheetId="1063" refreshError="1"/>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refreshError="1"/>
      <sheetData sheetId="1099" refreshError="1"/>
      <sheetData sheetId="1100" refreshError="1"/>
      <sheetData sheetId="1101"/>
      <sheetData sheetId="1102"/>
      <sheetData sheetId="1103" refreshError="1"/>
      <sheetData sheetId="1104" refreshError="1"/>
      <sheetData sheetId="1105" refreshError="1"/>
      <sheetData sheetId="1106" refreshError="1"/>
      <sheetData sheetId="1107"/>
      <sheetData sheetId="1108"/>
      <sheetData sheetId="1109"/>
      <sheetData sheetId="1110"/>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row r="7">
          <cell r="P7">
            <v>0</v>
          </cell>
        </row>
      </sheetData>
      <sheetData sheetId="1220">
        <row r="7">
          <cell r="P7">
            <v>0</v>
          </cell>
        </row>
      </sheetData>
      <sheetData sheetId="1221">
        <row r="7">
          <cell r="P7">
            <v>0</v>
          </cell>
        </row>
      </sheetData>
      <sheetData sheetId="1222">
        <row r="7">
          <cell r="P7">
            <v>0</v>
          </cell>
        </row>
      </sheetData>
      <sheetData sheetId="1223"/>
      <sheetData sheetId="1224"/>
      <sheetData sheetId="1225">
        <row r="7">
          <cell r="P7">
            <v>0</v>
          </cell>
        </row>
      </sheetData>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row r="7">
          <cell r="P7">
            <v>0</v>
          </cell>
        </row>
      </sheetData>
      <sheetData sheetId="1244">
        <row r="7">
          <cell r="P7">
            <v>0</v>
          </cell>
        </row>
      </sheetData>
      <sheetData sheetId="1245">
        <row r="7">
          <cell r="P7">
            <v>0</v>
          </cell>
        </row>
      </sheetData>
      <sheetData sheetId="1246">
        <row r="7">
          <cell r="P7">
            <v>0</v>
          </cell>
        </row>
      </sheetData>
      <sheetData sheetId="1247">
        <row r="7">
          <cell r="P7">
            <v>0</v>
          </cell>
        </row>
      </sheetData>
      <sheetData sheetId="1248"/>
      <sheetData sheetId="1249">
        <row r="7">
          <cell r="P7">
            <v>0</v>
          </cell>
        </row>
      </sheetData>
      <sheetData sheetId="1250">
        <row r="7">
          <cell r="P7">
            <v>0</v>
          </cell>
        </row>
      </sheetData>
      <sheetData sheetId="1251"/>
      <sheetData sheetId="1252"/>
      <sheetData sheetId="1253"/>
      <sheetData sheetId="1254"/>
      <sheetData sheetId="1255"/>
      <sheetData sheetId="1256"/>
      <sheetData sheetId="1257"/>
      <sheetData sheetId="1258"/>
      <sheetData sheetId="1259"/>
      <sheetData sheetId="1260"/>
      <sheetData sheetId="1261"/>
      <sheetData sheetId="1262">
        <row r="7">
          <cell r="P7">
            <v>0</v>
          </cell>
        </row>
      </sheetData>
      <sheetData sheetId="1263">
        <row r="7">
          <cell r="P7">
            <v>0</v>
          </cell>
        </row>
      </sheetData>
      <sheetData sheetId="1264"/>
      <sheetData sheetId="1265">
        <row r="7">
          <cell r="P7">
            <v>0</v>
          </cell>
        </row>
      </sheetData>
      <sheetData sheetId="1266">
        <row r="7">
          <cell r="P7">
            <v>0</v>
          </cell>
        </row>
      </sheetData>
      <sheetData sheetId="1267">
        <row r="7">
          <cell r="P7">
            <v>0</v>
          </cell>
        </row>
      </sheetData>
      <sheetData sheetId="1268">
        <row r="7">
          <cell r="P7">
            <v>0</v>
          </cell>
        </row>
      </sheetData>
      <sheetData sheetId="1269">
        <row r="7">
          <cell r="P7">
            <v>0</v>
          </cell>
        </row>
      </sheetData>
      <sheetData sheetId="1270">
        <row r="7">
          <cell r="P7">
            <v>0</v>
          </cell>
        </row>
      </sheetData>
      <sheetData sheetId="1271">
        <row r="7">
          <cell r="P7">
            <v>0</v>
          </cell>
        </row>
      </sheetData>
      <sheetData sheetId="1272">
        <row r="7">
          <cell r="P7">
            <v>0</v>
          </cell>
        </row>
      </sheetData>
      <sheetData sheetId="1273">
        <row r="7">
          <cell r="P7">
            <v>0</v>
          </cell>
        </row>
      </sheetData>
      <sheetData sheetId="1274">
        <row r="7">
          <cell r="P7">
            <v>0</v>
          </cell>
        </row>
      </sheetData>
      <sheetData sheetId="1275">
        <row r="7">
          <cell r="P7">
            <v>0</v>
          </cell>
        </row>
      </sheetData>
      <sheetData sheetId="1276">
        <row r="7">
          <cell r="P7">
            <v>0</v>
          </cell>
        </row>
      </sheetData>
      <sheetData sheetId="1277">
        <row r="7">
          <cell r="P7">
            <v>0</v>
          </cell>
        </row>
      </sheetData>
      <sheetData sheetId="1278">
        <row r="7">
          <cell r="P7">
            <v>0</v>
          </cell>
        </row>
      </sheetData>
      <sheetData sheetId="1279">
        <row r="7">
          <cell r="P7">
            <v>0</v>
          </cell>
        </row>
      </sheetData>
      <sheetData sheetId="1280">
        <row r="7">
          <cell r="P7">
            <v>0</v>
          </cell>
        </row>
      </sheetData>
      <sheetData sheetId="1281">
        <row r="7">
          <cell r="P7">
            <v>0</v>
          </cell>
        </row>
      </sheetData>
      <sheetData sheetId="1282">
        <row r="7">
          <cell r="P7">
            <v>0</v>
          </cell>
        </row>
      </sheetData>
      <sheetData sheetId="1283">
        <row r="7">
          <cell r="P7">
            <v>0</v>
          </cell>
        </row>
      </sheetData>
      <sheetData sheetId="1284">
        <row r="7">
          <cell r="P7">
            <v>0</v>
          </cell>
        </row>
      </sheetData>
      <sheetData sheetId="1285">
        <row r="7">
          <cell r="P7">
            <v>0</v>
          </cell>
        </row>
      </sheetData>
      <sheetData sheetId="1286"/>
      <sheetData sheetId="1287"/>
      <sheetData sheetId="1288">
        <row r="7">
          <cell r="P7">
            <v>0</v>
          </cell>
        </row>
      </sheetData>
      <sheetData sheetId="1289">
        <row r="7">
          <cell r="P7">
            <v>0</v>
          </cell>
        </row>
      </sheetData>
      <sheetData sheetId="1290">
        <row r="7">
          <cell r="P7">
            <v>0</v>
          </cell>
        </row>
      </sheetData>
      <sheetData sheetId="1291">
        <row r="7">
          <cell r="P7">
            <v>0</v>
          </cell>
        </row>
      </sheetData>
      <sheetData sheetId="1292">
        <row r="7">
          <cell r="P7">
            <v>0</v>
          </cell>
        </row>
      </sheetData>
      <sheetData sheetId="1293">
        <row r="7">
          <cell r="P7">
            <v>0</v>
          </cell>
        </row>
      </sheetData>
      <sheetData sheetId="1294">
        <row r="7">
          <cell r="P7">
            <v>0</v>
          </cell>
        </row>
      </sheetData>
      <sheetData sheetId="1295">
        <row r="7">
          <cell r="P7">
            <v>0</v>
          </cell>
        </row>
      </sheetData>
      <sheetData sheetId="1296">
        <row r="7">
          <cell r="P7">
            <v>0</v>
          </cell>
        </row>
      </sheetData>
      <sheetData sheetId="1297">
        <row r="7">
          <cell r="P7">
            <v>0</v>
          </cell>
        </row>
      </sheetData>
      <sheetData sheetId="1298">
        <row r="7">
          <cell r="P7">
            <v>0</v>
          </cell>
        </row>
      </sheetData>
      <sheetData sheetId="1299">
        <row r="7">
          <cell r="P7">
            <v>0</v>
          </cell>
        </row>
      </sheetData>
      <sheetData sheetId="1300">
        <row r="7">
          <cell r="P7">
            <v>0</v>
          </cell>
        </row>
      </sheetData>
      <sheetData sheetId="1301">
        <row r="7">
          <cell r="P7">
            <v>0</v>
          </cell>
        </row>
      </sheetData>
      <sheetData sheetId="1302">
        <row r="7">
          <cell r="P7">
            <v>0</v>
          </cell>
        </row>
      </sheetData>
      <sheetData sheetId="1303">
        <row r="7">
          <cell r="P7">
            <v>0</v>
          </cell>
        </row>
      </sheetData>
      <sheetData sheetId="1304">
        <row r="7">
          <cell r="P7">
            <v>0</v>
          </cell>
        </row>
      </sheetData>
      <sheetData sheetId="1305">
        <row r="7">
          <cell r="P7">
            <v>0</v>
          </cell>
        </row>
      </sheetData>
      <sheetData sheetId="1306">
        <row r="7">
          <cell r="P7">
            <v>0</v>
          </cell>
        </row>
      </sheetData>
      <sheetData sheetId="1307">
        <row r="7">
          <cell r="P7">
            <v>0</v>
          </cell>
        </row>
      </sheetData>
      <sheetData sheetId="1308">
        <row r="7">
          <cell r="P7">
            <v>0</v>
          </cell>
        </row>
      </sheetData>
      <sheetData sheetId="1309">
        <row r="7">
          <cell r="P7">
            <v>0</v>
          </cell>
        </row>
      </sheetData>
      <sheetData sheetId="1310">
        <row r="7">
          <cell r="P7">
            <v>0</v>
          </cell>
        </row>
      </sheetData>
      <sheetData sheetId="1311">
        <row r="7">
          <cell r="P7">
            <v>0</v>
          </cell>
        </row>
      </sheetData>
      <sheetData sheetId="1312">
        <row r="7">
          <cell r="P7">
            <v>0</v>
          </cell>
        </row>
      </sheetData>
      <sheetData sheetId="1313">
        <row r="7">
          <cell r="P7">
            <v>0</v>
          </cell>
        </row>
      </sheetData>
      <sheetData sheetId="1314">
        <row r="7">
          <cell r="P7">
            <v>0</v>
          </cell>
        </row>
      </sheetData>
      <sheetData sheetId="1315">
        <row r="7">
          <cell r="P7">
            <v>0</v>
          </cell>
        </row>
      </sheetData>
      <sheetData sheetId="1316">
        <row r="7">
          <cell r="P7">
            <v>0</v>
          </cell>
        </row>
      </sheetData>
      <sheetData sheetId="1317">
        <row r="7">
          <cell r="P7">
            <v>0</v>
          </cell>
        </row>
      </sheetData>
      <sheetData sheetId="1318">
        <row r="7">
          <cell r="P7">
            <v>0</v>
          </cell>
        </row>
      </sheetData>
      <sheetData sheetId="1319">
        <row r="7">
          <cell r="P7">
            <v>0</v>
          </cell>
        </row>
      </sheetData>
      <sheetData sheetId="1320">
        <row r="7">
          <cell r="P7">
            <v>0</v>
          </cell>
        </row>
      </sheetData>
      <sheetData sheetId="1321">
        <row r="7">
          <cell r="P7">
            <v>0</v>
          </cell>
        </row>
      </sheetData>
      <sheetData sheetId="1322">
        <row r="7">
          <cell r="P7">
            <v>0</v>
          </cell>
        </row>
      </sheetData>
      <sheetData sheetId="1323">
        <row r="7">
          <cell r="P7">
            <v>0</v>
          </cell>
        </row>
      </sheetData>
      <sheetData sheetId="1324">
        <row r="7">
          <cell r="P7">
            <v>0</v>
          </cell>
        </row>
      </sheetData>
      <sheetData sheetId="1325">
        <row r="7">
          <cell r="P7">
            <v>0</v>
          </cell>
        </row>
      </sheetData>
      <sheetData sheetId="1326">
        <row r="7">
          <cell r="P7">
            <v>0</v>
          </cell>
        </row>
      </sheetData>
      <sheetData sheetId="1327">
        <row r="7">
          <cell r="P7">
            <v>0</v>
          </cell>
        </row>
      </sheetData>
      <sheetData sheetId="1328">
        <row r="7">
          <cell r="P7">
            <v>0</v>
          </cell>
        </row>
      </sheetData>
      <sheetData sheetId="1329">
        <row r="7">
          <cell r="P7">
            <v>0</v>
          </cell>
        </row>
      </sheetData>
      <sheetData sheetId="1330">
        <row r="7">
          <cell r="P7">
            <v>0</v>
          </cell>
        </row>
      </sheetData>
      <sheetData sheetId="1331"/>
      <sheetData sheetId="1332"/>
      <sheetData sheetId="1333"/>
      <sheetData sheetId="1334"/>
      <sheetData sheetId="1335"/>
      <sheetData sheetId="1336">
        <row r="7">
          <cell r="P7">
            <v>0</v>
          </cell>
        </row>
      </sheetData>
      <sheetData sheetId="1337">
        <row r="7">
          <cell r="P7">
            <v>0</v>
          </cell>
        </row>
      </sheetData>
      <sheetData sheetId="1338">
        <row r="7">
          <cell r="P7">
            <v>0</v>
          </cell>
        </row>
      </sheetData>
      <sheetData sheetId="1339">
        <row r="7">
          <cell r="P7">
            <v>0</v>
          </cell>
        </row>
      </sheetData>
      <sheetData sheetId="1340"/>
      <sheetData sheetId="1341"/>
      <sheetData sheetId="1342">
        <row r="7">
          <cell r="P7">
            <v>0</v>
          </cell>
        </row>
      </sheetData>
      <sheetData sheetId="1343">
        <row r="7">
          <cell r="P7">
            <v>0</v>
          </cell>
        </row>
      </sheetData>
      <sheetData sheetId="1344">
        <row r="7">
          <cell r="P7">
            <v>0</v>
          </cell>
        </row>
      </sheetData>
      <sheetData sheetId="1345">
        <row r="7">
          <cell r="P7">
            <v>0</v>
          </cell>
        </row>
      </sheetData>
      <sheetData sheetId="1346">
        <row r="7">
          <cell r="P7">
            <v>0</v>
          </cell>
        </row>
      </sheetData>
      <sheetData sheetId="1347">
        <row r="7">
          <cell r="P7">
            <v>0</v>
          </cell>
        </row>
      </sheetData>
      <sheetData sheetId="1348">
        <row r="7">
          <cell r="P7">
            <v>0</v>
          </cell>
        </row>
      </sheetData>
      <sheetData sheetId="1349"/>
      <sheetData sheetId="1350"/>
      <sheetData sheetId="1351">
        <row r="7">
          <cell r="P7">
            <v>0</v>
          </cell>
        </row>
      </sheetData>
      <sheetData sheetId="1352"/>
      <sheetData sheetId="1353"/>
      <sheetData sheetId="1354"/>
      <sheetData sheetId="1355">
        <row r="7">
          <cell r="P7">
            <v>0</v>
          </cell>
        </row>
      </sheetData>
      <sheetData sheetId="1356"/>
      <sheetData sheetId="1357">
        <row r="7">
          <cell r="P7">
            <v>0</v>
          </cell>
        </row>
      </sheetData>
      <sheetData sheetId="1358">
        <row r="7">
          <cell r="P7">
            <v>0</v>
          </cell>
        </row>
      </sheetData>
      <sheetData sheetId="1359">
        <row r="7">
          <cell r="P7">
            <v>0</v>
          </cell>
        </row>
      </sheetData>
      <sheetData sheetId="1360">
        <row r="7">
          <cell r="P7">
            <v>0</v>
          </cell>
        </row>
      </sheetData>
      <sheetData sheetId="1361">
        <row r="7">
          <cell r="P7">
            <v>0</v>
          </cell>
        </row>
      </sheetData>
      <sheetData sheetId="1362">
        <row r="7">
          <cell r="P7">
            <v>0</v>
          </cell>
        </row>
      </sheetData>
      <sheetData sheetId="1363">
        <row r="7">
          <cell r="P7">
            <v>0</v>
          </cell>
        </row>
      </sheetData>
      <sheetData sheetId="1364">
        <row r="7">
          <cell r="P7">
            <v>0</v>
          </cell>
        </row>
      </sheetData>
      <sheetData sheetId="1365">
        <row r="7">
          <cell r="P7">
            <v>0</v>
          </cell>
        </row>
      </sheetData>
      <sheetData sheetId="1366">
        <row r="7">
          <cell r="P7">
            <v>0</v>
          </cell>
        </row>
      </sheetData>
      <sheetData sheetId="1367">
        <row r="7">
          <cell r="P7">
            <v>0</v>
          </cell>
        </row>
      </sheetData>
      <sheetData sheetId="1368">
        <row r="7">
          <cell r="P7">
            <v>0</v>
          </cell>
        </row>
      </sheetData>
      <sheetData sheetId="1369">
        <row r="7">
          <cell r="P7">
            <v>0</v>
          </cell>
        </row>
      </sheetData>
      <sheetData sheetId="1370">
        <row r="7">
          <cell r="P7">
            <v>0</v>
          </cell>
        </row>
      </sheetData>
      <sheetData sheetId="1371">
        <row r="7">
          <cell r="P7">
            <v>0</v>
          </cell>
        </row>
      </sheetData>
      <sheetData sheetId="1372">
        <row r="7">
          <cell r="P7">
            <v>0</v>
          </cell>
        </row>
      </sheetData>
      <sheetData sheetId="1373">
        <row r="7">
          <cell r="P7">
            <v>0</v>
          </cell>
        </row>
      </sheetData>
      <sheetData sheetId="1374">
        <row r="7">
          <cell r="P7">
            <v>0</v>
          </cell>
        </row>
      </sheetData>
      <sheetData sheetId="1375">
        <row r="7">
          <cell r="P7">
            <v>0</v>
          </cell>
        </row>
      </sheetData>
      <sheetData sheetId="1376">
        <row r="7">
          <cell r="P7">
            <v>0</v>
          </cell>
        </row>
      </sheetData>
      <sheetData sheetId="1377">
        <row r="7">
          <cell r="P7">
            <v>0</v>
          </cell>
        </row>
      </sheetData>
      <sheetData sheetId="1378">
        <row r="7">
          <cell r="P7">
            <v>0</v>
          </cell>
        </row>
      </sheetData>
      <sheetData sheetId="1379">
        <row r="7">
          <cell r="P7">
            <v>0</v>
          </cell>
        </row>
      </sheetData>
      <sheetData sheetId="1380">
        <row r="7">
          <cell r="P7">
            <v>0</v>
          </cell>
        </row>
      </sheetData>
      <sheetData sheetId="1381">
        <row r="7">
          <cell r="P7">
            <v>0</v>
          </cell>
        </row>
      </sheetData>
      <sheetData sheetId="1382">
        <row r="7">
          <cell r="P7">
            <v>0</v>
          </cell>
        </row>
      </sheetData>
      <sheetData sheetId="1383">
        <row r="7">
          <cell r="P7">
            <v>0</v>
          </cell>
        </row>
      </sheetData>
      <sheetData sheetId="1384">
        <row r="7">
          <cell r="P7">
            <v>0</v>
          </cell>
        </row>
      </sheetData>
      <sheetData sheetId="1385">
        <row r="7">
          <cell r="P7">
            <v>0</v>
          </cell>
        </row>
      </sheetData>
      <sheetData sheetId="1386">
        <row r="7">
          <cell r="P7">
            <v>0</v>
          </cell>
        </row>
      </sheetData>
      <sheetData sheetId="1387">
        <row r="7">
          <cell r="P7">
            <v>0</v>
          </cell>
        </row>
      </sheetData>
      <sheetData sheetId="1388">
        <row r="7">
          <cell r="P7">
            <v>0</v>
          </cell>
        </row>
      </sheetData>
      <sheetData sheetId="1389">
        <row r="7">
          <cell r="P7">
            <v>0</v>
          </cell>
        </row>
      </sheetData>
      <sheetData sheetId="1390">
        <row r="7">
          <cell r="P7">
            <v>0</v>
          </cell>
        </row>
      </sheetData>
      <sheetData sheetId="1391">
        <row r="7">
          <cell r="P7">
            <v>0</v>
          </cell>
        </row>
      </sheetData>
      <sheetData sheetId="1392">
        <row r="7">
          <cell r="P7">
            <v>0</v>
          </cell>
        </row>
      </sheetData>
      <sheetData sheetId="1393">
        <row r="7">
          <cell r="P7">
            <v>0</v>
          </cell>
        </row>
      </sheetData>
      <sheetData sheetId="1394">
        <row r="7">
          <cell r="P7">
            <v>0</v>
          </cell>
        </row>
      </sheetData>
      <sheetData sheetId="1395">
        <row r="7">
          <cell r="P7">
            <v>0</v>
          </cell>
        </row>
      </sheetData>
      <sheetData sheetId="1396">
        <row r="7">
          <cell r="P7">
            <v>0</v>
          </cell>
        </row>
      </sheetData>
      <sheetData sheetId="1397">
        <row r="7">
          <cell r="P7">
            <v>0</v>
          </cell>
        </row>
      </sheetData>
      <sheetData sheetId="1398">
        <row r="7">
          <cell r="P7">
            <v>0</v>
          </cell>
        </row>
      </sheetData>
      <sheetData sheetId="1399">
        <row r="7">
          <cell r="P7">
            <v>0</v>
          </cell>
        </row>
      </sheetData>
      <sheetData sheetId="1400">
        <row r="7">
          <cell r="P7">
            <v>0</v>
          </cell>
        </row>
      </sheetData>
      <sheetData sheetId="1401">
        <row r="7">
          <cell r="P7">
            <v>0</v>
          </cell>
        </row>
      </sheetData>
      <sheetData sheetId="1402">
        <row r="7">
          <cell r="P7">
            <v>0</v>
          </cell>
        </row>
      </sheetData>
      <sheetData sheetId="1403">
        <row r="7">
          <cell r="P7">
            <v>0</v>
          </cell>
        </row>
      </sheetData>
      <sheetData sheetId="1404">
        <row r="7">
          <cell r="P7">
            <v>0</v>
          </cell>
        </row>
      </sheetData>
      <sheetData sheetId="1405">
        <row r="7">
          <cell r="P7">
            <v>0</v>
          </cell>
        </row>
      </sheetData>
      <sheetData sheetId="1406">
        <row r="7">
          <cell r="P7">
            <v>0</v>
          </cell>
        </row>
      </sheetData>
      <sheetData sheetId="1407">
        <row r="7">
          <cell r="P7">
            <v>0</v>
          </cell>
        </row>
      </sheetData>
      <sheetData sheetId="1408">
        <row r="7">
          <cell r="P7">
            <v>0</v>
          </cell>
        </row>
      </sheetData>
      <sheetData sheetId="1409">
        <row r="7">
          <cell r="P7">
            <v>0</v>
          </cell>
        </row>
      </sheetData>
      <sheetData sheetId="1410">
        <row r="7">
          <cell r="P7">
            <v>0</v>
          </cell>
        </row>
      </sheetData>
      <sheetData sheetId="1411">
        <row r="7">
          <cell r="P7">
            <v>0</v>
          </cell>
        </row>
      </sheetData>
      <sheetData sheetId="1412">
        <row r="7">
          <cell r="P7">
            <v>0</v>
          </cell>
        </row>
      </sheetData>
      <sheetData sheetId="1413">
        <row r="7">
          <cell r="P7">
            <v>0</v>
          </cell>
        </row>
      </sheetData>
      <sheetData sheetId="1414">
        <row r="7">
          <cell r="P7">
            <v>0</v>
          </cell>
        </row>
      </sheetData>
      <sheetData sheetId="1415">
        <row r="7">
          <cell r="P7">
            <v>0</v>
          </cell>
        </row>
      </sheetData>
      <sheetData sheetId="1416"/>
      <sheetData sheetId="1417"/>
      <sheetData sheetId="1418">
        <row r="7">
          <cell r="P7">
            <v>0</v>
          </cell>
        </row>
      </sheetData>
      <sheetData sheetId="1419"/>
      <sheetData sheetId="1420"/>
      <sheetData sheetId="1421"/>
      <sheetData sheetId="1422"/>
      <sheetData sheetId="1423">
        <row r="7">
          <cell r="P7">
            <v>0</v>
          </cell>
        </row>
      </sheetData>
      <sheetData sheetId="1424">
        <row r="7">
          <cell r="P7">
            <v>0</v>
          </cell>
        </row>
      </sheetData>
      <sheetData sheetId="1425">
        <row r="7">
          <cell r="P7">
            <v>0</v>
          </cell>
        </row>
      </sheetData>
      <sheetData sheetId="1426">
        <row r="7">
          <cell r="P7">
            <v>0</v>
          </cell>
        </row>
      </sheetData>
      <sheetData sheetId="1427"/>
      <sheetData sheetId="1428"/>
      <sheetData sheetId="1429">
        <row r="7">
          <cell r="P7">
            <v>0</v>
          </cell>
        </row>
      </sheetData>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row r="7">
          <cell r="P7">
            <v>0</v>
          </cell>
        </row>
      </sheetData>
      <sheetData sheetId="1461">
        <row r="7">
          <cell r="P7">
            <v>0</v>
          </cell>
        </row>
      </sheetData>
      <sheetData sheetId="1462">
        <row r="7">
          <cell r="P7">
            <v>0</v>
          </cell>
        </row>
      </sheetData>
      <sheetData sheetId="1463">
        <row r="7">
          <cell r="P7">
            <v>0</v>
          </cell>
        </row>
      </sheetData>
      <sheetData sheetId="1464">
        <row r="7">
          <cell r="P7">
            <v>0</v>
          </cell>
        </row>
      </sheetData>
      <sheetData sheetId="1465"/>
      <sheetData sheetId="1466">
        <row r="7">
          <cell r="P7">
            <v>0</v>
          </cell>
        </row>
      </sheetData>
      <sheetData sheetId="1467">
        <row r="7">
          <cell r="P7">
            <v>0</v>
          </cell>
        </row>
      </sheetData>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row r="7">
          <cell r="P7">
            <v>0</v>
          </cell>
        </row>
      </sheetData>
      <sheetData sheetId="1515">
        <row r="7">
          <cell r="P7">
            <v>0</v>
          </cell>
        </row>
      </sheetData>
      <sheetData sheetId="1516">
        <row r="7">
          <cell r="P7">
            <v>0</v>
          </cell>
        </row>
      </sheetData>
      <sheetData sheetId="1517">
        <row r="7">
          <cell r="P7">
            <v>0</v>
          </cell>
        </row>
      </sheetData>
      <sheetData sheetId="1518">
        <row r="7">
          <cell r="P7">
            <v>0</v>
          </cell>
        </row>
      </sheetData>
      <sheetData sheetId="1519">
        <row r="7">
          <cell r="P7">
            <v>0</v>
          </cell>
        </row>
      </sheetData>
      <sheetData sheetId="1520">
        <row r="7">
          <cell r="P7">
            <v>0</v>
          </cell>
        </row>
      </sheetData>
      <sheetData sheetId="1521">
        <row r="7">
          <cell r="P7">
            <v>0</v>
          </cell>
        </row>
      </sheetData>
      <sheetData sheetId="1522">
        <row r="7">
          <cell r="P7">
            <v>0</v>
          </cell>
        </row>
      </sheetData>
      <sheetData sheetId="1523">
        <row r="7">
          <cell r="P7">
            <v>0</v>
          </cell>
        </row>
      </sheetData>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refreshError="1"/>
      <sheetData sheetId="1793" refreshError="1"/>
      <sheetData sheetId="1794"/>
      <sheetData sheetId="1795"/>
      <sheetData sheetId="1796">
        <row r="7">
          <cell r="P7">
            <v>0</v>
          </cell>
        </row>
      </sheetData>
      <sheetData sheetId="1797">
        <row r="7">
          <cell r="P7">
            <v>0</v>
          </cell>
        </row>
      </sheetData>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sheetData sheetId="1829"/>
      <sheetData sheetId="1830"/>
      <sheetData sheetId="1831"/>
      <sheetData sheetId="1832"/>
      <sheetData sheetId="1833"/>
      <sheetData sheetId="1834"/>
      <sheetData sheetId="1835">
        <row r="7">
          <cell r="P7">
            <v>0</v>
          </cell>
        </row>
      </sheetData>
      <sheetData sheetId="1836">
        <row r="7">
          <cell r="P7">
            <v>0</v>
          </cell>
        </row>
      </sheetData>
      <sheetData sheetId="1837">
        <row r="7">
          <cell r="P7">
            <v>0</v>
          </cell>
        </row>
      </sheetData>
      <sheetData sheetId="1838"/>
      <sheetData sheetId="1839"/>
      <sheetData sheetId="1840">
        <row r="7">
          <cell r="P7">
            <v>0</v>
          </cell>
        </row>
      </sheetData>
      <sheetData sheetId="1841"/>
      <sheetData sheetId="1842">
        <row r="7">
          <cell r="P7">
            <v>0</v>
          </cell>
        </row>
      </sheetData>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ow r="7">
          <cell r="P7">
            <v>0</v>
          </cell>
        </row>
      </sheetData>
      <sheetData sheetId="1854">
        <row r="7">
          <cell r="P7">
            <v>0</v>
          </cell>
        </row>
      </sheetData>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sheetData sheetId="1867"/>
      <sheetData sheetId="1868"/>
      <sheetData sheetId="1869"/>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idential"/>
      <sheetName val="Residential+FCC"/>
      <sheetName val="Commercial"/>
      <sheetName val="Com+UIC"/>
      <sheetName val="Relative"/>
      <sheetName val="City Dev"/>
      <sheetName val="DBS Land"/>
      <sheetName val="Marco "/>
      <sheetName val="OUE"/>
      <sheetName val="Sing Land"/>
      <sheetName val="UIC"/>
      <sheetName val="Keppel Land"/>
      <sheetName val="Wing Tai"/>
      <sheetName val="FCC"/>
      <sheetName val="UOL"/>
      <sheetName val="Allgreen"/>
      <sheetName val="Centrepoint"/>
      <sheetName val="M Credit"/>
      <sheetName val="NAV-DISC"/>
      <sheetName val="S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17">
          <cell r="A17" t="str">
            <v>1986</v>
          </cell>
        </row>
        <row r="29">
          <cell r="A29" t="str">
            <v>1987</v>
          </cell>
        </row>
        <row r="41">
          <cell r="A41" t="str">
            <v>1988</v>
          </cell>
        </row>
        <row r="53">
          <cell r="A53" t="str">
            <v>1989</v>
          </cell>
        </row>
        <row r="65">
          <cell r="A65" t="str">
            <v>1990</v>
          </cell>
        </row>
        <row r="77">
          <cell r="A77" t="str">
            <v>1991</v>
          </cell>
        </row>
        <row r="89">
          <cell r="A89" t="str">
            <v>1992</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990"/>
      <sheetName val="1991"/>
      <sheetName val="1992"/>
      <sheetName val="1993"/>
      <sheetName val="1994"/>
      <sheetName val="1995"/>
      <sheetName val="1996"/>
      <sheetName val="1997"/>
      <sheetName val="1998"/>
      <sheetName val="1999"/>
      <sheetName val="2000"/>
      <sheetName val="2001"/>
      <sheetName val="2002"/>
      <sheetName val="2003"/>
      <sheetName val="2004"/>
      <sheetName val="2005"/>
      <sheetName val="2006"/>
      <sheetName val="2007"/>
      <sheetName val="Terms"/>
      <sheetName val="SEX"/>
      <sheetName val="OVERBURDEN"/>
      <sheetName val="SUBKON"/>
      <sheetName val="MAINTENANCE"/>
      <sheetName val="Trading Statement"/>
      <sheetName val="Keppel Land"/>
      <sheetName val="assets"/>
      <sheetName val="Productivity"/>
      <sheetName val="22861"/>
      <sheetName val="AUG02"/>
    </sheetNames>
    <sheetDataSet>
      <sheetData sheetId="0" refreshError="1"/>
      <sheetData sheetId="1" refreshError="1"/>
      <sheetData sheetId="2" refreshError="1"/>
      <sheetData sheetId="3" refreshError="1"/>
      <sheetData sheetId="4"/>
      <sheetData sheetId="5" refreshError="1"/>
      <sheetData sheetId="6" refreshError="1"/>
      <sheetData sheetId="7"/>
      <sheetData sheetId="8" refreshError="1"/>
      <sheetData sheetId="9">
        <row r="10">
          <cell r="C10" t="str">
            <v>Jan</v>
          </cell>
          <cell r="D10" t="str">
            <v>Feb</v>
          </cell>
          <cell r="E10" t="str">
            <v>Mar</v>
          </cell>
          <cell r="F10" t="str">
            <v>Apr</v>
          </cell>
          <cell r="G10" t="str">
            <v>May</v>
          </cell>
          <cell r="H10" t="str">
            <v>Jun</v>
          </cell>
          <cell r="I10" t="str">
            <v>Jul</v>
          </cell>
          <cell r="J10" t="str">
            <v>Aug</v>
          </cell>
          <cell r="K10" t="str">
            <v>Sep</v>
          </cell>
          <cell r="L10" t="str">
            <v>Oct</v>
          </cell>
          <cell r="M10" t="str">
            <v>Nov</v>
          </cell>
          <cell r="N10" t="str">
            <v>Dec</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VERBURDEN"/>
      <sheetName val="MAINTENANCE"/>
      <sheetName val="SUBKON"/>
      <sheetName val="Tyre Life Time"/>
      <sheetName val="Operation - Prod"/>
      <sheetName val="Sheet1"/>
      <sheetName val="NEW"/>
      <sheetName val="Attendance Ratio"/>
      <sheetName val="Data"/>
      <sheetName val="UNIT EXISTING"/>
      <sheetName val="Record Problem"/>
      <sheetName val="Print (4)"/>
      <sheetName val="LPA OB"/>
      <sheetName val="ocean voyage"/>
      <sheetName val="STATUS UNIT"/>
      <sheetName val="RM Cost"/>
      <sheetName val="-REF-"/>
      <sheetName val="Revenue"/>
      <sheetName val="Detail"/>
      <sheetName val="Ref"/>
      <sheetName val="PE"/>
      <sheetName val="#REF!"/>
      <sheetName val="Tyre_Life_Time"/>
      <sheetName val="Operation_-_Prod"/>
      <sheetName val="Attendance_Ratio"/>
      <sheetName val="UNIT_EXISTING"/>
      <sheetName val="Record_Problem"/>
      <sheetName val="Print_(4)"/>
      <sheetName val="LPA_OB"/>
      <sheetName val="ocean_voyage"/>
      <sheetName val="Tyre_Life_Time1"/>
      <sheetName val="Operation_-_Prod1"/>
      <sheetName val="Attendance_Ratio1"/>
      <sheetName val="UNIT_EXISTING1"/>
      <sheetName val="Record_Problem1"/>
      <sheetName val="Print_(4)1"/>
      <sheetName val="LPA_OB1"/>
      <sheetName val="ocean_voyage1"/>
      <sheetName val="STATUS_UNIT"/>
      <sheetName val="RM_Cost"/>
      <sheetName val="Petrosea"/>
      <sheetName val="EX572"/>
      <sheetName val="EX593"/>
      <sheetName val="EX594"/>
      <sheetName val="EX595"/>
      <sheetName val="Truck Count"/>
      <sheetName val="Joint Survey Actual"/>
      <sheetName val="EX716"/>
      <sheetName val="EX717"/>
      <sheetName val="EX1007"/>
      <sheetName val="EX1010"/>
      <sheetName val="EX625"/>
      <sheetName val="EX629"/>
      <sheetName val="EX630"/>
      <sheetName val="EX569"/>
      <sheetName val="Tyre_Life_Time2"/>
      <sheetName val="Operation_-_Prod2"/>
      <sheetName val="Attendance_Ratio2"/>
      <sheetName val="UNIT_EXISTING2"/>
      <sheetName val="Record_Problem2"/>
      <sheetName val="Print_(4)2"/>
      <sheetName val="LPA_OB2"/>
      <sheetName val="ocean_voyage2"/>
      <sheetName val="STATUS_UNIT1"/>
      <sheetName val="RM_Cost1"/>
      <sheetName val="Truck_Count"/>
      <sheetName val="Joint_Survey_Actual"/>
      <sheetName val="Budget Cash Out"/>
      <sheetName val="LIST"/>
      <sheetName val="RATE"/>
      <sheetName val="UNIT"/>
      <sheetName val="dbase EGI"/>
      <sheetName val="CLAIM EMBUNG"/>
      <sheetName val="Maret"/>
      <sheetName val="tabel"/>
      <sheetName val="Produksi"/>
      <sheetName val="Asumsi"/>
      <sheetName val="DATA_B"/>
      <sheetName val="TARIF"/>
      <sheetName val="IBS 2012"/>
      <sheetName val="PRINT CLAIM KPP"/>
      <sheetName val="01"/>
      <sheetName val="list data"/>
      <sheetName val="dummy"/>
      <sheetName val="A"/>
      <sheetName val="22861"/>
      <sheetName val="Tyre_Life_Time3"/>
      <sheetName val="Operation_-_Prod3"/>
      <sheetName val="Attendance_Ratio3"/>
      <sheetName val="UNIT_EXISTING3"/>
      <sheetName val="Record_Problem3"/>
      <sheetName val="Print_(4)3"/>
      <sheetName val="LPA_OB3"/>
      <sheetName val="ocean_voyage3"/>
      <sheetName val="STATUS_UNIT2"/>
      <sheetName val="RM_Cost2"/>
      <sheetName val="Truck_Count1"/>
      <sheetName val="Joint_Survey_Actual1"/>
      <sheetName val="Budget_Cash_Out"/>
      <sheetName val="dbase_EGI"/>
      <sheetName val="CLAIM_EMBUNG"/>
      <sheetName val="IBS_2012"/>
      <sheetName val="PRINT_CLAIM_KPP"/>
      <sheetName val="list_data"/>
      <sheetName val="Code"/>
      <sheetName val="Ritase"/>
      <sheetName val="7NS"/>
      <sheetName val="Master"/>
      <sheetName val="CALC"/>
      <sheetName val="list unit"/>
      <sheetName val="KPI"/>
      <sheetName val="LIST NEW"/>
      <sheetName val="Nama Operator-Driver"/>
      <sheetName val="date"/>
      <sheetName val="Kode"/>
      <sheetName val="POPUN"/>
      <sheetName val="COA"/>
      <sheetName val="sbl"/>
      <sheetName val="PT"/>
      <sheetName val="DB"/>
      <sheetName val="Validation"/>
      <sheetName val="Setting"/>
      <sheetName val="Busang1"/>
      <sheetName val="Busang2"/>
      <sheetName val="Busang3"/>
      <sheetName val="Jonggon1"/>
      <sheetName val="Jonggon2"/>
      <sheetName val="Jonggon3"/>
      <sheetName val="Remarks"/>
      <sheetName val="Input"/>
      <sheetName val="Coal"/>
      <sheetName val="Block"/>
      <sheetName val="CondDaily"/>
      <sheetName val="Input2"/>
      <sheetName val="DaiRep"/>
      <sheetName val="Safety"/>
      <sheetName val="CondMonthly"/>
      <sheetName val="Weather"/>
      <sheetName val="Nama_Operator-Driver1"/>
      <sheetName val="Nama_Operator-Driver"/>
      <sheetName val="Sheet2"/>
      <sheetName val="Distance Pit-TSP to WBM"/>
      <sheetName val="Distance Pit-PSG to BJM"/>
      <sheetName val="Distance Pit-TSP to BJM"/>
      <sheetName val="Rekapitulasi Fuel"/>
      <sheetName val="SC"/>
      <sheetName val="CONSOLE"/>
      <sheetName val="Setting Unit"/>
      <sheetName val="Helper"/>
      <sheetName val="Day &amp; Date"/>
      <sheetName val="Master (2)"/>
      <sheetName val="SEX"/>
      <sheetName val="Analisa"/>
      <sheetName val="4334-Summary"/>
      <sheetName val="PRO_COAL"/>
      <sheetName val="ESCON"/>
      <sheetName val="MP1"/>
      <sheetName val="Trading Statement"/>
      <sheetName val="GeneralInfo"/>
      <sheetName val="POP"/>
      <sheetName val="DATE &amp; WEEK SETT"/>
      <sheetName val="list_unit"/>
      <sheetName val="Setting_Unit"/>
      <sheetName val="Day_&amp;_Date"/>
      <sheetName val="Nama_Operator-Driver2"/>
      <sheetName val="LIST_NEW"/>
      <sheetName val="WFOB"/>
      <sheetName val="Forecast"/>
      <sheetName val="I_KAMAR"/>
      <sheetName val="DATA BASE"/>
      <sheetName val="Parameter"/>
      <sheetName val="1999"/>
      <sheetName val="REPORT01"/>
      <sheetName val="DRILLBLAST"/>
      <sheetName val="ACT HAUL"/>
      <sheetName val="ACT OB"/>
      <sheetName val="ACT COAL"/>
      <sheetName val="COAL CRUSH PLAN"/>
      <sheetName val=" COAL MINE PLAN"/>
      <sheetName val="ACT DIRTY COAL"/>
      <sheetName val=" OB PLAN"/>
      <sheetName val="Ktd"/>
      <sheetName val="Rain &amp; Slippery Method"/>
      <sheetName val="C1 NOV"/>
      <sheetName val="OLDMAP"/>
      <sheetName val="#REF"/>
      <sheetName val="SOURCE"/>
      <sheetName val="Highlight"/>
      <sheetName val="Prod"/>
      <sheetName val="OLIE"/>
      <sheetName val="Avail"/>
      <sheetName val="MP"/>
      <sheetName val="PIT BBP TO SP MB-AL"/>
      <sheetName val="25"/>
      <sheetName val="Ex_Rate"/>
      <sheetName val="DataBase"/>
      <sheetName val="poductvty JAN"/>
      <sheetName val="M_POP"/>
      <sheetName val="Master activity WBS "/>
      <sheetName val="FR MTD"/>
      <sheetName val="DB MANPOWER"/>
      <sheetName val="Master2"/>
      <sheetName val="GRAFIC_OB"/>
      <sheetName val="GRAFIC_COAL"/>
      <sheetName val="OPERATOR"/>
      <sheetName val="DATA BASE UNIT"/>
      <sheetName val="list_unit1"/>
      <sheetName val="Setting_Unit1"/>
      <sheetName val="Day_&amp;_Date1"/>
      <sheetName val="Nama_Operator-Driver3"/>
      <sheetName val="LIST_NEW1"/>
      <sheetName val="Distance_Pit-TSP_to_WBM"/>
      <sheetName val="Distance_Pit-PSG_to_BJM"/>
      <sheetName val="Distance_Pit-TSP_to_BJM"/>
      <sheetName val="DATA_BASE_UNIT"/>
      <sheetName val="UA_PA"/>
      <sheetName val="Productivity"/>
      <sheetName val="Coal_per_block"/>
      <sheetName val="Blasting_per_block"/>
      <sheetName val="Daily Report"/>
      <sheetName val="Weekly_DEJ"/>
      <sheetName val="Overall_plan"/>
      <sheetName val="BRM"/>
      <sheetName val="RainSlipp_Weight"/>
      <sheetName val="pittonsp"/>
      <sheetName val="crushnsp"/>
      <sheetName val="KM91"/>
      <sheetName val="Graf_Rain"/>
      <sheetName val="LINK"/>
      <sheetName val="IBS"/>
      <sheetName val="MARCO"/>
      <sheetName val="WASHCO"/>
      <sheetName val="Project Report"/>
      <sheetName val="D_Base"/>
      <sheetName val="Anal Koef"/>
      <sheetName val="Letter"/>
      <sheetName val="Paretto PDTY"/>
      <sheetName val="WF OB"/>
      <sheetName val="DATA BASE ENG"/>
      <sheetName val="March-april (2)"/>
      <sheetName val="Lamp 1"/>
      <sheetName val="Lamp 2"/>
      <sheetName val="Lamp 3"/>
      <sheetName val="BASE"/>
      <sheetName val="IVT TTB"/>
      <sheetName val="inventory timbau"/>
      <sheetName val="SP 4 CUMULATIVE"/>
      <sheetName val="SP 1 CUMULATIVE"/>
      <sheetName val="SP 3 CUMULATIVE"/>
      <sheetName val="Row Data"/>
      <sheetName val="MF"/>
      <sheetName val="UA_PA DZ"/>
      <sheetName val="UA_PA GR"/>
      <sheetName val="UA_PA PC"/>
      <sheetName val="UA_PA HM400"/>
      <sheetName val="UA_PA HD4657"/>
      <sheetName val="UA_PA HD7857"/>
      <sheetName val="UA_PA HD7857 (2)"/>
      <sheetName val="UA_PA P380"/>
      <sheetName val="Productivity PC_WR"/>
      <sheetName val="Productivity PC 800_CC"/>
      <sheetName val="Productivity HM400"/>
      <sheetName val="Productivity HD4657"/>
      <sheetName val="Productivity HD7857"/>
      <sheetName val="Coal_per_Hauling"/>
      <sheetName val="Coal_Hauling"/>
      <sheetName val="Overburden_Actual"/>
      <sheetName val="Act_cost"/>
      <sheetName val="1"/>
      <sheetName val="KPC"/>
      <sheetName val="Rental"/>
      <sheetName val="EXA"/>
      <sheetName val="CONTROL"/>
      <sheetName val="Rain"/>
      <sheetName val="Rain Fall pit"/>
      <sheetName val="Safety 2"/>
      <sheetName val="EPR WEEKLY"/>
      <sheetName val="Base data"/>
      <sheetName val="WASTE"/>
      <sheetName val="summary"/>
      <sheetName val="All Stockpile PT. GPS"/>
      <sheetName val="BA EMBUNG S1"/>
      <sheetName val="Master Data"/>
      <sheetName val="Unit Database"/>
      <sheetName val="Master Unit"/>
      <sheetName val="Check Poin Apa"/>
      <sheetName val="M"/>
      <sheetName val="usage"/>
      <sheetName val="DT"/>
      <sheetName val="A2B"/>
      <sheetName val="cHECKER"/>
      <sheetName val="Tools"/>
      <sheetName val="M_POP (2)"/>
      <sheetName val="Leasing Acct"/>
      <sheetName val="RAPORT TINGKAT GAGAL"/>
      <sheetName val="MASTER SIA"/>
      <sheetName val="TEMPLATE POSITION"/>
      <sheetName val="Raw Data Cost"/>
      <sheetName val="PT. SRIWIJAYA LINTAS RAYA"/>
      <sheetName val="RESUME"/>
      <sheetName val="ALL HAULING_Maret"/>
      <sheetName val="ALL HAULING_April"/>
      <sheetName val="ALL HAULING_Mei"/>
      <sheetName val="ALL HAULING_Juni"/>
      <sheetName val="ALL HAULING_Juli "/>
      <sheetName val="ALL HAULING_Agustus "/>
      <sheetName val="DATA ERROR DATA VOID_AGUSTUS "/>
      <sheetName val="DATA ERROR DATA VOID_JULI "/>
      <sheetName val="DATA ERROR DATA VOID_JUNI"/>
      <sheetName val="DATA ERROR DATA VOID_MEI"/>
      <sheetName val="DATA ERROR DATA VOID_APRIL"/>
      <sheetName val="DATA ERROR DATA VOID_maret "/>
      <sheetName val="Kuota Epi &amp; 107"/>
      <sheetName val="ALL HAULING_September"/>
      <sheetName val="DATA ERROR DATA VOID_SEPTEMBER"/>
      <sheetName val="Div2"/>
      <sheetName val="ps"/>
      <sheetName val="QUALITY"/>
      <sheetName val="Plan.Reg"/>
      <sheetName val="Tyre_Life_Time4"/>
      <sheetName val="STATUS_UNIT3"/>
      <sheetName val="RM_Cost3"/>
      <sheetName val="Truck_Count2"/>
      <sheetName val="Joint_Survey_Actual2"/>
      <sheetName val="dbase_EGI1"/>
      <sheetName val="CLAIM_EMBUNG1"/>
      <sheetName val="ocean_voyage4"/>
      <sheetName val="Budget_Cash_Out1"/>
      <sheetName val="IBS_20121"/>
      <sheetName val="PRINT_CLAIM_KPP1"/>
      <sheetName val="Operation_-_Prod4"/>
      <sheetName val="Attendance_Ratio4"/>
      <sheetName val="UNIT_EXISTING4"/>
      <sheetName val="Record_Problem4"/>
      <sheetName val="Print_(4)4"/>
      <sheetName val="LPA_OB4"/>
      <sheetName val="Setting_Unit2"/>
      <sheetName val="Day_&amp;_Date2"/>
      <sheetName val="list_unit2"/>
      <sheetName val="Project_Report"/>
      <sheetName val="Daily_Report"/>
      <sheetName val="Anal_Koef"/>
      <sheetName val="Paretto_PDTY"/>
      <sheetName val="WF_OB"/>
      <sheetName val="Lamp_1"/>
      <sheetName val="Lamp_2"/>
      <sheetName val="Lamp_3"/>
      <sheetName val="March-april_(2)"/>
      <sheetName val="DATA_BASE_ENG"/>
      <sheetName val="IVT_TTB"/>
      <sheetName val="inventory_timbau"/>
      <sheetName val="SP_4_CUMULATIVE"/>
      <sheetName val="SP_1_CUMULATIVE"/>
      <sheetName val="SP_3_CUMULATIVE"/>
      <sheetName val="LIST_NEW2"/>
      <sheetName val="list_data1"/>
      <sheetName val="Nama_Operator-Driver4"/>
      <sheetName val="Distance_Pit-TSP_to_WBM1"/>
      <sheetName val="Distance_Pit-PSG_to_BJM1"/>
      <sheetName val="Distance_Pit-TSP_to_BJM1"/>
      <sheetName val="Rekapitulasi_Fuel"/>
      <sheetName val="Master_(2)"/>
      <sheetName val="Rain_Fall_pit"/>
      <sheetName val="Row_Data"/>
      <sheetName val="UA_PA_DZ"/>
      <sheetName val="UA_PA_GR"/>
      <sheetName val="UA_PA_PC"/>
      <sheetName val="UA_PA_HM400"/>
      <sheetName val="UA_PA_HD4657"/>
      <sheetName val="UA_PA_HD7857"/>
      <sheetName val="UA_PA_HD7857_(2)"/>
      <sheetName val="UA_PA_P380"/>
      <sheetName val="Productivity_PC_WR"/>
      <sheetName val="Productivity_PC_800_CC"/>
      <sheetName val="Productivity_HM400"/>
      <sheetName val="Productivity_HD4657"/>
      <sheetName val="Productivity_HD7857"/>
      <sheetName val="All_Stockpile_PT__GPS"/>
      <sheetName val="BA_EMBUNG_S1"/>
      <sheetName val="DATA_BASE_UNIT1"/>
      <sheetName val="poductvty_JAN"/>
      <sheetName val="Master_activity_WBS_"/>
      <sheetName val="FR_MTD"/>
      <sheetName val="DB_MANPOWER"/>
      <sheetName val="Master_Unit"/>
      <sheetName val="Check_Poin_Apa"/>
      <sheetName val="DATE_&amp;_WEEK_SETT"/>
      <sheetName val="PIT_BBP_TO_SP_MB-AL"/>
      <sheetName val="Trading_Statement"/>
      <sheetName val="DATA_BASE"/>
      <sheetName val="ACT_HAUL"/>
      <sheetName val="ACT_OB"/>
      <sheetName val="ACT_COAL"/>
      <sheetName val="COAL_CRUSH_PLAN"/>
      <sheetName val="_COAL_MINE_PLAN"/>
      <sheetName val="ACT_DIRTY_COAL"/>
      <sheetName val="_OB_PLAN"/>
      <sheetName val="Rain_&amp;_Slippery_Method"/>
      <sheetName val="C1_NOV"/>
      <sheetName val="M_POP_(2)"/>
      <sheetName val="Leasing_Acct"/>
      <sheetName val="RAPORT_TINGKAT_GAGAL"/>
      <sheetName val="Raw_Data_Cost"/>
      <sheetName val="PT__SRIWIJAYA_LINTAS_RAYA"/>
      <sheetName val="ALL_HAULING_Maret"/>
      <sheetName val="ALL_HAULING_April"/>
      <sheetName val="ALL_HAULING_Mei"/>
      <sheetName val="ALL_HAULING_Juni"/>
      <sheetName val="ALL_HAULING_Juli_"/>
      <sheetName val="ALL_HAULING_Agustus_"/>
      <sheetName val="DATA_ERROR_DATA_VOID_AGUSTUS_"/>
      <sheetName val="DATA_ERROR_DATA_VOID_JULI_"/>
      <sheetName val="DATA_ERROR_DATA_VOID_JUNI"/>
      <sheetName val="DATA_ERROR_DATA_VOID_MEI"/>
      <sheetName val="DATA_ERROR_DATA_VOID_APRIL"/>
      <sheetName val="DATA_ERROR_DATA_VOID_maret_"/>
      <sheetName val="Kuota_Epi_&amp;_107"/>
      <sheetName val="ALL_HAULING_September"/>
      <sheetName val="DATA_ERROR_DATA_VOID_SEPTEMBER"/>
      <sheetName val="Plan_Reg"/>
      <sheetName val="Master_Data"/>
      <sheetName val="Unit_Database"/>
      <sheetName val="Tyre_Life_Time5"/>
      <sheetName val="STATUS_UNIT4"/>
      <sheetName val="RM_Cost4"/>
      <sheetName val="Truck_Count3"/>
      <sheetName val="Joint_Survey_Actual3"/>
      <sheetName val="dbase_EGI2"/>
      <sheetName val="CLAIM_EMBUNG2"/>
      <sheetName val="ocean_voyage5"/>
      <sheetName val="Budget_Cash_Out2"/>
      <sheetName val="IBS_20122"/>
      <sheetName val="PRINT_CLAIM_KPP2"/>
      <sheetName val="Operation_-_Prod5"/>
      <sheetName val="Attendance_Ratio5"/>
      <sheetName val="UNIT_EXISTING5"/>
      <sheetName val="Record_Problem5"/>
      <sheetName val="Print_(4)5"/>
      <sheetName val="LPA_OB5"/>
      <sheetName val="Setting_Unit3"/>
      <sheetName val="Day_&amp;_Date3"/>
      <sheetName val="list_unit3"/>
      <sheetName val="Project_Report1"/>
      <sheetName val="Daily_Report1"/>
      <sheetName val="Anal_Koef1"/>
      <sheetName val="Paretto_PDTY1"/>
      <sheetName val="WF_OB1"/>
      <sheetName val="Lamp_11"/>
      <sheetName val="Lamp_21"/>
      <sheetName val="Lamp_31"/>
      <sheetName val="March-april_(2)1"/>
      <sheetName val="DATA_BASE_ENG1"/>
      <sheetName val="IVT_TTB1"/>
      <sheetName val="inventory_timbau1"/>
      <sheetName val="SP_4_CUMULATIVE1"/>
      <sheetName val="SP_1_CUMULATIVE1"/>
      <sheetName val="SP_3_CUMULATIVE1"/>
      <sheetName val="LIST_NEW3"/>
      <sheetName val="list_data2"/>
      <sheetName val="Nama_Operator-Driver5"/>
      <sheetName val="Distance_Pit-TSP_to_WBM2"/>
      <sheetName val="Distance_Pit-PSG_to_BJM2"/>
      <sheetName val="Distance_Pit-TSP_to_BJM2"/>
      <sheetName val="Rekapitulasi_Fuel1"/>
      <sheetName val="Master_(2)1"/>
      <sheetName val="Rain_Fall_pit1"/>
      <sheetName val="Row_Data1"/>
      <sheetName val="UA_PA_DZ1"/>
      <sheetName val="UA_PA_GR1"/>
      <sheetName val="UA_PA_PC1"/>
      <sheetName val="UA_PA_HM4001"/>
      <sheetName val="UA_PA_HD46571"/>
      <sheetName val="UA_PA_HD78571"/>
      <sheetName val="UA_PA_HD7857_(2)1"/>
      <sheetName val="UA_PA_P3801"/>
      <sheetName val="Productivity_PC_WR1"/>
      <sheetName val="Productivity_PC_800_CC1"/>
      <sheetName val="Productivity_HM4001"/>
      <sheetName val="Productivity_HD46571"/>
      <sheetName val="Productivity_HD78571"/>
      <sheetName val="All_Stockpile_PT__GPS1"/>
      <sheetName val="BA_EMBUNG_S11"/>
      <sheetName val="DATA_BASE_UNIT2"/>
      <sheetName val="poductvty_JAN1"/>
      <sheetName val="Master_activity_WBS_1"/>
      <sheetName val="FR_MTD1"/>
      <sheetName val="DB_MANPOWER1"/>
      <sheetName val="Master_Unit1"/>
      <sheetName val="Check_Poin_Apa1"/>
      <sheetName val="DATE_&amp;_WEEK_SETT1"/>
      <sheetName val="PIT_BBP_TO_SP_MB-AL1"/>
      <sheetName val="Trading_Statement1"/>
      <sheetName val="DATA_BASE1"/>
      <sheetName val="ACT_HAUL1"/>
      <sheetName val="ACT_OB1"/>
      <sheetName val="ACT_COAL1"/>
      <sheetName val="COAL_CRUSH_PLAN1"/>
      <sheetName val="_COAL_MINE_PLAN1"/>
      <sheetName val="ACT_DIRTY_COAL1"/>
      <sheetName val="_OB_PLAN1"/>
      <sheetName val="Rain_&amp;_Slippery_Method1"/>
      <sheetName val="C1_NOV1"/>
      <sheetName val="M_POP_(2)1"/>
      <sheetName val="Leasing_Acct1"/>
      <sheetName val="RAPORT_TINGKAT_GAGAL1"/>
      <sheetName val="Raw_Data_Cost1"/>
      <sheetName val="PT__SRIWIJAYA_LINTAS_RAYA1"/>
      <sheetName val="ALL_HAULING_Maret1"/>
      <sheetName val="ALL_HAULING_April1"/>
      <sheetName val="ALL_HAULING_Mei1"/>
      <sheetName val="ALL_HAULING_Juni1"/>
      <sheetName val="ALL_HAULING_Juli_1"/>
      <sheetName val="ALL_HAULING_Agustus_1"/>
      <sheetName val="DATA_ERROR_DATA_VOID_AGUSTUS_1"/>
      <sheetName val="DATA_ERROR_DATA_VOID_JULI_1"/>
      <sheetName val="DATA_ERROR_DATA_VOID_JUNI1"/>
      <sheetName val="DATA_ERROR_DATA_VOID_MEI1"/>
      <sheetName val="DATA_ERROR_DATA_VOID_APRIL1"/>
      <sheetName val="DATA_ERROR_DATA_VOID_maret_1"/>
      <sheetName val="Kuota_Epi_&amp;_1071"/>
      <sheetName val="ALL_HAULING_September1"/>
      <sheetName val="DATA_ERROR_DATA_VOID_SEPTEMBER1"/>
      <sheetName val="Plan_Reg1"/>
      <sheetName val="Master_Data1"/>
      <sheetName val="Unit_Database1"/>
      <sheetName val="Sales Seasonality by Month"/>
      <sheetName val="Waterflow OB"/>
      <sheetName val="Lists"/>
      <sheetName val="Sheet4"/>
      <sheetName val="RAPORT PERFORMANCE"/>
      <sheetName val="Internal Process Perspective"/>
      <sheetName val="Rekap Coal"/>
      <sheetName val="HM UPDATE"/>
      <sheetName val="POP Onsite"/>
      <sheetName val="Kode Unit"/>
      <sheetName val="BA_Print"/>
      <sheetName val="FUEL"/>
      <sheetName val="HM"/>
      <sheetName val="Ore-Prod"/>
      <sheetName val="Status"/>
      <sheetName val="ORE"/>
      <sheetName val="Production"/>
      <sheetName val="Sales_Seasonality_by_Month"/>
      <sheetName val="Waterflow_OB"/>
      <sheetName val="EPR_WEEKLY"/>
      <sheetName val="Base_data"/>
      <sheetName val="Safety_2"/>
      <sheetName val="HM_UPDATE"/>
      <sheetName val="POP_Onsite"/>
      <sheetName val="Rekap_Coal"/>
      <sheetName val="MASTER_SIA"/>
      <sheetName val="RAPORT_PERFORMANCE"/>
      <sheetName val="Sales_Seasonality_by_Month1"/>
      <sheetName val="Waterflow_OB1"/>
      <sheetName val="EPR_WEEKLY1"/>
      <sheetName val="Base_data1"/>
      <sheetName val="Safety_21"/>
      <sheetName val="HM_UPDATE1"/>
      <sheetName val="POP_Onsite1"/>
      <sheetName val="Rekap_Coal1"/>
      <sheetName val="MASTER_SIA1"/>
      <sheetName val="RAPORT_PERFORMANCE1"/>
      <sheetName val="KITADIN"/>
      <sheetName val="Validasi"/>
      <sheetName val="Attendance_Ratio6"/>
      <sheetName val="Tyre_Life_Time6"/>
      <sheetName val="list_unit4"/>
      <sheetName val="Operation_-_Prod6"/>
      <sheetName val="STATUS_UNIT5"/>
      <sheetName val="RM_Cost5"/>
      <sheetName val="Truck_Count4"/>
      <sheetName val="Joint_Survey_Actual4"/>
      <sheetName val="dbase_EGI3"/>
      <sheetName val="ocean_voyage6"/>
      <sheetName val="Budget_Cash_Out3"/>
      <sheetName val="CLAIM_EMBUNG3"/>
      <sheetName val="UNIT_EXISTING6"/>
      <sheetName val="Record_Problem6"/>
      <sheetName val="Print_(4)6"/>
      <sheetName val="LPA_OB6"/>
      <sheetName val="IBS_20123"/>
      <sheetName val="PRINT_CLAIM_KPP3"/>
      <sheetName val="list_data3"/>
      <sheetName val="LIST_NEW4"/>
      <sheetName val="Nama_Operator-Driver6"/>
      <sheetName val="Distance_Pit-TSP_to_WBM3"/>
      <sheetName val="Distance_Pit-PSG_to_BJM3"/>
      <sheetName val="Distance_Pit-TSP_to_BJM3"/>
      <sheetName val="Rekapitulasi_Fuel2"/>
      <sheetName val="Setting_Unit4"/>
      <sheetName val="Day_&amp;_Date4"/>
      <sheetName val="Master_(2)2"/>
      <sheetName val="DATE_&amp;_WEEK_SETT2"/>
      <sheetName val="Trading_Statement2"/>
      <sheetName val="DATA_BASE2"/>
      <sheetName val="ACT_HAUL2"/>
      <sheetName val="ACT_OB2"/>
      <sheetName val="ACT_COAL2"/>
      <sheetName val="COAL_CRUSH_PLAN2"/>
      <sheetName val="_COAL_MINE_PLAN2"/>
      <sheetName val="ACT_DIRTY_COAL2"/>
      <sheetName val="_OB_PLAN2"/>
      <sheetName val="Rain_&amp;_Slippery_Method2"/>
      <sheetName val="C1_NOV2"/>
      <sheetName val="PIT_BBP_TO_SP_MB-AL2"/>
      <sheetName val="Project_Report2"/>
      <sheetName val="Daily_Report2"/>
      <sheetName val="Anal_Koef2"/>
      <sheetName val="Paretto_PDTY2"/>
      <sheetName val="WF_OB2"/>
      <sheetName val="DATA_BASE_ENG2"/>
      <sheetName val="March-april_(2)2"/>
      <sheetName val="Lamp_12"/>
      <sheetName val="Lamp_22"/>
      <sheetName val="Lamp_32"/>
      <sheetName val="IVT_TTB2"/>
      <sheetName val="inventory_timbau2"/>
      <sheetName val="SP_4_CUMULATIVE2"/>
      <sheetName val="SP_1_CUMULATIVE2"/>
      <sheetName val="SP_3_CUMULATIVE2"/>
      <sheetName val="Sales_Seasonality_by_Month2"/>
      <sheetName val="Waterflow_OB2"/>
      <sheetName val="poductvty_JAN2"/>
      <sheetName val="Master_activity_WBS_2"/>
      <sheetName val="FR_MTD2"/>
      <sheetName val="DB_MANPOWER2"/>
      <sheetName val="Master_Unit2"/>
      <sheetName val="Check_Poin_Apa2"/>
      <sheetName val="M_POP_(2)2"/>
      <sheetName val="DATA_BASE_UNIT3"/>
      <sheetName val="RAPORT_TINGKAT_GAGAL2"/>
      <sheetName val="Leasing_Acct2"/>
      <sheetName val="EPR_WEEKLY2"/>
      <sheetName val="Base_data2"/>
      <sheetName val="Safety_22"/>
      <sheetName val="Row_Data2"/>
      <sheetName val="UA_PA_DZ2"/>
      <sheetName val="UA_PA_GR2"/>
      <sheetName val="UA_PA_PC2"/>
      <sheetName val="UA_PA_HM4002"/>
      <sheetName val="UA_PA_HD46572"/>
      <sheetName val="UA_PA_HD78572"/>
      <sheetName val="UA_PA_HD7857_(2)2"/>
      <sheetName val="UA_PA_P3802"/>
      <sheetName val="Productivity_PC_WR2"/>
      <sheetName val="Productivity_PC_800_CC2"/>
      <sheetName val="Productivity_HM4002"/>
      <sheetName val="Productivity_HD46572"/>
      <sheetName val="Productivity_HD78572"/>
      <sheetName val="Rain_Fall_pit2"/>
      <sheetName val="All_Stockpile_PT__GPS2"/>
      <sheetName val="BA_EMBUNG_S12"/>
      <sheetName val="Raw_Data_Cost2"/>
      <sheetName val="PT__SRIWIJAYA_LINTAS_RAYA2"/>
      <sheetName val="ALL_HAULING_Maret2"/>
      <sheetName val="ALL_HAULING_April2"/>
      <sheetName val="ALL_HAULING_Mei2"/>
      <sheetName val="ALL_HAULING_Juni2"/>
      <sheetName val="ALL_HAULING_Juli_2"/>
      <sheetName val="ALL_HAULING_Agustus_2"/>
      <sheetName val="DATA_ERROR_DATA_VOID_AGUSTUS_2"/>
      <sheetName val="DATA_ERROR_DATA_VOID_JULI_2"/>
      <sheetName val="DATA_ERROR_DATA_VOID_JUNI2"/>
      <sheetName val="DATA_ERROR_DATA_VOID_MEI2"/>
      <sheetName val="DATA_ERROR_DATA_VOID_APRIL2"/>
      <sheetName val="DATA_ERROR_DATA_VOID_maret_2"/>
      <sheetName val="Kuota_Epi_&amp;_1072"/>
      <sheetName val="ALL_HAULING_September2"/>
      <sheetName val="DATA_ERROR_DATA_VOID_SEPTEMBER2"/>
      <sheetName val="Rekap_Coal2"/>
      <sheetName val="HM_UPDATE2"/>
      <sheetName val="POP_Onsite2"/>
      <sheetName val="MASTER_SIA2"/>
      <sheetName val="RAPORT_PERFORMANCE2"/>
      <sheetName val="summary adjusted"/>
      <sheetName val="PCR OKT"/>
      <sheetName val="Report HM"/>
      <sheetName val="2002"/>
      <sheetName val="UNIT GAM"/>
      <sheetName val="MAN POWER"/>
      <sheetName val="POPULASI UNIT"/>
      <sheetName val="LIST KARYAWAN"/>
      <sheetName val="gVL"/>
      <sheetName val="Base Unit"/>
      <sheetName val="0804"/>
      <sheetName val="PLAN IBS SUBC"/>
      <sheetName val="LOADDAT"/>
      <sheetName val="BU_ID"/>
      <sheetName val="UNIT_GAM"/>
      <sheetName val="MS_unit"/>
      <sheetName val="Resume WH_STB_BD"/>
      <sheetName val="Kode_Unit"/>
      <sheetName val="Resume_WH_STB_BD"/>
      <sheetName val="ST"/>
      <sheetName val="shipping_program"/>
      <sheetName val="CODE-C"/>
      <sheetName val="TR2"/>
      <sheetName val="Input Speed Act"/>
      <sheetName val="DPR"/>
      <sheetName val="TRUCK"/>
      <sheetName val="Dozing Estimation"/>
      <sheetName val="QUICK COUNT"/>
      <sheetName val="Owner"/>
      <sheetName val="Dbase Man Hours"/>
      <sheetName val="DATABASE_BD"/>
      <sheetName val="Help"/>
      <sheetName val="Comp Code"/>
      <sheetName val="Asset"/>
      <sheetName val="BARGING"/>
      <sheetName val="PLAN COAL PTR"/>
      <sheetName val="PLAN OB"/>
      <sheetName val="BREAKDOWN"/>
      <sheetName val="OPLOAD_HERE"/>
      <sheetName val="OB SAP"/>
      <sheetName val="COAL PTR"/>
      <sheetName val="ZPM01"/>
      <sheetName val="R &amp; S"/>
      <sheetName val="Loss MTD OB"/>
      <sheetName val="Total OB"/>
      <sheetName val="Review OB"/>
      <sheetName val="Water Fall OB"/>
      <sheetName val="PICA OB"/>
      <sheetName val="Total COAL"/>
      <sheetName val="Review COAL"/>
      <sheetName val="Water Fall COAL PTR"/>
      <sheetName val="PICA COAL"/>
      <sheetName val="EWH Loader"/>
      <sheetName val="Resume OB SIS"/>
      <sheetName val="Detail OB SIS"/>
      <sheetName val="Resume PTR SIS"/>
      <sheetName val="Detail PTR SIS"/>
      <sheetName val="Review Weekly"/>
      <sheetName val="REV 2"/>
      <sheetName val="PROD PLAN"/>
      <sheetName val="PROD JS"/>
      <sheetName val="Summary RTK Wara"/>
      <sheetName val="Existing PPA WARA"/>
      <sheetName val="MASTERDATA"/>
      <sheetName val="Cost Center"/>
      <sheetName val="FR Cluster MTD"/>
      <sheetName val="penjualan"/>
      <sheetName val="METAEMB"/>
      <sheetName val="LAYOUT"/>
      <sheetName val="MTD CHAIN"/>
      <sheetName val="PEXFEE"/>
      <sheetName val="List Down"/>
      <sheetName val="DAY"/>
      <sheetName val="Cost Code"/>
      <sheetName val="STEP 3.1"/>
      <sheetName val="Sum"/>
      <sheetName val="Pivot Control Volume"/>
      <sheetName val="Central DB"/>
      <sheetName val="HM UNIT"/>
      <sheetName val="Pivot Ritase BSI"/>
      <sheetName val="DMR BSI"/>
      <sheetName val="DMR Total"/>
      <sheetName val="HM SUPPORT  MMS"/>
      <sheetName val="Reff"/>
      <sheetName val="ob+co"/>
      <sheetName val="Data unit"/>
      <sheetName val="Equipment"/>
      <sheetName val="11-20"/>
      <sheetName val="Monthly Plan"/>
      <sheetName val="Big"/>
      <sheetName val="Coal_Mining"/>
      <sheetName val="Cover"/>
      <sheetName val="Htr"/>
      <sheetName val="KPC Coal"/>
      <sheetName val="KPC_Total"/>
      <sheetName val="MS"/>
      <sheetName val="BS+PL"/>
      <sheetName val="RAPORT"/>
      <sheetName val="GiaVL"/>
      <sheetName val=" SAF 02"/>
      <sheetName val="Tyre_Life_Time7"/>
      <sheetName val="list_unit5"/>
      <sheetName val="Operation_-_Prod7"/>
      <sheetName val="Setting_Unit5"/>
      <sheetName val="Day_&amp;_Date5"/>
      <sheetName val="STATUS_UNIT6"/>
      <sheetName val="RM_Cost6"/>
      <sheetName val="Nama_Operator-Driver7"/>
      <sheetName val="Attendance_Ratio7"/>
      <sheetName val="LIST_NEW5"/>
      <sheetName val="Truck_Count5"/>
      <sheetName val="Joint_Survey_Actual5"/>
      <sheetName val="dbase_EGI4"/>
      <sheetName val="ocean_voyage7"/>
      <sheetName val="Budget_Cash_Out4"/>
      <sheetName val="CLAIM_EMBUNG4"/>
      <sheetName val="Distance_Pit-TSP_to_WBM4"/>
      <sheetName val="Distance_Pit-PSG_to_BJM4"/>
      <sheetName val="Distance_Pit-TSP_to_BJM4"/>
      <sheetName val="DATA_BASE_UNIT4"/>
      <sheetName val="poductvty_JAN3"/>
      <sheetName val="PIT_BBP_TO_SP_MB-AL3"/>
      <sheetName val="UNIT_EXISTING7"/>
      <sheetName val="Record_Problem7"/>
      <sheetName val="Print_(4)7"/>
      <sheetName val="LPA_OB7"/>
      <sheetName val="Rekapitulasi_Fuel3"/>
      <sheetName val="Master_(2)3"/>
      <sheetName val="IBS_20124"/>
      <sheetName val="PRINT_CLAIM_KPP4"/>
      <sheetName val="list_data4"/>
      <sheetName val="Master_activity_WBS_3"/>
      <sheetName val="FR_MTD3"/>
      <sheetName val="DB_MANPOWER3"/>
      <sheetName val="Master_Unit3"/>
      <sheetName val="Check_Poin_Apa3"/>
      <sheetName val="M_POP_(2)3"/>
      <sheetName val="Leasing_Acct3"/>
      <sheetName val="RAPORT_TINGKAT_GAGAL3"/>
      <sheetName val="DATE_&amp;_WEEK_SETT3"/>
      <sheetName val="Trading_Statement3"/>
      <sheetName val="DATA_BASE3"/>
      <sheetName val="ACT_HAUL3"/>
      <sheetName val="ACT_OB3"/>
      <sheetName val="ACT_COAL3"/>
      <sheetName val="COAL_CRUSH_PLAN3"/>
      <sheetName val="_COAL_MINE_PLAN3"/>
      <sheetName val="ACT_DIRTY_COAL3"/>
      <sheetName val="_OB_PLAN3"/>
      <sheetName val="Rain_&amp;_Slippery_Method3"/>
      <sheetName val="C1_NOV3"/>
      <sheetName val="MASTER_SIA3"/>
      <sheetName val="RAPORT_PERFORMANCE3"/>
      <sheetName val="Project_Report3"/>
      <sheetName val="Daily_Report3"/>
      <sheetName val="Paretto_PDTY3"/>
      <sheetName val="WF_OB3"/>
      <sheetName val="Anal_Koef3"/>
      <sheetName val="DATA_BASE_ENG3"/>
      <sheetName val="March-april_(2)3"/>
      <sheetName val="Lamp_13"/>
      <sheetName val="Lamp_23"/>
      <sheetName val="Lamp_33"/>
      <sheetName val="IVT_TTB3"/>
      <sheetName val="inventory_timbau3"/>
      <sheetName val="SP_4_CUMULATIVE3"/>
      <sheetName val="SP_1_CUMULATIVE3"/>
      <sheetName val="SP_3_CUMULATIVE3"/>
      <sheetName val="Row_Data3"/>
      <sheetName val="UA_PA_DZ3"/>
      <sheetName val="UA_PA_GR3"/>
      <sheetName val="UA_PA_PC3"/>
      <sheetName val="UA_PA_HM4003"/>
      <sheetName val="UA_PA_HD46573"/>
      <sheetName val="UA_PA_HD78573"/>
      <sheetName val="UA_PA_HD7857_(2)3"/>
      <sheetName val="UA_PA_P3803"/>
      <sheetName val="Productivity_PC_WR3"/>
      <sheetName val="Productivity_PC_800_CC3"/>
      <sheetName val="Productivity_HM4003"/>
      <sheetName val="Productivity_HD46573"/>
      <sheetName val="Productivity_HD78573"/>
      <sheetName val="Rain_Fall_pit3"/>
      <sheetName val="Raw_Data_Cost3"/>
      <sheetName val="PT__SRIWIJAYA_LINTAS_RAYA3"/>
      <sheetName val="ALL_HAULING_Maret3"/>
      <sheetName val="ALL_HAULING_April3"/>
      <sheetName val="ALL_HAULING_Mei3"/>
      <sheetName val="ALL_HAULING_Juni3"/>
      <sheetName val="ALL_HAULING_Juli_3"/>
      <sheetName val="ALL_HAULING_Agustus_3"/>
      <sheetName val="DATA_ERROR_DATA_VOID_AGUSTUS_3"/>
      <sheetName val="DATA_ERROR_DATA_VOID_JULI_3"/>
      <sheetName val="DATA_ERROR_DATA_VOID_JUNI3"/>
      <sheetName val="DATA_ERROR_DATA_VOID_MEI3"/>
      <sheetName val="DATA_ERROR_DATA_VOID_APRIL3"/>
      <sheetName val="DATA_ERROR_DATA_VOID_maret_3"/>
      <sheetName val="Kuota_Epi_&amp;_1073"/>
      <sheetName val="ALL_HAULING_September3"/>
      <sheetName val="DATA_ERROR_DATA_VOID_SEPTEMBER3"/>
      <sheetName val="TEMPLATE_POSITION"/>
      <sheetName val="EPR_WEEKLY3"/>
      <sheetName val="Base_data3"/>
      <sheetName val="Safety_23"/>
      <sheetName val="All_Stockpile_PT__GPS3"/>
      <sheetName val="BA_EMBUNG_S13"/>
      <sheetName val="Master_Data2"/>
      <sheetName val="Unit_Database2"/>
      <sheetName val="Plan_Reg2"/>
      <sheetName val="Sales_Seasonality_by_Month3"/>
      <sheetName val="Waterflow_OB3"/>
      <sheetName val="Rekap_Coal3"/>
      <sheetName val="Report_HM"/>
      <sheetName val="UNIT_GAM1"/>
      <sheetName val="MAN_POWER"/>
      <sheetName val="POPULASI_UNIT"/>
      <sheetName val="LIST_KARYAWAN"/>
      <sheetName val="Kode_Unit1"/>
      <sheetName val="Internal_Process_Perspective"/>
      <sheetName val="HM_UPDATE3"/>
      <sheetName val="POP_Onsite3"/>
      <sheetName val="summary_adjusted"/>
      <sheetName val="PCR_OKT"/>
      <sheetName val="Input_Speed_Act"/>
      <sheetName val="Base_Unit"/>
      <sheetName val="Resume_WH_STB_BD1"/>
      <sheetName val="POPULASI UNIT COAL"/>
      <sheetName val="Rekap Operator All"/>
      <sheetName val="Loan"/>
      <sheetName val="Weather Delays"/>
      <sheetName val="Weather_Delays"/>
      <sheetName val="CHART"/>
      <sheetName val="Production by Lokasi"/>
      <sheetName val="Permanent info"/>
      <sheetName val="Marshal"/>
      <sheetName val="Subcont"/>
      <sheetName val="070108"/>
      <sheetName val="Keppel Land"/>
      <sheetName val="Input OB"/>
      <sheetName val="ENTRY OB"/>
      <sheetName val="TRANSVERSE OB"/>
      <sheetName val="ENTRY COAL"/>
      <sheetName val="TRANSVERSE COAL"/>
      <sheetName val="Monthly_Plan"/>
      <sheetName val="Monthly_Plan1"/>
      <sheetName val="Kode_Unit2"/>
      <sheetName val="Resume_WH_STB_BD2"/>
      <sheetName val="Monthly_Plan2"/>
      <sheetName val="Master_Data3"/>
      <sheetName val="Kode_Unit3"/>
      <sheetName val="Resume_WH_STB_BD3"/>
      <sheetName val="Monthly_Plan3"/>
      <sheetName val="Unit_Database3"/>
      <sheetName val="Plan_Reg3"/>
      <sheetName val="TEMPLATE_POSITION1"/>
      <sheetName val="Tyre_Life_Time8"/>
      <sheetName val="list_unit6"/>
      <sheetName val="Operation_-_Prod8"/>
      <sheetName val="Setting_Unit6"/>
      <sheetName val="Day_&amp;_Date6"/>
      <sheetName val="Master_Data4"/>
      <sheetName val="Nama_Operator-Driver8"/>
      <sheetName val="STATUS_UNIT7"/>
      <sheetName val="RM_Cost7"/>
      <sheetName val="Attendance_Ratio8"/>
      <sheetName val="Truck_Count6"/>
      <sheetName val="Joint_Survey_Actual6"/>
      <sheetName val="dbase_EGI5"/>
      <sheetName val="ocean_voyage8"/>
      <sheetName val="Budget_Cash_Out5"/>
      <sheetName val="CLAIM_EMBUNG5"/>
      <sheetName val="Distance_Pit-TSP_to_WBM5"/>
      <sheetName val="Distance_Pit-PSG_to_BJM5"/>
      <sheetName val="Distance_Pit-TSP_to_BJM5"/>
      <sheetName val="LIST_NEW6"/>
      <sheetName val="Master_(2)4"/>
      <sheetName val="poductvty_JAN4"/>
      <sheetName val="DATA_BASE_UNIT5"/>
      <sheetName val="All_Stockpile_PT__GPS4"/>
      <sheetName val="Kode_Unit4"/>
      <sheetName val="Master_activity_WBS_4"/>
      <sheetName val="FR_MTD4"/>
      <sheetName val="Resume_WH_STB_BD4"/>
      <sheetName val="Raw_Data_Cost4"/>
      <sheetName val="Monthly_Plan4"/>
      <sheetName val="IBS_20125"/>
      <sheetName val="PRINT_CLAIM_KPP5"/>
      <sheetName val="UNIT_EXISTING8"/>
      <sheetName val="Record_Problem8"/>
      <sheetName val="Print_(4)8"/>
      <sheetName val="LPA_OB8"/>
      <sheetName val="Project_Report4"/>
      <sheetName val="Daily_Report4"/>
      <sheetName val="Paretto_PDTY4"/>
      <sheetName val="WF_OB4"/>
      <sheetName val="Anal_Koef4"/>
      <sheetName val="DATA_BASE_ENG4"/>
      <sheetName val="March-april_(2)4"/>
      <sheetName val="Lamp_14"/>
      <sheetName val="Lamp_24"/>
      <sheetName val="Lamp_34"/>
      <sheetName val="Rekapitulasi_Fuel4"/>
      <sheetName val="list_data5"/>
      <sheetName val="IVT_TTB4"/>
      <sheetName val="inventory_timbau4"/>
      <sheetName val="SP_4_CUMULATIVE4"/>
      <sheetName val="SP_1_CUMULATIVE4"/>
      <sheetName val="SP_3_CUMULATIVE4"/>
      <sheetName val="Row_Data4"/>
      <sheetName val="UA_PA_DZ4"/>
      <sheetName val="UA_PA_GR4"/>
      <sheetName val="UA_PA_PC4"/>
      <sheetName val="UA_PA_HM4004"/>
      <sheetName val="UA_PA_HD46574"/>
      <sheetName val="UA_PA_HD78574"/>
      <sheetName val="UA_PA_HD7857_(2)4"/>
      <sheetName val="UA_PA_P3804"/>
      <sheetName val="Productivity_PC_WR4"/>
      <sheetName val="Productivity_PC_800_CC4"/>
      <sheetName val="Productivity_HM4004"/>
      <sheetName val="Productivity_HD46574"/>
      <sheetName val="Productivity_HD78574"/>
      <sheetName val="Rain_Fall_pit4"/>
      <sheetName val="Trading_Statement4"/>
      <sheetName val="DATA_BASE4"/>
      <sheetName val="C1_NOV4"/>
      <sheetName val="Unit_Database4"/>
      <sheetName val="ACT_HAUL4"/>
      <sheetName val="ACT_OB4"/>
      <sheetName val="ACT_COAL4"/>
      <sheetName val="COAL_CRUSH_PLAN4"/>
      <sheetName val="_COAL_MINE_PLAN4"/>
      <sheetName val="ACT_DIRTY_COAL4"/>
      <sheetName val="_OB_PLAN4"/>
      <sheetName val="Rain_&amp;_Slippery_Method4"/>
      <sheetName val="DATE_&amp;_WEEK_SETT4"/>
      <sheetName val="PIT_BBP_TO_SP_MB-AL4"/>
      <sheetName val="DB_MANPOWER4"/>
      <sheetName val="Master_Unit4"/>
      <sheetName val="Check_Poin_Apa4"/>
      <sheetName val="BA_EMBUNG_S14"/>
      <sheetName val="PT__SRIWIJAYA_LINTAS_RAYA4"/>
      <sheetName val="ALL_HAULING_Maret4"/>
      <sheetName val="ALL_HAULING_April4"/>
      <sheetName val="ALL_HAULING_Mei4"/>
      <sheetName val="ALL_HAULING_Juni4"/>
      <sheetName val="ALL_HAULING_Juli_4"/>
      <sheetName val="ALL_HAULING_Agustus_4"/>
      <sheetName val="DATA_ERROR_DATA_VOID_AGUSTUS_4"/>
      <sheetName val="DATA_ERROR_DATA_VOID_JULI_4"/>
      <sheetName val="DATA_ERROR_DATA_VOID_JUNI4"/>
      <sheetName val="DATA_ERROR_DATA_VOID_MEI4"/>
      <sheetName val="DATA_ERROR_DATA_VOID_APRIL4"/>
      <sheetName val="DATA_ERROR_DATA_VOID_maret_4"/>
      <sheetName val="Kuota_Epi_&amp;_1074"/>
      <sheetName val="ALL_HAULING_September4"/>
      <sheetName val="DATA_ERROR_DATA_VOID_SEPTEMBER4"/>
      <sheetName val="M_POP_(2)4"/>
      <sheetName val="Leasing_Acct4"/>
      <sheetName val="RAPORT_TINGKAT_GAGAL4"/>
      <sheetName val="Plan_Reg4"/>
      <sheetName val="UNIT_GAM2"/>
      <sheetName val="TEMPLATE_POSITION2"/>
      <sheetName val="Tyre_Life_Time9"/>
      <sheetName val="list_unit7"/>
      <sheetName val="Operation_-_Prod9"/>
      <sheetName val="Setting_Unit7"/>
      <sheetName val="Day_&amp;_Date7"/>
      <sheetName val="Master_Data5"/>
      <sheetName val="Nama_Operator-Driver9"/>
      <sheetName val="STATUS_UNIT8"/>
      <sheetName val="RM_Cost8"/>
      <sheetName val="Attendance_Ratio9"/>
      <sheetName val="Truck_Count7"/>
      <sheetName val="Joint_Survey_Actual7"/>
      <sheetName val="dbase_EGI6"/>
      <sheetName val="ocean_voyage9"/>
      <sheetName val="Budget_Cash_Out6"/>
      <sheetName val="CLAIM_EMBUNG6"/>
      <sheetName val="Distance_Pit-TSP_to_WBM6"/>
      <sheetName val="Distance_Pit-PSG_to_BJM6"/>
      <sheetName val="Distance_Pit-TSP_to_BJM6"/>
      <sheetName val="LIST_NEW7"/>
      <sheetName val="Master_(2)5"/>
      <sheetName val="poductvty_JAN5"/>
      <sheetName val="DATA_BASE_UNIT6"/>
      <sheetName val="All_Stockpile_PT__GPS5"/>
      <sheetName val="Kode_Unit5"/>
      <sheetName val="Master_activity_WBS_5"/>
      <sheetName val="FR_MTD5"/>
      <sheetName val="Resume_WH_STB_BD5"/>
      <sheetName val="Raw_Data_Cost5"/>
      <sheetName val="Monthly_Plan5"/>
      <sheetName val="IBS_20126"/>
      <sheetName val="PRINT_CLAIM_KPP6"/>
      <sheetName val="UNIT_EXISTING9"/>
      <sheetName val="Record_Problem9"/>
      <sheetName val="Print_(4)9"/>
      <sheetName val="LPA_OB9"/>
      <sheetName val="Project_Report5"/>
      <sheetName val="Daily_Report5"/>
      <sheetName val="Paretto_PDTY5"/>
      <sheetName val="WF_OB5"/>
      <sheetName val="Anal_Koef5"/>
      <sheetName val="DATA_BASE_ENG5"/>
      <sheetName val="March-april_(2)5"/>
      <sheetName val="Lamp_15"/>
      <sheetName val="Lamp_25"/>
      <sheetName val="Lamp_35"/>
      <sheetName val="Rekapitulasi_Fuel5"/>
      <sheetName val="list_data6"/>
      <sheetName val="IVT_TTB5"/>
      <sheetName val="inventory_timbau5"/>
      <sheetName val="SP_4_CUMULATIVE5"/>
      <sheetName val="SP_1_CUMULATIVE5"/>
      <sheetName val="SP_3_CUMULATIVE5"/>
      <sheetName val="Row_Data5"/>
      <sheetName val="UA_PA_DZ5"/>
      <sheetName val="UA_PA_GR5"/>
      <sheetName val="UA_PA_PC5"/>
      <sheetName val="UA_PA_HM4005"/>
      <sheetName val="UA_PA_HD46575"/>
      <sheetName val="UA_PA_HD78575"/>
      <sheetName val="UA_PA_HD7857_(2)5"/>
      <sheetName val="UA_PA_P3805"/>
      <sheetName val="Productivity_PC_WR5"/>
      <sheetName val="Productivity_PC_800_CC5"/>
      <sheetName val="Productivity_HM4005"/>
      <sheetName val="Productivity_HD46575"/>
      <sheetName val="Productivity_HD78575"/>
      <sheetName val="Rain_Fall_pit5"/>
      <sheetName val="Trading_Statement5"/>
      <sheetName val="DATA_BASE5"/>
      <sheetName val="C1_NOV5"/>
      <sheetName val="Unit_Database5"/>
      <sheetName val="ACT_HAUL5"/>
      <sheetName val="ACT_OB5"/>
      <sheetName val="ACT_COAL5"/>
      <sheetName val="COAL_CRUSH_PLAN5"/>
      <sheetName val="_COAL_MINE_PLAN5"/>
      <sheetName val="ACT_DIRTY_COAL5"/>
      <sheetName val="_OB_PLAN5"/>
      <sheetName val="Rain_&amp;_Slippery_Method5"/>
      <sheetName val="DATE_&amp;_WEEK_SETT5"/>
      <sheetName val="PIT_BBP_TO_SP_MB-AL5"/>
      <sheetName val="DB_MANPOWER5"/>
      <sheetName val="Master_Unit5"/>
      <sheetName val="Check_Poin_Apa5"/>
      <sheetName val="BA_EMBUNG_S15"/>
      <sheetName val="PT__SRIWIJAYA_LINTAS_RAYA5"/>
      <sheetName val="ALL_HAULING_Maret5"/>
      <sheetName val="ALL_HAULING_April5"/>
      <sheetName val="ALL_HAULING_Mei5"/>
      <sheetName val="ALL_HAULING_Juni5"/>
      <sheetName val="ALL_HAULING_Juli_5"/>
      <sheetName val="ALL_HAULING_Agustus_5"/>
      <sheetName val="DATA_ERROR_DATA_VOID_AGUSTUS_5"/>
      <sheetName val="DATA_ERROR_DATA_VOID_JULI_5"/>
      <sheetName val="DATA_ERROR_DATA_VOID_JUNI5"/>
      <sheetName val="DATA_ERROR_DATA_VOID_MEI5"/>
      <sheetName val="DATA_ERROR_DATA_VOID_APRIL5"/>
      <sheetName val="DATA_ERROR_DATA_VOID_maret_5"/>
      <sheetName val="Kuota_Epi_&amp;_1075"/>
      <sheetName val="ALL_HAULING_September5"/>
      <sheetName val="DATA_ERROR_DATA_VOID_SEPTEMBER5"/>
      <sheetName val="M_POP_(2)5"/>
      <sheetName val="Leasing_Acct5"/>
      <sheetName val="RAPORT_TINGKAT_GAGAL5"/>
      <sheetName val="Plan_Reg5"/>
      <sheetName val="UNIT_GAM3"/>
      <sheetName val="TEMPLATE_POSITION3"/>
      <sheetName val="TB98,oct99&amp;sap99-WPL"/>
      <sheetName val="SUMREP"/>
      <sheetName val="table"/>
      <sheetName val="table HGLO"/>
      <sheetName val="summary RSF"/>
      <sheetName val="summary BR1"/>
      <sheetName val="summary DS"/>
      <sheetName val="summary BR23"/>
      <sheetName val="summary IKIP"/>
      <sheetName val="summary PB"/>
      <sheetName val="target"/>
      <sheetName val="table rescat"/>
      <sheetName val="Stockpile HGLO"/>
      <sheetName val="MTBU"/>
      <sheetName val="BANKO pit 1"/>
      <sheetName val=""/>
      <sheetName val="Analis"/>
      <sheetName val="OB"/>
      <sheetName val="TS"/>
      <sheetName val="Perm. Test"/>
      <sheetName val="PARA"/>
      <sheetName val="FC &amp; FR"/>
      <sheetName val="Populasi"/>
      <sheetName val="WATERFALL ANALISIS"/>
      <sheetName val="Data OK"/>
      <sheetName val="PLAN"/>
      <sheetName val="ACTUAL"/>
      <sheetName val="IDR"/>
      <sheetName val="PLAN_IBS_SUBC"/>
      <sheetName val="QUICK_COUNT"/>
      <sheetName val="Dbase_Man_Hours"/>
      <sheetName val="Dozing_Estimation"/>
      <sheetName val="STEP_3_1"/>
      <sheetName val="Cost_Code"/>
      <sheetName val="Pivot_Control_Volume"/>
      <sheetName val="Central_DB"/>
      <sheetName val="HM_UNIT"/>
      <sheetName val="Pivot_Ritase_BSI"/>
      <sheetName val="DMR_BSI"/>
      <sheetName val="DMR_Total"/>
      <sheetName val="HM_SUPPORT__MMS"/>
      <sheetName val="Data_unit"/>
      <sheetName val="FR_Cluster_MTD"/>
      <sheetName val="KPC_Coal"/>
      <sheetName val="Comp_Code"/>
      <sheetName val="PLAN_COAL_PTR"/>
      <sheetName val="PLAN_OB"/>
      <sheetName val="OB_SAP"/>
      <sheetName val="COAL_PTR"/>
      <sheetName val="R_&amp;_S"/>
      <sheetName val="Loss_MTD_OB"/>
      <sheetName val="Total_OB"/>
      <sheetName val="Review_OB"/>
      <sheetName val="Water_Fall_OB"/>
      <sheetName val="PICA_OB"/>
      <sheetName val="Total_COAL"/>
      <sheetName val="Review_COAL"/>
      <sheetName val="Water_Fall_COAL_PTR"/>
      <sheetName val="PICA_COAL"/>
      <sheetName val="EWH_Loader"/>
      <sheetName val="Resume_OB_SIS"/>
      <sheetName val="Detail_OB_SIS"/>
      <sheetName val="Resume_PTR_SIS"/>
      <sheetName val="Detail_PTR_SIS"/>
      <sheetName val="Review_Weekly"/>
      <sheetName val="REV_2"/>
      <sheetName val="PROD_PLAN"/>
      <sheetName val="PROD_JS"/>
      <sheetName val="Summary_RTK_Wara"/>
      <sheetName val="Existing_PPA_WARA"/>
      <sheetName val="Cost_Center"/>
      <sheetName val="MTD_CHAIN"/>
      <sheetName val="List_Down"/>
      <sheetName val="Rekap_Operator_All"/>
      <sheetName val="Payroll Slip"/>
      <sheetName val="ledger02"/>
      <sheetName val="GL"/>
      <sheetName val="Unschedule"/>
      <sheetName val="Perform"/>
      <sheetName val="800040"/>
      <sheetName val="assets"/>
      <sheetName val="Data Monthly"/>
      <sheetName val="Maret 2004"/>
      <sheetName val="OL I 2014 - ABB"/>
      <sheetName val="WK_Fleet_Delays"/>
      <sheetName val="COALPROD_Jan04"/>
      <sheetName val="j. Daily jan 2007 stlh 8 jan"/>
      <sheetName val="OB Total"/>
      <sheetName val="CONOCO"/>
      <sheetName val="Module2"/>
      <sheetName val="SPO"/>
      <sheetName val="PA"/>
      <sheetName val="summary_adjusted1"/>
      <sheetName val="POPULASI_UNIT_COAL"/>
      <sheetName val="Weather_Delays1"/>
      <sheetName val="MASTER_SIA4"/>
      <sheetName val="EPR_WEEKLY4"/>
      <sheetName val="Base_data4"/>
      <sheetName val="Safety_24"/>
      <sheetName val="RAPORT_PERFORMANCE4"/>
      <sheetName val="Sales_Seasonality_by_Month4"/>
      <sheetName val="Waterflow_OB4"/>
      <sheetName val="Report_HM1"/>
      <sheetName val="Rekap_Coal4"/>
      <sheetName val="Internal_Process_Perspective1"/>
      <sheetName val="HM_UPDATE4"/>
      <sheetName val="POP_Onsite4"/>
      <sheetName val="summary_adjusted2"/>
      <sheetName val="MAN_POWER1"/>
      <sheetName val="POPULASI_UNIT1"/>
      <sheetName val="LIST_KARYAWAN1"/>
      <sheetName val="Comp_Code1"/>
      <sheetName val="PLAN_IBS_SUBC1"/>
      <sheetName val="QUICK_COUNT1"/>
      <sheetName val="PCR_OKT1"/>
      <sheetName val="Base_Unit1"/>
      <sheetName val="POPULASI_UNIT_COAL1"/>
      <sheetName val="Input_Speed_Act1"/>
      <sheetName val="MTD_CHAIN1"/>
      <sheetName val="PLAN_COAL_PTR1"/>
      <sheetName val="PLAN_OB1"/>
      <sheetName val="OB_SAP1"/>
      <sheetName val="COAL_PTR1"/>
      <sheetName val="R_&amp;_S1"/>
      <sheetName val="Loss_MTD_OB1"/>
      <sheetName val="Total_OB1"/>
      <sheetName val="Review_OB1"/>
      <sheetName val="Water_Fall_OB1"/>
      <sheetName val="PICA_OB1"/>
      <sheetName val="Total_COAL1"/>
      <sheetName val="Review_COAL1"/>
      <sheetName val="Water_Fall_COAL_PTR1"/>
      <sheetName val="PICA_COAL1"/>
      <sheetName val="EWH_Loader1"/>
      <sheetName val="Resume_OB_SIS1"/>
      <sheetName val="Detail_OB_SIS1"/>
      <sheetName val="Resume_PTR_SIS1"/>
      <sheetName val="Detail_PTR_SIS1"/>
      <sheetName val="Review_Weekly1"/>
      <sheetName val="REV_21"/>
      <sheetName val="PROD_PLAN1"/>
      <sheetName val="PROD_JS1"/>
      <sheetName val="Summary_RTK_Wara1"/>
      <sheetName val="Existing_PPA_WARA1"/>
      <sheetName val="Dozing_Estimation1"/>
      <sheetName val="Dbase_Man_Hours1"/>
      <sheetName val="Cost_Center1"/>
      <sheetName val="Cost_Code1"/>
      <sheetName val="List_Down1"/>
      <sheetName val="STEP_3_11"/>
      <sheetName val="Pivot_Control_Volume1"/>
      <sheetName val="Central_DB1"/>
      <sheetName val="HM_UNIT1"/>
      <sheetName val="Pivot_Ritase_BSI1"/>
      <sheetName val="DMR_BSI1"/>
      <sheetName val="DMR_Total1"/>
      <sheetName val="HM_SUPPORT__MMS1"/>
      <sheetName val="Data_unit1"/>
      <sheetName val="FR_Cluster_MTD1"/>
      <sheetName val="Rekap_Operator_All1"/>
      <sheetName val="Weather_Delays2"/>
      <sheetName val="MASTER_SIA5"/>
      <sheetName val="EPR_WEEKLY5"/>
      <sheetName val="Base_data5"/>
      <sheetName val="Safety_25"/>
      <sheetName val="RAPORT_PERFORMANCE5"/>
      <sheetName val="Sales_Seasonality_by_Month5"/>
      <sheetName val="Waterflow_OB5"/>
      <sheetName val="Report_HM2"/>
      <sheetName val="Rekap_Coal5"/>
      <sheetName val="Internal_Process_Perspective2"/>
      <sheetName val="HM_UPDATE5"/>
      <sheetName val="POP_Onsite5"/>
      <sheetName val="summary_adjusted3"/>
      <sheetName val="MAN_POWER2"/>
      <sheetName val="POPULASI_UNIT2"/>
      <sheetName val="LIST_KARYAWAN2"/>
      <sheetName val="Comp_Code2"/>
      <sheetName val="PLAN_IBS_SUBC2"/>
      <sheetName val="QUICK_COUNT2"/>
      <sheetName val="PCR_OKT2"/>
      <sheetName val="Base_Unit2"/>
      <sheetName val="POPULASI_UNIT_COAL2"/>
      <sheetName val="Input_Speed_Act2"/>
      <sheetName val="MTD_CHAIN2"/>
      <sheetName val="PLAN_COAL_PTR2"/>
      <sheetName val="PLAN_OB2"/>
      <sheetName val="OB_SAP2"/>
      <sheetName val="COAL_PTR2"/>
      <sheetName val="R_&amp;_S2"/>
      <sheetName val="Loss_MTD_OB2"/>
      <sheetName val="Total_OB2"/>
      <sheetName val="Review_OB2"/>
      <sheetName val="Water_Fall_OB2"/>
      <sheetName val="PICA_OB2"/>
      <sheetName val="Total_COAL2"/>
      <sheetName val="Review_COAL2"/>
      <sheetName val="Water_Fall_COAL_PTR2"/>
      <sheetName val="PICA_COAL2"/>
      <sheetName val="EWH_Loader2"/>
      <sheetName val="Resume_OB_SIS2"/>
      <sheetName val="Detail_OB_SIS2"/>
      <sheetName val="Resume_PTR_SIS2"/>
      <sheetName val="Detail_PTR_SIS2"/>
      <sheetName val="Review_Weekly2"/>
      <sheetName val="REV_22"/>
      <sheetName val="PROD_PLAN2"/>
      <sheetName val="PROD_JS2"/>
      <sheetName val="Summary_RTK_Wara2"/>
      <sheetName val="Existing_PPA_WARA2"/>
      <sheetName val="Dozing_Estimation2"/>
      <sheetName val="Dbase_Man_Hours2"/>
      <sheetName val="Cost_Center2"/>
      <sheetName val="Cost_Code2"/>
      <sheetName val="List_Down2"/>
      <sheetName val="STEP_3_12"/>
      <sheetName val="Pivot_Control_Volume2"/>
      <sheetName val="Central_DB2"/>
      <sheetName val="HM_UNIT2"/>
      <sheetName val="Pivot_Ritase_BSI2"/>
      <sheetName val="DMR_BSI2"/>
      <sheetName val="DMR_Total2"/>
      <sheetName val="HM_SUPPORT__MMS2"/>
      <sheetName val="Data_unit2"/>
      <sheetName val="FR_Cluster_MTD2"/>
      <sheetName val="Rekap_Operator_All2"/>
      <sheetName val="Weather_Delays3"/>
      <sheetName val="Tyre_Life_Time10"/>
      <sheetName val="list_unit8"/>
      <sheetName val="Operation_-_Prod10"/>
      <sheetName val="LIST_NEW8"/>
      <sheetName val="STATUS_UNIT9"/>
      <sheetName val="RM_Cost9"/>
      <sheetName val="Nama_Operator-Driver10"/>
      <sheetName val="Attendance_Ratio10"/>
      <sheetName val="UNIT_EXISTING10"/>
      <sheetName val="Record_Problem10"/>
      <sheetName val="Print_(4)10"/>
      <sheetName val="LPA_OB10"/>
      <sheetName val="ocean_voyage10"/>
      <sheetName val="Truck_Count8"/>
      <sheetName val="Joint_Survey_Actual8"/>
      <sheetName val="Budget_Cash_Out7"/>
      <sheetName val="dbase_EGI7"/>
      <sheetName val="CLAIM_EMBUNG7"/>
      <sheetName val="Rekapitulasi_Fuel6"/>
      <sheetName val="Distance_Pit-TSP_to_WBM7"/>
      <sheetName val="Distance_Pit-PSG_to_BJM7"/>
      <sheetName val="Distance_Pit-TSP_to_BJM7"/>
      <sheetName val="Setting_Unit8"/>
      <sheetName val="Day_&amp;_Date8"/>
      <sheetName val="Master_(2)6"/>
      <sheetName val="IBS_20127"/>
      <sheetName val="PRINT_CLAIM_KPP7"/>
      <sheetName val="list_data7"/>
      <sheetName val="DATE_&amp;_WEEK_SETT6"/>
      <sheetName val="PIT_BBP_TO_SP_MB-AL6"/>
      <sheetName val="Trading_Statement6"/>
      <sheetName val="poductvty_JAN6"/>
      <sheetName val="Master_activity_WBS_6"/>
      <sheetName val="FR_MTD6"/>
      <sheetName val="DB_MANPOWER6"/>
      <sheetName val="All_Stockpile_PT__GPS6"/>
      <sheetName val="DATA_BASE_UNIT7"/>
      <sheetName val="DATA_BASE6"/>
      <sheetName val="ACT_HAUL6"/>
      <sheetName val="ACT_OB6"/>
      <sheetName val="ACT_COAL6"/>
      <sheetName val="COAL_CRUSH_PLAN6"/>
      <sheetName val="_COAL_MINE_PLAN6"/>
      <sheetName val="ACT_DIRTY_COAL6"/>
      <sheetName val="_OB_PLAN6"/>
      <sheetName val="Rain_&amp;_Slippery_Method6"/>
      <sheetName val="C1_NOV6"/>
      <sheetName val="Master_Unit6"/>
      <sheetName val="Check_Poin_Apa6"/>
      <sheetName val="M_POP_(2)6"/>
      <sheetName val="Leasing_Acct6"/>
      <sheetName val="RAPORT_TINGKAT_GAGAL6"/>
      <sheetName val="MASTER_SIA6"/>
      <sheetName val="TEMPLATE_POSITION4"/>
      <sheetName val="Project_Report6"/>
      <sheetName val="Daily_Report6"/>
      <sheetName val="Paretto_PDTY6"/>
      <sheetName val="WF_OB6"/>
      <sheetName val="Anal_Koef6"/>
      <sheetName val="DATA_BASE_ENG6"/>
      <sheetName val="March-april_(2)6"/>
      <sheetName val="Lamp_16"/>
      <sheetName val="Lamp_26"/>
      <sheetName val="Lamp_36"/>
      <sheetName val="IVT_TTB6"/>
      <sheetName val="inventory_timbau6"/>
      <sheetName val="SP_4_CUMULATIVE6"/>
      <sheetName val="SP_1_CUMULATIVE6"/>
      <sheetName val="SP_3_CUMULATIVE6"/>
      <sheetName val="Row_Data6"/>
      <sheetName val="UA_PA_DZ6"/>
      <sheetName val="UA_PA_GR6"/>
      <sheetName val="UA_PA_PC6"/>
      <sheetName val="UA_PA_HM4006"/>
      <sheetName val="UA_PA_HD46576"/>
      <sheetName val="UA_PA_HD78576"/>
      <sheetName val="UA_PA_HD7857_(2)6"/>
      <sheetName val="UA_PA_P3806"/>
      <sheetName val="Productivity_PC_WR6"/>
      <sheetName val="Productivity_PC_800_CC6"/>
      <sheetName val="Productivity_HM4006"/>
      <sheetName val="Productivity_HD46576"/>
      <sheetName val="Productivity_HD78576"/>
      <sheetName val="Rain_Fall_pit6"/>
      <sheetName val="Raw_Data_Cost6"/>
      <sheetName val="PT__SRIWIJAYA_LINTAS_RAYA6"/>
      <sheetName val="ALL_HAULING_Maret6"/>
      <sheetName val="ALL_HAULING_April6"/>
      <sheetName val="ALL_HAULING_Mei6"/>
      <sheetName val="ALL_HAULING_Juni6"/>
      <sheetName val="ALL_HAULING_Juli_6"/>
      <sheetName val="ALL_HAULING_Agustus_6"/>
      <sheetName val="DATA_ERROR_DATA_VOID_AGUSTUS_6"/>
      <sheetName val="DATA_ERROR_DATA_VOID_JULI_6"/>
      <sheetName val="DATA_ERROR_DATA_VOID_JUNI6"/>
      <sheetName val="DATA_ERROR_DATA_VOID_MEI6"/>
      <sheetName val="DATA_ERROR_DATA_VOID_APRIL6"/>
      <sheetName val="DATA_ERROR_DATA_VOID_maret_6"/>
      <sheetName val="Kuota_Epi_&amp;_1076"/>
      <sheetName val="ALL_HAULING_September6"/>
      <sheetName val="DATA_ERROR_DATA_VOID_SEPTEMBER6"/>
      <sheetName val="EPR_WEEKLY6"/>
      <sheetName val="Base_data6"/>
      <sheetName val="Safety_26"/>
      <sheetName val="BA_EMBUNG_S16"/>
      <sheetName val="RAPORT_PERFORMANCE6"/>
      <sheetName val="Sales_Seasonality_by_Month6"/>
      <sheetName val="Waterflow_OB6"/>
      <sheetName val="Report_HM3"/>
      <sheetName val="Rekap_Coal6"/>
      <sheetName val="Internal_Process_Perspective3"/>
      <sheetName val="HM_UPDATE6"/>
      <sheetName val="POP_Onsite6"/>
      <sheetName val="summary_adjusted4"/>
      <sheetName val="UNIT_GAM4"/>
      <sheetName val="MAN_POWER3"/>
      <sheetName val="POPULASI_UNIT3"/>
      <sheetName val="LIST_KARYAWAN3"/>
      <sheetName val="Comp_Code3"/>
      <sheetName val="PLAN_IBS_SUBC3"/>
      <sheetName val="QUICK_COUNT3"/>
      <sheetName val="PCR_OKT3"/>
      <sheetName val="Base_Unit3"/>
      <sheetName val="POPULASI_UNIT_COAL3"/>
      <sheetName val="Input_Speed_Act3"/>
      <sheetName val="MTD_CHAIN3"/>
      <sheetName val="PLAN_COAL_PTR3"/>
      <sheetName val="PLAN_OB3"/>
      <sheetName val="OB_SAP3"/>
      <sheetName val="COAL_PTR3"/>
      <sheetName val="R_&amp;_S3"/>
      <sheetName val="Loss_MTD_OB3"/>
      <sheetName val="Total_OB3"/>
      <sheetName val="Review_OB3"/>
      <sheetName val="Water_Fall_OB3"/>
      <sheetName val="PICA_OB3"/>
      <sheetName val="Total_COAL3"/>
      <sheetName val="Review_COAL3"/>
      <sheetName val="Water_Fall_COAL_PTR3"/>
      <sheetName val="PICA_COAL3"/>
      <sheetName val="EWH_Loader3"/>
      <sheetName val="Resume_OB_SIS3"/>
      <sheetName val="Detail_OB_SIS3"/>
      <sheetName val="Resume_PTR_SIS3"/>
      <sheetName val="Detail_PTR_SIS3"/>
      <sheetName val="Review_Weekly3"/>
      <sheetName val="REV_23"/>
      <sheetName val="PROD_PLAN3"/>
      <sheetName val="PROD_JS3"/>
      <sheetName val="Summary_RTK_Wara3"/>
      <sheetName val="Existing_PPA_WARA3"/>
      <sheetName val="Dozing_Estimation3"/>
      <sheetName val="Dbase_Man_Hours3"/>
      <sheetName val="Cost_Center3"/>
      <sheetName val="Cost_Code3"/>
      <sheetName val="List_Down3"/>
      <sheetName val="STEP_3_13"/>
      <sheetName val="Pivot_Control_Volume3"/>
      <sheetName val="Central_DB3"/>
      <sheetName val="HM_UNIT3"/>
      <sheetName val="Pivot_Ritase_BSI3"/>
      <sheetName val="DMR_BSI3"/>
      <sheetName val="DMR_Total3"/>
      <sheetName val="HM_SUPPORT__MMS3"/>
      <sheetName val="Data_unit3"/>
      <sheetName val="FR_Cluster_MTD3"/>
      <sheetName val="Rekap_Operator_All3"/>
      <sheetName val="Weather_Delays4"/>
      <sheetName val="Tyre_Life_Time11"/>
      <sheetName val="list_unit9"/>
      <sheetName val="Operation_-_Prod11"/>
      <sheetName val="LIST_NEW9"/>
      <sheetName val="STATUS_UNIT10"/>
      <sheetName val="RM_Cost10"/>
      <sheetName val="Nama_Operator-Driver11"/>
      <sheetName val="Attendance_Ratio11"/>
      <sheetName val="UNIT_EXISTING11"/>
      <sheetName val="Record_Problem11"/>
      <sheetName val="Print_(4)11"/>
      <sheetName val="LPA_OB11"/>
      <sheetName val="ocean_voyage11"/>
      <sheetName val="Truck_Count9"/>
      <sheetName val="Joint_Survey_Actual9"/>
      <sheetName val="Budget_Cash_Out8"/>
      <sheetName val="dbase_EGI8"/>
      <sheetName val="CLAIM_EMBUNG8"/>
      <sheetName val="Rekapitulasi_Fuel7"/>
      <sheetName val="Distance_Pit-TSP_to_WBM8"/>
      <sheetName val="Distance_Pit-PSG_to_BJM8"/>
      <sheetName val="Distance_Pit-TSP_to_BJM8"/>
      <sheetName val="Setting_Unit9"/>
      <sheetName val="Day_&amp;_Date9"/>
      <sheetName val="Master_(2)7"/>
      <sheetName val="IBS_20128"/>
      <sheetName val="PRINT_CLAIM_KPP8"/>
      <sheetName val="list_data8"/>
      <sheetName val="DATE_&amp;_WEEK_SETT7"/>
      <sheetName val="PIT_BBP_TO_SP_MB-AL7"/>
      <sheetName val="Trading_Statement7"/>
      <sheetName val="poductvty_JAN7"/>
      <sheetName val="Master_activity_WBS_7"/>
      <sheetName val="FR_MTD7"/>
      <sheetName val="DB_MANPOWER7"/>
      <sheetName val="All_Stockpile_PT__GPS7"/>
      <sheetName val="Master_Data6"/>
      <sheetName val="DATA_BASE_UNIT8"/>
      <sheetName val="DATA_BASE7"/>
      <sheetName val="ACT_HAUL7"/>
      <sheetName val="ACT_OB7"/>
      <sheetName val="ACT_COAL7"/>
      <sheetName val="COAL_CRUSH_PLAN7"/>
      <sheetName val="_COAL_MINE_PLAN7"/>
      <sheetName val="ACT_DIRTY_COAL7"/>
      <sheetName val="_OB_PLAN7"/>
      <sheetName val="Rain_&amp;_Slippery_Method7"/>
      <sheetName val="C1_NOV7"/>
      <sheetName val="Master_Unit7"/>
      <sheetName val="Check_Poin_Apa7"/>
      <sheetName val="M_POP_(2)7"/>
      <sheetName val="Leasing_Acct7"/>
      <sheetName val="RAPORT_TINGKAT_GAGAL7"/>
      <sheetName val="MASTER_SIA7"/>
      <sheetName val="TEMPLATE_POSITION5"/>
      <sheetName val="Project_Report7"/>
      <sheetName val="Daily_Report7"/>
      <sheetName val="Paretto_PDTY7"/>
      <sheetName val="WF_OB7"/>
      <sheetName val="Anal_Koef7"/>
      <sheetName val="DATA_BASE_ENG7"/>
      <sheetName val="March-april_(2)7"/>
      <sheetName val="Lamp_17"/>
      <sheetName val="Lamp_27"/>
      <sheetName val="Lamp_37"/>
      <sheetName val="IVT_TTB7"/>
      <sheetName val="inventory_timbau7"/>
      <sheetName val="SP_4_CUMULATIVE7"/>
      <sheetName val="SP_1_CUMULATIVE7"/>
      <sheetName val="SP_3_CUMULATIVE7"/>
      <sheetName val="Row_Data7"/>
      <sheetName val="UA_PA_DZ7"/>
      <sheetName val="UA_PA_GR7"/>
      <sheetName val="UA_PA_PC7"/>
      <sheetName val="UA_PA_HM4007"/>
      <sheetName val="UA_PA_HD46577"/>
      <sheetName val="UA_PA_HD78577"/>
      <sheetName val="UA_PA_HD7857_(2)7"/>
      <sheetName val="UA_PA_P3807"/>
      <sheetName val="Productivity_PC_WR7"/>
      <sheetName val="Productivity_PC_800_CC7"/>
      <sheetName val="Productivity_HM4007"/>
      <sheetName val="Productivity_HD46577"/>
      <sheetName val="Productivity_HD78577"/>
      <sheetName val="Rain_Fall_pit7"/>
      <sheetName val="Raw_Data_Cost7"/>
      <sheetName val="PT__SRIWIJAYA_LINTAS_RAYA7"/>
      <sheetName val="ALL_HAULING_Maret7"/>
      <sheetName val="ALL_HAULING_April7"/>
      <sheetName val="ALL_HAULING_Mei7"/>
      <sheetName val="ALL_HAULING_Juni7"/>
      <sheetName val="ALL_HAULING_Juli_7"/>
      <sheetName val="ALL_HAULING_Agustus_7"/>
      <sheetName val="DATA_ERROR_DATA_VOID_AGUSTUS_7"/>
      <sheetName val="DATA_ERROR_DATA_VOID_JULI_7"/>
      <sheetName val="DATA_ERROR_DATA_VOID_JUNI7"/>
      <sheetName val="DATA_ERROR_DATA_VOID_MEI7"/>
      <sheetName val="DATA_ERROR_DATA_VOID_APRIL7"/>
      <sheetName val="DATA_ERROR_DATA_VOID_maret_7"/>
      <sheetName val="Kuota_Epi_&amp;_1077"/>
      <sheetName val="ALL_HAULING_September7"/>
      <sheetName val="DATA_ERROR_DATA_VOID_SEPTEMBER7"/>
      <sheetName val="EPR_WEEKLY7"/>
      <sheetName val="Base_data7"/>
      <sheetName val="Safety_27"/>
      <sheetName val="BA_EMBUNG_S17"/>
      <sheetName val="Unit_Database6"/>
      <sheetName val="Plan_Reg6"/>
      <sheetName val="RAPORT_PERFORMANCE7"/>
      <sheetName val="Sales_Seasonality_by_Month7"/>
      <sheetName val="Waterflow_OB7"/>
      <sheetName val="Report_HM4"/>
      <sheetName val="Rekap_Coal7"/>
      <sheetName val="Internal_Process_Perspective4"/>
      <sheetName val="HM_UPDATE7"/>
      <sheetName val="POP_Onsite7"/>
      <sheetName val="summary_adjusted5"/>
      <sheetName val="UNIT_GAM5"/>
      <sheetName val="MAN_POWER4"/>
      <sheetName val="POPULASI_UNIT4"/>
      <sheetName val="LIST_KARYAWAN4"/>
      <sheetName val="Comp_Code4"/>
      <sheetName val="PLAN_IBS_SUBC4"/>
      <sheetName val="QUICK_COUNT4"/>
      <sheetName val="PCR_OKT4"/>
      <sheetName val="Base_Unit4"/>
      <sheetName val="POPULASI_UNIT_COAL4"/>
      <sheetName val="Input_Speed_Act4"/>
      <sheetName val="MTD_CHAIN4"/>
      <sheetName val="PLAN_COAL_PTR4"/>
      <sheetName val="PLAN_OB4"/>
      <sheetName val="OB_SAP4"/>
      <sheetName val="COAL_PTR4"/>
      <sheetName val="R_&amp;_S4"/>
      <sheetName val="Loss_MTD_OB4"/>
      <sheetName val="Total_OB4"/>
      <sheetName val="Review_OB4"/>
      <sheetName val="Water_Fall_OB4"/>
      <sheetName val="PICA_OB4"/>
      <sheetName val="Total_COAL4"/>
      <sheetName val="Review_COAL4"/>
      <sheetName val="Water_Fall_COAL_PTR4"/>
      <sheetName val="PICA_COAL4"/>
      <sheetName val="EWH_Loader4"/>
      <sheetName val="Resume_OB_SIS4"/>
      <sheetName val="Detail_OB_SIS4"/>
      <sheetName val="Resume_PTR_SIS4"/>
      <sheetName val="Detail_PTR_SIS4"/>
      <sheetName val="Review_Weekly4"/>
      <sheetName val="REV_24"/>
      <sheetName val="PROD_PLAN4"/>
      <sheetName val="PROD_JS4"/>
      <sheetName val="Summary_RTK_Wara4"/>
      <sheetName val="Existing_PPA_WARA4"/>
      <sheetName val="Dozing_Estimation4"/>
      <sheetName val="Dbase_Man_Hours4"/>
      <sheetName val="Cost_Center4"/>
      <sheetName val="Cost_Code4"/>
      <sheetName val="List_Down4"/>
      <sheetName val="STEP_3_14"/>
      <sheetName val="Pivot_Control_Volume4"/>
      <sheetName val="Central_DB4"/>
      <sheetName val="HM_UNIT4"/>
      <sheetName val="Pivot_Ritase_BSI4"/>
      <sheetName val="DMR_BSI4"/>
      <sheetName val="DMR_Total4"/>
      <sheetName val="HM_SUPPORT__MMS4"/>
      <sheetName val="Data_unit4"/>
      <sheetName val="FR_Cluster_MTD4"/>
      <sheetName val="Rekap_Operator_All4"/>
      <sheetName val="Weather_Delays5"/>
      <sheetName val="Tyre_Life_Time12"/>
      <sheetName val="list_unit10"/>
      <sheetName val="Operation_-_Prod12"/>
      <sheetName val="LIST_NEW10"/>
      <sheetName val="STATUS_UNIT11"/>
      <sheetName val="RM_Cost11"/>
      <sheetName val="Nama_Operator-Driver12"/>
      <sheetName val="Attendance_Ratio12"/>
      <sheetName val="UNIT_EXISTING12"/>
      <sheetName val="Record_Problem12"/>
      <sheetName val="Print_(4)12"/>
      <sheetName val="LPA_OB12"/>
      <sheetName val="ocean_voyage12"/>
      <sheetName val="Truck_Count10"/>
      <sheetName val="Joint_Survey_Actual10"/>
      <sheetName val="Budget_Cash_Out9"/>
      <sheetName val="dbase_EGI9"/>
      <sheetName val="CLAIM_EMBUNG9"/>
      <sheetName val="Rekapitulasi_Fuel8"/>
      <sheetName val="Distance_Pit-TSP_to_WBM9"/>
      <sheetName val="Distance_Pit-PSG_to_BJM9"/>
      <sheetName val="Distance_Pit-TSP_to_BJM9"/>
      <sheetName val="Setting_Unit10"/>
      <sheetName val="Day_&amp;_Date10"/>
      <sheetName val="Master_(2)8"/>
      <sheetName val="IBS_20129"/>
      <sheetName val="PRINT_CLAIM_KPP9"/>
      <sheetName val="list_data9"/>
      <sheetName val="DATE_&amp;_WEEK_SETT8"/>
      <sheetName val="PIT_BBP_TO_SP_MB-AL8"/>
      <sheetName val="Trading_Statement8"/>
      <sheetName val="poductvty_JAN8"/>
      <sheetName val="Master_activity_WBS_8"/>
      <sheetName val="FR_MTD8"/>
      <sheetName val="DB_MANPOWER8"/>
      <sheetName val="All_Stockpile_PT__GPS8"/>
      <sheetName val="Master_Data7"/>
      <sheetName val="Kode_Unit6"/>
      <sheetName val="DATA_BASE_UNIT9"/>
      <sheetName val="DATA_BASE8"/>
      <sheetName val="ACT_HAUL8"/>
      <sheetName val="ACT_OB8"/>
      <sheetName val="ACT_COAL8"/>
      <sheetName val="COAL_CRUSH_PLAN8"/>
      <sheetName val="_COAL_MINE_PLAN8"/>
      <sheetName val="ACT_DIRTY_COAL8"/>
      <sheetName val="_OB_PLAN8"/>
      <sheetName val="Rain_&amp;_Slippery_Method8"/>
      <sheetName val="C1_NOV8"/>
      <sheetName val="Master_Unit8"/>
      <sheetName val="Check_Poin_Apa8"/>
      <sheetName val="M_POP_(2)8"/>
      <sheetName val="Leasing_Acct8"/>
      <sheetName val="RAPORT_TINGKAT_GAGAL8"/>
      <sheetName val="MASTER_SIA8"/>
      <sheetName val="TEMPLATE_POSITION6"/>
      <sheetName val="Project_Report8"/>
      <sheetName val="Daily_Report8"/>
      <sheetName val="Paretto_PDTY8"/>
      <sheetName val="WF_OB8"/>
      <sheetName val="Anal_Koef8"/>
      <sheetName val="DATA_BASE_ENG8"/>
      <sheetName val="March-april_(2)8"/>
      <sheetName val="Lamp_18"/>
      <sheetName val="Lamp_28"/>
      <sheetName val="Lamp_38"/>
      <sheetName val="IVT_TTB8"/>
      <sheetName val="inventory_timbau8"/>
      <sheetName val="SP_4_CUMULATIVE8"/>
      <sheetName val="SP_1_CUMULATIVE8"/>
      <sheetName val="SP_3_CUMULATIVE8"/>
      <sheetName val="Row_Data8"/>
      <sheetName val="UA_PA_DZ8"/>
      <sheetName val="UA_PA_GR8"/>
      <sheetName val="UA_PA_PC8"/>
      <sheetName val="UA_PA_HM4008"/>
      <sheetName val="UA_PA_HD46578"/>
      <sheetName val="UA_PA_HD78578"/>
      <sheetName val="UA_PA_HD7857_(2)8"/>
      <sheetName val="UA_PA_P3808"/>
      <sheetName val="Productivity_PC_WR8"/>
      <sheetName val="Productivity_PC_800_CC8"/>
      <sheetName val="Productivity_HM4008"/>
      <sheetName val="Productivity_HD46578"/>
      <sheetName val="Productivity_HD78578"/>
      <sheetName val="Rain_Fall_pit8"/>
      <sheetName val="Raw_Data_Cost8"/>
      <sheetName val="PT__SRIWIJAYA_LINTAS_RAYA8"/>
      <sheetName val="ALL_HAULING_Maret8"/>
      <sheetName val="ALL_HAULING_April8"/>
      <sheetName val="ALL_HAULING_Mei8"/>
      <sheetName val="ALL_HAULING_Juni8"/>
      <sheetName val="ALL_HAULING_Juli_8"/>
      <sheetName val="ALL_HAULING_Agustus_8"/>
      <sheetName val="DATA_ERROR_DATA_VOID_AGUSTUS_8"/>
      <sheetName val="DATA_ERROR_DATA_VOID_JULI_8"/>
      <sheetName val="DATA_ERROR_DATA_VOID_JUNI8"/>
      <sheetName val="DATA_ERROR_DATA_VOID_MEI8"/>
      <sheetName val="DATA_ERROR_DATA_VOID_APRIL8"/>
      <sheetName val="DATA_ERROR_DATA_VOID_maret_8"/>
      <sheetName val="Kuota_Epi_&amp;_1078"/>
      <sheetName val="ALL_HAULING_September8"/>
      <sheetName val="DATA_ERROR_DATA_VOID_SEPTEMBER8"/>
      <sheetName val="EPR_WEEKLY8"/>
      <sheetName val="Base_data8"/>
      <sheetName val="Safety_28"/>
      <sheetName val="BA_EMBUNG_S18"/>
      <sheetName val="Unit_Database7"/>
      <sheetName val="Plan_Reg7"/>
      <sheetName val="RAPORT_PERFORMANCE8"/>
      <sheetName val="Sales_Seasonality_by_Month8"/>
      <sheetName val="Waterflow_OB8"/>
      <sheetName val="Report_HM5"/>
      <sheetName val="Rekap_Coal8"/>
      <sheetName val="Internal_Process_Perspective5"/>
      <sheetName val="HM_UPDATE8"/>
      <sheetName val="POP_Onsite8"/>
      <sheetName val="summary_adjusted6"/>
      <sheetName val="UNIT_GAM6"/>
      <sheetName val="MAN_POWER5"/>
      <sheetName val="POPULASI_UNIT5"/>
      <sheetName val="LIST_KARYAWAN5"/>
      <sheetName val="Comp_Code5"/>
      <sheetName val="PLAN_IBS_SUBC5"/>
      <sheetName val="QUICK_COUNT5"/>
      <sheetName val="PCR_OKT5"/>
      <sheetName val="Base_Unit5"/>
      <sheetName val="POPULASI_UNIT_COAL5"/>
      <sheetName val="Input_Speed_Act5"/>
      <sheetName val="MTD_CHAIN5"/>
      <sheetName val="Resume_WH_STB_BD6"/>
      <sheetName val="PLAN_COAL_PTR5"/>
      <sheetName val="PLAN_OB5"/>
      <sheetName val="OB_SAP5"/>
      <sheetName val="COAL_PTR5"/>
      <sheetName val="R_&amp;_S5"/>
      <sheetName val="Loss_MTD_OB5"/>
      <sheetName val="Total_OB5"/>
      <sheetName val="Review_OB5"/>
      <sheetName val="Water_Fall_OB5"/>
      <sheetName val="PICA_OB5"/>
      <sheetName val="Total_COAL5"/>
      <sheetName val="Review_COAL5"/>
      <sheetName val="Water_Fall_COAL_PTR5"/>
      <sheetName val="PICA_COAL5"/>
      <sheetName val="EWH_Loader5"/>
      <sheetName val="Resume_OB_SIS5"/>
      <sheetName val="Detail_OB_SIS5"/>
      <sheetName val="Resume_PTR_SIS5"/>
      <sheetName val="Detail_PTR_SIS5"/>
      <sheetName val="Review_Weekly5"/>
      <sheetName val="REV_25"/>
      <sheetName val="PROD_PLAN5"/>
      <sheetName val="PROD_JS5"/>
      <sheetName val="Summary_RTK_Wara5"/>
      <sheetName val="Existing_PPA_WARA5"/>
      <sheetName val="Dozing_Estimation5"/>
      <sheetName val="Dbase_Man_Hours5"/>
      <sheetName val="Cost_Center5"/>
      <sheetName val="Cost_Code5"/>
      <sheetName val="List_Down5"/>
      <sheetName val="STEP_3_15"/>
      <sheetName val="Pivot_Control_Volume5"/>
      <sheetName val="Central_DB5"/>
      <sheetName val="HM_UNIT5"/>
      <sheetName val="Pivot_Ritase_BSI5"/>
      <sheetName val="DMR_BSI5"/>
      <sheetName val="DMR_Total5"/>
      <sheetName val="HM_SUPPORT__MMS5"/>
      <sheetName val="Data_unit5"/>
      <sheetName val="FR_Cluster_MTD5"/>
      <sheetName val="Rekap_Operator_All5"/>
      <sheetName val="Weather_Delays6"/>
      <sheetName val="KM94"/>
      <sheetName val="AUG02"/>
      <sheetName val="F_I"/>
      <sheetName val="ThisMonth"/>
      <sheetName val="PPA_AMM"/>
      <sheetName val="DataValidation-Hidden"/>
      <sheetName val="Mess"/>
      <sheetName val="REKAP JABATAN"/>
      <sheetName val="MR MONITORING ADT"/>
      <sheetName val="Base Unit "/>
      <sheetName val="TB"/>
      <sheetName val="Input Coal"/>
      <sheetName val="ACCOUNT"/>
      <sheetName val="412src2"/>
      <sheetName val="dsDaily"/>
      <sheetName val="BULAN 1"/>
      <sheetName val="ORang"/>
      <sheetName val="Unit rates"/>
      <sheetName val="PRO"/>
      <sheetName val="Annual-Plan-1998-A-US$-Rupiah-F"/>
      <sheetName val="April"/>
      <sheetName val="PROBLEM PTY"/>
      <sheetName val="EPR DAILY"/>
      <sheetName val="Data Performance"/>
      <sheetName val="Monthly_Plan6"/>
      <sheetName val="_SAF_02"/>
      <sheetName val="FC_&amp;_FR"/>
      <sheetName val="Production_by_Lokasi"/>
      <sheetName val="Input_OB"/>
      <sheetName val="BANKO_pit_1"/>
      <sheetName val="Perm__Test"/>
      <sheetName val="Permanent_info"/>
      <sheetName val="table_HGLO"/>
      <sheetName val="summary_RSF"/>
      <sheetName val="summary_BR1"/>
      <sheetName val="summary_DS"/>
      <sheetName val="summary_BR23"/>
      <sheetName val="summary_IKIP"/>
      <sheetName val="summary_PB"/>
      <sheetName val="table_rescat"/>
      <sheetName val="Stockpile_HGLO"/>
      <sheetName val="ENTRY_OB"/>
      <sheetName val="TRANSVERSE_OB"/>
      <sheetName val="ENTRY_COAL"/>
      <sheetName val="TRANSVERSE_COAL"/>
      <sheetName val="WATERFALL_ANALISIS"/>
      <sheetName val="OB_Total"/>
      <sheetName val="Data_OK"/>
      <sheetName val="Rkpn_Pmbgian_Premi"/>
      <sheetName val="Base_HM_Exc"/>
      <sheetName val="KOMPONENT"/>
      <sheetName val="MAPPING"/>
      <sheetName val="OPEN DELAY"/>
    </sheetNames>
    <sheetDataSet>
      <sheetData sheetId="0" refreshError="1">
        <row r="24">
          <cell r="D24" t="str">
            <v>JAN</v>
          </cell>
          <cell r="E24" t="str">
            <v>FEB</v>
          </cell>
          <cell r="F24" t="str">
            <v>MAR</v>
          </cell>
          <cell r="G24" t="str">
            <v>APR</v>
          </cell>
          <cell r="H24" t="str">
            <v>MAY</v>
          </cell>
          <cell r="I24" t="str">
            <v>JUN</v>
          </cell>
          <cell r="J24" t="str">
            <v>JULI</v>
          </cell>
          <cell r="K24" t="str">
            <v>AGS</v>
          </cell>
          <cell r="L24" t="str">
            <v>SEP</v>
          </cell>
          <cell r="M24" t="str">
            <v>OKT</v>
          </cell>
          <cell r="N24" t="str">
            <v>NOP</v>
          </cell>
          <cell r="O24" t="str">
            <v>DES</v>
          </cell>
        </row>
        <row r="25">
          <cell r="T25">
            <v>380000</v>
          </cell>
          <cell r="U25">
            <v>380000</v>
          </cell>
        </row>
        <row r="26">
          <cell r="D26">
            <v>444614.92</v>
          </cell>
          <cell r="E26">
            <v>555618</v>
          </cell>
          <cell r="F26">
            <v>622208</v>
          </cell>
          <cell r="G26">
            <v>550787</v>
          </cell>
          <cell r="H26">
            <v>577684.1</v>
          </cell>
          <cell r="I26">
            <v>589022</v>
          </cell>
          <cell r="J26">
            <v>583513.93400000001</v>
          </cell>
          <cell r="K26">
            <v>590374.98899999994</v>
          </cell>
          <cell r="L26">
            <v>588968.2048500001</v>
          </cell>
          <cell r="M26">
            <v>641095.57999999996</v>
          </cell>
          <cell r="N26">
            <v>578091</v>
          </cell>
          <cell r="O26">
            <v>500290.18</v>
          </cell>
          <cell r="T26">
            <v>457000</v>
          </cell>
          <cell r="U26">
            <v>457000</v>
          </cell>
        </row>
        <row r="45">
          <cell r="T45" t="str">
            <v>NOP</v>
          </cell>
          <cell r="U45" t="str">
            <v>DES</v>
          </cell>
        </row>
        <row r="46">
          <cell r="D46">
            <v>30000</v>
          </cell>
          <cell r="E46">
            <v>35000</v>
          </cell>
          <cell r="F46">
            <v>30000</v>
          </cell>
          <cell r="G46">
            <v>35000</v>
          </cell>
          <cell r="H46">
            <v>50000</v>
          </cell>
          <cell r="I46">
            <v>44000</v>
          </cell>
          <cell r="J46">
            <v>44000</v>
          </cell>
          <cell r="K46">
            <v>50000</v>
          </cell>
          <cell r="L46">
            <v>45000</v>
          </cell>
          <cell r="M46">
            <v>50000</v>
          </cell>
          <cell r="N46">
            <v>35000</v>
          </cell>
          <cell r="O46">
            <v>35000</v>
          </cell>
          <cell r="T46">
            <v>62736</v>
          </cell>
          <cell r="U46">
            <v>62744</v>
          </cell>
        </row>
        <row r="47">
          <cell r="D47">
            <v>24765.040000000001</v>
          </cell>
          <cell r="E47">
            <v>30153.57</v>
          </cell>
          <cell r="F47">
            <v>24753.05</v>
          </cell>
          <cell r="G47">
            <v>34444</v>
          </cell>
          <cell r="H47">
            <v>58385.9</v>
          </cell>
          <cell r="I47">
            <v>43286</v>
          </cell>
          <cell r="J47">
            <v>52191.92</v>
          </cell>
          <cell r="K47">
            <v>53283.4</v>
          </cell>
          <cell r="L47">
            <v>50984.43</v>
          </cell>
          <cell r="M47">
            <v>60369</v>
          </cell>
          <cell r="N47">
            <v>44370.879999999997</v>
          </cell>
          <cell r="O47">
            <v>44072.7</v>
          </cell>
          <cell r="T47">
            <v>65000</v>
          </cell>
          <cell r="U47">
            <v>65000</v>
          </cell>
        </row>
        <row r="70">
          <cell r="D70" t="str">
            <v>JAN</v>
          </cell>
          <cell r="E70" t="str">
            <v>FEB</v>
          </cell>
          <cell r="F70" t="str">
            <v>MAR</v>
          </cell>
          <cell r="G70" t="str">
            <v>APR</v>
          </cell>
          <cell r="H70" t="str">
            <v>MAY</v>
          </cell>
          <cell r="I70" t="str">
            <v>JUN</v>
          </cell>
          <cell r="J70" t="str">
            <v>JUL</v>
          </cell>
          <cell r="K70" t="str">
            <v>AGS</v>
          </cell>
          <cell r="L70" t="str">
            <v>SEP</v>
          </cell>
          <cell r="M70" t="str">
            <v>OKT</v>
          </cell>
          <cell r="N70" t="str">
            <v>NOP</v>
          </cell>
          <cell r="O70" t="str">
            <v>DES</v>
          </cell>
          <cell r="T70" t="str">
            <v>NOP</v>
          </cell>
          <cell r="U70" t="str">
            <v>DES</v>
          </cell>
        </row>
        <row r="71">
          <cell r="D71">
            <v>209960</v>
          </cell>
          <cell r="E71">
            <v>209960</v>
          </cell>
          <cell r="F71">
            <v>259363</v>
          </cell>
          <cell r="G71">
            <v>271713</v>
          </cell>
          <cell r="H71">
            <v>271713</v>
          </cell>
          <cell r="I71">
            <v>284064</v>
          </cell>
          <cell r="J71">
            <v>284064</v>
          </cell>
          <cell r="K71">
            <v>271713</v>
          </cell>
          <cell r="L71">
            <v>271713</v>
          </cell>
          <cell r="M71">
            <v>271713</v>
          </cell>
          <cell r="N71">
            <v>247012</v>
          </cell>
          <cell r="O71">
            <v>247012</v>
          </cell>
          <cell r="T71">
            <v>156931</v>
          </cell>
          <cell r="U71">
            <v>156931</v>
          </cell>
        </row>
        <row r="72">
          <cell r="D72">
            <v>296641.19</v>
          </cell>
          <cell r="E72">
            <v>326086.65000000002</v>
          </cell>
          <cell r="F72">
            <v>211342</v>
          </cell>
          <cell r="G72">
            <v>324148</v>
          </cell>
          <cell r="H72">
            <v>300976</v>
          </cell>
          <cell r="I72">
            <v>315104</v>
          </cell>
          <cell r="J72">
            <v>372474.31</v>
          </cell>
          <cell r="K72">
            <v>327240</v>
          </cell>
          <cell r="L72">
            <v>367500</v>
          </cell>
          <cell r="M72">
            <v>439695.5</v>
          </cell>
          <cell r="N72">
            <v>380226</v>
          </cell>
          <cell r="O72">
            <v>389171.69</v>
          </cell>
          <cell r="T72">
            <v>232750</v>
          </cell>
          <cell r="U72">
            <v>232750</v>
          </cell>
        </row>
      </sheetData>
      <sheetData sheetId="1" refreshError="1">
        <row r="16">
          <cell r="C16">
            <v>13.82</v>
          </cell>
          <cell r="D16">
            <v>13.82</v>
          </cell>
          <cell r="E16">
            <v>12.82</v>
          </cell>
          <cell r="F16">
            <v>13.41</v>
          </cell>
          <cell r="G16">
            <v>13.41</v>
          </cell>
          <cell r="H16">
            <v>12.96</v>
          </cell>
          <cell r="I16">
            <v>12.96</v>
          </cell>
          <cell r="J16">
            <v>14.27</v>
          </cell>
          <cell r="K16">
            <v>13.41</v>
          </cell>
          <cell r="L16">
            <v>12.01</v>
          </cell>
          <cell r="M16">
            <v>12.92</v>
          </cell>
          <cell r="N16">
            <v>14.96</v>
          </cell>
        </row>
        <row r="17">
          <cell r="C17">
            <v>18.920000000000002</v>
          </cell>
          <cell r="D17">
            <v>10.524305396911029</v>
          </cell>
          <cell r="E17">
            <v>12.56</v>
          </cell>
          <cell r="F17">
            <v>10.65</v>
          </cell>
          <cell r="G17">
            <v>8.19</v>
          </cell>
          <cell r="H17">
            <v>9.09</v>
          </cell>
          <cell r="I17">
            <v>8.56</v>
          </cell>
          <cell r="J17">
            <v>8.2799999999999994</v>
          </cell>
          <cell r="K17">
            <v>8.32</v>
          </cell>
          <cell r="L17">
            <v>8.68</v>
          </cell>
          <cell r="M17">
            <v>8.34</v>
          </cell>
          <cell r="N17">
            <v>11.79</v>
          </cell>
        </row>
        <row r="34">
          <cell r="C34">
            <v>13.8</v>
          </cell>
          <cell r="D34">
            <v>13.8</v>
          </cell>
          <cell r="E34">
            <v>13.8</v>
          </cell>
          <cell r="F34">
            <v>13.8</v>
          </cell>
          <cell r="G34">
            <v>13.8</v>
          </cell>
          <cell r="H34">
            <v>13.8</v>
          </cell>
          <cell r="I34">
            <v>13.8</v>
          </cell>
          <cell r="J34">
            <v>13.8</v>
          </cell>
          <cell r="K34">
            <v>13.8</v>
          </cell>
          <cell r="L34">
            <v>13.8</v>
          </cell>
          <cell r="M34">
            <v>13.8</v>
          </cell>
          <cell r="N34">
            <v>13.8</v>
          </cell>
        </row>
        <row r="35">
          <cell r="C35">
            <v>14.08</v>
          </cell>
          <cell r="D35">
            <v>12.856127537516347</v>
          </cell>
          <cell r="E35">
            <v>12.43</v>
          </cell>
          <cell r="F35">
            <v>13.92</v>
          </cell>
          <cell r="G35">
            <v>16.55</v>
          </cell>
          <cell r="H35">
            <v>11.33</v>
          </cell>
          <cell r="I35">
            <v>11.94</v>
          </cell>
          <cell r="J35">
            <v>12.7</v>
          </cell>
          <cell r="K35">
            <v>14</v>
          </cell>
          <cell r="L35">
            <v>15.43</v>
          </cell>
          <cell r="M35">
            <v>17.2</v>
          </cell>
          <cell r="N35">
            <v>20.079999999999998</v>
          </cell>
        </row>
        <row r="55">
          <cell r="C55">
            <v>17</v>
          </cell>
          <cell r="D55">
            <v>17</v>
          </cell>
          <cell r="E55">
            <v>17</v>
          </cell>
          <cell r="F55">
            <v>17</v>
          </cell>
          <cell r="G55">
            <v>17</v>
          </cell>
          <cell r="H55">
            <v>17</v>
          </cell>
          <cell r="I55">
            <v>17</v>
          </cell>
          <cell r="J55">
            <v>17</v>
          </cell>
          <cell r="K55">
            <v>17</v>
          </cell>
          <cell r="L55">
            <v>17</v>
          </cell>
          <cell r="M55">
            <v>17</v>
          </cell>
          <cell r="N55">
            <v>17</v>
          </cell>
        </row>
        <row r="56">
          <cell r="C56">
            <v>20.69</v>
          </cell>
          <cell r="D56">
            <v>14.299029668680864</v>
          </cell>
          <cell r="E56">
            <v>13.43</v>
          </cell>
          <cell r="F56">
            <v>17.03</v>
          </cell>
          <cell r="G56">
            <v>13.71</v>
          </cell>
          <cell r="H56">
            <v>16.98</v>
          </cell>
          <cell r="I56">
            <v>13.84</v>
          </cell>
          <cell r="J56">
            <v>12.72</v>
          </cell>
          <cell r="K56">
            <v>15.62</v>
          </cell>
          <cell r="L56">
            <v>20.32</v>
          </cell>
          <cell r="M56">
            <v>15.99</v>
          </cell>
          <cell r="N56">
            <v>19.95</v>
          </cell>
        </row>
      </sheetData>
      <sheetData sheetId="2" refreshError="1">
        <row r="16">
          <cell r="C16">
            <v>13.82</v>
          </cell>
        </row>
        <row r="19">
          <cell r="C19">
            <v>8.76</v>
          </cell>
          <cell r="D19">
            <v>8.76</v>
          </cell>
          <cell r="E19">
            <v>9.17</v>
          </cell>
          <cell r="F19">
            <v>12.69</v>
          </cell>
          <cell r="G19">
            <v>12.69</v>
          </cell>
          <cell r="H19">
            <v>12.69</v>
          </cell>
          <cell r="I19">
            <v>12.69</v>
          </cell>
          <cell r="J19">
            <v>12.69</v>
          </cell>
          <cell r="K19">
            <v>12.69</v>
          </cell>
          <cell r="L19">
            <v>12.69</v>
          </cell>
          <cell r="M19">
            <v>12.69</v>
          </cell>
          <cell r="N19">
            <v>12.69</v>
          </cell>
        </row>
        <row r="20">
          <cell r="C20">
            <v>8.65</v>
          </cell>
          <cell r="D20">
            <v>8.2700454458972246</v>
          </cell>
          <cell r="E20">
            <v>11.31</v>
          </cell>
          <cell r="F20">
            <v>12.34</v>
          </cell>
          <cell r="G20">
            <v>12.82</v>
          </cell>
          <cell r="H20">
            <v>9.41</v>
          </cell>
          <cell r="I20">
            <v>10.17</v>
          </cell>
          <cell r="J20">
            <v>10.17</v>
          </cell>
          <cell r="K20">
            <v>9.84</v>
          </cell>
          <cell r="L20">
            <v>8.61</v>
          </cell>
          <cell r="M20">
            <v>9.68</v>
          </cell>
          <cell r="N20">
            <v>11.62</v>
          </cell>
        </row>
        <row r="41">
          <cell r="C41">
            <v>40</v>
          </cell>
          <cell r="D41">
            <v>40</v>
          </cell>
          <cell r="E41">
            <v>40</v>
          </cell>
          <cell r="F41">
            <v>40</v>
          </cell>
          <cell r="G41">
            <v>40</v>
          </cell>
          <cell r="H41">
            <v>40</v>
          </cell>
          <cell r="I41">
            <v>40</v>
          </cell>
          <cell r="J41">
            <v>40</v>
          </cell>
          <cell r="K41">
            <v>40</v>
          </cell>
          <cell r="L41">
            <v>40</v>
          </cell>
          <cell r="M41">
            <v>40</v>
          </cell>
          <cell r="N41">
            <v>40</v>
          </cell>
        </row>
        <row r="42">
          <cell r="C42">
            <v>0</v>
          </cell>
          <cell r="D42">
            <v>0</v>
          </cell>
          <cell r="E42">
            <v>0</v>
          </cell>
          <cell r="F42">
            <v>0</v>
          </cell>
          <cell r="G42">
            <v>1.0337150127226462</v>
          </cell>
          <cell r="H42">
            <v>9.52</v>
          </cell>
          <cell r="I42">
            <v>8.25</v>
          </cell>
          <cell r="J42">
            <v>7.31</v>
          </cell>
          <cell r="K42">
            <v>6.55</v>
          </cell>
          <cell r="L42">
            <v>5.55</v>
          </cell>
          <cell r="M42">
            <v>2.0299999999999998</v>
          </cell>
          <cell r="N42">
            <v>4.97</v>
          </cell>
        </row>
        <row r="43">
          <cell r="C43">
            <v>5</v>
          </cell>
          <cell r="D43">
            <v>5</v>
          </cell>
          <cell r="E43">
            <v>5</v>
          </cell>
          <cell r="F43">
            <v>5</v>
          </cell>
          <cell r="G43">
            <v>5</v>
          </cell>
          <cell r="H43">
            <v>5</v>
          </cell>
          <cell r="I43">
            <v>5</v>
          </cell>
          <cell r="J43">
            <v>5</v>
          </cell>
          <cell r="K43">
            <v>5</v>
          </cell>
          <cell r="L43">
            <v>5</v>
          </cell>
          <cell r="M43">
            <v>5</v>
          </cell>
          <cell r="N43">
            <v>5</v>
          </cell>
        </row>
        <row r="44">
          <cell r="C44">
            <v>1.56</v>
          </cell>
          <cell r="D44">
            <v>0.85</v>
          </cell>
          <cell r="E44">
            <v>0.57999999999999996</v>
          </cell>
          <cell r="F44">
            <v>0.45</v>
          </cell>
          <cell r="G44">
            <v>1.9083969465648856</v>
          </cell>
          <cell r="H44">
            <v>0.63</v>
          </cell>
          <cell r="I44">
            <v>0.55000000000000004</v>
          </cell>
          <cell r="J44">
            <v>0.48</v>
          </cell>
          <cell r="K44">
            <v>0.43</v>
          </cell>
          <cell r="L44">
            <v>0.42</v>
          </cell>
          <cell r="M44">
            <v>0.45</v>
          </cell>
          <cell r="N44">
            <v>0.66</v>
          </cell>
        </row>
        <row r="62">
          <cell r="C62" t="str">
            <v>JAN</v>
          </cell>
          <cell r="D62" t="str">
            <v>FEB</v>
          </cell>
          <cell r="E62" t="str">
            <v>MAR</v>
          </cell>
          <cell r="F62" t="str">
            <v>APR</v>
          </cell>
          <cell r="G62" t="str">
            <v>MAY</v>
          </cell>
          <cell r="H62" t="str">
            <v>JUN</v>
          </cell>
          <cell r="I62" t="str">
            <v>JULI</v>
          </cell>
          <cell r="J62" t="str">
            <v>AGS</v>
          </cell>
          <cell r="K62" t="str">
            <v>SEP</v>
          </cell>
          <cell r="L62" t="str">
            <v>OKT</v>
          </cell>
          <cell r="M62" t="str">
            <v>NOP</v>
          </cell>
          <cell r="N62" t="str">
            <v>DES</v>
          </cell>
        </row>
        <row r="63">
          <cell r="C63">
            <v>17</v>
          </cell>
          <cell r="D63">
            <v>17</v>
          </cell>
          <cell r="E63">
            <v>17</v>
          </cell>
          <cell r="F63">
            <v>17</v>
          </cell>
          <cell r="G63">
            <v>17</v>
          </cell>
          <cell r="H63">
            <v>17</v>
          </cell>
          <cell r="I63">
            <v>17</v>
          </cell>
          <cell r="J63">
            <v>17</v>
          </cell>
          <cell r="K63">
            <v>17</v>
          </cell>
          <cell r="L63">
            <v>17</v>
          </cell>
          <cell r="M63">
            <v>17</v>
          </cell>
          <cell r="N63">
            <v>17</v>
          </cell>
        </row>
        <row r="64">
          <cell r="C64">
            <v>19</v>
          </cell>
          <cell r="D64">
            <v>24</v>
          </cell>
          <cell r="E64">
            <v>21</v>
          </cell>
          <cell r="F64">
            <v>16</v>
          </cell>
          <cell r="G64">
            <v>16</v>
          </cell>
          <cell r="H64">
            <v>19</v>
          </cell>
          <cell r="I64">
            <v>16</v>
          </cell>
          <cell r="J64">
            <v>17</v>
          </cell>
          <cell r="K64">
            <v>16</v>
          </cell>
          <cell r="L64">
            <v>17</v>
          </cell>
          <cell r="M64">
            <v>17</v>
          </cell>
          <cell r="N64">
            <v>18</v>
          </cell>
        </row>
        <row r="65">
          <cell r="C65">
            <v>18.22</v>
          </cell>
          <cell r="D65">
            <v>18.22</v>
          </cell>
          <cell r="E65">
            <v>18.22</v>
          </cell>
          <cell r="F65">
            <v>18.22</v>
          </cell>
          <cell r="G65">
            <v>18.22</v>
          </cell>
          <cell r="H65">
            <v>18.22</v>
          </cell>
          <cell r="I65">
            <v>18.22</v>
          </cell>
          <cell r="J65">
            <v>18.22</v>
          </cell>
          <cell r="K65">
            <v>18.22</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sheetData sheetId="20"/>
      <sheetData sheetId="21">
        <row r="16">
          <cell r="C16">
            <v>0</v>
          </cell>
        </row>
      </sheetData>
      <sheetData sheetId="22"/>
      <sheetData sheetId="23" refreshError="1"/>
      <sheetData sheetId="24" refreshError="1"/>
      <sheetData sheetId="25" refreshError="1"/>
      <sheetData sheetId="26"/>
      <sheetData sheetId="27"/>
      <sheetData sheetId="28"/>
      <sheetData sheetId="29">
        <row r="16">
          <cell r="C16">
            <v>0</v>
          </cell>
        </row>
      </sheetData>
      <sheetData sheetId="30">
        <row r="16">
          <cell r="C16">
            <v>0</v>
          </cell>
        </row>
      </sheetData>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row r="16">
          <cell r="C16">
            <v>0</v>
          </cell>
        </row>
      </sheetData>
      <sheetData sheetId="46">
        <row r="16">
          <cell r="C16">
            <v>0</v>
          </cell>
        </row>
      </sheetData>
      <sheetData sheetId="47"/>
      <sheetData sheetId="48">
        <row r="16">
          <cell r="C16">
            <v>0</v>
          </cell>
        </row>
      </sheetData>
      <sheetData sheetId="49"/>
      <sheetData sheetId="50">
        <row r="16">
          <cell r="C16">
            <v>0</v>
          </cell>
        </row>
      </sheetData>
      <sheetData sheetId="51"/>
      <sheetData sheetId="52"/>
      <sheetData sheetId="53"/>
      <sheetData sheetId="54"/>
      <sheetData sheetId="55">
        <row r="16">
          <cell r="C16">
            <v>0</v>
          </cell>
        </row>
      </sheetData>
      <sheetData sheetId="56">
        <row r="16">
          <cell r="C16">
            <v>0</v>
          </cell>
        </row>
      </sheetData>
      <sheetData sheetId="57">
        <row r="16">
          <cell r="C16">
            <v>0</v>
          </cell>
        </row>
      </sheetData>
      <sheetData sheetId="58">
        <row r="16">
          <cell r="C16">
            <v>0</v>
          </cell>
        </row>
      </sheetData>
      <sheetData sheetId="59">
        <row r="16">
          <cell r="C16">
            <v>0</v>
          </cell>
        </row>
      </sheetData>
      <sheetData sheetId="60">
        <row r="16">
          <cell r="C16">
            <v>0</v>
          </cell>
        </row>
      </sheetData>
      <sheetData sheetId="61">
        <row r="16">
          <cell r="C16">
            <v>0</v>
          </cell>
        </row>
      </sheetData>
      <sheetData sheetId="62">
        <row r="16">
          <cell r="C16">
            <v>0</v>
          </cell>
        </row>
      </sheetData>
      <sheetData sheetId="63">
        <row r="16">
          <cell r="C16">
            <v>0</v>
          </cell>
        </row>
      </sheetData>
      <sheetData sheetId="64">
        <row r="16">
          <cell r="C16">
            <v>0</v>
          </cell>
        </row>
      </sheetData>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ow r="16">
          <cell r="C16">
            <v>0</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ow r="16">
          <cell r="C16">
            <v>0</v>
          </cell>
        </row>
      </sheetData>
      <sheetData sheetId="209">
        <row r="16">
          <cell r="C16">
            <v>0</v>
          </cell>
        </row>
      </sheetData>
      <sheetData sheetId="210">
        <row r="16">
          <cell r="C16">
            <v>0</v>
          </cell>
        </row>
      </sheetData>
      <sheetData sheetId="211">
        <row r="16">
          <cell r="C16">
            <v>0</v>
          </cell>
        </row>
      </sheetData>
      <sheetData sheetId="212">
        <row r="16">
          <cell r="C16">
            <v>0</v>
          </cell>
        </row>
      </sheetData>
      <sheetData sheetId="213">
        <row r="16">
          <cell r="C16">
            <v>0</v>
          </cell>
        </row>
      </sheetData>
      <sheetData sheetId="214">
        <row r="16">
          <cell r="C16">
            <v>0</v>
          </cell>
        </row>
      </sheetData>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ow r="16">
          <cell r="C16">
            <v>0</v>
          </cell>
        </row>
      </sheetData>
      <sheetData sheetId="232">
        <row r="16">
          <cell r="C16">
            <v>0</v>
          </cell>
        </row>
      </sheetData>
      <sheetData sheetId="233">
        <row r="16">
          <cell r="C16">
            <v>0</v>
          </cell>
        </row>
      </sheetData>
      <sheetData sheetId="234">
        <row r="24">
          <cell r="D24">
            <v>0</v>
          </cell>
        </row>
      </sheetData>
      <sheetData sheetId="235">
        <row r="24">
          <cell r="D24">
            <v>0</v>
          </cell>
        </row>
      </sheetData>
      <sheetData sheetId="236">
        <row r="16">
          <cell r="C16">
            <v>0</v>
          </cell>
        </row>
      </sheetData>
      <sheetData sheetId="237">
        <row r="24">
          <cell r="D24">
            <v>0</v>
          </cell>
        </row>
      </sheetData>
      <sheetData sheetId="238" refreshError="1"/>
      <sheetData sheetId="239" refreshError="1"/>
      <sheetData sheetId="240" refreshError="1"/>
      <sheetData sheetId="241" refreshError="1"/>
      <sheetData sheetId="242">
        <row r="16">
          <cell r="C16">
            <v>0</v>
          </cell>
        </row>
      </sheetData>
      <sheetData sheetId="243">
        <row r="16">
          <cell r="C16">
            <v>0</v>
          </cell>
        </row>
      </sheetData>
      <sheetData sheetId="244">
        <row r="16">
          <cell r="C16">
            <v>0</v>
          </cell>
        </row>
      </sheetData>
      <sheetData sheetId="245">
        <row r="16">
          <cell r="C16">
            <v>0</v>
          </cell>
        </row>
      </sheetData>
      <sheetData sheetId="246">
        <row r="16">
          <cell r="C16">
            <v>0</v>
          </cell>
        </row>
      </sheetData>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ow r="16">
          <cell r="C16">
            <v>0</v>
          </cell>
        </row>
      </sheetData>
      <sheetData sheetId="298">
        <row r="16">
          <cell r="C16">
            <v>0</v>
          </cell>
        </row>
      </sheetData>
      <sheetData sheetId="299">
        <row r="16">
          <cell r="C16">
            <v>0</v>
          </cell>
        </row>
      </sheetData>
      <sheetData sheetId="300">
        <row r="16">
          <cell r="C16">
            <v>0</v>
          </cell>
        </row>
      </sheetData>
      <sheetData sheetId="301">
        <row r="16">
          <cell r="C16">
            <v>0</v>
          </cell>
        </row>
      </sheetData>
      <sheetData sheetId="302">
        <row r="16">
          <cell r="C16">
            <v>0</v>
          </cell>
        </row>
      </sheetData>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ow r="16">
          <cell r="C16">
            <v>0</v>
          </cell>
        </row>
      </sheetData>
      <sheetData sheetId="320">
        <row r="16">
          <cell r="C16">
            <v>0</v>
          </cell>
        </row>
      </sheetData>
      <sheetData sheetId="321">
        <row r="16">
          <cell r="C16">
            <v>0</v>
          </cell>
        </row>
      </sheetData>
      <sheetData sheetId="322">
        <row r="16">
          <cell r="C16">
            <v>0</v>
          </cell>
        </row>
      </sheetData>
      <sheetData sheetId="323">
        <row r="16">
          <cell r="C16">
            <v>0</v>
          </cell>
        </row>
      </sheetData>
      <sheetData sheetId="324">
        <row r="16">
          <cell r="C16">
            <v>0</v>
          </cell>
        </row>
      </sheetData>
      <sheetData sheetId="325">
        <row r="16">
          <cell r="C16">
            <v>0</v>
          </cell>
        </row>
      </sheetData>
      <sheetData sheetId="326">
        <row r="16">
          <cell r="C16">
            <v>0</v>
          </cell>
        </row>
      </sheetData>
      <sheetData sheetId="327">
        <row r="16">
          <cell r="C16">
            <v>0</v>
          </cell>
        </row>
      </sheetData>
      <sheetData sheetId="328">
        <row r="16">
          <cell r="C16">
            <v>0</v>
          </cell>
        </row>
      </sheetData>
      <sheetData sheetId="329">
        <row r="16">
          <cell r="C16">
            <v>0</v>
          </cell>
        </row>
      </sheetData>
      <sheetData sheetId="330">
        <row r="16">
          <cell r="C16">
            <v>0</v>
          </cell>
        </row>
      </sheetData>
      <sheetData sheetId="331">
        <row r="16">
          <cell r="C16">
            <v>0</v>
          </cell>
        </row>
      </sheetData>
      <sheetData sheetId="332">
        <row r="16">
          <cell r="C16">
            <v>0</v>
          </cell>
        </row>
      </sheetData>
      <sheetData sheetId="333">
        <row r="16">
          <cell r="C16">
            <v>0</v>
          </cell>
        </row>
      </sheetData>
      <sheetData sheetId="334">
        <row r="16">
          <cell r="C16">
            <v>0</v>
          </cell>
        </row>
      </sheetData>
      <sheetData sheetId="335">
        <row r="16">
          <cell r="C16">
            <v>0</v>
          </cell>
        </row>
      </sheetData>
      <sheetData sheetId="336">
        <row r="16">
          <cell r="C16">
            <v>0</v>
          </cell>
        </row>
      </sheetData>
      <sheetData sheetId="337">
        <row r="16">
          <cell r="C16">
            <v>0</v>
          </cell>
        </row>
      </sheetData>
      <sheetData sheetId="338">
        <row r="16">
          <cell r="C16">
            <v>0</v>
          </cell>
        </row>
      </sheetData>
      <sheetData sheetId="339">
        <row r="16">
          <cell r="C16">
            <v>0</v>
          </cell>
        </row>
      </sheetData>
      <sheetData sheetId="340">
        <row r="16">
          <cell r="C16">
            <v>0</v>
          </cell>
        </row>
      </sheetData>
      <sheetData sheetId="341">
        <row r="16">
          <cell r="C16">
            <v>0</v>
          </cell>
        </row>
      </sheetData>
      <sheetData sheetId="342">
        <row r="16">
          <cell r="C16">
            <v>0</v>
          </cell>
        </row>
      </sheetData>
      <sheetData sheetId="343">
        <row r="16">
          <cell r="C16">
            <v>0</v>
          </cell>
        </row>
      </sheetData>
      <sheetData sheetId="344">
        <row r="16">
          <cell r="C16">
            <v>0</v>
          </cell>
        </row>
      </sheetData>
      <sheetData sheetId="345">
        <row r="16">
          <cell r="C16">
            <v>0</v>
          </cell>
        </row>
      </sheetData>
      <sheetData sheetId="346">
        <row r="16">
          <cell r="C16">
            <v>0</v>
          </cell>
        </row>
      </sheetData>
      <sheetData sheetId="347">
        <row r="16">
          <cell r="C16">
            <v>0</v>
          </cell>
        </row>
      </sheetData>
      <sheetData sheetId="348">
        <row r="16">
          <cell r="C16">
            <v>0</v>
          </cell>
        </row>
      </sheetData>
      <sheetData sheetId="349">
        <row r="16">
          <cell r="C16">
            <v>0</v>
          </cell>
        </row>
      </sheetData>
      <sheetData sheetId="350">
        <row r="16">
          <cell r="C16">
            <v>0</v>
          </cell>
        </row>
      </sheetData>
      <sheetData sheetId="351">
        <row r="16">
          <cell r="C16">
            <v>0</v>
          </cell>
        </row>
      </sheetData>
      <sheetData sheetId="352">
        <row r="16">
          <cell r="C16">
            <v>0</v>
          </cell>
        </row>
      </sheetData>
      <sheetData sheetId="353">
        <row r="16">
          <cell r="C16">
            <v>0</v>
          </cell>
        </row>
      </sheetData>
      <sheetData sheetId="354">
        <row r="16">
          <cell r="C16">
            <v>0</v>
          </cell>
        </row>
      </sheetData>
      <sheetData sheetId="355">
        <row r="16">
          <cell r="C16">
            <v>0</v>
          </cell>
        </row>
      </sheetData>
      <sheetData sheetId="356">
        <row r="16">
          <cell r="C16">
            <v>0</v>
          </cell>
        </row>
      </sheetData>
      <sheetData sheetId="357">
        <row r="16">
          <cell r="C16">
            <v>0</v>
          </cell>
        </row>
      </sheetData>
      <sheetData sheetId="358">
        <row r="16">
          <cell r="C16">
            <v>0</v>
          </cell>
        </row>
      </sheetData>
      <sheetData sheetId="359">
        <row r="16">
          <cell r="C16">
            <v>0</v>
          </cell>
        </row>
      </sheetData>
      <sheetData sheetId="360">
        <row r="16">
          <cell r="C16">
            <v>0</v>
          </cell>
        </row>
      </sheetData>
      <sheetData sheetId="361">
        <row r="16">
          <cell r="C16">
            <v>0</v>
          </cell>
        </row>
      </sheetData>
      <sheetData sheetId="362">
        <row r="16">
          <cell r="C16">
            <v>0</v>
          </cell>
        </row>
      </sheetData>
      <sheetData sheetId="363">
        <row r="16">
          <cell r="C16">
            <v>0</v>
          </cell>
        </row>
      </sheetData>
      <sheetData sheetId="364">
        <row r="16">
          <cell r="C16">
            <v>0</v>
          </cell>
        </row>
      </sheetData>
      <sheetData sheetId="365">
        <row r="16">
          <cell r="C16">
            <v>0</v>
          </cell>
        </row>
      </sheetData>
      <sheetData sheetId="366">
        <row r="16">
          <cell r="C16">
            <v>0</v>
          </cell>
        </row>
      </sheetData>
      <sheetData sheetId="367">
        <row r="16">
          <cell r="C16">
            <v>0</v>
          </cell>
        </row>
      </sheetData>
      <sheetData sheetId="368">
        <row r="16">
          <cell r="C16">
            <v>0</v>
          </cell>
        </row>
      </sheetData>
      <sheetData sheetId="369">
        <row r="16">
          <cell r="C16">
            <v>0</v>
          </cell>
        </row>
      </sheetData>
      <sheetData sheetId="370">
        <row r="16">
          <cell r="C16">
            <v>0</v>
          </cell>
        </row>
      </sheetData>
      <sheetData sheetId="371">
        <row r="16">
          <cell r="C16">
            <v>0</v>
          </cell>
        </row>
      </sheetData>
      <sheetData sheetId="372">
        <row r="16">
          <cell r="C16">
            <v>0</v>
          </cell>
        </row>
      </sheetData>
      <sheetData sheetId="373">
        <row r="16">
          <cell r="C16">
            <v>0</v>
          </cell>
        </row>
      </sheetData>
      <sheetData sheetId="374">
        <row r="16">
          <cell r="C16">
            <v>0</v>
          </cell>
        </row>
      </sheetData>
      <sheetData sheetId="375">
        <row r="16">
          <cell r="C16">
            <v>0</v>
          </cell>
        </row>
      </sheetData>
      <sheetData sheetId="376">
        <row r="16">
          <cell r="C16">
            <v>0</v>
          </cell>
        </row>
      </sheetData>
      <sheetData sheetId="377">
        <row r="16">
          <cell r="C16">
            <v>0</v>
          </cell>
        </row>
      </sheetData>
      <sheetData sheetId="378">
        <row r="16">
          <cell r="C16">
            <v>0</v>
          </cell>
        </row>
      </sheetData>
      <sheetData sheetId="379">
        <row r="16">
          <cell r="C16">
            <v>0</v>
          </cell>
        </row>
      </sheetData>
      <sheetData sheetId="380">
        <row r="16">
          <cell r="C16">
            <v>0</v>
          </cell>
        </row>
      </sheetData>
      <sheetData sheetId="381">
        <row r="16">
          <cell r="C16">
            <v>0</v>
          </cell>
        </row>
      </sheetData>
      <sheetData sheetId="382">
        <row r="16">
          <cell r="C16">
            <v>0</v>
          </cell>
        </row>
      </sheetData>
      <sheetData sheetId="383">
        <row r="16">
          <cell r="C16">
            <v>0</v>
          </cell>
        </row>
      </sheetData>
      <sheetData sheetId="384">
        <row r="16">
          <cell r="C16">
            <v>0</v>
          </cell>
        </row>
      </sheetData>
      <sheetData sheetId="385">
        <row r="16">
          <cell r="C16">
            <v>0</v>
          </cell>
        </row>
      </sheetData>
      <sheetData sheetId="386">
        <row r="16">
          <cell r="C16">
            <v>0</v>
          </cell>
        </row>
      </sheetData>
      <sheetData sheetId="387">
        <row r="16">
          <cell r="C16">
            <v>0</v>
          </cell>
        </row>
      </sheetData>
      <sheetData sheetId="388">
        <row r="16">
          <cell r="C16">
            <v>0</v>
          </cell>
        </row>
      </sheetData>
      <sheetData sheetId="389">
        <row r="16">
          <cell r="C16">
            <v>0</v>
          </cell>
        </row>
      </sheetData>
      <sheetData sheetId="390">
        <row r="16">
          <cell r="C16">
            <v>0</v>
          </cell>
        </row>
      </sheetData>
      <sheetData sheetId="391">
        <row r="16">
          <cell r="C16">
            <v>0</v>
          </cell>
        </row>
      </sheetData>
      <sheetData sheetId="392">
        <row r="16">
          <cell r="C16">
            <v>0</v>
          </cell>
        </row>
      </sheetData>
      <sheetData sheetId="393">
        <row r="16">
          <cell r="C16">
            <v>0</v>
          </cell>
        </row>
      </sheetData>
      <sheetData sheetId="394">
        <row r="16">
          <cell r="C16">
            <v>0</v>
          </cell>
        </row>
      </sheetData>
      <sheetData sheetId="395">
        <row r="16">
          <cell r="C16">
            <v>0</v>
          </cell>
        </row>
      </sheetData>
      <sheetData sheetId="396">
        <row r="16">
          <cell r="C16">
            <v>0</v>
          </cell>
        </row>
      </sheetData>
      <sheetData sheetId="397">
        <row r="16">
          <cell r="C16">
            <v>0</v>
          </cell>
        </row>
      </sheetData>
      <sheetData sheetId="398">
        <row r="16">
          <cell r="C16">
            <v>0</v>
          </cell>
        </row>
      </sheetData>
      <sheetData sheetId="399">
        <row r="16">
          <cell r="C16">
            <v>0</v>
          </cell>
        </row>
      </sheetData>
      <sheetData sheetId="400">
        <row r="16">
          <cell r="C16">
            <v>0</v>
          </cell>
        </row>
      </sheetData>
      <sheetData sheetId="401">
        <row r="16">
          <cell r="C16">
            <v>0</v>
          </cell>
        </row>
      </sheetData>
      <sheetData sheetId="402">
        <row r="16">
          <cell r="C16">
            <v>0</v>
          </cell>
        </row>
      </sheetData>
      <sheetData sheetId="403">
        <row r="16">
          <cell r="C16">
            <v>0</v>
          </cell>
        </row>
      </sheetData>
      <sheetData sheetId="404">
        <row r="16">
          <cell r="C16">
            <v>0</v>
          </cell>
        </row>
      </sheetData>
      <sheetData sheetId="405">
        <row r="16">
          <cell r="C16">
            <v>0</v>
          </cell>
        </row>
      </sheetData>
      <sheetData sheetId="406">
        <row r="16">
          <cell r="C16">
            <v>0</v>
          </cell>
        </row>
      </sheetData>
      <sheetData sheetId="407">
        <row r="16">
          <cell r="C16">
            <v>0</v>
          </cell>
        </row>
      </sheetData>
      <sheetData sheetId="408">
        <row r="16">
          <cell r="C16">
            <v>0</v>
          </cell>
        </row>
      </sheetData>
      <sheetData sheetId="409">
        <row r="16">
          <cell r="C16">
            <v>0</v>
          </cell>
        </row>
      </sheetData>
      <sheetData sheetId="410">
        <row r="16">
          <cell r="C16">
            <v>0</v>
          </cell>
        </row>
      </sheetData>
      <sheetData sheetId="411">
        <row r="16">
          <cell r="C16">
            <v>0</v>
          </cell>
        </row>
      </sheetData>
      <sheetData sheetId="412">
        <row r="16">
          <cell r="C16">
            <v>0</v>
          </cell>
        </row>
      </sheetData>
      <sheetData sheetId="413">
        <row r="16">
          <cell r="C16">
            <v>0</v>
          </cell>
        </row>
      </sheetData>
      <sheetData sheetId="414">
        <row r="16">
          <cell r="C16">
            <v>0</v>
          </cell>
        </row>
      </sheetData>
      <sheetData sheetId="415">
        <row r="16">
          <cell r="C16">
            <v>0</v>
          </cell>
        </row>
      </sheetData>
      <sheetData sheetId="416">
        <row r="16">
          <cell r="C16">
            <v>0</v>
          </cell>
        </row>
      </sheetData>
      <sheetData sheetId="417">
        <row r="16">
          <cell r="C16">
            <v>0</v>
          </cell>
        </row>
      </sheetData>
      <sheetData sheetId="418">
        <row r="16">
          <cell r="C16">
            <v>0</v>
          </cell>
        </row>
      </sheetData>
      <sheetData sheetId="419">
        <row r="16">
          <cell r="C16">
            <v>0</v>
          </cell>
        </row>
      </sheetData>
      <sheetData sheetId="420">
        <row r="16">
          <cell r="C16">
            <v>0</v>
          </cell>
        </row>
      </sheetData>
      <sheetData sheetId="421">
        <row r="16">
          <cell r="C16">
            <v>0</v>
          </cell>
        </row>
      </sheetData>
      <sheetData sheetId="422">
        <row r="16">
          <cell r="C16">
            <v>0</v>
          </cell>
        </row>
      </sheetData>
      <sheetData sheetId="423">
        <row r="16">
          <cell r="C16">
            <v>0</v>
          </cell>
        </row>
      </sheetData>
      <sheetData sheetId="424">
        <row r="16">
          <cell r="C16">
            <v>0</v>
          </cell>
        </row>
      </sheetData>
      <sheetData sheetId="425">
        <row r="16">
          <cell r="C16">
            <v>0</v>
          </cell>
        </row>
      </sheetData>
      <sheetData sheetId="426">
        <row r="16">
          <cell r="C16">
            <v>0</v>
          </cell>
        </row>
      </sheetData>
      <sheetData sheetId="427">
        <row r="16">
          <cell r="C16">
            <v>0</v>
          </cell>
        </row>
      </sheetData>
      <sheetData sheetId="428">
        <row r="16">
          <cell r="C16">
            <v>0</v>
          </cell>
        </row>
      </sheetData>
      <sheetData sheetId="429">
        <row r="16">
          <cell r="C16">
            <v>0</v>
          </cell>
        </row>
      </sheetData>
      <sheetData sheetId="430">
        <row r="16">
          <cell r="C16">
            <v>0</v>
          </cell>
        </row>
      </sheetData>
      <sheetData sheetId="431">
        <row r="16">
          <cell r="C16">
            <v>0</v>
          </cell>
        </row>
      </sheetData>
      <sheetData sheetId="432">
        <row r="16">
          <cell r="C16">
            <v>0</v>
          </cell>
        </row>
      </sheetData>
      <sheetData sheetId="433">
        <row r="16">
          <cell r="C16">
            <v>0</v>
          </cell>
        </row>
      </sheetData>
      <sheetData sheetId="434">
        <row r="16">
          <cell r="C16">
            <v>0</v>
          </cell>
        </row>
      </sheetData>
      <sheetData sheetId="435">
        <row r="16">
          <cell r="C16">
            <v>0</v>
          </cell>
        </row>
      </sheetData>
      <sheetData sheetId="436">
        <row r="16">
          <cell r="C16">
            <v>0</v>
          </cell>
        </row>
      </sheetData>
      <sheetData sheetId="437">
        <row r="16">
          <cell r="C16">
            <v>0</v>
          </cell>
        </row>
      </sheetData>
      <sheetData sheetId="438">
        <row r="16">
          <cell r="C16">
            <v>0</v>
          </cell>
        </row>
      </sheetData>
      <sheetData sheetId="439">
        <row r="16">
          <cell r="C16">
            <v>0</v>
          </cell>
        </row>
      </sheetData>
      <sheetData sheetId="440">
        <row r="16">
          <cell r="C16">
            <v>0</v>
          </cell>
        </row>
      </sheetData>
      <sheetData sheetId="441">
        <row r="16">
          <cell r="C16">
            <v>0</v>
          </cell>
        </row>
      </sheetData>
      <sheetData sheetId="442">
        <row r="16">
          <cell r="C16">
            <v>0</v>
          </cell>
        </row>
      </sheetData>
      <sheetData sheetId="443">
        <row r="16">
          <cell r="C16">
            <v>0</v>
          </cell>
        </row>
      </sheetData>
      <sheetData sheetId="444">
        <row r="16">
          <cell r="C16">
            <v>0</v>
          </cell>
        </row>
      </sheetData>
      <sheetData sheetId="445">
        <row r="16">
          <cell r="C16">
            <v>0</v>
          </cell>
        </row>
      </sheetData>
      <sheetData sheetId="446">
        <row r="16">
          <cell r="C16">
            <v>0</v>
          </cell>
        </row>
      </sheetData>
      <sheetData sheetId="447">
        <row r="16">
          <cell r="C16">
            <v>0</v>
          </cell>
        </row>
      </sheetData>
      <sheetData sheetId="448">
        <row r="16">
          <cell r="C16">
            <v>0</v>
          </cell>
        </row>
      </sheetData>
      <sheetData sheetId="449">
        <row r="16">
          <cell r="C16">
            <v>0</v>
          </cell>
        </row>
      </sheetData>
      <sheetData sheetId="450">
        <row r="16">
          <cell r="C16">
            <v>0</v>
          </cell>
        </row>
      </sheetData>
      <sheetData sheetId="451">
        <row r="16">
          <cell r="C16">
            <v>0</v>
          </cell>
        </row>
      </sheetData>
      <sheetData sheetId="452">
        <row r="16">
          <cell r="C16">
            <v>0</v>
          </cell>
        </row>
      </sheetData>
      <sheetData sheetId="453">
        <row r="16">
          <cell r="C16">
            <v>0</v>
          </cell>
        </row>
      </sheetData>
      <sheetData sheetId="454">
        <row r="16">
          <cell r="C16">
            <v>0</v>
          </cell>
        </row>
      </sheetData>
      <sheetData sheetId="455">
        <row r="16">
          <cell r="C16">
            <v>0</v>
          </cell>
        </row>
      </sheetData>
      <sheetData sheetId="456">
        <row r="16">
          <cell r="C16">
            <v>0</v>
          </cell>
        </row>
      </sheetData>
      <sheetData sheetId="457">
        <row r="16">
          <cell r="C16">
            <v>0</v>
          </cell>
        </row>
      </sheetData>
      <sheetData sheetId="458">
        <row r="16">
          <cell r="C16">
            <v>0</v>
          </cell>
        </row>
      </sheetData>
      <sheetData sheetId="459">
        <row r="16">
          <cell r="C16">
            <v>0</v>
          </cell>
        </row>
      </sheetData>
      <sheetData sheetId="460">
        <row r="16">
          <cell r="C16">
            <v>0</v>
          </cell>
        </row>
      </sheetData>
      <sheetData sheetId="461">
        <row r="16">
          <cell r="C16">
            <v>0</v>
          </cell>
        </row>
      </sheetData>
      <sheetData sheetId="462">
        <row r="16">
          <cell r="C16">
            <v>0</v>
          </cell>
        </row>
      </sheetData>
      <sheetData sheetId="463">
        <row r="16">
          <cell r="C16">
            <v>0</v>
          </cell>
        </row>
      </sheetData>
      <sheetData sheetId="464">
        <row r="16">
          <cell r="C16">
            <v>0</v>
          </cell>
        </row>
      </sheetData>
      <sheetData sheetId="465">
        <row r="16">
          <cell r="C16">
            <v>0</v>
          </cell>
        </row>
      </sheetData>
      <sheetData sheetId="466">
        <row r="16">
          <cell r="C16">
            <v>0</v>
          </cell>
        </row>
      </sheetData>
      <sheetData sheetId="467">
        <row r="16">
          <cell r="C16">
            <v>0</v>
          </cell>
        </row>
      </sheetData>
      <sheetData sheetId="468">
        <row r="16">
          <cell r="C16">
            <v>0</v>
          </cell>
        </row>
      </sheetData>
      <sheetData sheetId="469">
        <row r="16">
          <cell r="C16">
            <v>0</v>
          </cell>
        </row>
      </sheetData>
      <sheetData sheetId="470">
        <row r="16">
          <cell r="C16">
            <v>0</v>
          </cell>
        </row>
      </sheetData>
      <sheetData sheetId="471">
        <row r="16">
          <cell r="C16">
            <v>0</v>
          </cell>
        </row>
      </sheetData>
      <sheetData sheetId="472">
        <row r="16">
          <cell r="C16">
            <v>0</v>
          </cell>
        </row>
      </sheetData>
      <sheetData sheetId="473">
        <row r="16">
          <cell r="C16">
            <v>0</v>
          </cell>
        </row>
      </sheetData>
      <sheetData sheetId="474">
        <row r="16">
          <cell r="C16">
            <v>0</v>
          </cell>
        </row>
      </sheetData>
      <sheetData sheetId="475">
        <row r="16">
          <cell r="C16">
            <v>0</v>
          </cell>
        </row>
      </sheetData>
      <sheetData sheetId="476">
        <row r="16">
          <cell r="C16">
            <v>0</v>
          </cell>
        </row>
      </sheetData>
      <sheetData sheetId="477">
        <row r="16">
          <cell r="C16">
            <v>0</v>
          </cell>
        </row>
      </sheetData>
      <sheetData sheetId="478">
        <row r="16">
          <cell r="C16">
            <v>0</v>
          </cell>
        </row>
      </sheetData>
      <sheetData sheetId="479">
        <row r="16">
          <cell r="C16">
            <v>0</v>
          </cell>
        </row>
      </sheetData>
      <sheetData sheetId="480">
        <row r="16">
          <cell r="C16">
            <v>0</v>
          </cell>
        </row>
      </sheetData>
      <sheetData sheetId="481">
        <row r="16">
          <cell r="C16">
            <v>0</v>
          </cell>
        </row>
      </sheetData>
      <sheetData sheetId="482">
        <row r="16">
          <cell r="C16">
            <v>0</v>
          </cell>
        </row>
      </sheetData>
      <sheetData sheetId="483">
        <row r="16">
          <cell r="C16">
            <v>0</v>
          </cell>
        </row>
      </sheetData>
      <sheetData sheetId="484">
        <row r="16">
          <cell r="C16">
            <v>0</v>
          </cell>
        </row>
      </sheetData>
      <sheetData sheetId="485">
        <row r="16">
          <cell r="C16">
            <v>0</v>
          </cell>
        </row>
      </sheetData>
      <sheetData sheetId="486">
        <row r="16">
          <cell r="C16">
            <v>0</v>
          </cell>
        </row>
      </sheetData>
      <sheetData sheetId="487">
        <row r="16">
          <cell r="C16">
            <v>0</v>
          </cell>
        </row>
      </sheetData>
      <sheetData sheetId="488">
        <row r="16">
          <cell r="C16">
            <v>0</v>
          </cell>
        </row>
      </sheetData>
      <sheetData sheetId="489">
        <row r="16">
          <cell r="C16">
            <v>0</v>
          </cell>
        </row>
      </sheetData>
      <sheetData sheetId="490">
        <row r="16">
          <cell r="C16">
            <v>0</v>
          </cell>
        </row>
      </sheetData>
      <sheetData sheetId="491">
        <row r="16">
          <cell r="C16">
            <v>0</v>
          </cell>
        </row>
      </sheetData>
      <sheetData sheetId="492">
        <row r="16">
          <cell r="C16">
            <v>0</v>
          </cell>
        </row>
      </sheetData>
      <sheetData sheetId="493">
        <row r="16">
          <cell r="C16">
            <v>0</v>
          </cell>
        </row>
      </sheetData>
      <sheetData sheetId="494">
        <row r="16">
          <cell r="C16">
            <v>0</v>
          </cell>
        </row>
      </sheetData>
      <sheetData sheetId="495">
        <row r="16">
          <cell r="C16">
            <v>0</v>
          </cell>
        </row>
      </sheetData>
      <sheetData sheetId="496">
        <row r="16">
          <cell r="C16">
            <v>0</v>
          </cell>
        </row>
      </sheetData>
      <sheetData sheetId="497">
        <row r="16">
          <cell r="C16">
            <v>0</v>
          </cell>
        </row>
      </sheetData>
      <sheetData sheetId="498">
        <row r="16">
          <cell r="C16">
            <v>0</v>
          </cell>
        </row>
      </sheetData>
      <sheetData sheetId="499">
        <row r="16">
          <cell r="C16">
            <v>0</v>
          </cell>
        </row>
      </sheetData>
      <sheetData sheetId="500">
        <row r="16">
          <cell r="C16">
            <v>0</v>
          </cell>
        </row>
      </sheetData>
      <sheetData sheetId="501">
        <row r="16">
          <cell r="C16">
            <v>0</v>
          </cell>
        </row>
      </sheetData>
      <sheetData sheetId="502">
        <row r="16">
          <cell r="C16">
            <v>0</v>
          </cell>
        </row>
      </sheetData>
      <sheetData sheetId="503">
        <row r="16">
          <cell r="C16">
            <v>0</v>
          </cell>
        </row>
      </sheetData>
      <sheetData sheetId="504">
        <row r="16">
          <cell r="C16">
            <v>0</v>
          </cell>
        </row>
      </sheetData>
      <sheetData sheetId="505">
        <row r="16">
          <cell r="C16">
            <v>0</v>
          </cell>
        </row>
      </sheetData>
      <sheetData sheetId="506">
        <row r="16">
          <cell r="C16">
            <v>0</v>
          </cell>
        </row>
      </sheetData>
      <sheetData sheetId="507">
        <row r="16">
          <cell r="C16">
            <v>0</v>
          </cell>
        </row>
      </sheetData>
      <sheetData sheetId="508">
        <row r="16">
          <cell r="C16">
            <v>0</v>
          </cell>
        </row>
      </sheetData>
      <sheetData sheetId="509">
        <row r="16">
          <cell r="C16">
            <v>0</v>
          </cell>
        </row>
      </sheetData>
      <sheetData sheetId="510">
        <row r="16">
          <cell r="C16">
            <v>0</v>
          </cell>
        </row>
      </sheetData>
      <sheetData sheetId="511">
        <row r="16">
          <cell r="C16">
            <v>0</v>
          </cell>
        </row>
      </sheetData>
      <sheetData sheetId="512">
        <row r="16">
          <cell r="C16">
            <v>0</v>
          </cell>
        </row>
      </sheetData>
      <sheetData sheetId="513">
        <row r="16">
          <cell r="C16">
            <v>0</v>
          </cell>
        </row>
      </sheetData>
      <sheetData sheetId="514">
        <row r="16">
          <cell r="C16">
            <v>0</v>
          </cell>
        </row>
      </sheetData>
      <sheetData sheetId="515">
        <row r="16">
          <cell r="C16">
            <v>0</v>
          </cell>
        </row>
      </sheetData>
      <sheetData sheetId="516">
        <row r="16">
          <cell r="C16">
            <v>0</v>
          </cell>
        </row>
      </sheetData>
      <sheetData sheetId="517">
        <row r="16">
          <cell r="C16">
            <v>0</v>
          </cell>
        </row>
      </sheetData>
      <sheetData sheetId="518">
        <row r="16">
          <cell r="C16">
            <v>0</v>
          </cell>
        </row>
      </sheetData>
      <sheetData sheetId="519">
        <row r="16">
          <cell r="C16">
            <v>0</v>
          </cell>
        </row>
      </sheetData>
      <sheetData sheetId="520">
        <row r="16">
          <cell r="C16">
            <v>0</v>
          </cell>
        </row>
      </sheetData>
      <sheetData sheetId="521">
        <row r="16">
          <cell r="C16">
            <v>0</v>
          </cell>
        </row>
      </sheetData>
      <sheetData sheetId="522">
        <row r="16">
          <cell r="C16">
            <v>0</v>
          </cell>
        </row>
      </sheetData>
      <sheetData sheetId="523">
        <row r="16">
          <cell r="C16">
            <v>0</v>
          </cell>
        </row>
      </sheetData>
      <sheetData sheetId="524">
        <row r="16">
          <cell r="C16">
            <v>0</v>
          </cell>
        </row>
      </sheetData>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ow r="16">
          <cell r="C16">
            <v>0</v>
          </cell>
        </row>
      </sheetData>
      <sheetData sheetId="543">
        <row r="16">
          <cell r="C16">
            <v>0</v>
          </cell>
        </row>
      </sheetData>
      <sheetData sheetId="544">
        <row r="16">
          <cell r="C16">
            <v>0</v>
          </cell>
        </row>
      </sheetData>
      <sheetData sheetId="545">
        <row r="16">
          <cell r="C16">
            <v>0</v>
          </cell>
        </row>
      </sheetData>
      <sheetData sheetId="546">
        <row r="16">
          <cell r="C16">
            <v>0</v>
          </cell>
        </row>
      </sheetData>
      <sheetData sheetId="547">
        <row r="16">
          <cell r="C16">
            <v>0</v>
          </cell>
        </row>
      </sheetData>
      <sheetData sheetId="548">
        <row r="16">
          <cell r="C16">
            <v>0</v>
          </cell>
        </row>
      </sheetData>
      <sheetData sheetId="549">
        <row r="16">
          <cell r="C16">
            <v>0</v>
          </cell>
        </row>
      </sheetData>
      <sheetData sheetId="550">
        <row r="16">
          <cell r="C16">
            <v>0</v>
          </cell>
        </row>
      </sheetData>
      <sheetData sheetId="551">
        <row r="16">
          <cell r="C16">
            <v>0</v>
          </cell>
        </row>
      </sheetData>
      <sheetData sheetId="552">
        <row r="16">
          <cell r="C16">
            <v>0</v>
          </cell>
        </row>
      </sheetData>
      <sheetData sheetId="553">
        <row r="16">
          <cell r="C16">
            <v>0</v>
          </cell>
        </row>
      </sheetData>
      <sheetData sheetId="554">
        <row r="16">
          <cell r="C16">
            <v>0</v>
          </cell>
        </row>
      </sheetData>
      <sheetData sheetId="555">
        <row r="16">
          <cell r="C16">
            <v>0</v>
          </cell>
        </row>
      </sheetData>
      <sheetData sheetId="556">
        <row r="16">
          <cell r="C16">
            <v>0</v>
          </cell>
        </row>
      </sheetData>
      <sheetData sheetId="557">
        <row r="16">
          <cell r="C16">
            <v>0</v>
          </cell>
        </row>
      </sheetData>
      <sheetData sheetId="558">
        <row r="16">
          <cell r="C16">
            <v>0</v>
          </cell>
        </row>
      </sheetData>
      <sheetData sheetId="559">
        <row r="16">
          <cell r="C16">
            <v>0</v>
          </cell>
        </row>
      </sheetData>
      <sheetData sheetId="560">
        <row r="16">
          <cell r="C16">
            <v>0</v>
          </cell>
        </row>
      </sheetData>
      <sheetData sheetId="561">
        <row r="16">
          <cell r="C16">
            <v>0</v>
          </cell>
        </row>
      </sheetData>
      <sheetData sheetId="562" refreshError="1"/>
      <sheetData sheetId="563" refreshError="1"/>
      <sheetData sheetId="564">
        <row r="16">
          <cell r="C16">
            <v>0</v>
          </cell>
        </row>
      </sheetData>
      <sheetData sheetId="565">
        <row r="16">
          <cell r="C16">
            <v>0</v>
          </cell>
        </row>
      </sheetData>
      <sheetData sheetId="566">
        <row r="16">
          <cell r="C16">
            <v>0</v>
          </cell>
        </row>
      </sheetData>
      <sheetData sheetId="567">
        <row r="16">
          <cell r="C16">
            <v>0</v>
          </cell>
        </row>
      </sheetData>
      <sheetData sheetId="568">
        <row r="16">
          <cell r="C16">
            <v>0</v>
          </cell>
        </row>
      </sheetData>
      <sheetData sheetId="569">
        <row r="16">
          <cell r="C16">
            <v>0</v>
          </cell>
        </row>
      </sheetData>
      <sheetData sheetId="570">
        <row r="16">
          <cell r="C16">
            <v>0</v>
          </cell>
        </row>
      </sheetData>
      <sheetData sheetId="571">
        <row r="16">
          <cell r="C16">
            <v>0</v>
          </cell>
        </row>
      </sheetData>
      <sheetData sheetId="572">
        <row r="16">
          <cell r="C16">
            <v>0</v>
          </cell>
        </row>
      </sheetData>
      <sheetData sheetId="573">
        <row r="16">
          <cell r="C16">
            <v>0</v>
          </cell>
        </row>
      </sheetData>
      <sheetData sheetId="574">
        <row r="16">
          <cell r="C16">
            <v>0</v>
          </cell>
        </row>
      </sheetData>
      <sheetData sheetId="575">
        <row r="16">
          <cell r="C16">
            <v>0</v>
          </cell>
        </row>
      </sheetData>
      <sheetData sheetId="576">
        <row r="16">
          <cell r="C16">
            <v>0</v>
          </cell>
        </row>
      </sheetData>
      <sheetData sheetId="577">
        <row r="16">
          <cell r="C16">
            <v>0</v>
          </cell>
        </row>
      </sheetData>
      <sheetData sheetId="578">
        <row r="16">
          <cell r="C16">
            <v>0</v>
          </cell>
        </row>
      </sheetData>
      <sheetData sheetId="579">
        <row r="16">
          <cell r="C16">
            <v>0</v>
          </cell>
        </row>
      </sheetData>
      <sheetData sheetId="580">
        <row r="16">
          <cell r="C16">
            <v>0</v>
          </cell>
        </row>
      </sheetData>
      <sheetData sheetId="581">
        <row r="16">
          <cell r="C16">
            <v>0</v>
          </cell>
        </row>
      </sheetData>
      <sheetData sheetId="582">
        <row r="16">
          <cell r="C16">
            <v>0</v>
          </cell>
        </row>
      </sheetData>
      <sheetData sheetId="583">
        <row r="16">
          <cell r="C16">
            <v>0</v>
          </cell>
        </row>
      </sheetData>
      <sheetData sheetId="584">
        <row r="16">
          <cell r="C16">
            <v>0</v>
          </cell>
        </row>
      </sheetData>
      <sheetData sheetId="585">
        <row r="16">
          <cell r="C16">
            <v>0</v>
          </cell>
        </row>
      </sheetData>
      <sheetData sheetId="586">
        <row r="16">
          <cell r="C16">
            <v>0</v>
          </cell>
        </row>
      </sheetData>
      <sheetData sheetId="587">
        <row r="16">
          <cell r="C16">
            <v>0</v>
          </cell>
        </row>
      </sheetData>
      <sheetData sheetId="588">
        <row r="16">
          <cell r="C16">
            <v>0</v>
          </cell>
        </row>
      </sheetData>
      <sheetData sheetId="589">
        <row r="16">
          <cell r="C16">
            <v>0</v>
          </cell>
        </row>
      </sheetData>
      <sheetData sheetId="590">
        <row r="16">
          <cell r="C16">
            <v>0</v>
          </cell>
        </row>
      </sheetData>
      <sheetData sheetId="591">
        <row r="16">
          <cell r="C16">
            <v>0</v>
          </cell>
        </row>
      </sheetData>
      <sheetData sheetId="592">
        <row r="16">
          <cell r="C16">
            <v>0</v>
          </cell>
        </row>
      </sheetData>
      <sheetData sheetId="593">
        <row r="16">
          <cell r="C16">
            <v>0</v>
          </cell>
        </row>
      </sheetData>
      <sheetData sheetId="594">
        <row r="16">
          <cell r="C16">
            <v>0</v>
          </cell>
        </row>
      </sheetData>
      <sheetData sheetId="595">
        <row r="16">
          <cell r="C16">
            <v>0</v>
          </cell>
        </row>
      </sheetData>
      <sheetData sheetId="596">
        <row r="16">
          <cell r="C16">
            <v>0</v>
          </cell>
        </row>
      </sheetData>
      <sheetData sheetId="597">
        <row r="16">
          <cell r="C16">
            <v>0</v>
          </cell>
        </row>
      </sheetData>
      <sheetData sheetId="598">
        <row r="16">
          <cell r="C16">
            <v>0</v>
          </cell>
        </row>
      </sheetData>
      <sheetData sheetId="599">
        <row r="16">
          <cell r="C16">
            <v>0</v>
          </cell>
        </row>
      </sheetData>
      <sheetData sheetId="600">
        <row r="16">
          <cell r="C16">
            <v>0</v>
          </cell>
        </row>
      </sheetData>
      <sheetData sheetId="601">
        <row r="16">
          <cell r="C16">
            <v>0</v>
          </cell>
        </row>
      </sheetData>
      <sheetData sheetId="602">
        <row r="16">
          <cell r="C16">
            <v>0</v>
          </cell>
        </row>
      </sheetData>
      <sheetData sheetId="603">
        <row r="16">
          <cell r="C16">
            <v>0</v>
          </cell>
        </row>
      </sheetData>
      <sheetData sheetId="604">
        <row r="16">
          <cell r="C16">
            <v>0</v>
          </cell>
        </row>
      </sheetData>
      <sheetData sheetId="605">
        <row r="16">
          <cell r="C16">
            <v>0</v>
          </cell>
        </row>
      </sheetData>
      <sheetData sheetId="606">
        <row r="16">
          <cell r="C16">
            <v>0</v>
          </cell>
        </row>
      </sheetData>
      <sheetData sheetId="607">
        <row r="16">
          <cell r="C16">
            <v>0</v>
          </cell>
        </row>
      </sheetData>
      <sheetData sheetId="608">
        <row r="16">
          <cell r="C16">
            <v>0</v>
          </cell>
        </row>
      </sheetData>
      <sheetData sheetId="609">
        <row r="16">
          <cell r="C16">
            <v>0</v>
          </cell>
        </row>
      </sheetData>
      <sheetData sheetId="610">
        <row r="16">
          <cell r="C16">
            <v>0</v>
          </cell>
        </row>
      </sheetData>
      <sheetData sheetId="611">
        <row r="16">
          <cell r="C16">
            <v>0</v>
          </cell>
        </row>
      </sheetData>
      <sheetData sheetId="612">
        <row r="16">
          <cell r="C16">
            <v>0</v>
          </cell>
        </row>
      </sheetData>
      <sheetData sheetId="613">
        <row r="16">
          <cell r="C16">
            <v>0</v>
          </cell>
        </row>
      </sheetData>
      <sheetData sheetId="614">
        <row r="16">
          <cell r="C16">
            <v>0</v>
          </cell>
        </row>
      </sheetData>
      <sheetData sheetId="615">
        <row r="16">
          <cell r="C16">
            <v>0</v>
          </cell>
        </row>
      </sheetData>
      <sheetData sheetId="616">
        <row r="16">
          <cell r="C16">
            <v>0</v>
          </cell>
        </row>
      </sheetData>
      <sheetData sheetId="617">
        <row r="16">
          <cell r="C16">
            <v>0</v>
          </cell>
        </row>
      </sheetData>
      <sheetData sheetId="618">
        <row r="16">
          <cell r="C16">
            <v>0</v>
          </cell>
        </row>
      </sheetData>
      <sheetData sheetId="619">
        <row r="16">
          <cell r="C16">
            <v>0</v>
          </cell>
        </row>
      </sheetData>
      <sheetData sheetId="620">
        <row r="16">
          <cell r="C16">
            <v>0</v>
          </cell>
        </row>
      </sheetData>
      <sheetData sheetId="621">
        <row r="16">
          <cell r="C16">
            <v>0</v>
          </cell>
        </row>
      </sheetData>
      <sheetData sheetId="622">
        <row r="16">
          <cell r="C16">
            <v>0</v>
          </cell>
        </row>
      </sheetData>
      <sheetData sheetId="623">
        <row r="16">
          <cell r="C16">
            <v>0</v>
          </cell>
        </row>
      </sheetData>
      <sheetData sheetId="624">
        <row r="16">
          <cell r="C16">
            <v>0</v>
          </cell>
        </row>
      </sheetData>
      <sheetData sheetId="625">
        <row r="16">
          <cell r="C16">
            <v>0</v>
          </cell>
        </row>
      </sheetData>
      <sheetData sheetId="626">
        <row r="16">
          <cell r="C16">
            <v>0</v>
          </cell>
        </row>
      </sheetData>
      <sheetData sheetId="627">
        <row r="16">
          <cell r="C16">
            <v>0</v>
          </cell>
        </row>
      </sheetData>
      <sheetData sheetId="628">
        <row r="16">
          <cell r="C16">
            <v>0</v>
          </cell>
        </row>
      </sheetData>
      <sheetData sheetId="629">
        <row r="16">
          <cell r="C16">
            <v>0</v>
          </cell>
        </row>
      </sheetData>
      <sheetData sheetId="630">
        <row r="16">
          <cell r="C16">
            <v>0</v>
          </cell>
        </row>
      </sheetData>
      <sheetData sheetId="631">
        <row r="16">
          <cell r="C16">
            <v>0</v>
          </cell>
        </row>
      </sheetData>
      <sheetData sheetId="632">
        <row r="16">
          <cell r="C16">
            <v>0</v>
          </cell>
        </row>
      </sheetData>
      <sheetData sheetId="633">
        <row r="16">
          <cell r="C16">
            <v>0</v>
          </cell>
        </row>
      </sheetData>
      <sheetData sheetId="634">
        <row r="16">
          <cell r="C16">
            <v>0</v>
          </cell>
        </row>
      </sheetData>
      <sheetData sheetId="635">
        <row r="16">
          <cell r="C16">
            <v>0</v>
          </cell>
        </row>
      </sheetData>
      <sheetData sheetId="636">
        <row r="16">
          <cell r="C16">
            <v>0</v>
          </cell>
        </row>
      </sheetData>
      <sheetData sheetId="637">
        <row r="16">
          <cell r="C16">
            <v>0</v>
          </cell>
        </row>
      </sheetData>
      <sheetData sheetId="638">
        <row r="16">
          <cell r="C16">
            <v>0</v>
          </cell>
        </row>
      </sheetData>
      <sheetData sheetId="639">
        <row r="16">
          <cell r="C16">
            <v>0</v>
          </cell>
        </row>
      </sheetData>
      <sheetData sheetId="640">
        <row r="16">
          <cell r="C16">
            <v>0</v>
          </cell>
        </row>
      </sheetData>
      <sheetData sheetId="641">
        <row r="16">
          <cell r="C16">
            <v>0</v>
          </cell>
        </row>
      </sheetData>
      <sheetData sheetId="642">
        <row r="16">
          <cell r="C16">
            <v>0</v>
          </cell>
        </row>
      </sheetData>
      <sheetData sheetId="643">
        <row r="16">
          <cell r="C16">
            <v>0</v>
          </cell>
        </row>
      </sheetData>
      <sheetData sheetId="644">
        <row r="16">
          <cell r="C16">
            <v>0</v>
          </cell>
        </row>
      </sheetData>
      <sheetData sheetId="645">
        <row r="16">
          <cell r="C16">
            <v>0</v>
          </cell>
        </row>
      </sheetData>
      <sheetData sheetId="646">
        <row r="16">
          <cell r="C16">
            <v>0</v>
          </cell>
        </row>
      </sheetData>
      <sheetData sheetId="647">
        <row r="16">
          <cell r="C16">
            <v>0</v>
          </cell>
        </row>
      </sheetData>
      <sheetData sheetId="648">
        <row r="16">
          <cell r="C16">
            <v>0</v>
          </cell>
        </row>
      </sheetData>
      <sheetData sheetId="649">
        <row r="16">
          <cell r="C16">
            <v>0</v>
          </cell>
        </row>
      </sheetData>
      <sheetData sheetId="650">
        <row r="16">
          <cell r="C16">
            <v>0</v>
          </cell>
        </row>
      </sheetData>
      <sheetData sheetId="651">
        <row r="16">
          <cell r="C16">
            <v>0</v>
          </cell>
        </row>
      </sheetData>
      <sheetData sheetId="652">
        <row r="16">
          <cell r="C16">
            <v>0</v>
          </cell>
        </row>
      </sheetData>
      <sheetData sheetId="653">
        <row r="16">
          <cell r="C16">
            <v>0</v>
          </cell>
        </row>
      </sheetData>
      <sheetData sheetId="654">
        <row r="16">
          <cell r="C16">
            <v>0</v>
          </cell>
        </row>
      </sheetData>
      <sheetData sheetId="655">
        <row r="16">
          <cell r="C16">
            <v>0</v>
          </cell>
        </row>
      </sheetData>
      <sheetData sheetId="656">
        <row r="16">
          <cell r="C16">
            <v>0</v>
          </cell>
        </row>
      </sheetData>
      <sheetData sheetId="657">
        <row r="16">
          <cell r="C16">
            <v>0</v>
          </cell>
        </row>
      </sheetData>
      <sheetData sheetId="658">
        <row r="16">
          <cell r="C16">
            <v>0</v>
          </cell>
        </row>
      </sheetData>
      <sheetData sheetId="659">
        <row r="16">
          <cell r="C16">
            <v>0</v>
          </cell>
        </row>
      </sheetData>
      <sheetData sheetId="660">
        <row r="16">
          <cell r="C16">
            <v>0</v>
          </cell>
        </row>
      </sheetData>
      <sheetData sheetId="661">
        <row r="16">
          <cell r="C16">
            <v>0</v>
          </cell>
        </row>
      </sheetData>
      <sheetData sheetId="662">
        <row r="16">
          <cell r="C16">
            <v>0</v>
          </cell>
        </row>
      </sheetData>
      <sheetData sheetId="663">
        <row r="16">
          <cell r="C16">
            <v>0</v>
          </cell>
        </row>
      </sheetData>
      <sheetData sheetId="664">
        <row r="16">
          <cell r="C16">
            <v>0</v>
          </cell>
        </row>
      </sheetData>
      <sheetData sheetId="665">
        <row r="16">
          <cell r="C16">
            <v>0</v>
          </cell>
        </row>
      </sheetData>
      <sheetData sheetId="666">
        <row r="16">
          <cell r="C16">
            <v>0</v>
          </cell>
        </row>
      </sheetData>
      <sheetData sheetId="667">
        <row r="16">
          <cell r="C16">
            <v>0</v>
          </cell>
        </row>
      </sheetData>
      <sheetData sheetId="668">
        <row r="16">
          <cell r="C16">
            <v>0</v>
          </cell>
        </row>
      </sheetData>
      <sheetData sheetId="669">
        <row r="16">
          <cell r="C16">
            <v>0</v>
          </cell>
        </row>
      </sheetData>
      <sheetData sheetId="670">
        <row r="16">
          <cell r="C16">
            <v>0</v>
          </cell>
        </row>
      </sheetData>
      <sheetData sheetId="671">
        <row r="16">
          <cell r="C16">
            <v>0</v>
          </cell>
        </row>
      </sheetData>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ow r="16">
          <cell r="C16">
            <v>0</v>
          </cell>
        </row>
      </sheetData>
      <sheetData sheetId="689" refreshError="1"/>
      <sheetData sheetId="690" refreshError="1"/>
      <sheetData sheetId="691">
        <row r="16">
          <cell r="C16">
            <v>0</v>
          </cell>
        </row>
      </sheetData>
      <sheetData sheetId="692">
        <row r="16">
          <cell r="C16">
            <v>0</v>
          </cell>
        </row>
      </sheetData>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ow r="16">
          <cell r="C16">
            <v>0</v>
          </cell>
        </row>
      </sheetData>
      <sheetData sheetId="710">
        <row r="16">
          <cell r="C16">
            <v>0</v>
          </cell>
        </row>
      </sheetData>
      <sheetData sheetId="711">
        <row r="16">
          <cell r="C16">
            <v>0</v>
          </cell>
        </row>
      </sheetData>
      <sheetData sheetId="712">
        <row r="16">
          <cell r="C16">
            <v>0</v>
          </cell>
        </row>
      </sheetData>
      <sheetData sheetId="713">
        <row r="16">
          <cell r="C16">
            <v>0</v>
          </cell>
        </row>
      </sheetData>
      <sheetData sheetId="714">
        <row r="16">
          <cell r="C16">
            <v>0</v>
          </cell>
        </row>
      </sheetData>
      <sheetData sheetId="715">
        <row r="16">
          <cell r="C16">
            <v>0</v>
          </cell>
        </row>
      </sheetData>
      <sheetData sheetId="716">
        <row r="16">
          <cell r="C16">
            <v>0</v>
          </cell>
        </row>
      </sheetData>
      <sheetData sheetId="717">
        <row r="16">
          <cell r="C16">
            <v>0</v>
          </cell>
        </row>
      </sheetData>
      <sheetData sheetId="718">
        <row r="16">
          <cell r="C16">
            <v>0</v>
          </cell>
        </row>
      </sheetData>
      <sheetData sheetId="719">
        <row r="16">
          <cell r="C16">
            <v>0</v>
          </cell>
        </row>
      </sheetData>
      <sheetData sheetId="720">
        <row r="16">
          <cell r="C16">
            <v>0</v>
          </cell>
        </row>
      </sheetData>
      <sheetData sheetId="721">
        <row r="16">
          <cell r="C16">
            <v>0</v>
          </cell>
        </row>
      </sheetData>
      <sheetData sheetId="722">
        <row r="16">
          <cell r="C16">
            <v>0</v>
          </cell>
        </row>
      </sheetData>
      <sheetData sheetId="723">
        <row r="16">
          <cell r="C16">
            <v>0</v>
          </cell>
        </row>
      </sheetData>
      <sheetData sheetId="724">
        <row r="16">
          <cell r="C16">
            <v>0</v>
          </cell>
        </row>
      </sheetData>
      <sheetData sheetId="725">
        <row r="16">
          <cell r="C16">
            <v>0</v>
          </cell>
        </row>
      </sheetData>
      <sheetData sheetId="726">
        <row r="16">
          <cell r="C16">
            <v>0</v>
          </cell>
        </row>
      </sheetData>
      <sheetData sheetId="727">
        <row r="16">
          <cell r="C16">
            <v>0</v>
          </cell>
        </row>
      </sheetData>
      <sheetData sheetId="728">
        <row r="16">
          <cell r="C16">
            <v>0</v>
          </cell>
        </row>
      </sheetData>
      <sheetData sheetId="729">
        <row r="16">
          <cell r="C16">
            <v>0</v>
          </cell>
        </row>
      </sheetData>
      <sheetData sheetId="730">
        <row r="16">
          <cell r="C16">
            <v>0</v>
          </cell>
        </row>
      </sheetData>
      <sheetData sheetId="731">
        <row r="16">
          <cell r="C16">
            <v>0</v>
          </cell>
        </row>
      </sheetData>
      <sheetData sheetId="732">
        <row r="16">
          <cell r="C16">
            <v>0</v>
          </cell>
        </row>
      </sheetData>
      <sheetData sheetId="733">
        <row r="16">
          <cell r="C16">
            <v>0</v>
          </cell>
        </row>
      </sheetData>
      <sheetData sheetId="734">
        <row r="16">
          <cell r="C16">
            <v>0</v>
          </cell>
        </row>
      </sheetData>
      <sheetData sheetId="735">
        <row r="16">
          <cell r="C16">
            <v>0</v>
          </cell>
        </row>
      </sheetData>
      <sheetData sheetId="736">
        <row r="16">
          <cell r="C16">
            <v>0</v>
          </cell>
        </row>
      </sheetData>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ow r="16">
          <cell r="C16">
            <v>0</v>
          </cell>
        </row>
      </sheetData>
      <sheetData sheetId="787">
        <row r="16">
          <cell r="C16">
            <v>0</v>
          </cell>
        </row>
      </sheetData>
      <sheetData sheetId="788">
        <row r="16">
          <cell r="C16">
            <v>0</v>
          </cell>
        </row>
      </sheetData>
      <sheetData sheetId="789">
        <row r="16">
          <cell r="C16">
            <v>0</v>
          </cell>
        </row>
      </sheetData>
      <sheetData sheetId="790">
        <row r="16">
          <cell r="C16">
            <v>0</v>
          </cell>
        </row>
      </sheetData>
      <sheetData sheetId="791">
        <row r="16">
          <cell r="C16">
            <v>0</v>
          </cell>
        </row>
      </sheetData>
      <sheetData sheetId="792">
        <row r="16">
          <cell r="C16">
            <v>0</v>
          </cell>
        </row>
      </sheetData>
      <sheetData sheetId="793">
        <row r="16">
          <cell r="C16">
            <v>0</v>
          </cell>
        </row>
      </sheetData>
      <sheetData sheetId="794">
        <row r="16">
          <cell r="C16">
            <v>0</v>
          </cell>
        </row>
      </sheetData>
      <sheetData sheetId="795">
        <row r="16">
          <cell r="C16">
            <v>0</v>
          </cell>
        </row>
      </sheetData>
      <sheetData sheetId="796">
        <row r="16">
          <cell r="C16">
            <v>0</v>
          </cell>
        </row>
      </sheetData>
      <sheetData sheetId="797">
        <row r="16">
          <cell r="C16">
            <v>0</v>
          </cell>
        </row>
      </sheetData>
      <sheetData sheetId="798">
        <row r="16">
          <cell r="C16">
            <v>0</v>
          </cell>
        </row>
      </sheetData>
      <sheetData sheetId="799">
        <row r="16">
          <cell r="C16">
            <v>0</v>
          </cell>
        </row>
      </sheetData>
      <sheetData sheetId="800">
        <row r="16">
          <cell r="C16">
            <v>0</v>
          </cell>
        </row>
      </sheetData>
      <sheetData sheetId="801">
        <row r="16">
          <cell r="C16">
            <v>0</v>
          </cell>
        </row>
      </sheetData>
      <sheetData sheetId="802">
        <row r="16">
          <cell r="C16">
            <v>0</v>
          </cell>
        </row>
      </sheetData>
      <sheetData sheetId="803">
        <row r="16">
          <cell r="C16">
            <v>0</v>
          </cell>
        </row>
      </sheetData>
      <sheetData sheetId="804">
        <row r="16">
          <cell r="C16">
            <v>0</v>
          </cell>
        </row>
      </sheetData>
      <sheetData sheetId="805">
        <row r="16">
          <cell r="C16">
            <v>0</v>
          </cell>
        </row>
      </sheetData>
      <sheetData sheetId="806">
        <row r="16">
          <cell r="C16">
            <v>0</v>
          </cell>
        </row>
      </sheetData>
      <sheetData sheetId="807">
        <row r="16">
          <cell r="C16">
            <v>0</v>
          </cell>
        </row>
      </sheetData>
      <sheetData sheetId="808">
        <row r="16">
          <cell r="C16">
            <v>0</v>
          </cell>
        </row>
      </sheetData>
      <sheetData sheetId="809">
        <row r="16">
          <cell r="C16">
            <v>0</v>
          </cell>
        </row>
      </sheetData>
      <sheetData sheetId="810">
        <row r="16">
          <cell r="C16">
            <v>0</v>
          </cell>
        </row>
      </sheetData>
      <sheetData sheetId="811">
        <row r="16">
          <cell r="C16">
            <v>0</v>
          </cell>
        </row>
      </sheetData>
      <sheetData sheetId="812">
        <row r="16">
          <cell r="C16">
            <v>0</v>
          </cell>
        </row>
      </sheetData>
      <sheetData sheetId="813">
        <row r="16">
          <cell r="C16">
            <v>0</v>
          </cell>
        </row>
      </sheetData>
      <sheetData sheetId="814">
        <row r="16">
          <cell r="C16">
            <v>0</v>
          </cell>
        </row>
      </sheetData>
      <sheetData sheetId="815">
        <row r="16">
          <cell r="C16">
            <v>0</v>
          </cell>
        </row>
      </sheetData>
      <sheetData sheetId="816">
        <row r="16">
          <cell r="C16">
            <v>0</v>
          </cell>
        </row>
      </sheetData>
      <sheetData sheetId="817">
        <row r="16">
          <cell r="C16">
            <v>0</v>
          </cell>
        </row>
      </sheetData>
      <sheetData sheetId="818">
        <row r="16">
          <cell r="C16">
            <v>0</v>
          </cell>
        </row>
      </sheetData>
      <sheetData sheetId="819">
        <row r="16">
          <cell r="C16">
            <v>0</v>
          </cell>
        </row>
      </sheetData>
      <sheetData sheetId="820">
        <row r="16">
          <cell r="C16">
            <v>0</v>
          </cell>
        </row>
      </sheetData>
      <sheetData sheetId="821">
        <row r="16">
          <cell r="C16">
            <v>0</v>
          </cell>
        </row>
      </sheetData>
      <sheetData sheetId="822">
        <row r="16">
          <cell r="C16">
            <v>0</v>
          </cell>
        </row>
      </sheetData>
      <sheetData sheetId="823">
        <row r="16">
          <cell r="C16">
            <v>0</v>
          </cell>
        </row>
      </sheetData>
      <sheetData sheetId="824">
        <row r="16">
          <cell r="C16">
            <v>0</v>
          </cell>
        </row>
      </sheetData>
      <sheetData sheetId="825">
        <row r="16">
          <cell r="C16">
            <v>0</v>
          </cell>
        </row>
      </sheetData>
      <sheetData sheetId="826">
        <row r="16">
          <cell r="C16">
            <v>0</v>
          </cell>
        </row>
      </sheetData>
      <sheetData sheetId="827">
        <row r="16">
          <cell r="C16">
            <v>0</v>
          </cell>
        </row>
      </sheetData>
      <sheetData sheetId="828">
        <row r="16">
          <cell r="C16">
            <v>0</v>
          </cell>
        </row>
      </sheetData>
      <sheetData sheetId="829">
        <row r="16">
          <cell r="C16">
            <v>0</v>
          </cell>
        </row>
      </sheetData>
      <sheetData sheetId="830">
        <row r="16">
          <cell r="C16">
            <v>0</v>
          </cell>
        </row>
      </sheetData>
      <sheetData sheetId="831">
        <row r="16">
          <cell r="C16">
            <v>0</v>
          </cell>
        </row>
      </sheetData>
      <sheetData sheetId="832">
        <row r="16">
          <cell r="C16">
            <v>0</v>
          </cell>
        </row>
      </sheetData>
      <sheetData sheetId="833">
        <row r="16">
          <cell r="C16">
            <v>0</v>
          </cell>
        </row>
      </sheetData>
      <sheetData sheetId="834">
        <row r="16">
          <cell r="C16">
            <v>0</v>
          </cell>
        </row>
      </sheetData>
      <sheetData sheetId="835">
        <row r="16">
          <cell r="C16">
            <v>0</v>
          </cell>
        </row>
      </sheetData>
      <sheetData sheetId="836">
        <row r="16">
          <cell r="C16">
            <v>0</v>
          </cell>
        </row>
      </sheetData>
      <sheetData sheetId="837">
        <row r="16">
          <cell r="C16">
            <v>0</v>
          </cell>
        </row>
      </sheetData>
      <sheetData sheetId="838">
        <row r="16">
          <cell r="C16">
            <v>0</v>
          </cell>
        </row>
      </sheetData>
      <sheetData sheetId="839">
        <row r="16">
          <cell r="C16">
            <v>0</v>
          </cell>
        </row>
      </sheetData>
      <sheetData sheetId="840">
        <row r="16">
          <cell r="C16">
            <v>0</v>
          </cell>
        </row>
      </sheetData>
      <sheetData sheetId="841">
        <row r="16">
          <cell r="C16">
            <v>0</v>
          </cell>
        </row>
      </sheetData>
      <sheetData sheetId="842">
        <row r="16">
          <cell r="C16">
            <v>0</v>
          </cell>
        </row>
      </sheetData>
      <sheetData sheetId="843">
        <row r="16">
          <cell r="C16">
            <v>0</v>
          </cell>
        </row>
      </sheetData>
      <sheetData sheetId="844">
        <row r="16">
          <cell r="C16">
            <v>0</v>
          </cell>
        </row>
      </sheetData>
      <sheetData sheetId="845">
        <row r="16">
          <cell r="C16">
            <v>0</v>
          </cell>
        </row>
      </sheetData>
      <sheetData sheetId="846">
        <row r="16">
          <cell r="C16">
            <v>0</v>
          </cell>
        </row>
      </sheetData>
      <sheetData sheetId="847">
        <row r="16">
          <cell r="C16">
            <v>0</v>
          </cell>
        </row>
      </sheetData>
      <sheetData sheetId="848">
        <row r="16">
          <cell r="C16">
            <v>0</v>
          </cell>
        </row>
      </sheetData>
      <sheetData sheetId="849">
        <row r="16">
          <cell r="C16">
            <v>0</v>
          </cell>
        </row>
      </sheetData>
      <sheetData sheetId="850">
        <row r="16">
          <cell r="C16">
            <v>0</v>
          </cell>
        </row>
      </sheetData>
      <sheetData sheetId="851">
        <row r="16">
          <cell r="C16">
            <v>0</v>
          </cell>
        </row>
      </sheetData>
      <sheetData sheetId="852">
        <row r="16">
          <cell r="C16">
            <v>0</v>
          </cell>
        </row>
      </sheetData>
      <sheetData sheetId="853">
        <row r="16">
          <cell r="C16">
            <v>0</v>
          </cell>
        </row>
      </sheetData>
      <sheetData sheetId="854">
        <row r="16">
          <cell r="C16">
            <v>0</v>
          </cell>
        </row>
      </sheetData>
      <sheetData sheetId="855">
        <row r="16">
          <cell r="C16">
            <v>0</v>
          </cell>
        </row>
      </sheetData>
      <sheetData sheetId="856">
        <row r="16">
          <cell r="C16">
            <v>0</v>
          </cell>
        </row>
      </sheetData>
      <sheetData sheetId="857">
        <row r="16">
          <cell r="C16">
            <v>0</v>
          </cell>
        </row>
      </sheetData>
      <sheetData sheetId="858">
        <row r="16">
          <cell r="C16">
            <v>0</v>
          </cell>
        </row>
      </sheetData>
      <sheetData sheetId="859">
        <row r="16">
          <cell r="C16">
            <v>0</v>
          </cell>
        </row>
      </sheetData>
      <sheetData sheetId="860">
        <row r="16">
          <cell r="C16">
            <v>0</v>
          </cell>
        </row>
      </sheetData>
      <sheetData sheetId="861">
        <row r="16">
          <cell r="C16">
            <v>0</v>
          </cell>
        </row>
      </sheetData>
      <sheetData sheetId="862">
        <row r="16">
          <cell r="C16">
            <v>0</v>
          </cell>
        </row>
      </sheetData>
      <sheetData sheetId="863">
        <row r="16">
          <cell r="C16">
            <v>0</v>
          </cell>
        </row>
      </sheetData>
      <sheetData sheetId="864">
        <row r="16">
          <cell r="C16">
            <v>0</v>
          </cell>
        </row>
      </sheetData>
      <sheetData sheetId="865">
        <row r="16">
          <cell r="C16">
            <v>0</v>
          </cell>
        </row>
      </sheetData>
      <sheetData sheetId="866">
        <row r="16">
          <cell r="C16">
            <v>0</v>
          </cell>
        </row>
      </sheetData>
      <sheetData sheetId="867">
        <row r="16">
          <cell r="C16">
            <v>0</v>
          </cell>
        </row>
      </sheetData>
      <sheetData sheetId="868">
        <row r="16">
          <cell r="C16">
            <v>0</v>
          </cell>
        </row>
      </sheetData>
      <sheetData sheetId="869">
        <row r="16">
          <cell r="C16">
            <v>0</v>
          </cell>
        </row>
      </sheetData>
      <sheetData sheetId="870">
        <row r="16">
          <cell r="C16">
            <v>0</v>
          </cell>
        </row>
      </sheetData>
      <sheetData sheetId="871">
        <row r="16">
          <cell r="C16">
            <v>0</v>
          </cell>
        </row>
      </sheetData>
      <sheetData sheetId="872">
        <row r="16">
          <cell r="C16">
            <v>0</v>
          </cell>
        </row>
      </sheetData>
      <sheetData sheetId="873">
        <row r="16">
          <cell r="C16">
            <v>0</v>
          </cell>
        </row>
      </sheetData>
      <sheetData sheetId="874">
        <row r="16">
          <cell r="C16">
            <v>0</v>
          </cell>
        </row>
      </sheetData>
      <sheetData sheetId="875">
        <row r="16">
          <cell r="C16">
            <v>0</v>
          </cell>
        </row>
      </sheetData>
      <sheetData sheetId="876">
        <row r="16">
          <cell r="C16">
            <v>0</v>
          </cell>
        </row>
      </sheetData>
      <sheetData sheetId="877">
        <row r="16">
          <cell r="C16">
            <v>0</v>
          </cell>
        </row>
      </sheetData>
      <sheetData sheetId="878">
        <row r="16">
          <cell r="C16">
            <v>0</v>
          </cell>
        </row>
      </sheetData>
      <sheetData sheetId="879">
        <row r="16">
          <cell r="C16">
            <v>0</v>
          </cell>
        </row>
      </sheetData>
      <sheetData sheetId="880">
        <row r="16">
          <cell r="C16">
            <v>0</v>
          </cell>
        </row>
      </sheetData>
      <sheetData sheetId="881">
        <row r="16">
          <cell r="C16">
            <v>0</v>
          </cell>
        </row>
      </sheetData>
      <sheetData sheetId="882">
        <row r="16">
          <cell r="C16">
            <v>0</v>
          </cell>
        </row>
      </sheetData>
      <sheetData sheetId="883">
        <row r="16">
          <cell r="C16">
            <v>0</v>
          </cell>
        </row>
      </sheetData>
      <sheetData sheetId="884">
        <row r="16">
          <cell r="C16">
            <v>0</v>
          </cell>
        </row>
      </sheetData>
      <sheetData sheetId="885">
        <row r="16">
          <cell r="C16">
            <v>0</v>
          </cell>
        </row>
      </sheetData>
      <sheetData sheetId="886">
        <row r="16">
          <cell r="C16">
            <v>0</v>
          </cell>
        </row>
      </sheetData>
      <sheetData sheetId="887">
        <row r="16">
          <cell r="C16">
            <v>0</v>
          </cell>
        </row>
      </sheetData>
      <sheetData sheetId="888">
        <row r="16">
          <cell r="C16">
            <v>0</v>
          </cell>
        </row>
      </sheetData>
      <sheetData sheetId="889">
        <row r="16">
          <cell r="C16">
            <v>0</v>
          </cell>
        </row>
      </sheetData>
      <sheetData sheetId="890">
        <row r="16">
          <cell r="C16">
            <v>0</v>
          </cell>
        </row>
      </sheetData>
      <sheetData sheetId="891">
        <row r="16">
          <cell r="C16">
            <v>0</v>
          </cell>
        </row>
      </sheetData>
      <sheetData sheetId="892">
        <row r="16">
          <cell r="C16">
            <v>0</v>
          </cell>
        </row>
      </sheetData>
      <sheetData sheetId="893">
        <row r="16">
          <cell r="C16">
            <v>0</v>
          </cell>
        </row>
      </sheetData>
      <sheetData sheetId="894">
        <row r="16">
          <cell r="C16">
            <v>0</v>
          </cell>
        </row>
      </sheetData>
      <sheetData sheetId="895">
        <row r="16">
          <cell r="C16">
            <v>0</v>
          </cell>
        </row>
      </sheetData>
      <sheetData sheetId="896">
        <row r="16">
          <cell r="C16">
            <v>0</v>
          </cell>
        </row>
      </sheetData>
      <sheetData sheetId="897">
        <row r="16">
          <cell r="C16">
            <v>0</v>
          </cell>
        </row>
      </sheetData>
      <sheetData sheetId="898">
        <row r="16">
          <cell r="C16">
            <v>0</v>
          </cell>
        </row>
      </sheetData>
      <sheetData sheetId="899">
        <row r="16">
          <cell r="C16">
            <v>0</v>
          </cell>
        </row>
      </sheetData>
      <sheetData sheetId="900" refreshError="1"/>
      <sheetData sheetId="901" refreshError="1"/>
      <sheetData sheetId="902" refreshError="1"/>
      <sheetData sheetId="903" refreshError="1"/>
      <sheetData sheetId="904">
        <row r="16">
          <cell r="C16">
            <v>0</v>
          </cell>
        </row>
      </sheetData>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ow r="16">
          <cell r="C16">
            <v>0</v>
          </cell>
        </row>
      </sheetData>
      <sheetData sheetId="918">
        <row r="16">
          <cell r="C16">
            <v>0</v>
          </cell>
        </row>
      </sheetData>
      <sheetData sheetId="919">
        <row r="16">
          <cell r="C16">
            <v>0</v>
          </cell>
        </row>
      </sheetData>
      <sheetData sheetId="920">
        <row r="16">
          <cell r="C16">
            <v>0</v>
          </cell>
        </row>
      </sheetData>
      <sheetData sheetId="921">
        <row r="16">
          <cell r="C16">
            <v>0</v>
          </cell>
        </row>
      </sheetData>
      <sheetData sheetId="922">
        <row r="16">
          <cell r="C16">
            <v>43922</v>
          </cell>
        </row>
      </sheetData>
      <sheetData sheetId="923"/>
      <sheetData sheetId="924"/>
      <sheetData sheetId="925">
        <row r="16">
          <cell r="C16">
            <v>0</v>
          </cell>
        </row>
      </sheetData>
      <sheetData sheetId="926">
        <row r="16">
          <cell r="C16">
            <v>0</v>
          </cell>
        </row>
      </sheetData>
      <sheetData sheetId="927">
        <row r="16">
          <cell r="C16">
            <v>0</v>
          </cell>
        </row>
      </sheetData>
      <sheetData sheetId="928">
        <row r="16">
          <cell r="C16">
            <v>0</v>
          </cell>
        </row>
      </sheetData>
      <sheetData sheetId="929">
        <row r="16">
          <cell r="C16">
            <v>0</v>
          </cell>
        </row>
      </sheetData>
      <sheetData sheetId="930">
        <row r="16">
          <cell r="C16">
            <v>0</v>
          </cell>
        </row>
      </sheetData>
      <sheetData sheetId="931">
        <row r="16">
          <cell r="C16">
            <v>0</v>
          </cell>
        </row>
      </sheetData>
      <sheetData sheetId="932">
        <row r="16">
          <cell r="C16">
            <v>0</v>
          </cell>
        </row>
      </sheetData>
      <sheetData sheetId="933">
        <row r="16">
          <cell r="C16">
            <v>0</v>
          </cell>
        </row>
      </sheetData>
      <sheetData sheetId="934">
        <row r="16">
          <cell r="C16">
            <v>0</v>
          </cell>
        </row>
      </sheetData>
      <sheetData sheetId="935">
        <row r="16">
          <cell r="C16">
            <v>0</v>
          </cell>
        </row>
      </sheetData>
      <sheetData sheetId="936">
        <row r="16">
          <cell r="C16">
            <v>0</v>
          </cell>
        </row>
      </sheetData>
      <sheetData sheetId="937">
        <row r="16">
          <cell r="C16">
            <v>0</v>
          </cell>
        </row>
      </sheetData>
      <sheetData sheetId="938">
        <row r="16">
          <cell r="C16">
            <v>0</v>
          </cell>
        </row>
      </sheetData>
      <sheetData sheetId="939">
        <row r="16">
          <cell r="C16">
            <v>0</v>
          </cell>
        </row>
      </sheetData>
      <sheetData sheetId="940"/>
      <sheetData sheetId="941"/>
      <sheetData sheetId="942"/>
      <sheetData sheetId="943"/>
      <sheetData sheetId="944"/>
      <sheetData sheetId="945"/>
      <sheetData sheetId="946">
        <row r="16">
          <cell r="C16">
            <v>0</v>
          </cell>
        </row>
      </sheetData>
      <sheetData sheetId="947">
        <row r="16">
          <cell r="C16">
            <v>0</v>
          </cell>
        </row>
      </sheetData>
      <sheetData sheetId="948">
        <row r="24">
          <cell r="D24" t="str">
            <v>PC210-10M0</v>
          </cell>
        </row>
      </sheetData>
      <sheetData sheetId="949"/>
      <sheetData sheetId="950"/>
      <sheetData sheetId="951"/>
      <sheetData sheetId="952"/>
      <sheetData sheetId="953"/>
      <sheetData sheetId="954"/>
      <sheetData sheetId="955">
        <row r="16">
          <cell r="C16">
            <v>0</v>
          </cell>
        </row>
      </sheetData>
      <sheetData sheetId="956">
        <row r="16">
          <cell r="C16">
            <v>0</v>
          </cell>
        </row>
      </sheetData>
      <sheetData sheetId="957">
        <row r="16">
          <cell r="C16">
            <v>0</v>
          </cell>
        </row>
      </sheetData>
      <sheetData sheetId="958">
        <row r="16">
          <cell r="C16">
            <v>0</v>
          </cell>
        </row>
      </sheetData>
      <sheetData sheetId="959">
        <row r="16">
          <cell r="C16">
            <v>0</v>
          </cell>
        </row>
      </sheetData>
      <sheetData sheetId="960">
        <row r="16">
          <cell r="C16">
            <v>0</v>
          </cell>
        </row>
      </sheetData>
      <sheetData sheetId="961">
        <row r="16">
          <cell r="C16">
            <v>0</v>
          </cell>
        </row>
      </sheetData>
      <sheetData sheetId="962">
        <row r="16">
          <cell r="C16">
            <v>0</v>
          </cell>
        </row>
      </sheetData>
      <sheetData sheetId="963">
        <row r="16">
          <cell r="C16">
            <v>0</v>
          </cell>
        </row>
      </sheetData>
      <sheetData sheetId="964">
        <row r="16">
          <cell r="C16">
            <v>0</v>
          </cell>
        </row>
      </sheetData>
      <sheetData sheetId="965">
        <row r="16">
          <cell r="C16">
            <v>0</v>
          </cell>
        </row>
      </sheetData>
      <sheetData sheetId="966">
        <row r="16">
          <cell r="C16">
            <v>0</v>
          </cell>
        </row>
      </sheetData>
      <sheetData sheetId="967">
        <row r="16">
          <cell r="C16">
            <v>0</v>
          </cell>
        </row>
      </sheetData>
      <sheetData sheetId="968">
        <row r="16">
          <cell r="C16">
            <v>0</v>
          </cell>
        </row>
      </sheetData>
      <sheetData sheetId="969">
        <row r="16">
          <cell r="C16">
            <v>0</v>
          </cell>
        </row>
      </sheetData>
      <sheetData sheetId="970">
        <row r="16">
          <cell r="C16">
            <v>0</v>
          </cell>
        </row>
      </sheetData>
      <sheetData sheetId="971">
        <row r="16">
          <cell r="C16">
            <v>0</v>
          </cell>
        </row>
      </sheetData>
      <sheetData sheetId="972">
        <row r="16">
          <cell r="C16">
            <v>0</v>
          </cell>
        </row>
      </sheetData>
      <sheetData sheetId="973">
        <row r="16">
          <cell r="C16">
            <v>0</v>
          </cell>
        </row>
      </sheetData>
      <sheetData sheetId="974">
        <row r="16">
          <cell r="C16">
            <v>0</v>
          </cell>
        </row>
      </sheetData>
      <sheetData sheetId="975">
        <row r="16">
          <cell r="C16">
            <v>0</v>
          </cell>
        </row>
      </sheetData>
      <sheetData sheetId="976">
        <row r="16">
          <cell r="C16">
            <v>0</v>
          </cell>
        </row>
      </sheetData>
      <sheetData sheetId="977">
        <row r="16">
          <cell r="C16">
            <v>0</v>
          </cell>
        </row>
      </sheetData>
      <sheetData sheetId="978">
        <row r="16">
          <cell r="C16">
            <v>0</v>
          </cell>
        </row>
      </sheetData>
      <sheetData sheetId="979">
        <row r="16">
          <cell r="C16">
            <v>0</v>
          </cell>
        </row>
      </sheetData>
      <sheetData sheetId="980">
        <row r="16">
          <cell r="C16">
            <v>0</v>
          </cell>
        </row>
      </sheetData>
      <sheetData sheetId="981">
        <row r="16">
          <cell r="C16">
            <v>0</v>
          </cell>
        </row>
      </sheetData>
      <sheetData sheetId="982">
        <row r="16">
          <cell r="C16">
            <v>0</v>
          </cell>
        </row>
      </sheetData>
      <sheetData sheetId="983">
        <row r="16">
          <cell r="C16">
            <v>0</v>
          </cell>
        </row>
      </sheetData>
      <sheetData sheetId="984">
        <row r="16">
          <cell r="C16">
            <v>0</v>
          </cell>
        </row>
      </sheetData>
      <sheetData sheetId="985">
        <row r="16">
          <cell r="C16">
            <v>0</v>
          </cell>
        </row>
      </sheetData>
      <sheetData sheetId="986">
        <row r="16">
          <cell r="C16">
            <v>0</v>
          </cell>
        </row>
      </sheetData>
      <sheetData sheetId="987">
        <row r="16">
          <cell r="C16">
            <v>0</v>
          </cell>
        </row>
      </sheetData>
      <sheetData sheetId="988">
        <row r="16">
          <cell r="C16">
            <v>0</v>
          </cell>
        </row>
      </sheetData>
      <sheetData sheetId="989">
        <row r="16">
          <cell r="C16">
            <v>0</v>
          </cell>
        </row>
      </sheetData>
      <sheetData sheetId="990">
        <row r="16">
          <cell r="C16">
            <v>0</v>
          </cell>
        </row>
      </sheetData>
      <sheetData sheetId="991">
        <row r="16">
          <cell r="C16">
            <v>0</v>
          </cell>
        </row>
      </sheetData>
      <sheetData sheetId="992">
        <row r="16">
          <cell r="C16">
            <v>0</v>
          </cell>
        </row>
      </sheetData>
      <sheetData sheetId="993">
        <row r="16">
          <cell r="C16">
            <v>0</v>
          </cell>
        </row>
      </sheetData>
      <sheetData sheetId="994">
        <row r="16">
          <cell r="C16">
            <v>0</v>
          </cell>
        </row>
      </sheetData>
      <sheetData sheetId="995">
        <row r="16">
          <cell r="C16">
            <v>0</v>
          </cell>
        </row>
      </sheetData>
      <sheetData sheetId="996">
        <row r="16">
          <cell r="C16">
            <v>0</v>
          </cell>
        </row>
      </sheetData>
      <sheetData sheetId="997">
        <row r="16">
          <cell r="C16">
            <v>0</v>
          </cell>
        </row>
      </sheetData>
      <sheetData sheetId="998">
        <row r="16">
          <cell r="C16">
            <v>0</v>
          </cell>
        </row>
      </sheetData>
      <sheetData sheetId="999">
        <row r="16">
          <cell r="C16">
            <v>0</v>
          </cell>
        </row>
      </sheetData>
      <sheetData sheetId="1000">
        <row r="16">
          <cell r="C16">
            <v>0</v>
          </cell>
        </row>
      </sheetData>
      <sheetData sheetId="1001">
        <row r="16">
          <cell r="C16">
            <v>0</v>
          </cell>
        </row>
      </sheetData>
      <sheetData sheetId="1002">
        <row r="16">
          <cell r="C16">
            <v>0</v>
          </cell>
        </row>
      </sheetData>
      <sheetData sheetId="1003">
        <row r="16">
          <cell r="C16">
            <v>0</v>
          </cell>
        </row>
      </sheetData>
      <sheetData sheetId="1004">
        <row r="16">
          <cell r="C16">
            <v>0</v>
          </cell>
        </row>
      </sheetData>
      <sheetData sheetId="1005">
        <row r="16">
          <cell r="C16">
            <v>0</v>
          </cell>
        </row>
      </sheetData>
      <sheetData sheetId="1006">
        <row r="16">
          <cell r="C16">
            <v>0</v>
          </cell>
        </row>
      </sheetData>
      <sheetData sheetId="1007">
        <row r="16">
          <cell r="C16">
            <v>0</v>
          </cell>
        </row>
      </sheetData>
      <sheetData sheetId="1008">
        <row r="16">
          <cell r="C16">
            <v>0</v>
          </cell>
        </row>
      </sheetData>
      <sheetData sheetId="1009">
        <row r="16">
          <cell r="C16">
            <v>0</v>
          </cell>
        </row>
      </sheetData>
      <sheetData sheetId="1010">
        <row r="16">
          <cell r="C16">
            <v>0</v>
          </cell>
        </row>
      </sheetData>
      <sheetData sheetId="1011">
        <row r="16">
          <cell r="C16">
            <v>0</v>
          </cell>
        </row>
      </sheetData>
      <sheetData sheetId="1012">
        <row r="16">
          <cell r="C16">
            <v>0</v>
          </cell>
        </row>
      </sheetData>
      <sheetData sheetId="1013">
        <row r="16">
          <cell r="C16">
            <v>0</v>
          </cell>
        </row>
      </sheetData>
      <sheetData sheetId="1014">
        <row r="16">
          <cell r="C16">
            <v>0</v>
          </cell>
        </row>
      </sheetData>
      <sheetData sheetId="1015">
        <row r="16">
          <cell r="C16">
            <v>0</v>
          </cell>
        </row>
      </sheetData>
      <sheetData sheetId="1016">
        <row r="16">
          <cell r="C16">
            <v>0</v>
          </cell>
        </row>
      </sheetData>
      <sheetData sheetId="1017">
        <row r="16">
          <cell r="C16">
            <v>0</v>
          </cell>
        </row>
      </sheetData>
      <sheetData sheetId="1018">
        <row r="16">
          <cell r="C16">
            <v>0</v>
          </cell>
        </row>
      </sheetData>
      <sheetData sheetId="1019">
        <row r="16">
          <cell r="C16">
            <v>0</v>
          </cell>
        </row>
      </sheetData>
      <sheetData sheetId="1020">
        <row r="16">
          <cell r="C16">
            <v>0</v>
          </cell>
        </row>
      </sheetData>
      <sheetData sheetId="1021">
        <row r="16">
          <cell r="C16">
            <v>0</v>
          </cell>
        </row>
      </sheetData>
      <sheetData sheetId="1022">
        <row r="16">
          <cell r="C16">
            <v>0</v>
          </cell>
        </row>
      </sheetData>
      <sheetData sheetId="1023">
        <row r="16">
          <cell r="C16">
            <v>0</v>
          </cell>
        </row>
      </sheetData>
      <sheetData sheetId="1024">
        <row r="16">
          <cell r="C16">
            <v>0</v>
          </cell>
        </row>
      </sheetData>
      <sheetData sheetId="1025">
        <row r="16">
          <cell r="C16">
            <v>0</v>
          </cell>
        </row>
      </sheetData>
      <sheetData sheetId="1026">
        <row r="16">
          <cell r="C16">
            <v>0</v>
          </cell>
        </row>
      </sheetData>
      <sheetData sheetId="1027">
        <row r="16">
          <cell r="C16">
            <v>0</v>
          </cell>
        </row>
      </sheetData>
      <sheetData sheetId="1028">
        <row r="16">
          <cell r="C16">
            <v>0</v>
          </cell>
        </row>
      </sheetData>
      <sheetData sheetId="1029">
        <row r="16">
          <cell r="C16">
            <v>0</v>
          </cell>
        </row>
      </sheetData>
      <sheetData sheetId="1030">
        <row r="16">
          <cell r="C16">
            <v>0</v>
          </cell>
        </row>
      </sheetData>
      <sheetData sheetId="1031">
        <row r="16">
          <cell r="C16">
            <v>0</v>
          </cell>
        </row>
      </sheetData>
      <sheetData sheetId="1032">
        <row r="16">
          <cell r="C16">
            <v>0</v>
          </cell>
        </row>
      </sheetData>
      <sheetData sheetId="1033">
        <row r="16">
          <cell r="C16">
            <v>0</v>
          </cell>
        </row>
      </sheetData>
      <sheetData sheetId="1034">
        <row r="16">
          <cell r="C16">
            <v>0</v>
          </cell>
        </row>
      </sheetData>
      <sheetData sheetId="1035">
        <row r="16">
          <cell r="C16">
            <v>0</v>
          </cell>
        </row>
      </sheetData>
      <sheetData sheetId="1036">
        <row r="16">
          <cell r="C16">
            <v>0</v>
          </cell>
        </row>
      </sheetData>
      <sheetData sheetId="1037">
        <row r="16">
          <cell r="C16">
            <v>0</v>
          </cell>
        </row>
      </sheetData>
      <sheetData sheetId="1038">
        <row r="16">
          <cell r="C16">
            <v>0</v>
          </cell>
        </row>
      </sheetData>
      <sheetData sheetId="1039">
        <row r="16">
          <cell r="C16">
            <v>0</v>
          </cell>
        </row>
      </sheetData>
      <sheetData sheetId="1040">
        <row r="16">
          <cell r="C16">
            <v>0</v>
          </cell>
        </row>
      </sheetData>
      <sheetData sheetId="1041">
        <row r="16">
          <cell r="C16">
            <v>0</v>
          </cell>
        </row>
      </sheetData>
      <sheetData sheetId="1042">
        <row r="16">
          <cell r="C16">
            <v>0</v>
          </cell>
        </row>
      </sheetData>
      <sheetData sheetId="1043">
        <row r="16">
          <cell r="C16">
            <v>0</v>
          </cell>
        </row>
      </sheetData>
      <sheetData sheetId="1044">
        <row r="16">
          <cell r="C16">
            <v>0</v>
          </cell>
        </row>
      </sheetData>
      <sheetData sheetId="1045">
        <row r="16">
          <cell r="C16">
            <v>0</v>
          </cell>
        </row>
      </sheetData>
      <sheetData sheetId="1046">
        <row r="16">
          <cell r="C16">
            <v>0</v>
          </cell>
        </row>
      </sheetData>
      <sheetData sheetId="1047">
        <row r="16">
          <cell r="C16">
            <v>0</v>
          </cell>
        </row>
      </sheetData>
      <sheetData sheetId="1048"/>
      <sheetData sheetId="1049"/>
      <sheetData sheetId="1050">
        <row r="16">
          <cell r="C16">
            <v>0</v>
          </cell>
        </row>
      </sheetData>
      <sheetData sheetId="1051">
        <row r="16">
          <cell r="C16">
            <v>0</v>
          </cell>
        </row>
      </sheetData>
      <sheetData sheetId="1052">
        <row r="16">
          <cell r="C16">
            <v>0</v>
          </cell>
        </row>
      </sheetData>
      <sheetData sheetId="1053">
        <row r="16">
          <cell r="C16">
            <v>0</v>
          </cell>
        </row>
      </sheetData>
      <sheetData sheetId="1054">
        <row r="16">
          <cell r="C16">
            <v>0</v>
          </cell>
        </row>
      </sheetData>
      <sheetData sheetId="1055">
        <row r="16">
          <cell r="C16">
            <v>0</v>
          </cell>
        </row>
      </sheetData>
      <sheetData sheetId="1056">
        <row r="16">
          <cell r="C16">
            <v>0</v>
          </cell>
        </row>
      </sheetData>
      <sheetData sheetId="1057">
        <row r="16">
          <cell r="C16">
            <v>0</v>
          </cell>
        </row>
      </sheetData>
      <sheetData sheetId="1058">
        <row r="16">
          <cell r="C16">
            <v>0</v>
          </cell>
        </row>
      </sheetData>
      <sheetData sheetId="1059">
        <row r="16">
          <cell r="C16">
            <v>0</v>
          </cell>
        </row>
      </sheetData>
      <sheetData sheetId="1060">
        <row r="16">
          <cell r="C16">
            <v>0</v>
          </cell>
        </row>
      </sheetData>
      <sheetData sheetId="1061">
        <row r="16">
          <cell r="C16">
            <v>0</v>
          </cell>
        </row>
      </sheetData>
      <sheetData sheetId="1062">
        <row r="16">
          <cell r="C16">
            <v>0</v>
          </cell>
        </row>
      </sheetData>
      <sheetData sheetId="1063">
        <row r="16">
          <cell r="C16">
            <v>0</v>
          </cell>
        </row>
      </sheetData>
      <sheetData sheetId="1064">
        <row r="16">
          <cell r="C16">
            <v>0</v>
          </cell>
        </row>
      </sheetData>
      <sheetData sheetId="1065">
        <row r="16">
          <cell r="C16">
            <v>0</v>
          </cell>
        </row>
      </sheetData>
      <sheetData sheetId="1066">
        <row r="16">
          <cell r="C16">
            <v>0</v>
          </cell>
        </row>
      </sheetData>
      <sheetData sheetId="1067">
        <row r="16">
          <cell r="C16">
            <v>0</v>
          </cell>
        </row>
      </sheetData>
      <sheetData sheetId="1068">
        <row r="16">
          <cell r="C16">
            <v>0</v>
          </cell>
        </row>
      </sheetData>
      <sheetData sheetId="1069">
        <row r="16">
          <cell r="C16">
            <v>0</v>
          </cell>
        </row>
      </sheetData>
      <sheetData sheetId="1070">
        <row r="16">
          <cell r="C16">
            <v>0</v>
          </cell>
        </row>
      </sheetData>
      <sheetData sheetId="1071">
        <row r="16">
          <cell r="C16">
            <v>0</v>
          </cell>
        </row>
      </sheetData>
      <sheetData sheetId="1072">
        <row r="16">
          <cell r="C16">
            <v>0</v>
          </cell>
        </row>
      </sheetData>
      <sheetData sheetId="1073">
        <row r="16">
          <cell r="C16">
            <v>0</v>
          </cell>
        </row>
      </sheetData>
      <sheetData sheetId="1074">
        <row r="16">
          <cell r="C16">
            <v>0</v>
          </cell>
        </row>
      </sheetData>
      <sheetData sheetId="1075">
        <row r="16">
          <cell r="C16">
            <v>0</v>
          </cell>
        </row>
      </sheetData>
      <sheetData sheetId="1076">
        <row r="16">
          <cell r="C16">
            <v>0</v>
          </cell>
        </row>
      </sheetData>
      <sheetData sheetId="1077">
        <row r="16">
          <cell r="C16">
            <v>0</v>
          </cell>
        </row>
      </sheetData>
      <sheetData sheetId="1078">
        <row r="16">
          <cell r="C16">
            <v>0</v>
          </cell>
        </row>
      </sheetData>
      <sheetData sheetId="1079">
        <row r="16">
          <cell r="C16">
            <v>0</v>
          </cell>
        </row>
      </sheetData>
      <sheetData sheetId="1080">
        <row r="16">
          <cell r="C16">
            <v>0</v>
          </cell>
        </row>
      </sheetData>
      <sheetData sheetId="1081">
        <row r="16">
          <cell r="C16">
            <v>0</v>
          </cell>
        </row>
      </sheetData>
      <sheetData sheetId="1082">
        <row r="16">
          <cell r="C16">
            <v>0</v>
          </cell>
        </row>
      </sheetData>
      <sheetData sheetId="1083">
        <row r="16">
          <cell r="C16">
            <v>0</v>
          </cell>
        </row>
      </sheetData>
      <sheetData sheetId="1084">
        <row r="16">
          <cell r="C16">
            <v>0</v>
          </cell>
        </row>
      </sheetData>
      <sheetData sheetId="1085">
        <row r="16">
          <cell r="C16">
            <v>0</v>
          </cell>
        </row>
      </sheetData>
      <sheetData sheetId="1086">
        <row r="16">
          <cell r="C16">
            <v>0</v>
          </cell>
        </row>
      </sheetData>
      <sheetData sheetId="1087">
        <row r="16">
          <cell r="C16">
            <v>0</v>
          </cell>
        </row>
      </sheetData>
      <sheetData sheetId="1088">
        <row r="16">
          <cell r="C16">
            <v>0</v>
          </cell>
        </row>
      </sheetData>
      <sheetData sheetId="1089">
        <row r="16">
          <cell r="C16">
            <v>0</v>
          </cell>
        </row>
      </sheetData>
      <sheetData sheetId="1090">
        <row r="16">
          <cell r="C16">
            <v>0</v>
          </cell>
        </row>
      </sheetData>
      <sheetData sheetId="1091">
        <row r="16">
          <cell r="C16">
            <v>0</v>
          </cell>
        </row>
      </sheetData>
      <sheetData sheetId="1092">
        <row r="16">
          <cell r="C16">
            <v>0</v>
          </cell>
        </row>
      </sheetData>
      <sheetData sheetId="1093">
        <row r="16">
          <cell r="C16">
            <v>0</v>
          </cell>
        </row>
      </sheetData>
      <sheetData sheetId="1094">
        <row r="16">
          <cell r="C16">
            <v>0</v>
          </cell>
        </row>
      </sheetData>
      <sheetData sheetId="1095">
        <row r="16">
          <cell r="C16">
            <v>0</v>
          </cell>
        </row>
      </sheetData>
      <sheetData sheetId="1096">
        <row r="16">
          <cell r="C16">
            <v>0</v>
          </cell>
        </row>
      </sheetData>
      <sheetData sheetId="1097">
        <row r="16">
          <cell r="C16">
            <v>0</v>
          </cell>
        </row>
      </sheetData>
      <sheetData sheetId="1098">
        <row r="16">
          <cell r="C16">
            <v>0</v>
          </cell>
        </row>
      </sheetData>
      <sheetData sheetId="1099">
        <row r="16">
          <cell r="C16">
            <v>0</v>
          </cell>
        </row>
      </sheetData>
      <sheetData sheetId="1100">
        <row r="16">
          <cell r="C16">
            <v>0</v>
          </cell>
        </row>
      </sheetData>
      <sheetData sheetId="1101">
        <row r="16">
          <cell r="C16">
            <v>0</v>
          </cell>
        </row>
      </sheetData>
      <sheetData sheetId="1102">
        <row r="16">
          <cell r="C16">
            <v>0</v>
          </cell>
        </row>
      </sheetData>
      <sheetData sheetId="1103">
        <row r="16">
          <cell r="C16">
            <v>0</v>
          </cell>
        </row>
      </sheetData>
      <sheetData sheetId="1104">
        <row r="16">
          <cell r="C16">
            <v>0</v>
          </cell>
        </row>
      </sheetData>
      <sheetData sheetId="1105">
        <row r="16">
          <cell r="C16">
            <v>0</v>
          </cell>
        </row>
      </sheetData>
      <sheetData sheetId="1106">
        <row r="16">
          <cell r="C16">
            <v>0</v>
          </cell>
        </row>
      </sheetData>
      <sheetData sheetId="1107">
        <row r="16">
          <cell r="C16">
            <v>0</v>
          </cell>
        </row>
      </sheetData>
      <sheetData sheetId="1108">
        <row r="16">
          <cell r="C16">
            <v>0</v>
          </cell>
        </row>
      </sheetData>
      <sheetData sheetId="1109">
        <row r="16">
          <cell r="C16">
            <v>0</v>
          </cell>
        </row>
      </sheetData>
      <sheetData sheetId="1110">
        <row r="16">
          <cell r="C16">
            <v>0</v>
          </cell>
        </row>
      </sheetData>
      <sheetData sheetId="1111">
        <row r="16">
          <cell r="C16">
            <v>0</v>
          </cell>
        </row>
      </sheetData>
      <sheetData sheetId="1112">
        <row r="16">
          <cell r="C16">
            <v>0</v>
          </cell>
        </row>
      </sheetData>
      <sheetData sheetId="1113">
        <row r="16">
          <cell r="C16">
            <v>0</v>
          </cell>
        </row>
      </sheetData>
      <sheetData sheetId="1114">
        <row r="16">
          <cell r="C16">
            <v>0</v>
          </cell>
        </row>
      </sheetData>
      <sheetData sheetId="1115">
        <row r="16">
          <cell r="C16">
            <v>0</v>
          </cell>
        </row>
      </sheetData>
      <sheetData sheetId="1116">
        <row r="16">
          <cell r="C16">
            <v>0</v>
          </cell>
        </row>
      </sheetData>
      <sheetData sheetId="1117">
        <row r="16">
          <cell r="C16">
            <v>0</v>
          </cell>
        </row>
      </sheetData>
      <sheetData sheetId="1118">
        <row r="16">
          <cell r="C16">
            <v>0</v>
          </cell>
        </row>
      </sheetData>
      <sheetData sheetId="1119">
        <row r="16">
          <cell r="C16">
            <v>0</v>
          </cell>
        </row>
      </sheetData>
      <sheetData sheetId="1120">
        <row r="16">
          <cell r="C16">
            <v>0</v>
          </cell>
        </row>
      </sheetData>
      <sheetData sheetId="1121">
        <row r="16">
          <cell r="C16">
            <v>0</v>
          </cell>
        </row>
      </sheetData>
      <sheetData sheetId="1122">
        <row r="16">
          <cell r="C16">
            <v>0</v>
          </cell>
        </row>
      </sheetData>
      <sheetData sheetId="1123">
        <row r="16">
          <cell r="C16">
            <v>0</v>
          </cell>
        </row>
      </sheetData>
      <sheetData sheetId="1124">
        <row r="16">
          <cell r="C16">
            <v>0</v>
          </cell>
        </row>
      </sheetData>
      <sheetData sheetId="1125">
        <row r="16">
          <cell r="C16">
            <v>0</v>
          </cell>
        </row>
      </sheetData>
      <sheetData sheetId="1126">
        <row r="16">
          <cell r="C16">
            <v>0</v>
          </cell>
        </row>
      </sheetData>
      <sheetData sheetId="1127">
        <row r="16">
          <cell r="C16">
            <v>0</v>
          </cell>
        </row>
      </sheetData>
      <sheetData sheetId="1128">
        <row r="16">
          <cell r="C16">
            <v>0</v>
          </cell>
        </row>
      </sheetData>
      <sheetData sheetId="1129">
        <row r="16">
          <cell r="C16">
            <v>0</v>
          </cell>
        </row>
      </sheetData>
      <sheetData sheetId="1130">
        <row r="16">
          <cell r="C16">
            <v>0</v>
          </cell>
        </row>
      </sheetData>
      <sheetData sheetId="1131">
        <row r="16">
          <cell r="C16">
            <v>0</v>
          </cell>
        </row>
      </sheetData>
      <sheetData sheetId="1132">
        <row r="16">
          <cell r="C16">
            <v>0</v>
          </cell>
        </row>
      </sheetData>
      <sheetData sheetId="1133">
        <row r="16">
          <cell r="C16">
            <v>0</v>
          </cell>
        </row>
      </sheetData>
      <sheetData sheetId="1134">
        <row r="16">
          <cell r="C16">
            <v>0</v>
          </cell>
        </row>
      </sheetData>
      <sheetData sheetId="1135">
        <row r="16">
          <cell r="C16">
            <v>0</v>
          </cell>
        </row>
      </sheetData>
      <sheetData sheetId="1136">
        <row r="16">
          <cell r="C16">
            <v>0</v>
          </cell>
        </row>
      </sheetData>
      <sheetData sheetId="1137">
        <row r="16">
          <cell r="C16">
            <v>0</v>
          </cell>
        </row>
      </sheetData>
      <sheetData sheetId="1138">
        <row r="16">
          <cell r="C16">
            <v>0</v>
          </cell>
        </row>
      </sheetData>
      <sheetData sheetId="1139">
        <row r="16">
          <cell r="C16">
            <v>0</v>
          </cell>
        </row>
      </sheetData>
      <sheetData sheetId="1140">
        <row r="16">
          <cell r="C16">
            <v>0</v>
          </cell>
        </row>
      </sheetData>
      <sheetData sheetId="1141">
        <row r="16">
          <cell r="C16">
            <v>0</v>
          </cell>
        </row>
      </sheetData>
      <sheetData sheetId="1142">
        <row r="16">
          <cell r="C16">
            <v>0</v>
          </cell>
        </row>
      </sheetData>
      <sheetData sheetId="1143">
        <row r="16">
          <cell r="C16">
            <v>0</v>
          </cell>
        </row>
      </sheetData>
      <sheetData sheetId="1144">
        <row r="16">
          <cell r="C16">
            <v>0</v>
          </cell>
        </row>
      </sheetData>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ow r="16">
          <cell r="C16">
            <v>0</v>
          </cell>
        </row>
      </sheetData>
      <sheetData sheetId="1168" refreshError="1"/>
      <sheetData sheetId="1169" refreshError="1"/>
      <sheetData sheetId="1170" refreshError="1"/>
      <sheetData sheetId="1171" refreshError="1"/>
      <sheetData sheetId="1172" refreshError="1"/>
      <sheetData sheetId="1173">
        <row r="16">
          <cell r="C16">
            <v>0</v>
          </cell>
        </row>
      </sheetData>
      <sheetData sheetId="1174">
        <row r="16">
          <cell r="C16">
            <v>0</v>
          </cell>
        </row>
      </sheetData>
      <sheetData sheetId="1175">
        <row r="16">
          <cell r="C16">
            <v>0</v>
          </cell>
        </row>
      </sheetData>
      <sheetData sheetId="1176">
        <row r="16">
          <cell r="C16">
            <v>0</v>
          </cell>
        </row>
      </sheetData>
      <sheetData sheetId="1177">
        <row r="16">
          <cell r="C16">
            <v>0</v>
          </cell>
        </row>
      </sheetData>
      <sheetData sheetId="1178">
        <row r="16">
          <cell r="C16">
            <v>0</v>
          </cell>
        </row>
      </sheetData>
      <sheetData sheetId="1179">
        <row r="16">
          <cell r="C16">
            <v>0</v>
          </cell>
        </row>
      </sheetData>
      <sheetData sheetId="1180">
        <row r="16">
          <cell r="C16">
            <v>0</v>
          </cell>
        </row>
      </sheetData>
      <sheetData sheetId="1181">
        <row r="16">
          <cell r="C16">
            <v>43922</v>
          </cell>
        </row>
      </sheetData>
      <sheetData sheetId="1182">
        <row r="16">
          <cell r="C16">
            <v>43922</v>
          </cell>
        </row>
      </sheetData>
      <sheetData sheetId="1183">
        <row r="16">
          <cell r="C16">
            <v>0</v>
          </cell>
        </row>
      </sheetData>
      <sheetData sheetId="1184">
        <row r="16">
          <cell r="C16">
            <v>0</v>
          </cell>
        </row>
      </sheetData>
      <sheetData sheetId="1185">
        <row r="16">
          <cell r="C16">
            <v>0</v>
          </cell>
        </row>
      </sheetData>
      <sheetData sheetId="1186">
        <row r="16">
          <cell r="C16">
            <v>0</v>
          </cell>
        </row>
      </sheetData>
      <sheetData sheetId="1187">
        <row r="16">
          <cell r="C16">
            <v>0</v>
          </cell>
        </row>
      </sheetData>
      <sheetData sheetId="1188">
        <row r="16">
          <cell r="C16">
            <v>0</v>
          </cell>
        </row>
      </sheetData>
      <sheetData sheetId="1189">
        <row r="16">
          <cell r="C16">
            <v>0</v>
          </cell>
        </row>
      </sheetData>
      <sheetData sheetId="1190">
        <row r="16">
          <cell r="C16">
            <v>0</v>
          </cell>
        </row>
      </sheetData>
      <sheetData sheetId="1191">
        <row r="16">
          <cell r="C16">
            <v>0</v>
          </cell>
        </row>
      </sheetData>
      <sheetData sheetId="1192">
        <row r="16">
          <cell r="C16">
            <v>0</v>
          </cell>
        </row>
      </sheetData>
      <sheetData sheetId="1193">
        <row r="16">
          <cell r="C16">
            <v>0</v>
          </cell>
        </row>
      </sheetData>
      <sheetData sheetId="1194">
        <row r="16">
          <cell r="C16">
            <v>0</v>
          </cell>
        </row>
      </sheetData>
      <sheetData sheetId="1195">
        <row r="16">
          <cell r="C16">
            <v>0</v>
          </cell>
        </row>
      </sheetData>
      <sheetData sheetId="1196">
        <row r="16">
          <cell r="C16">
            <v>0</v>
          </cell>
        </row>
      </sheetData>
      <sheetData sheetId="1197">
        <row r="16">
          <cell r="C16">
            <v>0</v>
          </cell>
        </row>
      </sheetData>
      <sheetData sheetId="1198">
        <row r="16">
          <cell r="C16">
            <v>0</v>
          </cell>
        </row>
      </sheetData>
      <sheetData sheetId="1199"/>
      <sheetData sheetId="1200"/>
      <sheetData sheetId="1201"/>
      <sheetData sheetId="1202"/>
      <sheetData sheetId="1203"/>
      <sheetData sheetId="1204"/>
      <sheetData sheetId="1205"/>
      <sheetData sheetId="1206">
        <row r="24">
          <cell r="D24" t="str">
            <v>PC210-10M0</v>
          </cell>
        </row>
      </sheetData>
      <sheetData sheetId="1207">
        <row r="24">
          <cell r="D24" t="str">
            <v>PC210-10M0</v>
          </cell>
        </row>
      </sheetData>
      <sheetData sheetId="1208"/>
      <sheetData sheetId="1209"/>
      <sheetData sheetId="1210"/>
      <sheetData sheetId="1211">
        <row r="16">
          <cell r="C16">
            <v>0</v>
          </cell>
        </row>
      </sheetData>
      <sheetData sheetId="1212"/>
      <sheetData sheetId="1213">
        <row r="24">
          <cell r="D24" t="str">
            <v>PC210-10M0</v>
          </cell>
        </row>
      </sheetData>
      <sheetData sheetId="1214">
        <row r="24">
          <cell r="D24" t="str">
            <v>PC210-10M0</v>
          </cell>
        </row>
      </sheetData>
      <sheetData sheetId="1215"/>
      <sheetData sheetId="1216"/>
      <sheetData sheetId="1217">
        <row r="16">
          <cell r="C16">
            <v>0</v>
          </cell>
        </row>
      </sheetData>
      <sheetData sheetId="1218"/>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ow r="16">
          <cell r="C16">
            <v>0</v>
          </cell>
        </row>
      </sheetData>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row r="16">
          <cell r="C16">
            <v>0</v>
          </cell>
        </row>
      </sheetData>
      <sheetData sheetId="1739">
        <row r="16">
          <cell r="C16">
            <v>0</v>
          </cell>
        </row>
      </sheetData>
      <sheetData sheetId="1740">
        <row r="16">
          <cell r="C16">
            <v>0</v>
          </cell>
        </row>
      </sheetData>
      <sheetData sheetId="1741"/>
      <sheetData sheetId="1742"/>
      <sheetData sheetId="1743"/>
      <sheetData sheetId="1744"/>
      <sheetData sheetId="1745"/>
      <sheetData sheetId="1746"/>
      <sheetData sheetId="1747"/>
      <sheetData sheetId="1748" refreshError="1"/>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row r="16">
          <cell r="C16">
            <v>0</v>
          </cell>
        </row>
      </sheetData>
      <sheetData sheetId="1768">
        <row r="16">
          <cell r="C16">
            <v>0</v>
          </cell>
        </row>
      </sheetData>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row r="16">
          <cell r="C16">
            <v>0</v>
          </cell>
        </row>
      </sheetData>
      <sheetData sheetId="1814">
        <row r="16">
          <cell r="C16">
            <v>0</v>
          </cell>
        </row>
      </sheetData>
      <sheetData sheetId="1815"/>
      <sheetData sheetId="1816">
        <row r="16">
          <cell r="C16">
            <v>0</v>
          </cell>
        </row>
      </sheetData>
      <sheetData sheetId="1817"/>
      <sheetData sheetId="1818"/>
      <sheetData sheetId="1819"/>
      <sheetData sheetId="1820">
        <row r="16">
          <cell r="C16">
            <v>0</v>
          </cell>
        </row>
      </sheetData>
      <sheetData sheetId="1821"/>
      <sheetData sheetId="1822"/>
      <sheetData sheetId="1823"/>
      <sheetData sheetId="1824"/>
      <sheetData sheetId="1825"/>
      <sheetData sheetId="1826"/>
      <sheetData sheetId="1827"/>
      <sheetData sheetId="1828"/>
      <sheetData sheetId="1829">
        <row r="24">
          <cell r="D24" t="str">
            <v>PC210-10M0</v>
          </cell>
        </row>
      </sheetData>
      <sheetData sheetId="1830">
        <row r="24">
          <cell r="D24" t="str">
            <v>PC210-10M0</v>
          </cell>
        </row>
      </sheetData>
      <sheetData sheetId="1831"/>
      <sheetData sheetId="1832"/>
      <sheetData sheetId="1833"/>
      <sheetData sheetId="1834"/>
      <sheetData sheetId="1835"/>
      <sheetData sheetId="1836">
        <row r="24">
          <cell r="D24" t="str">
            <v>PC210-10M0</v>
          </cell>
        </row>
      </sheetData>
      <sheetData sheetId="1837">
        <row r="24">
          <cell r="D24" t="str">
            <v>PC210-10M0</v>
          </cell>
        </row>
      </sheetData>
      <sheetData sheetId="1838"/>
      <sheetData sheetId="1839"/>
      <sheetData sheetId="1840"/>
      <sheetData sheetId="1841" refreshError="1"/>
      <sheetData sheetId="1842">
        <row r="16">
          <cell r="C16">
            <v>0</v>
          </cell>
        </row>
      </sheetData>
      <sheetData sheetId="1843">
        <row r="16">
          <cell r="C16">
            <v>0</v>
          </cell>
        </row>
      </sheetData>
      <sheetData sheetId="1844"/>
      <sheetData sheetId="1845">
        <row r="16">
          <cell r="C16">
            <v>0</v>
          </cell>
        </row>
      </sheetData>
      <sheetData sheetId="1846"/>
      <sheetData sheetId="1847">
        <row r="16">
          <cell r="C16">
            <v>43922</v>
          </cell>
        </row>
      </sheetData>
      <sheetData sheetId="1848"/>
      <sheetData sheetId="1849">
        <row r="16">
          <cell r="C16">
            <v>0</v>
          </cell>
        </row>
      </sheetData>
      <sheetData sheetId="1850"/>
      <sheetData sheetId="1851"/>
      <sheetData sheetId="1852"/>
      <sheetData sheetId="1853"/>
      <sheetData sheetId="1854"/>
      <sheetData sheetId="1855"/>
      <sheetData sheetId="1856"/>
      <sheetData sheetId="1857"/>
      <sheetData sheetId="1858">
        <row r="24">
          <cell r="D24" t="str">
            <v>PC210-10M0</v>
          </cell>
        </row>
      </sheetData>
      <sheetData sheetId="1859">
        <row r="24">
          <cell r="D24" t="str">
            <v>PC210-10M0</v>
          </cell>
        </row>
      </sheetData>
      <sheetData sheetId="1860"/>
      <sheetData sheetId="1861"/>
      <sheetData sheetId="1862"/>
      <sheetData sheetId="1863"/>
      <sheetData sheetId="1864"/>
      <sheetData sheetId="1865">
        <row r="24">
          <cell r="D24" t="str">
            <v>PC210-10M0</v>
          </cell>
        </row>
      </sheetData>
      <sheetData sheetId="1866">
        <row r="24">
          <cell r="D24" t="str">
            <v>PC210-10M0</v>
          </cell>
        </row>
      </sheetData>
      <sheetData sheetId="1867"/>
      <sheetData sheetId="1868"/>
      <sheetData sheetId="1869"/>
      <sheetData sheetId="1870"/>
      <sheetData sheetId="1871"/>
      <sheetData sheetId="1872"/>
      <sheetData sheetId="1873"/>
      <sheetData sheetId="1874"/>
      <sheetData sheetId="1875">
        <row r="16">
          <cell r="C16">
            <v>43922</v>
          </cell>
        </row>
      </sheetData>
      <sheetData sheetId="1876"/>
      <sheetData sheetId="1877"/>
      <sheetData sheetId="1878"/>
      <sheetData sheetId="1879"/>
      <sheetData sheetId="1880"/>
      <sheetData sheetId="1881"/>
      <sheetData sheetId="1882"/>
      <sheetData sheetId="1883"/>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ow r="16">
          <cell r="C16">
            <v>0</v>
          </cell>
        </row>
      </sheetData>
      <sheetData sheetId="1895">
        <row r="16">
          <cell r="C16">
            <v>0</v>
          </cell>
        </row>
      </sheetData>
      <sheetData sheetId="1896">
        <row r="16">
          <cell r="C16">
            <v>0</v>
          </cell>
        </row>
      </sheetData>
      <sheetData sheetId="1897">
        <row r="16">
          <cell r="C16">
            <v>0</v>
          </cell>
        </row>
      </sheetData>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
      <sheetName val="EXKM20055"/>
      <sheetName val="Data"/>
      <sheetName val="_x0007_怑"/>
      <sheetName val="Input"/>
      <sheetName val="Base Unit"/>
      <sheetName val="Plan"/>
      <sheetName val="REVIEW"/>
      <sheetName val="Summary &amp; Plan PQRT"/>
      <sheetName val="Capacity"/>
      <sheetName val="Sum &amp; Plan PQRT"/>
      <sheetName val="_x005f_x0007_怑"/>
      <sheetName val="ocean voyage"/>
      <sheetName val="Maret"/>
      <sheetName val="Hauler"/>
      <sheetName val="master"/>
      <sheetName val="M"/>
      <sheetName val="Code"/>
      <sheetName val="DPR"/>
      <sheetName val="OVERBURDEN"/>
      <sheetName val="SUBKON"/>
      <sheetName val="MAINTENANCE"/>
      <sheetName val="REPORT01"/>
      <sheetName val="DRILLBLAST"/>
      <sheetName val="ACT HAUL"/>
      <sheetName val="ACT OB"/>
      <sheetName val="ACT COAL"/>
      <sheetName val="COAL CRUSH PLAN"/>
      <sheetName val=" COAL MINE PLAN"/>
      <sheetName val="ACT DIRTY COAL"/>
      <sheetName val=" OB PLAN"/>
      <sheetName val="Ktd"/>
      <sheetName val="Rain &amp; Slippery Method"/>
      <sheetName val="怑"/>
      <sheetName val="Base_Unit2"/>
      <sheetName val="Summary_&amp;_Plan_PQRT2"/>
      <sheetName val="Sum_&amp;_Plan_PQRT2"/>
      <sheetName val="ocean_voyage2"/>
      <sheetName val="Base_Unit"/>
      <sheetName val="Summary_&amp;_Plan_PQRT"/>
      <sheetName val="Sum_&amp;_Plan_PQRT"/>
      <sheetName val="ocean_voyage"/>
      <sheetName val="Base_Unit1"/>
      <sheetName val="Summary_&amp;_Plan_PQRT1"/>
      <sheetName val="Sum_&amp;_Plan_PQRT1"/>
      <sheetName val="ocean_voyage1"/>
      <sheetName val="PRO_COAL"/>
      <sheetName val="EqpPerf"/>
      <sheetName val="Type Unit"/>
      <sheetName val="Reference"/>
      <sheetName val="ZMM039R"/>
      <sheetName val="TimePerf"/>
      <sheetName val="EquipPerf"/>
      <sheetName val="ZMC3012R-D"/>
      <sheetName val="ZMC3012R-H"/>
      <sheetName val="Pty"/>
      <sheetName val="Quality Juni - Desember 2010"/>
      <sheetName val="Expense Type Summary"/>
      <sheetName val="S-Types Monthly"/>
      <sheetName val="2090800"/>
      <sheetName val="2190800"/>
      <sheetName val="4050000"/>
      <sheetName val="4012000"/>
      <sheetName val="4020000"/>
      <sheetName val="4028000"/>
      <sheetName val="4052000"/>
      <sheetName val="4056000"/>
      <sheetName val="4057000"/>
      <sheetName val="4058000"/>
      <sheetName val="4059000"/>
      <sheetName val="4065000"/>
      <sheetName val="4090800"/>
      <sheetName val="4080321"/>
      <sheetName val="4080000"/>
      <sheetName val="4048000"/>
      <sheetName val="4080301"/>
      <sheetName val="4080303"/>
      <sheetName val="4080305"/>
      <sheetName val="4080311"/>
      <sheetName val="4080313"/>
      <sheetName val="4080314"/>
      <sheetName val="4080316"/>
      <sheetName val="4080323"/>
      <sheetName val="4080325"/>
      <sheetName val="4080331"/>
      <sheetName val="4080333"/>
      <sheetName val="4080334"/>
      <sheetName val="4080336"/>
      <sheetName val="4080341"/>
      <sheetName val="4080343"/>
      <sheetName val="4080345"/>
      <sheetName val="4080351"/>
      <sheetName val="4080353"/>
      <sheetName val="4080354"/>
      <sheetName val="4080356"/>
      <sheetName val="4080361"/>
      <sheetName val="4080363"/>
      <sheetName val="4080365"/>
      <sheetName val="4080371"/>
      <sheetName val="4080373"/>
      <sheetName val="4080374"/>
      <sheetName val="4080376"/>
      <sheetName val="4075000"/>
      <sheetName val="4080000A"/>
      <sheetName val="4080000B"/>
      <sheetName val="4080000C"/>
      <sheetName val="4080000D"/>
      <sheetName val="4080000E"/>
      <sheetName val="4080000F"/>
      <sheetName val="4080000G"/>
      <sheetName val="4080000H"/>
      <sheetName val="4080000I"/>
      <sheetName val="4080000J"/>
      <sheetName val="4080000K"/>
      <sheetName val="4080000L"/>
      <sheetName val="4090800A"/>
      <sheetName val="4090800B"/>
      <sheetName val="4090800C"/>
      <sheetName val="4090800D"/>
      <sheetName val="4090800E"/>
      <sheetName val="4090800F"/>
      <sheetName val="4090800G"/>
      <sheetName val="4090800H"/>
      <sheetName val="4090800I"/>
      <sheetName val="4090800J"/>
      <sheetName val="4090800K"/>
      <sheetName val="4090800L"/>
      <sheetName val="4090800M"/>
      <sheetName val="4090800N"/>
      <sheetName val="4090800O"/>
      <sheetName val="4090800P"/>
      <sheetName val="4090800Q"/>
      <sheetName val="4090800R"/>
      <sheetName val="4090800S"/>
      <sheetName val="shipment superintending"/>
      <sheetName val="ANALISA"/>
      <sheetName val="Busang1"/>
      <sheetName val="Busang2"/>
      <sheetName val="Busang3"/>
      <sheetName val="Jonggon1"/>
      <sheetName val="Jonggon2"/>
      <sheetName val="Jonggon3"/>
      <sheetName val="Remarks"/>
      <sheetName val="Coal"/>
      <sheetName val="Block"/>
      <sheetName val="CondDaily"/>
      <sheetName val="Input2"/>
      <sheetName val="DaiRep"/>
      <sheetName val="Safety"/>
      <sheetName val="CondMonthly"/>
      <sheetName val="Weather"/>
      <sheetName val="Central Database"/>
      <sheetName val="22861"/>
      <sheetName val="STD RATES"/>
      <sheetName val="Plant"/>
      <sheetName val="Base_Unit3"/>
      <sheetName val="Summary_&amp;_Plan_PQRT3"/>
      <sheetName val="Sum_&amp;_Plan_PQRT3"/>
      <sheetName val="ocean_voyage3"/>
      <sheetName val="_x005f_x005f_x005f_x005f_x005f_x005f_x005f_x0007_怑"/>
      <sheetName val="_x005f_x005f_x005f_x005f_x005f_x005f_x005f_x005f_x005f_x005f_"/>
      <sheetName val="_x005f_x005f_x005f_x0007_怑"/>
      <sheetName val="Specs"/>
      <sheetName val="MATERIALFINAL"/>
      <sheetName val="4334-Summary"/>
      <sheetName val="Resume"/>
      <sheetName val="Kintap"/>
      <sheetName val="POP"/>
      <sheetName val="EE"/>
      <sheetName val="1999"/>
      <sheetName val="Bantuan"/>
      <sheetName val="SEPTEMBER"/>
      <sheetName val="Agustus"/>
      <sheetName val="OKTOBER"/>
      <sheetName val="work order"/>
      <sheetName val="MINING"/>
      <sheetName val=" SAF 02"/>
      <sheetName val="prod_ty"/>
      <sheetName val="Petrosea"/>
      <sheetName val="Data hauler"/>
      <sheetName val="COSTSALES"/>
      <sheetName val="List"/>
      <sheetName val="PNT"/>
      <sheetName val="ESCON"/>
      <sheetName val="Productivity"/>
      <sheetName val="Trading Statement"/>
      <sheetName val="Validasi Menu"/>
      <sheetName val="Statistik"/>
      <sheetName val="RF"/>
      <sheetName val="EQL"/>
      <sheetName val="MDB"/>
      <sheetName val="PAR"/>
      <sheetName val="Database"/>
      <sheetName val="summary unit"/>
      <sheetName val="Database Unit"/>
      <sheetName val="DATA TK 2020"/>
      <sheetName val="NIK"/>
      <sheetName val="Resume Vol. Boundary "/>
      <sheetName val="Resume Vol. Boundary (AI)"/>
      <sheetName val="ACT_HAUL"/>
      <sheetName val="ACT_OB"/>
      <sheetName val="ACT_COAL"/>
      <sheetName val="COAL_CRUSH_PLAN"/>
      <sheetName val="_COAL_MINE_PLAN"/>
      <sheetName val="ACT_DIRTY_COAL"/>
      <sheetName val="_OB_PLAN"/>
      <sheetName val="Rain_&amp;_Slippery_Method"/>
      <sheetName val="Base_Unit4"/>
      <sheetName val="Summary_&amp;_Plan_PQRT4"/>
      <sheetName val="Sum_&amp;_Plan_PQRT4"/>
      <sheetName val="ocean_voyage4"/>
      <sheetName val="ACT_HAUL1"/>
      <sheetName val="ACT_OB1"/>
      <sheetName val="ACT_COAL1"/>
      <sheetName val="COAL_CRUSH_PLAN1"/>
      <sheetName val="_COAL_MINE_PLAN1"/>
      <sheetName val="ACT_DIRTY_COAL1"/>
      <sheetName val="_OB_PLAN1"/>
      <sheetName val="Rain_&amp;_Slippery_Method1"/>
      <sheetName val="shipping_program"/>
      <sheetName val="OLDMAP"/>
      <sheetName val="_SAF 02"/>
      <sheetName val="Premi Iuran"/>
      <sheetName val="Galian"/>
      <sheetName val="Yellow Card"/>
      <sheetName val="IUT"/>
      <sheetName val="OTT "/>
      <sheetName val="Sheet1 "/>
      <sheetName val="Detail UA 2021"/>
      <sheetName val="BASE"/>
      <sheetName val="A"/>
      <sheetName val="Unit List"/>
      <sheetName val="Base_Unit5"/>
      <sheetName val="Summary_&amp;_Plan_PQRT5"/>
      <sheetName val="Sum_&amp;_Plan_PQRT5"/>
      <sheetName val="ocean_voyage5"/>
      <sheetName val="ACT_HAUL2"/>
      <sheetName val="ACT_OB2"/>
      <sheetName val="ACT_COAL2"/>
      <sheetName val="COAL_CRUSH_PLAN2"/>
      <sheetName val="_COAL_MINE_PLAN2"/>
      <sheetName val="ACT_DIRTY_COAL2"/>
      <sheetName val="_OB_PLAN2"/>
      <sheetName val="Rain_&amp;_Slippery_Method2"/>
      <sheetName val="Konversi Jarak"/>
      <sheetName val="GBY"/>
      <sheetName val="Quality_Juni_-_Desember_2010"/>
      <sheetName val="shipment_superintending"/>
      <sheetName val="STD_RATES"/>
      <sheetName val="Expense_Type_Summary"/>
      <sheetName val="S-Types_Monthly"/>
      <sheetName val="Quality_Juni_-_Desember_20101"/>
      <sheetName val="shipment_superintending1"/>
      <sheetName val="STD_RATES1"/>
      <sheetName val="Expense_Type_Summary1"/>
      <sheetName val="S-Types_Monthly1"/>
      <sheetName val="PT. SRIWIJAYA LINTAS RAYA"/>
      <sheetName val="ALL HAULING_Maret"/>
      <sheetName val="ALL HAULING_April"/>
      <sheetName val="ALL HAULING_Mei"/>
      <sheetName val="ALL HAULING_Juni"/>
      <sheetName val="ALL HAULING_Juli "/>
      <sheetName val="ALL HAULING_Agustus "/>
      <sheetName val="DATA ERROR DATA VOID_AGUSTUS "/>
      <sheetName val="DATA ERROR DATA VOID_JULI "/>
      <sheetName val="DATA ERROR DATA VOID_JUNI"/>
      <sheetName val="DATA ERROR DATA VOID_MEI"/>
      <sheetName val="DATA ERROR DATA VOID_APRIL"/>
      <sheetName val="DATA ERROR DATA VOID_maret "/>
      <sheetName val="Kuota Epi &amp; 107"/>
      <sheetName val="ALL HAULING_September"/>
      <sheetName val="DATA ERROR DATA VOID_SEPTEMBER"/>
      <sheetName val="#REF"/>
      <sheetName val="폐토수익화 "/>
      <sheetName val="종합일지"/>
      <sheetName val="인건비(골)"/>
      <sheetName val="인건비(PX외)"/>
      <sheetName val="VARIANCE"/>
      <sheetName val="매출-1"/>
      <sheetName val="유형자산"/>
      <sheetName val="STRAIGHT"/>
      <sheetName val="Roster"/>
      <sheetName val="Loader"/>
      <sheetName val="Gabungan"/>
      <sheetName val="NIK Loader"/>
      <sheetName val="Distance"/>
      <sheetName val="Total Ritasi"/>
      <sheetName val="Ritasi OB"/>
      <sheetName val="Status"/>
      <sheetName val="PTY Loader"/>
      <sheetName val="PTY Coal"/>
      <sheetName val="DAILY REPORT"/>
      <sheetName val="Fuel"/>
      <sheetName val="Morning Meeting"/>
      <sheetName val="Equper"/>
      <sheetName val="WA Hourly"/>
      <sheetName val="Dashboard"/>
      <sheetName val="LOADDAT"/>
      <sheetName val="Perm. Test"/>
      <sheetName val="Galian 1"/>
      <sheetName val="Note"/>
      <sheetName val="Summary"/>
      <sheetName val="Detail-PARENT"/>
      <sheetName val="A.4.3"/>
      <sheetName val="OLIE"/>
      <sheetName val="Master "/>
      <sheetName val="KPI"/>
      <sheetName val="KAMPAR"/>
      <sheetName val="REF"/>
      <sheetName val="01-02 March Weekly"/>
      <sheetName val="Daily Unit Report"/>
      <sheetName val="Accident"/>
      <sheetName val="_x005f_x005f_"/>
      <sheetName val="Sum"/>
      <sheetName val="_x005f_x005f_x005f_x005f_"/>
      <sheetName val="Validasi"/>
      <sheetName val="PT__SRIWIJAYA_LINTAS_RAYA"/>
      <sheetName val="ALL_HAULING_Maret"/>
      <sheetName val="ALL_HAULING_April"/>
      <sheetName val="ALL_HAULING_Mei"/>
      <sheetName val="ALL_HAULING_Juni"/>
      <sheetName val="ALL_HAULING_Juli_"/>
      <sheetName val="ALL_HAULING_Agustus_"/>
      <sheetName val="DATA_ERROR_DATA_VOID_AGUSTUS_"/>
      <sheetName val="DATA_ERROR_DATA_VOID_JULI_"/>
      <sheetName val="DATA_ERROR_DATA_VOID_JUNI"/>
      <sheetName val="DATA_ERROR_DATA_VOID_MEI"/>
      <sheetName val="DATA_ERROR_DATA_VOID_APRIL"/>
      <sheetName val="DATA_ERROR_DATA_VOID_maret_"/>
      <sheetName val="Kuota_Epi_&amp;_107"/>
      <sheetName val="ALL_HAULING_September"/>
      <sheetName val="DATA_ERROR_DATA_VOID_SEPTEMBER"/>
      <sheetName val="폐토수익화_"/>
      <sheetName val="work_order"/>
      <sheetName val="_SAF_02"/>
      <sheetName val="Data_hauler"/>
      <sheetName val="Type_Unit"/>
      <sheetName val="Type_Unit1"/>
      <sheetName val="Data 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ow r="10">
          <cell r="C10" t="str">
            <v>BDKM15071</v>
          </cell>
        </row>
      </sheetData>
      <sheetData sheetId="52">
        <row r="10">
          <cell r="C10" t="str">
            <v>BDKM15071</v>
          </cell>
        </row>
      </sheetData>
      <sheetData sheetId="53">
        <row r="10">
          <cell r="C10" t="str">
            <v>BDKM15071</v>
          </cell>
        </row>
      </sheetData>
      <sheetData sheetId="54">
        <row r="10">
          <cell r="C10" t="str">
            <v>BDKM15071</v>
          </cell>
        </row>
      </sheetData>
      <sheetData sheetId="55">
        <row r="10">
          <cell r="C10" t="str">
            <v>BDKM15071</v>
          </cell>
        </row>
      </sheetData>
      <sheetData sheetId="56">
        <row r="10">
          <cell r="C10" t="str">
            <v>BDKM15071</v>
          </cell>
        </row>
      </sheetData>
      <sheetData sheetId="57">
        <row r="10">
          <cell r="C10" t="str">
            <v>BDKM15071</v>
          </cell>
        </row>
      </sheetData>
      <sheetData sheetId="58">
        <row r="10">
          <cell r="C10" t="str">
            <v>BDKM15071</v>
          </cell>
        </row>
      </sheetData>
      <sheetData sheetId="59">
        <row r="10">
          <cell r="C10" t="str">
            <v>BDKM15071</v>
          </cell>
        </row>
      </sheetData>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sheetData sheetId="204"/>
      <sheetData sheetId="205"/>
      <sheetData sheetId="206">
        <row r="10">
          <cell r="C10">
            <v>0</v>
          </cell>
        </row>
      </sheetData>
      <sheetData sheetId="207"/>
      <sheetData sheetId="208"/>
      <sheetData sheetId="209">
        <row r="10">
          <cell r="C10">
            <v>0</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ow r="10">
          <cell r="C10">
            <v>0</v>
          </cell>
        </row>
      </sheetData>
      <sheetData sheetId="251">
        <row r="10">
          <cell r="C10">
            <v>0</v>
          </cell>
        </row>
      </sheetData>
      <sheetData sheetId="252">
        <row r="10">
          <cell r="C10">
            <v>0</v>
          </cell>
        </row>
      </sheetData>
      <sheetData sheetId="253">
        <row r="10">
          <cell r="C10">
            <v>0</v>
          </cell>
        </row>
      </sheetData>
      <sheetData sheetId="254">
        <row r="10">
          <cell r="C10">
            <v>0</v>
          </cell>
        </row>
      </sheetData>
      <sheetData sheetId="255">
        <row r="10">
          <cell r="C10">
            <v>0</v>
          </cell>
        </row>
      </sheetData>
      <sheetData sheetId="256">
        <row r="10">
          <cell r="C10">
            <v>0</v>
          </cell>
        </row>
      </sheetData>
      <sheetData sheetId="257">
        <row r="10">
          <cell r="C10">
            <v>0</v>
          </cell>
        </row>
      </sheetData>
      <sheetData sheetId="258">
        <row r="10">
          <cell r="C10">
            <v>0</v>
          </cell>
        </row>
      </sheetData>
      <sheetData sheetId="259">
        <row r="10">
          <cell r="C10">
            <v>0</v>
          </cell>
        </row>
      </sheetData>
      <sheetData sheetId="260">
        <row r="10">
          <cell r="C10">
            <v>0</v>
          </cell>
        </row>
      </sheetData>
      <sheetData sheetId="261">
        <row r="10">
          <cell r="C10">
            <v>0</v>
          </cell>
        </row>
      </sheetData>
      <sheetData sheetId="262">
        <row r="10">
          <cell r="C10">
            <v>0</v>
          </cell>
        </row>
      </sheetData>
      <sheetData sheetId="263">
        <row r="10">
          <cell r="C10">
            <v>0</v>
          </cell>
        </row>
      </sheetData>
      <sheetData sheetId="264">
        <row r="10">
          <cell r="C10">
            <v>0</v>
          </cell>
        </row>
      </sheetData>
      <sheetData sheetId="265">
        <row r="10">
          <cell r="C10">
            <v>0</v>
          </cell>
        </row>
      </sheetData>
      <sheetData sheetId="266">
        <row r="10">
          <cell r="C10">
            <v>0</v>
          </cell>
        </row>
      </sheetData>
      <sheetData sheetId="267">
        <row r="10">
          <cell r="C10">
            <v>0</v>
          </cell>
        </row>
      </sheetData>
      <sheetData sheetId="268">
        <row r="10">
          <cell r="C10">
            <v>0</v>
          </cell>
        </row>
      </sheetData>
      <sheetData sheetId="269">
        <row r="10">
          <cell r="C10">
            <v>0</v>
          </cell>
        </row>
      </sheetData>
      <sheetData sheetId="270">
        <row r="10">
          <cell r="C10">
            <v>0</v>
          </cell>
        </row>
      </sheetData>
      <sheetData sheetId="271">
        <row r="10">
          <cell r="C10">
            <v>0</v>
          </cell>
        </row>
      </sheetData>
      <sheetData sheetId="272">
        <row r="10">
          <cell r="C10">
            <v>0</v>
          </cell>
        </row>
      </sheetData>
      <sheetData sheetId="273">
        <row r="10">
          <cell r="C10">
            <v>0</v>
          </cell>
        </row>
      </sheetData>
      <sheetData sheetId="274">
        <row r="10">
          <cell r="C10">
            <v>0</v>
          </cell>
        </row>
      </sheetData>
      <sheetData sheetId="275">
        <row r="10">
          <cell r="C10">
            <v>0</v>
          </cell>
        </row>
      </sheetData>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ow r="10">
          <cell r="C10">
            <v>0</v>
          </cell>
        </row>
      </sheetData>
      <sheetData sheetId="286">
        <row r="10">
          <cell r="C10">
            <v>0</v>
          </cell>
        </row>
      </sheetData>
      <sheetData sheetId="287">
        <row r="10">
          <cell r="C10">
            <v>0</v>
          </cell>
        </row>
      </sheetData>
      <sheetData sheetId="288">
        <row r="10">
          <cell r="C10">
            <v>0</v>
          </cell>
        </row>
      </sheetData>
      <sheetData sheetId="289">
        <row r="10">
          <cell r="C10">
            <v>0</v>
          </cell>
        </row>
      </sheetData>
      <sheetData sheetId="290">
        <row r="10">
          <cell r="C10">
            <v>0</v>
          </cell>
        </row>
      </sheetData>
      <sheetData sheetId="291">
        <row r="10">
          <cell r="C10">
            <v>0</v>
          </cell>
        </row>
      </sheetData>
      <sheetData sheetId="292">
        <row r="10">
          <cell r="C10">
            <v>0</v>
          </cell>
        </row>
      </sheetData>
      <sheetData sheetId="293">
        <row r="10">
          <cell r="C10">
            <v>0</v>
          </cell>
        </row>
      </sheetData>
      <sheetData sheetId="294">
        <row r="10">
          <cell r="C10">
            <v>0</v>
          </cell>
        </row>
      </sheetData>
      <sheetData sheetId="295">
        <row r="10">
          <cell r="C10">
            <v>0</v>
          </cell>
        </row>
      </sheetData>
      <sheetData sheetId="296">
        <row r="10">
          <cell r="C10">
            <v>0</v>
          </cell>
        </row>
      </sheetData>
      <sheetData sheetId="297">
        <row r="10">
          <cell r="C10">
            <v>0</v>
          </cell>
        </row>
      </sheetData>
      <sheetData sheetId="298">
        <row r="10">
          <cell r="C10">
            <v>0</v>
          </cell>
        </row>
      </sheetData>
      <sheetData sheetId="299">
        <row r="10">
          <cell r="C10">
            <v>0</v>
          </cell>
        </row>
      </sheetData>
      <sheetData sheetId="300">
        <row r="10">
          <cell r="C10">
            <v>0</v>
          </cell>
        </row>
      </sheetData>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Report"/>
      <sheetName val="Print out Safety"/>
      <sheetName val="Mine"/>
      <sheetName val="CPP"/>
      <sheetName val="Plan &amp; F_cast"/>
      <sheetName val="OB Rem."/>
      <sheetName val="Coal_BC"/>
      <sheetName val="Coal_RMN"/>
      <sheetName val="Coal_BMMU"/>
      <sheetName val="Coal_Dls"/>
      <sheetName val="Coal_RMP"/>
      <sheetName val="Summary"/>
      <sheetName val="Stockpile Inv."/>
      <sheetName val="Loss time"/>
      <sheetName val="Weekly_ LT"/>
      <sheetName val="Safety"/>
      <sheetName val="Pit_Int."/>
      <sheetName val="data barging"/>
      <sheetName val="Range"/>
      <sheetName val="Sheet1"/>
      <sheetName val="Maret"/>
      <sheetName val="Data"/>
      <sheetName val="FORM"/>
      <sheetName val="DB"/>
      <sheetName val="ADR"/>
      <sheetName val="OVERBURDEN"/>
      <sheetName val="SUBKON"/>
      <sheetName val="MAINTENANCE"/>
      <sheetName val="ST"/>
      <sheetName val="MAS"/>
      <sheetName val="Fuel Base"/>
      <sheetName val="Prod"/>
      <sheetName val="RT"/>
      <sheetName val="databank"/>
      <sheetName val="Site_BQ"/>
      <sheetName val="Assumptions"/>
      <sheetName val="Resume"/>
      <sheetName val="koef"/>
      <sheetName val="Dashboard"/>
      <sheetName val="bener1"/>
      <sheetName val="Rincian Iuran"/>
      <sheetName val="1a"/>
      <sheetName val="1c"/>
      <sheetName val="Upah"/>
      <sheetName val="Sheet2"/>
      <sheetName val="Lab Analysis"/>
      <sheetName val="MASTER"/>
      <sheetName val="XL4Test5"/>
      <sheetName val="Settings"/>
      <sheetName val="Lamp-14(Manajemen)"/>
      <sheetName val="PL (MONTHLY)"/>
      <sheetName val="Lists"/>
      <sheetName val="dbase_BOD"/>
      <sheetName val="Control_Vendor"/>
      <sheetName val="analis"/>
      <sheetName val="Indices"/>
      <sheetName val="19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CI"/>
      <sheetName val="Sheet1"/>
      <sheetName val="Data"/>
      <sheetName val="Daily Report"/>
    </sheetNames>
    <sheetDataSet>
      <sheetData sheetId="0" refreshError="1"/>
      <sheetData sheetId="1" refreshError="1"/>
      <sheetData sheetId="2" refreshError="1">
        <row r="4">
          <cell r="AF4">
            <v>589.64</v>
          </cell>
        </row>
        <row r="5">
          <cell r="AF5">
            <v>599.94000000000005</v>
          </cell>
        </row>
        <row r="6">
          <cell r="AF6">
            <v>612.88</v>
          </cell>
        </row>
        <row r="7">
          <cell r="AF7">
            <v>609.32000000000005</v>
          </cell>
        </row>
        <row r="8">
          <cell r="AF8">
            <v>607.69000000000005</v>
          </cell>
        </row>
        <row r="9">
          <cell r="AF9">
            <v>607.69000000000005</v>
          </cell>
        </row>
        <row r="10">
          <cell r="AF10">
            <v>598.053</v>
          </cell>
        </row>
        <row r="11">
          <cell r="AF11">
            <v>585.22</v>
          </cell>
        </row>
        <row r="12">
          <cell r="AF12">
            <v>572.02</v>
          </cell>
        </row>
        <row r="13">
          <cell r="AF13">
            <v>577.69000000000005</v>
          </cell>
        </row>
        <row r="14">
          <cell r="AF14">
            <v>587.15</v>
          </cell>
        </row>
        <row r="15">
          <cell r="AF15">
            <v>592.01</v>
          </cell>
        </row>
        <row r="16">
          <cell r="AF16">
            <v>595.99</v>
          </cell>
        </row>
        <row r="17">
          <cell r="AF17">
            <v>592.94000000000005</v>
          </cell>
        </row>
        <row r="18">
          <cell r="AF18">
            <v>590.26</v>
          </cell>
        </row>
        <row r="19">
          <cell r="AF19">
            <v>588.04999999999995</v>
          </cell>
        </row>
        <row r="20">
          <cell r="AF20">
            <v>586.55999999999995</v>
          </cell>
        </row>
        <row r="21">
          <cell r="AF21">
            <v>584.77</v>
          </cell>
        </row>
        <row r="22">
          <cell r="AF22">
            <v>590.46</v>
          </cell>
        </row>
        <row r="23">
          <cell r="AF23">
            <v>592.65</v>
          </cell>
        </row>
        <row r="24">
          <cell r="AF24">
            <v>592.01</v>
          </cell>
        </row>
        <row r="25">
          <cell r="AF25">
            <v>591.59</v>
          </cell>
        </row>
        <row r="26">
          <cell r="AF26">
            <v>592.17999999999995</v>
          </cell>
        </row>
        <row r="27">
          <cell r="AF27">
            <v>594.36</v>
          </cell>
        </row>
        <row r="28">
          <cell r="AF28">
            <v>601.83399999999995</v>
          </cell>
        </row>
        <row r="29">
          <cell r="AF29">
            <v>594.11</v>
          </cell>
        </row>
        <row r="30">
          <cell r="AF30">
            <v>587.96</v>
          </cell>
        </row>
        <row r="31">
          <cell r="AF31">
            <v>580.65</v>
          </cell>
        </row>
        <row r="32">
          <cell r="AF32">
            <v>583.47</v>
          </cell>
        </row>
        <row r="33">
          <cell r="AF33">
            <v>586.61699999999996</v>
          </cell>
        </row>
        <row r="34">
          <cell r="AF34">
            <v>586.61</v>
          </cell>
        </row>
        <row r="35">
          <cell r="AF35">
            <v>582.71</v>
          </cell>
        </row>
        <row r="36">
          <cell r="AF36">
            <v>574.82000000000005</v>
          </cell>
        </row>
        <row r="37">
          <cell r="AF37">
            <v>564.69000000000005</v>
          </cell>
        </row>
        <row r="38">
          <cell r="AF38">
            <v>554.77700000000004</v>
          </cell>
        </row>
        <row r="39">
          <cell r="AF39">
            <v>543.75</v>
          </cell>
        </row>
        <row r="40">
          <cell r="AF40">
            <v>552.85</v>
          </cell>
        </row>
        <row r="41">
          <cell r="AF41">
            <v>552.85</v>
          </cell>
        </row>
        <row r="42">
          <cell r="AF42">
            <v>552.51</v>
          </cell>
        </row>
        <row r="43">
          <cell r="AF43">
            <v>547.51300000000003</v>
          </cell>
        </row>
        <row r="44">
          <cell r="AF44">
            <v>546.22</v>
          </cell>
        </row>
        <row r="45">
          <cell r="AF45">
            <v>546.41</v>
          </cell>
        </row>
        <row r="46">
          <cell r="AF46">
            <v>540.47</v>
          </cell>
        </row>
        <row r="47">
          <cell r="AF47">
            <v>530.36</v>
          </cell>
        </row>
        <row r="48">
          <cell r="AF48">
            <v>521.37699999999995</v>
          </cell>
        </row>
        <row r="49">
          <cell r="AF49">
            <v>522.36</v>
          </cell>
        </row>
        <row r="50">
          <cell r="AF50">
            <v>521.16999999999996</v>
          </cell>
        </row>
        <row r="51">
          <cell r="AF51">
            <v>514.57000000000005</v>
          </cell>
        </row>
        <row r="52">
          <cell r="AF52">
            <v>514.30100000000004</v>
          </cell>
        </row>
        <row r="53">
          <cell r="AF53">
            <v>514.30100000000004</v>
          </cell>
        </row>
        <row r="54">
          <cell r="AF54">
            <v>514.30100000000004</v>
          </cell>
        </row>
        <row r="55">
          <cell r="AF55">
            <v>514.30100000000004</v>
          </cell>
        </row>
        <row r="56">
          <cell r="AF56">
            <v>514.30100000000004</v>
          </cell>
        </row>
        <row r="57">
          <cell r="AF57">
            <v>508.88</v>
          </cell>
        </row>
        <row r="58">
          <cell r="AF58">
            <v>508.76</v>
          </cell>
        </row>
        <row r="59">
          <cell r="AF59">
            <v>501.2</v>
          </cell>
        </row>
        <row r="60">
          <cell r="AF60">
            <v>485.47</v>
          </cell>
        </row>
        <row r="61">
          <cell r="AF61">
            <v>486.9</v>
          </cell>
        </row>
        <row r="62">
          <cell r="AF62">
            <v>494.18</v>
          </cell>
        </row>
        <row r="63">
          <cell r="AF63">
            <v>490.83600000000001</v>
          </cell>
        </row>
        <row r="64">
          <cell r="AF64">
            <v>491.05</v>
          </cell>
        </row>
        <row r="65">
          <cell r="AF65">
            <v>487.21</v>
          </cell>
        </row>
        <row r="66">
          <cell r="AF66">
            <v>492.37</v>
          </cell>
        </row>
        <row r="67">
          <cell r="AF67">
            <v>492.37</v>
          </cell>
        </row>
        <row r="68">
          <cell r="AF68">
            <v>492.37</v>
          </cell>
        </row>
        <row r="69">
          <cell r="AF69">
            <v>485.9</v>
          </cell>
        </row>
        <row r="70">
          <cell r="AF70">
            <v>480.95</v>
          </cell>
        </row>
        <row r="71">
          <cell r="AF71">
            <v>473.96</v>
          </cell>
        </row>
        <row r="72">
          <cell r="AF72">
            <v>467.97</v>
          </cell>
        </row>
        <row r="73">
          <cell r="AF73">
            <v>463.43200000000002</v>
          </cell>
        </row>
        <row r="74">
          <cell r="AF74">
            <v>456.91</v>
          </cell>
        </row>
        <row r="75">
          <cell r="AF75">
            <v>456.91</v>
          </cell>
        </row>
        <row r="76">
          <cell r="AF76">
            <v>462.36</v>
          </cell>
        </row>
        <row r="77">
          <cell r="AF77">
            <v>467.28</v>
          </cell>
        </row>
        <row r="78">
          <cell r="AF78">
            <v>472.65300000000002</v>
          </cell>
        </row>
        <row r="79">
          <cell r="AF79">
            <v>475.77</v>
          </cell>
        </row>
        <row r="80">
          <cell r="AF80">
            <v>465.75</v>
          </cell>
        </row>
        <row r="81">
          <cell r="AF81">
            <v>458.67</v>
          </cell>
        </row>
        <row r="82">
          <cell r="AF82">
            <v>456.56</v>
          </cell>
        </row>
        <row r="83">
          <cell r="AF83">
            <v>454.84899999999999</v>
          </cell>
        </row>
        <row r="84">
          <cell r="AF84">
            <v>454.4</v>
          </cell>
        </row>
        <row r="85">
          <cell r="AF85">
            <v>454.32</v>
          </cell>
        </row>
        <row r="86">
          <cell r="AF86">
            <v>461.72</v>
          </cell>
        </row>
        <row r="87">
          <cell r="AF87">
            <v>465.28</v>
          </cell>
        </row>
        <row r="88">
          <cell r="AF88">
            <v>462.4</v>
          </cell>
        </row>
        <row r="89">
          <cell r="AF89">
            <v>461.8</v>
          </cell>
        </row>
        <row r="90">
          <cell r="AF90">
            <v>460.33</v>
          </cell>
        </row>
        <row r="91">
          <cell r="AF91">
            <v>462.64</v>
          </cell>
        </row>
        <row r="92">
          <cell r="AF92">
            <v>462.55</v>
          </cell>
        </row>
        <row r="93">
          <cell r="AF93">
            <v>463.12</v>
          </cell>
        </row>
        <row r="94">
          <cell r="AF94">
            <v>464.28</v>
          </cell>
        </row>
        <row r="95">
          <cell r="AF95">
            <v>463.04</v>
          </cell>
        </row>
        <row r="96">
          <cell r="AF96">
            <v>465.52</v>
          </cell>
        </row>
        <row r="97">
          <cell r="AF97">
            <v>465.52</v>
          </cell>
        </row>
        <row r="98">
          <cell r="AF98">
            <v>467.39800000000002</v>
          </cell>
        </row>
        <row r="99">
          <cell r="AF99">
            <v>467.86</v>
          </cell>
        </row>
        <row r="100">
          <cell r="AF100">
            <v>471.77</v>
          </cell>
        </row>
        <row r="101">
          <cell r="AF101">
            <v>477.21</v>
          </cell>
        </row>
        <row r="102">
          <cell r="AF102">
            <v>482.74</v>
          </cell>
        </row>
        <row r="103">
          <cell r="AF103">
            <v>487.99</v>
          </cell>
        </row>
        <row r="104">
          <cell r="AF104">
            <v>498.36</v>
          </cell>
        </row>
        <row r="105">
          <cell r="AF105">
            <v>501.99</v>
          </cell>
        </row>
        <row r="106">
          <cell r="AF106">
            <v>501.99</v>
          </cell>
        </row>
        <row r="107">
          <cell r="AF107">
            <v>502.59</v>
          </cell>
        </row>
        <row r="108">
          <cell r="AF108">
            <v>504.971</v>
          </cell>
        </row>
        <row r="109">
          <cell r="AF109">
            <v>504.49</v>
          </cell>
        </row>
        <row r="110">
          <cell r="AF110">
            <v>501.79</v>
          </cell>
        </row>
        <row r="111">
          <cell r="AF111">
            <v>494.33</v>
          </cell>
        </row>
        <row r="112">
          <cell r="AF112">
            <v>487.11</v>
          </cell>
        </row>
        <row r="113">
          <cell r="AF113">
            <v>486.72899999999998</v>
          </cell>
        </row>
        <row r="114">
          <cell r="AF114">
            <v>486.52499999999998</v>
          </cell>
        </row>
        <row r="115">
          <cell r="AF115">
            <v>486.11099999999999</v>
          </cell>
        </row>
        <row r="116">
          <cell r="AF116">
            <v>484.9</v>
          </cell>
        </row>
        <row r="117">
          <cell r="AF117">
            <v>485.76</v>
          </cell>
        </row>
        <row r="118">
          <cell r="AF118">
            <v>483.048</v>
          </cell>
        </row>
        <row r="119">
          <cell r="AF119">
            <v>483.02</v>
          </cell>
        </row>
        <row r="120">
          <cell r="AF120">
            <v>482.35</v>
          </cell>
        </row>
        <row r="121">
          <cell r="AF121">
            <v>482.09</v>
          </cell>
        </row>
        <row r="122">
          <cell r="AF122">
            <v>477.13299999999998</v>
          </cell>
        </row>
        <row r="123">
          <cell r="AF123">
            <v>476.54599999999999</v>
          </cell>
        </row>
        <row r="124">
          <cell r="AF124">
            <v>475.726</v>
          </cell>
        </row>
        <row r="125">
          <cell r="AF125">
            <v>475.23</v>
          </cell>
        </row>
        <row r="126">
          <cell r="AF126">
            <v>473.12700000000001</v>
          </cell>
        </row>
        <row r="127">
          <cell r="AF127">
            <v>470.95699999999999</v>
          </cell>
        </row>
        <row r="128">
          <cell r="AF128">
            <v>468.87200000000001</v>
          </cell>
        </row>
        <row r="129">
          <cell r="AF129">
            <v>468.87200000000001</v>
          </cell>
        </row>
        <row r="130">
          <cell r="AF130">
            <v>462.41</v>
          </cell>
        </row>
        <row r="131">
          <cell r="AF131">
            <v>457.73899999999998</v>
          </cell>
        </row>
        <row r="132">
          <cell r="AF132">
            <v>457.29500000000002</v>
          </cell>
        </row>
        <row r="133">
          <cell r="AF133">
            <v>458.73599999999999</v>
          </cell>
        </row>
        <row r="134">
          <cell r="AF134">
            <v>458.37</v>
          </cell>
        </row>
        <row r="135">
          <cell r="AF135">
            <v>456.762</v>
          </cell>
        </row>
        <row r="136">
          <cell r="AF136">
            <v>453.68700000000001</v>
          </cell>
        </row>
        <row r="137">
          <cell r="AF137">
            <v>454.10399999999998</v>
          </cell>
        </row>
        <row r="138">
          <cell r="AF138">
            <v>452.20299999999997</v>
          </cell>
        </row>
        <row r="139">
          <cell r="AF139">
            <v>450.44</v>
          </cell>
        </row>
        <row r="140">
          <cell r="AF140">
            <v>449.721</v>
          </cell>
        </row>
        <row r="141">
          <cell r="AF141">
            <v>453.21100000000001</v>
          </cell>
        </row>
        <row r="142">
          <cell r="AF142">
            <v>460.29300000000001</v>
          </cell>
        </row>
        <row r="143">
          <cell r="AF143">
            <v>461.82799999999997</v>
          </cell>
        </row>
        <row r="144">
          <cell r="AF144">
            <v>462.48</v>
          </cell>
        </row>
        <row r="145">
          <cell r="AF145">
            <v>460.63499999999999</v>
          </cell>
        </row>
        <row r="146">
          <cell r="AF146">
            <v>462.53899999999999</v>
          </cell>
        </row>
        <row r="147">
          <cell r="AF147">
            <v>461.137</v>
          </cell>
        </row>
        <row r="148">
          <cell r="AF148">
            <v>456.072</v>
          </cell>
        </row>
        <row r="149">
          <cell r="AF149">
            <v>455.11500000000001</v>
          </cell>
        </row>
        <row r="150">
          <cell r="AF150">
            <v>454.358</v>
          </cell>
        </row>
        <row r="151">
          <cell r="AF151">
            <v>453.36799999999999</v>
          </cell>
        </row>
        <row r="152">
          <cell r="AF152">
            <v>452.96800000000002</v>
          </cell>
        </row>
        <row r="153">
          <cell r="AF153">
            <v>451.084</v>
          </cell>
        </row>
        <row r="154">
          <cell r="AF154">
            <v>452.72</v>
          </cell>
        </row>
        <row r="155">
          <cell r="AF155">
            <v>459.23</v>
          </cell>
        </row>
        <row r="156">
          <cell r="AF156">
            <v>464.85</v>
          </cell>
        </row>
        <row r="157">
          <cell r="AF157">
            <v>468.72</v>
          </cell>
        </row>
        <row r="158">
          <cell r="AF158">
            <v>472.80099999999999</v>
          </cell>
        </row>
        <row r="159">
          <cell r="AF159">
            <v>472.4</v>
          </cell>
        </row>
        <row r="160">
          <cell r="AF160">
            <v>469.92</v>
          </cell>
        </row>
        <row r="161">
          <cell r="AF161">
            <v>471.69</v>
          </cell>
        </row>
        <row r="162">
          <cell r="AF162">
            <v>473.52</v>
          </cell>
        </row>
        <row r="163">
          <cell r="AF163">
            <v>474.99599999999998</v>
          </cell>
        </row>
        <row r="164">
          <cell r="AF164">
            <v>478.03</v>
          </cell>
        </row>
        <row r="165">
          <cell r="AF165">
            <v>483.59</v>
          </cell>
        </row>
        <row r="166">
          <cell r="AF166">
            <v>483.59</v>
          </cell>
        </row>
        <row r="167">
          <cell r="AF167">
            <v>492.87599999999998</v>
          </cell>
        </row>
        <row r="168">
          <cell r="AF168">
            <v>492.209</v>
          </cell>
        </row>
        <row r="169">
          <cell r="AF169">
            <v>492.41899999999998</v>
          </cell>
        </row>
        <row r="170">
          <cell r="AF170">
            <v>496.42700000000002</v>
          </cell>
        </row>
        <row r="171">
          <cell r="AF171">
            <v>498.54</v>
          </cell>
        </row>
        <row r="172">
          <cell r="AF172">
            <v>502.96</v>
          </cell>
        </row>
        <row r="173">
          <cell r="AF173">
            <v>505.32799999999997</v>
          </cell>
        </row>
        <row r="174">
          <cell r="AF174">
            <v>507.75799999999998</v>
          </cell>
        </row>
        <row r="175">
          <cell r="AF175">
            <v>509.08499999999998</v>
          </cell>
        </row>
        <row r="176">
          <cell r="AF176">
            <v>510.25900000000001</v>
          </cell>
        </row>
        <row r="177">
          <cell r="AF177">
            <v>512.70699999999999</v>
          </cell>
        </row>
        <row r="178">
          <cell r="AF178">
            <v>515.59</v>
          </cell>
        </row>
        <row r="179">
          <cell r="AF179">
            <v>519.41600000000005</v>
          </cell>
        </row>
        <row r="180">
          <cell r="AF180">
            <v>524.5</v>
          </cell>
        </row>
        <row r="181">
          <cell r="AF181">
            <v>532.04999999999995</v>
          </cell>
        </row>
        <row r="182">
          <cell r="AF182">
            <v>532.84199999999998</v>
          </cell>
        </row>
        <row r="183">
          <cell r="AF183">
            <v>532.35500000000002</v>
          </cell>
        </row>
        <row r="184">
          <cell r="AF184">
            <v>521.23500000000001</v>
          </cell>
        </row>
        <row r="185">
          <cell r="AF185">
            <v>515.70000000000005</v>
          </cell>
        </row>
        <row r="186">
          <cell r="AF186">
            <v>520.31100000000004</v>
          </cell>
        </row>
        <row r="187">
          <cell r="AF187">
            <v>522.02800000000002</v>
          </cell>
        </row>
        <row r="188">
          <cell r="AF188">
            <v>525.62699999999995</v>
          </cell>
        </row>
        <row r="189">
          <cell r="AF189">
            <v>522.053</v>
          </cell>
        </row>
        <row r="190">
          <cell r="AF190">
            <v>521.71</v>
          </cell>
        </row>
        <row r="191">
          <cell r="AF191">
            <v>517.07899999999995</v>
          </cell>
        </row>
        <row r="192">
          <cell r="AF192">
            <v>513.15</v>
          </cell>
        </row>
        <row r="193">
          <cell r="AF193">
            <v>512.57000000000005</v>
          </cell>
        </row>
        <row r="194">
          <cell r="AF194">
            <v>510.19</v>
          </cell>
        </row>
        <row r="195">
          <cell r="AF195">
            <v>507.24</v>
          </cell>
        </row>
        <row r="196">
          <cell r="AF196">
            <v>502.13</v>
          </cell>
        </row>
        <row r="197">
          <cell r="AF197">
            <v>497.24</v>
          </cell>
        </row>
        <row r="198">
          <cell r="AF198">
            <v>497.97</v>
          </cell>
        </row>
        <row r="199">
          <cell r="AF199">
            <v>497.9</v>
          </cell>
        </row>
        <row r="200">
          <cell r="AF200">
            <v>500.72</v>
          </cell>
        </row>
        <row r="201">
          <cell r="AF201">
            <v>503.64</v>
          </cell>
        </row>
        <row r="202">
          <cell r="AF202">
            <v>511.46</v>
          </cell>
        </row>
        <row r="203">
          <cell r="AF203">
            <v>515.04999999999995</v>
          </cell>
        </row>
        <row r="204">
          <cell r="AF204">
            <v>511.86</v>
          </cell>
        </row>
        <row r="205">
          <cell r="AF205">
            <v>512.38</v>
          </cell>
        </row>
        <row r="206">
          <cell r="AF206">
            <v>511.42</v>
          </cell>
        </row>
        <row r="207">
          <cell r="AF207">
            <v>507.18</v>
          </cell>
        </row>
        <row r="208">
          <cell r="AF208">
            <v>510.34</v>
          </cell>
        </row>
        <row r="209">
          <cell r="AF209">
            <v>511.33</v>
          </cell>
        </row>
        <row r="210">
          <cell r="AF210">
            <v>510.63</v>
          </cell>
        </row>
        <row r="211">
          <cell r="AF211">
            <v>518.97</v>
          </cell>
        </row>
        <row r="212">
          <cell r="AF212">
            <v>518.76</v>
          </cell>
        </row>
        <row r="213">
          <cell r="AF213">
            <v>514.97</v>
          </cell>
        </row>
        <row r="214">
          <cell r="AF214">
            <v>512.5</v>
          </cell>
        </row>
        <row r="215">
          <cell r="AF215">
            <v>514.53</v>
          </cell>
        </row>
        <row r="216">
          <cell r="AF216">
            <v>516.322</v>
          </cell>
        </row>
        <row r="217">
          <cell r="AF217">
            <v>517.851</v>
          </cell>
        </row>
        <row r="218">
          <cell r="AF218">
            <v>516.40700000000004</v>
          </cell>
        </row>
        <row r="219">
          <cell r="AF219">
            <v>523.49</v>
          </cell>
        </row>
        <row r="220">
          <cell r="AF220">
            <v>524.65</v>
          </cell>
        </row>
        <row r="221">
          <cell r="AF221">
            <v>524.09</v>
          </cell>
        </row>
        <row r="222">
          <cell r="AF222">
            <v>522.83900000000006</v>
          </cell>
        </row>
        <row r="223">
          <cell r="AF223">
            <v>520.59</v>
          </cell>
        </row>
        <row r="224">
          <cell r="AF224">
            <v>517.78</v>
          </cell>
        </row>
        <row r="225">
          <cell r="AF225">
            <v>515.803</v>
          </cell>
        </row>
        <row r="226">
          <cell r="AF226">
            <v>515.12300000000005</v>
          </cell>
        </row>
        <row r="227">
          <cell r="AF227">
            <v>513.91099999999994</v>
          </cell>
        </row>
        <row r="228">
          <cell r="AF228">
            <v>513.37900000000002</v>
          </cell>
        </row>
        <row r="229">
          <cell r="AF229">
            <v>513.37900000000002</v>
          </cell>
        </row>
        <row r="230">
          <cell r="AF230">
            <v>513.37900000000002</v>
          </cell>
        </row>
        <row r="231">
          <cell r="AF231">
            <v>514.14</v>
          </cell>
        </row>
        <row r="232">
          <cell r="AF232">
            <v>512.46</v>
          </cell>
        </row>
        <row r="233">
          <cell r="AF233">
            <v>509.84</v>
          </cell>
        </row>
        <row r="234">
          <cell r="AF234">
            <v>506.65699999999998</v>
          </cell>
        </row>
        <row r="235">
          <cell r="AF235">
            <v>498.66199999999998</v>
          </cell>
        </row>
        <row r="236">
          <cell r="AF236">
            <v>482.00700000000001</v>
          </cell>
        </row>
        <row r="237">
          <cell r="AF237">
            <v>488.49</v>
          </cell>
        </row>
        <row r="238">
          <cell r="AF238">
            <v>487.57</v>
          </cell>
        </row>
        <row r="239">
          <cell r="AF239">
            <v>486.84</v>
          </cell>
        </row>
        <row r="240">
          <cell r="AF240">
            <v>485.41</v>
          </cell>
        </row>
        <row r="241">
          <cell r="AF241">
            <v>482.63</v>
          </cell>
        </row>
        <row r="242">
          <cell r="AF242">
            <v>482.12</v>
          </cell>
        </row>
        <row r="243">
          <cell r="AF243">
            <v>471.05</v>
          </cell>
        </row>
        <row r="244">
          <cell r="AF244">
            <v>470.58499999999998</v>
          </cell>
        </row>
        <row r="245">
          <cell r="AF245">
            <v>466.39299999999997</v>
          </cell>
        </row>
        <row r="246">
          <cell r="AF246">
            <v>462.33300000000003</v>
          </cell>
        </row>
        <row r="247">
          <cell r="AF247">
            <v>461.20100000000002</v>
          </cell>
        </row>
        <row r="248">
          <cell r="AF248">
            <v>454.084</v>
          </cell>
        </row>
        <row r="249">
          <cell r="AF249">
            <v>447.76</v>
          </cell>
        </row>
        <row r="250">
          <cell r="AF250">
            <v>447.04</v>
          </cell>
        </row>
        <row r="251">
          <cell r="AF251">
            <v>453.37</v>
          </cell>
        </row>
        <row r="252">
          <cell r="AF252">
            <v>458.93299999999999</v>
          </cell>
        </row>
        <row r="253">
          <cell r="AF253">
            <v>458.779</v>
          </cell>
        </row>
        <row r="254">
          <cell r="AF254">
            <v>459.387</v>
          </cell>
        </row>
        <row r="255">
          <cell r="AF255">
            <v>462.77800000000002</v>
          </cell>
        </row>
        <row r="256">
          <cell r="AF256">
            <v>466.404</v>
          </cell>
        </row>
        <row r="257">
          <cell r="AF257">
            <v>469.28800000000001</v>
          </cell>
        </row>
        <row r="258">
          <cell r="AF258">
            <v>466.72699999999998</v>
          </cell>
        </row>
        <row r="259">
          <cell r="AF259">
            <v>466.27199999999999</v>
          </cell>
        </row>
        <row r="260">
          <cell r="AF260">
            <v>466.15300000000002</v>
          </cell>
        </row>
        <row r="261">
          <cell r="AF261">
            <v>469.64</v>
          </cell>
        </row>
        <row r="262">
          <cell r="AF262">
            <v>469.64</v>
          </cell>
        </row>
        <row r="263">
          <cell r="AF263">
            <v>469.64</v>
          </cell>
        </row>
      </sheetData>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ta"/>
      <sheetName val="graph (Quarterly)"/>
      <sheetName val="graph"/>
      <sheetName val="Daily-Consensus"/>
      <sheetName val="Consensus Poll (Co Rpt)"/>
      <sheetName val="Consensus Poll"/>
      <sheetName val="Data Coal"/>
      <sheetName val="Big"/>
      <sheetName val="Coal_Mining"/>
      <sheetName val="Cover"/>
      <sheetName val="Htr"/>
      <sheetName val="KPC Coal"/>
      <sheetName val="KPC"/>
      <sheetName val="KPC_Total"/>
      <sheetName val="MS"/>
      <sheetName val="Data_1"/>
      <sheetName val="Data_2"/>
      <sheetName val="Data_3"/>
      <sheetName val="Remarks"/>
      <sheetName val="Block"/>
      <sheetName val="Daily Report"/>
      <sheetName val="Result"/>
      <sheetName val="Input (b)"/>
      <sheetName val="Input (t)"/>
      <sheetName val="Input (a)"/>
      <sheetName val="SP-08 Specs"/>
      <sheetName val="SP-08-Mnly-13500"/>
      <sheetName val="WORKING"/>
      <sheetName val="Mon Upah+Alat+Material"/>
      <sheetName val="Sheet1"/>
      <sheetName val="Entire_1"/>
      <sheetName val="Balance"/>
    </sheetNames>
    <sheetDataSet>
      <sheetData sheetId="0" refreshError="1">
        <row r="3">
          <cell r="A3">
            <v>36815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VEBITDA cht"/>
      <sheetName val="Ridership chart"/>
      <sheetName val="Mthly ridership"/>
      <sheetName val="interims"/>
      <sheetName val="Key data"/>
      <sheetName val="present"/>
      <sheetName val="cus"/>
      <sheetName val="riders"/>
      <sheetName val="conso"/>
      <sheetName val="smrt"/>
      <sheetName val="pblrt"/>
      <sheetName val="tibs"/>
      <sheetName val="TED"/>
      <sheetName val="discrate"/>
      <sheetName val="client"/>
      <sheetName val="Sheet3"/>
      <sheetName val="Sheet4"/>
      <sheetName val="Sheet7"/>
      <sheetName val="Sheet8"/>
      <sheetName val="Chart20"/>
      <sheetName val="Chart18"/>
      <sheetName val="Chart16"/>
      <sheetName val="Chart14"/>
      <sheetName val="Chart13"/>
      <sheetName val="Chart12"/>
      <sheetName val="Chart15"/>
      <sheetName val="Chart11"/>
      <sheetName val="Chart10"/>
      <sheetName val="Chart9"/>
      <sheetName val="Chart8"/>
      <sheetName val="Chart7"/>
      <sheetName val="Chart6"/>
      <sheetName val="Chart5"/>
      <sheetName val="Chart4"/>
      <sheetName val="Chart3"/>
      <sheetName val="Chart2"/>
      <sheetName val="Chart1"/>
      <sheetName val="BUMA BMO 7"/>
      <sheetName val="BUMA Lati"/>
      <sheetName val="SIS BMO"/>
      <sheetName val="SIS SMO"/>
      <sheetName val="Plan"/>
      <sheetName val="data"/>
      <sheetName val="PAMA"/>
    </sheetNames>
    <sheetDataSet>
      <sheetData sheetId="0" refreshError="1"/>
      <sheetData sheetId="1" refreshError="1"/>
      <sheetData sheetId="2" refreshError="1"/>
      <sheetData sheetId="3" refreshError="1"/>
      <sheetData sheetId="4" refreshError="1"/>
      <sheetData sheetId="5" refreshError="1"/>
      <sheetData sheetId="6" refreshError="1">
        <row r="1">
          <cell r="T1" t="str">
            <v>Default.Decision.Ind</v>
          </cell>
        </row>
        <row r="2">
          <cell r="A2" t="str">
            <v>Profit &amp; Loss</v>
          </cell>
        </row>
        <row r="3">
          <cell r="A3" t="str">
            <v>Turnover</v>
          </cell>
          <cell r="B3">
            <v>1</v>
          </cell>
          <cell r="C3">
            <v>0</v>
          </cell>
          <cell r="D3">
            <v>0</v>
          </cell>
          <cell r="E3">
            <v>0</v>
          </cell>
          <cell r="F3">
            <v>298.73655400000001</v>
          </cell>
          <cell r="G3">
            <v>252.68</v>
          </cell>
          <cell r="H3">
            <v>280.2</v>
          </cell>
          <cell r="I3">
            <v>336.38097699999997</v>
          </cell>
          <cell r="J3">
            <v>355.16300000000007</v>
          </cell>
          <cell r="K3">
            <v>352.79000000000008</v>
          </cell>
          <cell r="L3">
            <v>367.76700000000005</v>
          </cell>
          <cell r="M3">
            <v>414.05334863999997</v>
          </cell>
          <cell r="N3">
            <v>420.36061261981996</v>
          </cell>
          <cell r="O3">
            <v>643.49528031834666</v>
          </cell>
          <cell r="P3">
            <v>284.45375496111768</v>
          </cell>
          <cell r="T3" t="str">
            <v>F</v>
          </cell>
        </row>
        <row r="4">
          <cell r="A4" t="str">
            <v>Depreciation/Amortisation</v>
          </cell>
          <cell r="B4">
            <v>0</v>
          </cell>
          <cell r="C4">
            <v>0</v>
          </cell>
          <cell r="D4">
            <v>0</v>
          </cell>
          <cell r="E4">
            <v>0</v>
          </cell>
          <cell r="F4">
            <v>-0.66979599999999995</v>
          </cell>
          <cell r="G4">
            <v>-0.81186100000000005</v>
          </cell>
          <cell r="H4">
            <v>-1.088684</v>
          </cell>
          <cell r="I4">
            <v>-1.659745</v>
          </cell>
          <cell r="J4">
            <v>-2.0688279999999999</v>
          </cell>
          <cell r="K4">
            <v>-123.254</v>
          </cell>
          <cell r="L4">
            <v>-117.2</v>
          </cell>
          <cell r="M4">
            <v>-130.69999999999999</v>
          </cell>
          <cell r="N4">
            <v>-136.44166666666666</v>
          </cell>
          <cell r="O4">
            <v>-181.19225</v>
          </cell>
          <cell r="P4">
            <v>-41.375583333333338</v>
          </cell>
          <cell r="T4" t="str">
            <v>-</v>
          </cell>
        </row>
        <row r="5">
          <cell r="A5" t="str">
            <v>Trading Profit</v>
          </cell>
          <cell r="B5">
            <v>0</v>
          </cell>
          <cell r="C5">
            <v>0</v>
          </cell>
          <cell r="D5">
            <v>0</v>
          </cell>
          <cell r="E5">
            <v>0</v>
          </cell>
          <cell r="F5">
            <v>103.14014883517395</v>
          </cell>
          <cell r="G5">
            <v>85.031905999999964</v>
          </cell>
          <cell r="H5">
            <v>102.31706000000004</v>
          </cell>
          <cell r="I5">
            <v>145.31982504152276</v>
          </cell>
          <cell r="J5">
            <v>149.38255728490844</v>
          </cell>
          <cell r="K5">
            <v>81.774202127637722</v>
          </cell>
          <cell r="L5">
            <v>84.697456844106654</v>
          </cell>
          <cell r="M5">
            <v>87.207222194199247</v>
          </cell>
          <cell r="N5">
            <v>75.794896141600518</v>
          </cell>
          <cell r="O5">
            <v>109.31397764669283</v>
          </cell>
          <cell r="P5">
            <v>101.87934673708736</v>
          </cell>
          <cell r="T5" t="str">
            <v>M</v>
          </cell>
        </row>
        <row r="6">
          <cell r="A6" t="str">
            <v>Other Income &amp; Associates</v>
          </cell>
          <cell r="B6">
            <v>0</v>
          </cell>
          <cell r="C6">
            <v>0</v>
          </cell>
          <cell r="D6">
            <v>0</v>
          </cell>
          <cell r="E6">
            <v>0</v>
          </cell>
          <cell r="F6">
            <v>0.221743</v>
          </cell>
          <cell r="G6">
            <v>-0.30915799999999999</v>
          </cell>
          <cell r="H6">
            <v>-0.458312</v>
          </cell>
          <cell r="I6">
            <v>-0.33970099999999998</v>
          </cell>
          <cell r="J6">
            <v>-0.237815</v>
          </cell>
          <cell r="K6">
            <v>-0.114</v>
          </cell>
          <cell r="L6">
            <v>-4.2999999999999997E-2</v>
          </cell>
          <cell r="M6">
            <v>-3.45</v>
          </cell>
          <cell r="N6">
            <v>-1.5</v>
          </cell>
          <cell r="O6">
            <v>-2</v>
          </cell>
          <cell r="P6">
            <v>-2</v>
          </cell>
          <cell r="T6">
            <v>0</v>
          </cell>
        </row>
        <row r="7">
          <cell r="A7" t="str">
            <v>Net Interest</v>
          </cell>
          <cell r="B7">
            <v>0</v>
          </cell>
          <cell r="C7">
            <v>0</v>
          </cell>
          <cell r="D7">
            <v>0</v>
          </cell>
          <cell r="E7">
            <v>0</v>
          </cell>
          <cell r="F7">
            <v>54.414753000000005</v>
          </cell>
          <cell r="G7">
            <v>37.787031000000006</v>
          </cell>
          <cell r="H7">
            <v>47.561526000000001</v>
          </cell>
          <cell r="I7">
            <v>41.427</v>
          </cell>
          <cell r="J7">
            <v>22.454999999999998</v>
          </cell>
          <cell r="K7">
            <v>20.100000000000001</v>
          </cell>
          <cell r="L7">
            <v>75.171999999999997</v>
          </cell>
          <cell r="M7">
            <v>59.037999999999997</v>
          </cell>
          <cell r="N7">
            <v>5.544040143933314</v>
          </cell>
          <cell r="O7">
            <v>-10.396902917230713</v>
          </cell>
          <cell r="P7">
            <v>-12.421166265759725</v>
          </cell>
          <cell r="T7">
            <v>0</v>
          </cell>
        </row>
        <row r="8">
          <cell r="A8" t="str">
            <v>Net Exceptionals</v>
          </cell>
          <cell r="B8">
            <v>0</v>
          </cell>
          <cell r="C8">
            <v>0</v>
          </cell>
          <cell r="D8">
            <v>0</v>
          </cell>
          <cell r="E8">
            <v>0</v>
          </cell>
          <cell r="F8">
            <v>0</v>
          </cell>
          <cell r="G8">
            <v>0</v>
          </cell>
          <cell r="H8">
            <v>0</v>
          </cell>
          <cell r="I8">
            <v>0</v>
          </cell>
          <cell r="J8">
            <v>0</v>
          </cell>
          <cell r="K8">
            <v>0</v>
          </cell>
          <cell r="L8">
            <v>0</v>
          </cell>
          <cell r="M8">
            <v>0</v>
          </cell>
          <cell r="N8">
            <v>0</v>
          </cell>
          <cell r="O8">
            <v>0</v>
          </cell>
          <cell r="P8">
            <v>0</v>
          </cell>
          <cell r="T8">
            <v>0</v>
          </cell>
        </row>
        <row r="9">
          <cell r="A9" t="str">
            <v>Profit Before Tax</v>
          </cell>
          <cell r="B9">
            <v>0</v>
          </cell>
          <cell r="C9">
            <v>0</v>
          </cell>
          <cell r="D9">
            <v>0</v>
          </cell>
          <cell r="E9">
            <v>0</v>
          </cell>
          <cell r="F9">
            <v>157.77664483517395</v>
          </cell>
          <cell r="G9">
            <v>122.50977899999998</v>
          </cell>
          <cell r="H9">
            <v>149.42027400000003</v>
          </cell>
          <cell r="I9">
            <v>186.40712404152276</v>
          </cell>
          <cell r="J9">
            <v>171.59974228490842</v>
          </cell>
          <cell r="K9">
            <v>101.76020212763771</v>
          </cell>
          <cell r="L9">
            <v>159.82645684410664</v>
          </cell>
          <cell r="M9">
            <v>142.79522219419925</v>
          </cell>
          <cell r="N9">
            <v>79.838936285533833</v>
          </cell>
          <cell r="O9">
            <v>96.917074729462115</v>
          </cell>
          <cell r="P9">
            <v>87.458180471327637</v>
          </cell>
          <cell r="T9" t="str">
            <v>M</v>
          </cell>
        </row>
        <row r="10">
          <cell r="A10" t="str">
            <v>Pre-Exceptional PBT</v>
          </cell>
          <cell r="B10">
            <v>0</v>
          </cell>
          <cell r="C10">
            <v>0</v>
          </cell>
          <cell r="D10">
            <v>0</v>
          </cell>
          <cell r="E10">
            <v>0</v>
          </cell>
          <cell r="F10">
            <v>157.77664483517395</v>
          </cell>
          <cell r="G10">
            <v>122.50977899999998</v>
          </cell>
          <cell r="H10">
            <v>149.42027400000003</v>
          </cell>
          <cell r="I10">
            <v>186.40712404152276</v>
          </cell>
          <cell r="J10">
            <v>171.59974228490842</v>
          </cell>
          <cell r="K10">
            <v>101.76020212763771</v>
          </cell>
          <cell r="L10">
            <v>159.82645684410664</v>
          </cell>
          <cell r="M10">
            <v>142.79522219419925</v>
          </cell>
          <cell r="N10">
            <v>79.838936285533833</v>
          </cell>
          <cell r="O10">
            <v>96.917074729462115</v>
          </cell>
          <cell r="P10">
            <v>87.458180471327637</v>
          </cell>
          <cell r="T10" t="str">
            <v>M</v>
          </cell>
        </row>
        <row r="11">
          <cell r="A11" t="str">
            <v>Taxation</v>
          </cell>
          <cell r="B11">
            <v>0</v>
          </cell>
          <cell r="C11">
            <v>0</v>
          </cell>
          <cell r="D11">
            <v>0</v>
          </cell>
          <cell r="E11">
            <v>0</v>
          </cell>
          <cell r="F11">
            <v>-17.309833999999999</v>
          </cell>
          <cell r="G11">
            <v>-13.864903999999999</v>
          </cell>
          <cell r="H11">
            <v>-15.084075</v>
          </cell>
          <cell r="I11">
            <v>-15.75638</v>
          </cell>
          <cell r="J11">
            <v>-25.864999999999998</v>
          </cell>
          <cell r="K11">
            <v>-28.4</v>
          </cell>
          <cell r="L11">
            <v>-44.443709002661656</v>
          </cell>
          <cell r="M11">
            <v>-38.316248214880204</v>
          </cell>
          <cell r="N11">
            <v>-19.928039389955789</v>
          </cell>
          <cell r="O11">
            <v>-24.234683308718218</v>
          </cell>
          <cell r="P11">
            <v>-21.917254215475271</v>
          </cell>
          <cell r="T11" t="str">
            <v>M</v>
          </cell>
        </row>
        <row r="12">
          <cell r="A12" t="str">
            <v>Tax Rate</v>
          </cell>
          <cell r="B12" t="e">
            <v>#DIV/0!</v>
          </cell>
          <cell r="C12" t="e">
            <v>#DIV/0!</v>
          </cell>
          <cell r="D12" t="e">
            <v>#DIV/0!</v>
          </cell>
          <cell r="E12" t="e">
            <v>#DIV/0!</v>
          </cell>
          <cell r="F12">
            <v>10.97110032862166</v>
          </cell>
          <cell r="G12">
            <v>11.317385528872762</v>
          </cell>
          <cell r="H12">
            <v>10.095065814161201</v>
          </cell>
          <cell r="I12">
            <v>8.4526705087141512</v>
          </cell>
          <cell r="J12">
            <v>15.072866459820281</v>
          </cell>
          <cell r="K12">
            <v>27.908749595817341</v>
          </cell>
          <cell r="L12">
            <v>27.807479362451033</v>
          </cell>
          <cell r="M12">
            <v>26.833004372352676</v>
          </cell>
          <cell r="N12">
            <v>24.960301723817665</v>
          </cell>
          <cell r="O12">
            <v>25.005586865232782</v>
          </cell>
          <cell r="P12">
            <v>25.060267772962234</v>
          </cell>
          <cell r="T12" t="str">
            <v>M</v>
          </cell>
        </row>
        <row r="13">
          <cell r="A13" t="str">
            <v>Pre-Exceptional Tax Rate</v>
          </cell>
          <cell r="B13" t="e">
            <v>#DIV/0!</v>
          </cell>
          <cell r="C13" t="e">
            <v>#DIV/0!</v>
          </cell>
          <cell r="D13" t="e">
            <v>#DIV/0!</v>
          </cell>
          <cell r="E13" t="e">
            <v>#DIV/0!</v>
          </cell>
          <cell r="F13">
            <v>10.971100328621658</v>
          </cell>
          <cell r="G13">
            <v>11.317385528872748</v>
          </cell>
          <cell r="H13">
            <v>10.09506581416121</v>
          </cell>
          <cell r="I13">
            <v>8.4526705087141547</v>
          </cell>
          <cell r="J13">
            <v>15.072866459820286</v>
          </cell>
          <cell r="K13">
            <v>27.908749595817344</v>
          </cell>
          <cell r="L13">
            <v>27.807479362451026</v>
          </cell>
          <cell r="M13">
            <v>26.833004372352665</v>
          </cell>
          <cell r="N13">
            <v>24.960301723817661</v>
          </cell>
          <cell r="O13">
            <v>25.005586865232782</v>
          </cell>
          <cell r="P13">
            <v>25.060267772962231</v>
          </cell>
          <cell r="T13" t="str">
            <v>M</v>
          </cell>
        </row>
        <row r="14">
          <cell r="A14" t="str">
            <v>Minorities</v>
          </cell>
          <cell r="F14">
            <v>0</v>
          </cell>
          <cell r="G14">
            <v>0</v>
          </cell>
          <cell r="H14">
            <v>0</v>
          </cell>
          <cell r="I14">
            <v>0</v>
          </cell>
          <cell r="J14">
            <v>0</v>
          </cell>
          <cell r="K14">
            <v>0</v>
          </cell>
          <cell r="L14">
            <v>0</v>
          </cell>
          <cell r="M14">
            <v>0</v>
          </cell>
          <cell r="N14">
            <v>0</v>
          </cell>
          <cell r="O14">
            <v>0</v>
          </cell>
          <cell r="P14">
            <v>0</v>
          </cell>
          <cell r="T14">
            <v>0</v>
          </cell>
        </row>
        <row r="15">
          <cell r="A15" t="str">
            <v>Extraordinaries</v>
          </cell>
          <cell r="F15">
            <v>0</v>
          </cell>
          <cell r="G15">
            <v>0</v>
          </cell>
          <cell r="H15">
            <v>0</v>
          </cell>
          <cell r="I15">
            <v>-480</v>
          </cell>
          <cell r="J15">
            <v>0</v>
          </cell>
          <cell r="K15">
            <v>0</v>
          </cell>
          <cell r="L15">
            <v>0</v>
          </cell>
          <cell r="M15">
            <v>0</v>
          </cell>
          <cell r="N15">
            <v>0</v>
          </cell>
          <cell r="O15">
            <v>0</v>
          </cell>
          <cell r="P15">
            <v>0</v>
          </cell>
          <cell r="T15">
            <v>0</v>
          </cell>
        </row>
        <row r="16">
          <cell r="A16" t="str">
            <v>Preference Dividend</v>
          </cell>
          <cell r="B16">
            <v>0</v>
          </cell>
          <cell r="C16">
            <v>0</v>
          </cell>
          <cell r="D16">
            <v>0</v>
          </cell>
          <cell r="E16">
            <v>0</v>
          </cell>
          <cell r="F16">
            <v>0</v>
          </cell>
          <cell r="G16">
            <v>0</v>
          </cell>
          <cell r="H16">
            <v>0</v>
          </cell>
          <cell r="I16">
            <v>0</v>
          </cell>
          <cell r="J16">
            <v>0</v>
          </cell>
          <cell r="K16">
            <v>0</v>
          </cell>
          <cell r="L16">
            <v>0</v>
          </cell>
          <cell r="M16">
            <v>0</v>
          </cell>
          <cell r="N16">
            <v>0</v>
          </cell>
          <cell r="O16">
            <v>0</v>
          </cell>
          <cell r="P16">
            <v>0</v>
          </cell>
          <cell r="T16">
            <v>0</v>
          </cell>
        </row>
        <row r="17">
          <cell r="A17" t="str">
            <v>Net Profit (Attrib To Ord Sh/h)</v>
          </cell>
          <cell r="B17">
            <v>0</v>
          </cell>
          <cell r="C17">
            <v>0</v>
          </cell>
          <cell r="D17">
            <v>0</v>
          </cell>
          <cell r="E17">
            <v>0</v>
          </cell>
          <cell r="F17">
            <v>140.46681083517396</v>
          </cell>
          <cell r="G17">
            <v>108.64487499999998</v>
          </cell>
          <cell r="H17">
            <v>134.33619900000002</v>
          </cell>
          <cell r="I17">
            <v>170.65074404152276</v>
          </cell>
          <cell r="J17">
            <v>145.73474228490841</v>
          </cell>
          <cell r="K17">
            <v>73.360202127637706</v>
          </cell>
          <cell r="L17">
            <v>115.382747841445</v>
          </cell>
          <cell r="M17">
            <v>104.47897397931905</v>
          </cell>
          <cell r="N17">
            <v>59.910896895578048</v>
          </cell>
          <cell r="O17">
            <v>72.682391420743897</v>
          </cell>
          <cell r="P17">
            <v>65.540926255852369</v>
          </cell>
          <cell r="T17" t="str">
            <v>M</v>
          </cell>
        </row>
        <row r="18">
          <cell r="A18" t="str">
            <v>Pre-Exc Net Profit (PX Attrib Ord Sh/h)</v>
          </cell>
          <cell r="B18">
            <v>0</v>
          </cell>
          <cell r="C18">
            <v>0</v>
          </cell>
          <cell r="D18">
            <v>0</v>
          </cell>
          <cell r="E18">
            <v>0</v>
          </cell>
          <cell r="F18">
            <v>140.46681083517396</v>
          </cell>
          <cell r="G18">
            <v>108.644875</v>
          </cell>
          <cell r="H18">
            <v>134.33619900000002</v>
          </cell>
          <cell r="I18">
            <v>170.65074404152276</v>
          </cell>
          <cell r="J18">
            <v>145.73474228490841</v>
          </cell>
          <cell r="K18">
            <v>73.360202127637706</v>
          </cell>
          <cell r="L18">
            <v>115.382747841445</v>
          </cell>
          <cell r="M18">
            <v>104.47897397931906</v>
          </cell>
          <cell r="N18">
            <v>59.910896895578048</v>
          </cell>
          <cell r="O18">
            <v>72.682391420743897</v>
          </cell>
          <cell r="P18">
            <v>65.540926255852369</v>
          </cell>
          <cell r="T18" t="str">
            <v>M</v>
          </cell>
        </row>
        <row r="19">
          <cell r="A19" t="str">
            <v>Ordinary Dividend</v>
          </cell>
          <cell r="B19">
            <v>0</v>
          </cell>
          <cell r="C19">
            <v>0</v>
          </cell>
          <cell r="D19">
            <v>0</v>
          </cell>
          <cell r="E19">
            <v>0</v>
          </cell>
          <cell r="F19">
            <v>-9</v>
          </cell>
          <cell r="G19">
            <v>-10.5</v>
          </cell>
          <cell r="H19">
            <v>-10.5</v>
          </cell>
          <cell r="I19">
            <v>-12</v>
          </cell>
          <cell r="J19">
            <v>-12</v>
          </cell>
          <cell r="K19">
            <v>-12</v>
          </cell>
          <cell r="L19">
            <v>-569.90200000000004</v>
          </cell>
          <cell r="M19">
            <v>-52.239486989659525</v>
          </cell>
          <cell r="N19">
            <v>-29.955448447789024</v>
          </cell>
          <cell r="O19">
            <v>-32</v>
          </cell>
          <cell r="P19">
            <v>-47.5</v>
          </cell>
          <cell r="T19" t="str">
            <v>M</v>
          </cell>
        </row>
        <row r="20">
          <cell r="A20" t="str">
            <v>Retentions</v>
          </cell>
          <cell r="B20">
            <v>0</v>
          </cell>
          <cell r="C20">
            <v>0</v>
          </cell>
          <cell r="D20">
            <v>0</v>
          </cell>
          <cell r="E20">
            <v>0</v>
          </cell>
          <cell r="F20">
            <v>131.46681083517396</v>
          </cell>
          <cell r="G20">
            <v>98.144874999999985</v>
          </cell>
          <cell r="H20">
            <v>123.83619900000002</v>
          </cell>
          <cell r="I20">
            <v>-321.34925595847722</v>
          </cell>
          <cell r="J20">
            <v>133.73474228490841</v>
          </cell>
          <cell r="K20">
            <v>61.360202127637706</v>
          </cell>
          <cell r="L20">
            <v>-454.51925215855505</v>
          </cell>
          <cell r="M20">
            <v>52.239486989659525</v>
          </cell>
          <cell r="N20">
            <v>29.955448447789024</v>
          </cell>
          <cell r="O20">
            <v>40.682391420743897</v>
          </cell>
          <cell r="P20">
            <v>18.040926255852369</v>
          </cell>
          <cell r="T20" t="str">
            <v>M</v>
          </cell>
        </row>
        <row r="21">
          <cell r="A21" t="str">
            <v>Per Share Data</v>
          </cell>
        </row>
        <row r="22">
          <cell r="A22" t="str">
            <v>EPS (Pre-Exceptional)</v>
          </cell>
          <cell r="B22">
            <v>0</v>
          </cell>
          <cell r="C22">
            <v>0</v>
          </cell>
          <cell r="D22">
            <v>0</v>
          </cell>
          <cell r="E22">
            <v>0</v>
          </cell>
          <cell r="F22">
            <v>9.3644540556782646E-2</v>
          </cell>
          <cell r="G22">
            <v>7.2429916666666663E-2</v>
          </cell>
          <cell r="H22">
            <v>8.9557466000000016E-2</v>
          </cell>
          <cell r="I22">
            <v>0.1137671626943485</v>
          </cell>
          <cell r="J22">
            <v>9.7156494856605602E-2</v>
          </cell>
          <cell r="K22">
            <v>4.8906801418425135E-2</v>
          </cell>
          <cell r="L22">
            <v>7.6921831894296661E-2</v>
          </cell>
          <cell r="M22">
            <v>6.9652649319546039E-2</v>
          </cell>
          <cell r="N22">
            <v>3.9940597930385367E-2</v>
          </cell>
          <cell r="O22">
            <v>4.8454927613829267E-2</v>
          </cell>
          <cell r="P22">
            <v>4.3693950837234916E-2</v>
          </cell>
          <cell r="T22" t="str">
            <v>M</v>
          </cell>
        </row>
        <row r="23">
          <cell r="A23" t="str">
            <v>EPS</v>
          </cell>
          <cell r="B23" t="e">
            <v>#DIV/0!</v>
          </cell>
          <cell r="C23" t="e">
            <v>#DIV/0!</v>
          </cell>
          <cell r="D23" t="e">
            <v>#DIV/0!</v>
          </cell>
          <cell r="E23" t="e">
            <v>#DIV/0!</v>
          </cell>
          <cell r="F23">
            <v>9.3644540556782646E-2</v>
          </cell>
          <cell r="G23">
            <v>7.2429916666666663E-2</v>
          </cell>
          <cell r="H23">
            <v>8.9557466000000016E-2</v>
          </cell>
          <cell r="I23">
            <v>0.1137671626943485</v>
          </cell>
          <cell r="J23">
            <v>9.7156494856605602E-2</v>
          </cell>
          <cell r="K23">
            <v>4.8906801418425135E-2</v>
          </cell>
          <cell r="L23">
            <v>7.6921831894296661E-2</v>
          </cell>
          <cell r="M23">
            <v>6.9652649319546039E-2</v>
          </cell>
          <cell r="N23">
            <v>3.9940597930385367E-2</v>
          </cell>
          <cell r="O23">
            <v>4.8454927613829267E-2</v>
          </cell>
          <cell r="P23">
            <v>4.3693950837234916E-2</v>
          </cell>
          <cell r="T23" t="str">
            <v>M</v>
          </cell>
        </row>
        <row r="24">
          <cell r="A24" t="str">
            <v>EPS (Fully Diluted)</v>
          </cell>
          <cell r="B24">
            <v>0</v>
          </cell>
          <cell r="C24">
            <v>0</v>
          </cell>
          <cell r="D24">
            <v>0</v>
          </cell>
          <cell r="E24">
            <v>0</v>
          </cell>
          <cell r="F24">
            <v>9.3644540556782646E-2</v>
          </cell>
          <cell r="G24">
            <v>7.2429916666666663E-2</v>
          </cell>
          <cell r="H24">
            <v>8.9557466000000016E-2</v>
          </cell>
          <cell r="I24">
            <v>0.1137671626943485</v>
          </cell>
          <cell r="J24">
            <v>9.7156494856605602E-2</v>
          </cell>
          <cell r="K24">
            <v>4.8906801418425135E-2</v>
          </cell>
          <cell r="L24">
            <v>7.6921831894296661E-2</v>
          </cell>
          <cell r="M24">
            <v>6.9652649319546039E-2</v>
          </cell>
          <cell r="N24">
            <v>3.9940597930385367E-2</v>
          </cell>
          <cell r="O24">
            <v>4.8454927613829267E-2</v>
          </cell>
          <cell r="P24">
            <v>4.3693950837234916E-2</v>
          </cell>
          <cell r="T24" t="str">
            <v>-</v>
          </cell>
        </row>
        <row r="25">
          <cell r="A25" t="str">
            <v>Cash EPS</v>
          </cell>
          <cell r="B25">
            <v>0</v>
          </cell>
          <cell r="C25">
            <v>0</v>
          </cell>
          <cell r="D25">
            <v>0</v>
          </cell>
          <cell r="E25">
            <v>0</v>
          </cell>
          <cell r="F25">
            <v>6.8760099223449292E-2</v>
          </cell>
          <cell r="G25">
            <v>5.6687937333333306E-2</v>
          </cell>
          <cell r="H25">
            <v>6.8211373333333367E-2</v>
          </cell>
          <cell r="I25">
            <v>9.6879883361015176E-2</v>
          </cell>
          <cell r="J25">
            <v>9.9588371523272295E-2</v>
          </cell>
          <cell r="K25">
            <v>5.4516134751758483E-2</v>
          </cell>
          <cell r="L25">
            <v>5.6464971229404436E-2</v>
          </cell>
          <cell r="M25">
            <v>5.8138148129466168E-2</v>
          </cell>
          <cell r="N25">
            <v>5.0529930761067009E-2</v>
          </cell>
          <cell r="O25">
            <v>7.2875985097795221E-2</v>
          </cell>
          <cell r="P25">
            <v>6.7919564491391568E-2</v>
          </cell>
          <cell r="T25" t="str">
            <v>F</v>
          </cell>
        </row>
        <row r="26">
          <cell r="A26" t="str">
            <v>Net DPS</v>
          </cell>
          <cell r="B26">
            <v>0</v>
          </cell>
          <cell r="C26">
            <v>0</v>
          </cell>
          <cell r="D26">
            <v>0</v>
          </cell>
          <cell r="E26">
            <v>0</v>
          </cell>
          <cell r="F26">
            <v>6.0000000000000001E-3</v>
          </cell>
          <cell r="G26">
            <v>7.0000000000000001E-3</v>
          </cell>
          <cell r="H26">
            <v>7.0000000000000001E-3</v>
          </cell>
          <cell r="I26">
            <v>8.0000000000000002E-3</v>
          </cell>
          <cell r="J26">
            <v>8.0000000000000002E-3</v>
          </cell>
          <cell r="K26">
            <v>8.0000000000000002E-3</v>
          </cell>
          <cell r="L26">
            <v>0.3799346666666667</v>
          </cell>
          <cell r="M26">
            <v>3.482632465977302E-2</v>
          </cell>
          <cell r="N26">
            <v>1.9970298965192684E-2</v>
          </cell>
          <cell r="O26">
            <v>2.1333333333333333E-2</v>
          </cell>
          <cell r="P26">
            <v>3.1666666666666669E-2</v>
          </cell>
          <cell r="T26" t="str">
            <v>M</v>
          </cell>
        </row>
        <row r="27">
          <cell r="A27" t="str">
            <v>Gross DPS</v>
          </cell>
          <cell r="B27">
            <v>0</v>
          </cell>
          <cell r="C27">
            <v>0</v>
          </cell>
          <cell r="D27">
            <v>0</v>
          </cell>
          <cell r="E27">
            <v>0</v>
          </cell>
          <cell r="F27">
            <v>8.2191780821917818E-3</v>
          </cell>
          <cell r="G27">
            <v>9.5890410958904115E-3</v>
          </cell>
          <cell r="H27">
            <v>9.45945945945946E-3</v>
          </cell>
          <cell r="I27">
            <v>1.0810810810810811E-2</v>
          </cell>
          <cell r="J27">
            <v>1.0443864229765013E-2</v>
          </cell>
          <cell r="K27">
            <v>1.0738255033557048E-2</v>
          </cell>
          <cell r="L27">
            <v>0.5099794183445191</v>
          </cell>
          <cell r="M27">
            <v>4.6127582330825194E-2</v>
          </cell>
          <cell r="N27">
            <v>2.6450727106215474E-2</v>
          </cell>
          <cell r="O27">
            <v>2.82560706401766E-2</v>
          </cell>
          <cell r="P27">
            <v>4.1942604856512147E-2</v>
          </cell>
          <cell r="T27" t="str">
            <v>-</v>
          </cell>
        </row>
        <row r="28">
          <cell r="A28" t="str">
            <v>Shares In Issue (m)</v>
          </cell>
          <cell r="B28">
            <v>0</v>
          </cell>
          <cell r="C28">
            <v>0</v>
          </cell>
          <cell r="D28">
            <v>0</v>
          </cell>
          <cell r="E28">
            <v>0</v>
          </cell>
          <cell r="F28">
            <v>1500</v>
          </cell>
          <cell r="G28">
            <v>1500</v>
          </cell>
          <cell r="H28">
            <v>1500</v>
          </cell>
          <cell r="I28">
            <v>1500</v>
          </cell>
          <cell r="J28">
            <v>1500</v>
          </cell>
          <cell r="K28">
            <v>1500</v>
          </cell>
          <cell r="L28">
            <v>1500</v>
          </cell>
          <cell r="M28">
            <v>1500</v>
          </cell>
          <cell r="N28">
            <v>1500</v>
          </cell>
          <cell r="O28">
            <v>1500</v>
          </cell>
          <cell r="P28">
            <v>1500</v>
          </cell>
          <cell r="T28" t="str">
            <v>M</v>
          </cell>
        </row>
        <row r="29">
          <cell r="A29" t="str">
            <v>Average Shares In Issue (m)</v>
          </cell>
          <cell r="B29">
            <v>0</v>
          </cell>
          <cell r="C29">
            <v>0</v>
          </cell>
          <cell r="D29">
            <v>0</v>
          </cell>
          <cell r="E29">
            <v>0</v>
          </cell>
          <cell r="F29">
            <v>1500</v>
          </cell>
          <cell r="G29">
            <v>1500</v>
          </cell>
          <cell r="H29">
            <v>1500</v>
          </cell>
          <cell r="I29">
            <v>1500</v>
          </cell>
          <cell r="J29">
            <v>1500</v>
          </cell>
          <cell r="K29">
            <v>1500</v>
          </cell>
          <cell r="L29">
            <v>1500</v>
          </cell>
          <cell r="M29">
            <v>1500</v>
          </cell>
          <cell r="N29">
            <v>1500</v>
          </cell>
          <cell r="O29">
            <v>1500</v>
          </cell>
          <cell r="P29">
            <v>1500</v>
          </cell>
          <cell r="T29" t="str">
            <v>M</v>
          </cell>
        </row>
        <row r="30">
          <cell r="A30" t="str">
            <v>Supplementary Data</v>
          </cell>
        </row>
        <row r="31">
          <cell r="A31" t="str">
            <v>Unadjusted EPS (Pre-Exceptional)</v>
          </cell>
          <cell r="B31">
            <v>0</v>
          </cell>
          <cell r="C31">
            <v>0</v>
          </cell>
          <cell r="D31">
            <v>0</v>
          </cell>
          <cell r="E31">
            <v>0</v>
          </cell>
          <cell r="F31">
            <v>9.3644540556782646E-2</v>
          </cell>
          <cell r="G31">
            <v>7.2429916666666663E-2</v>
          </cell>
          <cell r="H31">
            <v>8.9557466000000016E-2</v>
          </cell>
          <cell r="I31">
            <v>0.1137671626943485</v>
          </cell>
          <cell r="J31">
            <v>9.7156494856605602E-2</v>
          </cell>
          <cell r="K31">
            <v>4.8906801418425135E-2</v>
          </cell>
          <cell r="L31">
            <v>7.6921831894296661E-2</v>
          </cell>
          <cell r="M31">
            <v>6.9652649319546039E-2</v>
          </cell>
          <cell r="N31">
            <v>3.9940597930385367E-2</v>
          </cell>
          <cell r="O31">
            <v>4.8454927613829267E-2</v>
          </cell>
          <cell r="P31">
            <v>4.3693950837234916E-2</v>
          </cell>
          <cell r="T31" t="str">
            <v>M</v>
          </cell>
        </row>
        <row r="32">
          <cell r="A32" t="str">
            <v>Unadjusted EPS</v>
          </cell>
          <cell r="B32" t="e">
            <v>#DIV/0!</v>
          </cell>
          <cell r="C32" t="e">
            <v>#DIV/0!</v>
          </cell>
          <cell r="D32" t="e">
            <v>#DIV/0!</v>
          </cell>
          <cell r="E32" t="e">
            <v>#DIV/0!</v>
          </cell>
          <cell r="F32">
            <v>9.3644540556782646E-2</v>
          </cell>
          <cell r="G32">
            <v>7.2429916666666663E-2</v>
          </cell>
          <cell r="H32">
            <v>8.9557466000000016E-2</v>
          </cell>
          <cell r="I32">
            <v>0.1137671626943485</v>
          </cell>
          <cell r="J32">
            <v>9.7156494856605602E-2</v>
          </cell>
          <cell r="K32">
            <v>4.8906801418425135E-2</v>
          </cell>
          <cell r="L32">
            <v>7.6921831894296661E-2</v>
          </cell>
          <cell r="M32">
            <v>6.9652649319546039E-2</v>
          </cell>
          <cell r="N32">
            <v>3.9940597930385367E-2</v>
          </cell>
          <cell r="O32">
            <v>4.8454927613829267E-2</v>
          </cell>
          <cell r="P32">
            <v>4.3693950837234916E-2</v>
          </cell>
          <cell r="T32" t="str">
            <v>M</v>
          </cell>
        </row>
        <row r="33">
          <cell r="A33" t="str">
            <v>Unadjusted EPS (Fully Diluted)</v>
          </cell>
          <cell r="B33">
            <v>0</v>
          </cell>
          <cell r="C33">
            <v>0</v>
          </cell>
          <cell r="D33">
            <v>0</v>
          </cell>
          <cell r="E33">
            <v>0</v>
          </cell>
          <cell r="F33">
            <v>9.3644540556782646E-2</v>
          </cell>
          <cell r="G33">
            <v>7.2429916666666663E-2</v>
          </cell>
          <cell r="H33">
            <v>8.9557466000000016E-2</v>
          </cell>
          <cell r="I33">
            <v>0.1137671626943485</v>
          </cell>
          <cell r="J33">
            <v>9.7156494856605602E-2</v>
          </cell>
          <cell r="K33">
            <v>4.8906801418425135E-2</v>
          </cell>
          <cell r="L33">
            <v>7.6921831894296661E-2</v>
          </cell>
          <cell r="M33">
            <v>6.9652649319546039E-2</v>
          </cell>
          <cell r="N33">
            <v>3.9940597930385367E-2</v>
          </cell>
          <cell r="O33">
            <v>4.8454927613829267E-2</v>
          </cell>
          <cell r="P33">
            <v>4.3693950837234916E-2</v>
          </cell>
          <cell r="T33" t="str">
            <v>-</v>
          </cell>
        </row>
        <row r="34">
          <cell r="A34" t="str">
            <v>Unadjusted Cash EPS</v>
          </cell>
          <cell r="B34">
            <v>0</v>
          </cell>
          <cell r="C34">
            <v>0</v>
          </cell>
          <cell r="D34">
            <v>0</v>
          </cell>
          <cell r="E34">
            <v>0</v>
          </cell>
          <cell r="F34">
            <v>6.8760099223449292E-2</v>
          </cell>
          <cell r="G34">
            <v>5.6687937333333306E-2</v>
          </cell>
          <cell r="H34">
            <v>6.8211373333333367E-2</v>
          </cell>
          <cell r="I34">
            <v>9.6879883361015176E-2</v>
          </cell>
          <cell r="J34">
            <v>9.9588371523272295E-2</v>
          </cell>
          <cell r="K34">
            <v>5.4516134751758483E-2</v>
          </cell>
          <cell r="L34">
            <v>5.6464971229404436E-2</v>
          </cell>
          <cell r="M34">
            <v>5.8138148129466168E-2</v>
          </cell>
          <cell r="N34">
            <v>5.0529930761067009E-2</v>
          </cell>
          <cell r="O34">
            <v>7.2875985097795221E-2</v>
          </cell>
          <cell r="P34">
            <v>6.7919564491391568E-2</v>
          </cell>
          <cell r="T34" t="str">
            <v>F</v>
          </cell>
        </row>
        <row r="35">
          <cell r="A35" t="str">
            <v>Unadjusted Net DPS</v>
          </cell>
          <cell r="B35">
            <v>0</v>
          </cell>
          <cell r="C35">
            <v>0</v>
          </cell>
          <cell r="D35">
            <v>0</v>
          </cell>
          <cell r="E35">
            <v>0</v>
          </cell>
          <cell r="F35">
            <v>6.0000000000000001E-3</v>
          </cell>
          <cell r="G35">
            <v>7.0000000000000001E-3</v>
          </cell>
          <cell r="H35">
            <v>7.0000000000000001E-3</v>
          </cell>
          <cell r="I35">
            <v>8.0000000000000002E-3</v>
          </cell>
          <cell r="J35">
            <v>8.0000000000000002E-3</v>
          </cell>
          <cell r="K35">
            <v>8.0000000000000002E-3</v>
          </cell>
          <cell r="L35">
            <v>0.3799346666666667</v>
          </cell>
          <cell r="M35">
            <v>3.482632465977302E-2</v>
          </cell>
          <cell r="N35">
            <v>1.9970298965192684E-2</v>
          </cell>
          <cell r="O35">
            <v>2.1333333333333333E-2</v>
          </cell>
          <cell r="P35">
            <v>3.1666666666666669E-2</v>
          </cell>
          <cell r="T35" t="str">
            <v>M</v>
          </cell>
        </row>
        <row r="36">
          <cell r="A36" t="str">
            <v>Dividend Tax Credit</v>
          </cell>
          <cell r="B36">
            <v>31</v>
          </cell>
          <cell r="C36">
            <v>31</v>
          </cell>
          <cell r="D36">
            <v>30</v>
          </cell>
          <cell r="E36">
            <v>27</v>
          </cell>
          <cell r="F36">
            <v>27</v>
          </cell>
          <cell r="G36">
            <v>27</v>
          </cell>
          <cell r="H36">
            <v>26</v>
          </cell>
          <cell r="I36">
            <v>26</v>
          </cell>
          <cell r="J36">
            <v>23.4</v>
          </cell>
          <cell r="K36">
            <v>25.5</v>
          </cell>
          <cell r="L36">
            <v>25.5</v>
          </cell>
          <cell r="M36">
            <v>24.5</v>
          </cell>
          <cell r="N36">
            <v>24.5</v>
          </cell>
          <cell r="O36">
            <v>24.5</v>
          </cell>
          <cell r="P36">
            <v>24.5</v>
          </cell>
          <cell r="T36" t="str">
            <v>-</v>
          </cell>
        </row>
        <row r="37">
          <cell r="A37" t="str">
            <v>Scrip Factor</v>
          </cell>
          <cell r="B37">
            <v>1</v>
          </cell>
          <cell r="C37">
            <v>1</v>
          </cell>
          <cell r="D37">
            <v>1</v>
          </cell>
          <cell r="E37">
            <v>1</v>
          </cell>
          <cell r="F37">
            <v>1</v>
          </cell>
          <cell r="G37">
            <v>1</v>
          </cell>
          <cell r="H37">
            <v>1</v>
          </cell>
          <cell r="I37">
            <v>1</v>
          </cell>
          <cell r="J37">
            <v>1</v>
          </cell>
          <cell r="K37">
            <v>1</v>
          </cell>
          <cell r="L37">
            <v>1</v>
          </cell>
          <cell r="M37">
            <v>1</v>
          </cell>
          <cell r="N37">
            <v>1</v>
          </cell>
          <cell r="O37">
            <v>1</v>
          </cell>
          <cell r="P37">
            <v>1</v>
          </cell>
          <cell r="T37" t="str">
            <v>M</v>
          </cell>
        </row>
        <row r="38">
          <cell r="A38" t="str">
            <v>Balance Sheet</v>
          </cell>
        </row>
        <row r="39">
          <cell r="A39" t="str">
            <v>Net Tangible Fixed Assets</v>
          </cell>
          <cell r="B39" t="str">
            <v>Missing</v>
          </cell>
          <cell r="C39">
            <v>0</v>
          </cell>
          <cell r="D39">
            <v>0</v>
          </cell>
          <cell r="E39">
            <v>0</v>
          </cell>
          <cell r="F39">
            <v>13.691491000000001</v>
          </cell>
          <cell r="G39">
            <v>14.535238</v>
          </cell>
          <cell r="H39">
            <v>19.107776000000001</v>
          </cell>
          <cell r="I39">
            <v>15.287905</v>
          </cell>
          <cell r="J39">
            <v>21.304207999999999</v>
          </cell>
          <cell r="K39">
            <v>1137.9870090099998</v>
          </cell>
          <cell r="L39">
            <v>1075.6320000000001</v>
          </cell>
          <cell r="M39">
            <v>1140.6500000000001</v>
          </cell>
          <cell r="N39">
            <v>1383.1714406850708</v>
          </cell>
          <cell r="O39">
            <v>1233.7345459496898</v>
          </cell>
          <cell r="P39">
            <v>1321.413167357852</v>
          </cell>
          <cell r="Q39" t="str">
            <v>Missing</v>
          </cell>
          <cell r="R39" t="str">
            <v>Missing</v>
          </cell>
          <cell r="T39" t="str">
            <v>M</v>
          </cell>
          <cell r="U39" t="str">
            <v>TFA.USER</v>
          </cell>
          <cell r="V39" t="b">
            <v>1</v>
          </cell>
          <cell r="X39" t="b">
            <v>0</v>
          </cell>
          <cell r="AA39" t="b">
            <v>0</v>
          </cell>
          <cell r="AB39" t="b">
            <v>0</v>
          </cell>
          <cell r="AC39">
            <v>1</v>
          </cell>
        </row>
        <row r="40">
          <cell r="A40" t="str">
            <v>Net Intangible Fixed Assets</v>
          </cell>
          <cell r="B40" t="str">
            <v>Missing</v>
          </cell>
          <cell r="C40">
            <v>0</v>
          </cell>
          <cell r="D40">
            <v>0</v>
          </cell>
          <cell r="E40">
            <v>0</v>
          </cell>
          <cell r="F40">
            <v>0</v>
          </cell>
          <cell r="G40">
            <v>0</v>
          </cell>
          <cell r="H40">
            <v>0</v>
          </cell>
          <cell r="I40">
            <v>0</v>
          </cell>
          <cell r="J40">
            <v>0</v>
          </cell>
          <cell r="K40">
            <v>0</v>
          </cell>
          <cell r="L40">
            <v>0</v>
          </cell>
          <cell r="M40">
            <v>0</v>
          </cell>
          <cell r="N40">
            <v>60</v>
          </cell>
          <cell r="O40">
            <v>57</v>
          </cell>
          <cell r="P40">
            <v>54</v>
          </cell>
          <cell r="Q40" t="str">
            <v>Missing</v>
          </cell>
          <cell r="R40" t="str">
            <v>Missing</v>
          </cell>
          <cell r="T40" t="str">
            <v>M</v>
          </cell>
          <cell r="U40" t="str">
            <v>IFA.USER</v>
          </cell>
          <cell r="V40" t="b">
            <v>1</v>
          </cell>
          <cell r="X40" t="b">
            <v>0</v>
          </cell>
          <cell r="AA40" t="b">
            <v>0</v>
          </cell>
          <cell r="AB40" t="b">
            <v>0</v>
          </cell>
          <cell r="AC40">
            <v>1</v>
          </cell>
        </row>
        <row r="41">
          <cell r="A41" t="str">
            <v>Investments/Other Assets</v>
          </cell>
          <cell r="B41" t="str">
            <v>Missing</v>
          </cell>
          <cell r="C41">
            <v>0</v>
          </cell>
          <cell r="D41">
            <v>0</v>
          </cell>
          <cell r="E41">
            <v>0</v>
          </cell>
          <cell r="F41">
            <v>382.89515</v>
          </cell>
          <cell r="G41">
            <v>463.61120399999999</v>
          </cell>
          <cell r="H41">
            <v>523.98339999999996</v>
          </cell>
          <cell r="I41">
            <v>689.73859100000004</v>
          </cell>
          <cell r="J41">
            <v>334.96666699999997</v>
          </cell>
          <cell r="K41">
            <v>421.34399999999999</v>
          </cell>
          <cell r="L41">
            <v>0</v>
          </cell>
          <cell r="M41">
            <v>0</v>
          </cell>
          <cell r="N41">
            <v>15</v>
          </cell>
          <cell r="O41">
            <v>0</v>
          </cell>
          <cell r="P41">
            <v>0</v>
          </cell>
          <cell r="Q41" t="str">
            <v>Missing</v>
          </cell>
          <cell r="R41" t="str">
            <v>Missing</v>
          </cell>
          <cell r="T41" t="str">
            <v>M</v>
          </cell>
          <cell r="U41" t="str">
            <v>IOA.USER</v>
          </cell>
          <cell r="V41" t="b">
            <v>1</v>
          </cell>
          <cell r="X41" t="b">
            <v>0</v>
          </cell>
          <cell r="AA41" t="b">
            <v>0</v>
          </cell>
          <cell r="AB41" t="b">
            <v>0</v>
          </cell>
          <cell r="AC41">
            <v>1</v>
          </cell>
        </row>
        <row r="42">
          <cell r="A42" t="str">
            <v>Net Working Capital</v>
          </cell>
          <cell r="B42" t="str">
            <v>Missing</v>
          </cell>
          <cell r="C42">
            <v>0</v>
          </cell>
          <cell r="D42">
            <v>0</v>
          </cell>
          <cell r="E42">
            <v>0</v>
          </cell>
          <cell r="F42">
            <v>-5.0632100000000051</v>
          </cell>
          <cell r="G42">
            <v>-21.870375999999993</v>
          </cell>
          <cell r="H42">
            <v>-26.713449000000004</v>
          </cell>
          <cell r="I42">
            <v>-47.518145699999998</v>
          </cell>
          <cell r="J42">
            <v>-28.747360999999998</v>
          </cell>
          <cell r="K42">
            <v>-101.58600000000001</v>
          </cell>
          <cell r="L42">
            <v>-67.645999999999987</v>
          </cell>
          <cell r="M42">
            <v>-56.707000000000008</v>
          </cell>
          <cell r="N42">
            <v>-15.180939122985492</v>
          </cell>
          <cell r="O42">
            <v>-35.066201825200523</v>
          </cell>
          <cell r="P42">
            <v>-36.713324874645835</v>
          </cell>
          <cell r="Q42" t="str">
            <v>Missing</v>
          </cell>
          <cell r="R42" t="str">
            <v>Missing</v>
          </cell>
          <cell r="T42" t="str">
            <v>M</v>
          </cell>
          <cell r="U42" t="str">
            <v>NWC.USER</v>
          </cell>
          <cell r="V42" t="b">
            <v>1</v>
          </cell>
          <cell r="X42" t="b">
            <v>0</v>
          </cell>
          <cell r="AA42" t="b">
            <v>0</v>
          </cell>
          <cell r="AB42" t="b">
            <v>0</v>
          </cell>
          <cell r="AC42">
            <v>1</v>
          </cell>
        </row>
        <row r="43">
          <cell r="A43" t="str">
            <v>Net Capital Employed</v>
          </cell>
          <cell r="B43" t="e">
            <v>#VALUE!</v>
          </cell>
          <cell r="C43">
            <v>0</v>
          </cell>
          <cell r="D43">
            <v>0</v>
          </cell>
          <cell r="E43">
            <v>0</v>
          </cell>
          <cell r="F43">
            <v>391.52343099999996</v>
          </cell>
          <cell r="G43">
            <v>456.27606600000001</v>
          </cell>
          <cell r="H43">
            <v>516.37772699999994</v>
          </cell>
          <cell r="I43">
            <v>657.50835030000007</v>
          </cell>
          <cell r="J43">
            <v>327.52351399999998</v>
          </cell>
          <cell r="K43">
            <v>1457.7450090099999</v>
          </cell>
          <cell r="L43">
            <v>1007.9860000000001</v>
          </cell>
          <cell r="M43">
            <v>1083.943</v>
          </cell>
          <cell r="N43">
            <v>1442.9905015620852</v>
          </cell>
          <cell r="O43">
            <v>1255.6683441244893</v>
          </cell>
          <cell r="P43">
            <v>1338.6998424832061</v>
          </cell>
          <cell r="Q43" t="e">
            <v>#VALUE!</v>
          </cell>
          <cell r="R43" t="e">
            <v>#VALUE!</v>
          </cell>
          <cell r="U43" t="str">
            <v>NCAPMP.USER</v>
          </cell>
          <cell r="V43" t="b">
            <v>1</v>
          </cell>
          <cell r="W43" t="str">
            <v>=tangible_fixed_assets+intangible_fixed_assets+investments_other_assets+net_working_capital</v>
          </cell>
          <cell r="X43" t="b">
            <v>0</v>
          </cell>
          <cell r="Y43" t="str">
            <v>=tangible_fixed_assets+intangible_fixed_assets+investments_other_assets+net_working_capital</v>
          </cell>
          <cell r="Z43" t="str">
            <v>=tangible_fixed_assets+intangible_fixed_assets+investments_other_assets+net_working_capital</v>
          </cell>
          <cell r="AA43" t="b">
            <v>1</v>
          </cell>
          <cell r="AB43" t="b">
            <v>1</v>
          </cell>
          <cell r="AC43">
            <v>1</v>
          </cell>
        </row>
        <row r="44">
          <cell r="A44" t="str">
            <v>Net Cash (Debt)</v>
          </cell>
          <cell r="B44">
            <v>0</v>
          </cell>
          <cell r="C44">
            <v>0</v>
          </cell>
          <cell r="D44">
            <v>0</v>
          </cell>
          <cell r="E44">
            <v>0</v>
          </cell>
          <cell r="F44">
            <v>254.22360500000002</v>
          </cell>
          <cell r="G44">
            <v>294.70843099999996</v>
          </cell>
          <cell r="H44">
            <v>368.71621899999997</v>
          </cell>
          <cell r="I44">
            <v>392.37270100000001</v>
          </cell>
          <cell r="J44">
            <v>389.16900199999998</v>
          </cell>
          <cell r="K44">
            <v>-206.75500000000017</v>
          </cell>
          <cell r="L44">
            <v>334.77100000000019</v>
          </cell>
          <cell r="M44">
            <v>-242.14600000000002</v>
          </cell>
          <cell r="N44">
            <v>-326.50886856457385</v>
          </cell>
          <cell r="O44">
            <v>-396.6291977033917</v>
          </cell>
          <cell r="P44">
            <v>-431.44855334725673</v>
          </cell>
          <cell r="T44" t="str">
            <v>M</v>
          </cell>
        </row>
        <row r="45">
          <cell r="A45" t="str">
            <v>Provisions</v>
          </cell>
          <cell r="B45" t="str">
            <v>Missing</v>
          </cell>
          <cell r="C45" t="str">
            <v>Missing</v>
          </cell>
          <cell r="D45" t="str">
            <v>Missing</v>
          </cell>
          <cell r="E45" t="str">
            <v>Missing</v>
          </cell>
          <cell r="F45">
            <v>-26.002909000000002</v>
          </cell>
          <cell r="G45">
            <v>-28.334444999999999</v>
          </cell>
          <cell r="H45">
            <v>-37.910245000000003</v>
          </cell>
          <cell r="I45">
            <v>-23.049600000000002</v>
          </cell>
          <cell r="J45">
            <v>-35.394432000000002</v>
          </cell>
          <cell r="K45">
            <v>-17.702000000000002</v>
          </cell>
          <cell r="L45">
            <v>-5.617</v>
          </cell>
          <cell r="M45">
            <v>-2.024</v>
          </cell>
          <cell r="N45">
            <v>-3.8344250406760443</v>
          </cell>
          <cell r="O45">
            <v>-3.8573175964830435</v>
          </cell>
          <cell r="P45">
            <v>-4.1319918155449651</v>
          </cell>
          <cell r="Q45" t="str">
            <v>Missing</v>
          </cell>
          <cell r="R45" t="str">
            <v>Missing</v>
          </cell>
          <cell r="T45" t="str">
            <v>M</v>
          </cell>
          <cell r="U45" t="str">
            <v>PROVBL.USER</v>
          </cell>
          <cell r="V45" t="b">
            <v>1</v>
          </cell>
          <cell r="X45" t="b">
            <v>0</v>
          </cell>
          <cell r="AA45" t="b">
            <v>0</v>
          </cell>
          <cell r="AB45" t="b">
            <v>0</v>
          </cell>
          <cell r="AC45">
            <v>1</v>
          </cell>
        </row>
        <row r="46">
          <cell r="A46" t="str">
            <v>Other Liabilities</v>
          </cell>
          <cell r="B46" t="str">
            <v>Missing</v>
          </cell>
          <cell r="C46" t="str">
            <v>Missing</v>
          </cell>
          <cell r="D46" t="str">
            <v>Missing</v>
          </cell>
          <cell r="E46" t="str">
            <v>Missing</v>
          </cell>
          <cell r="F46">
            <v>-15.650843</v>
          </cell>
          <cell r="G46">
            <v>-20.411892999999999</v>
          </cell>
          <cell r="H46">
            <v>-20.542472</v>
          </cell>
          <cell r="I46">
            <v>-22.042472</v>
          </cell>
          <cell r="J46">
            <v>-22.762471999999999</v>
          </cell>
          <cell r="K46">
            <v>-492.09247200000004</v>
          </cell>
          <cell r="L46">
            <v>-1050.4985988600001</v>
          </cell>
          <cell r="M46">
            <v>-500.93167199999999</v>
          </cell>
          <cell r="N46">
            <v>-26.245197180732379</v>
          </cell>
          <cell r="O46">
            <v>-24.485118189894223</v>
          </cell>
          <cell r="P46">
            <v>-26.961566249156903</v>
          </cell>
          <cell r="Q46" t="str">
            <v>Missing</v>
          </cell>
          <cell r="R46" t="str">
            <v>Missing</v>
          </cell>
          <cell r="T46" t="str">
            <v>M</v>
          </cell>
          <cell r="U46" t="str">
            <v>OLTL.USER</v>
          </cell>
          <cell r="V46" t="b">
            <v>1</v>
          </cell>
          <cell r="X46" t="b">
            <v>0</v>
          </cell>
          <cell r="AA46" t="b">
            <v>0</v>
          </cell>
          <cell r="AB46" t="b">
            <v>0</v>
          </cell>
          <cell r="AC46">
            <v>1</v>
          </cell>
        </row>
        <row r="47">
          <cell r="A47" t="str">
            <v>Total Equity</v>
          </cell>
          <cell r="B47" t="e">
            <v>#VALUE!</v>
          </cell>
          <cell r="C47" t="e">
            <v>#VALUE!</v>
          </cell>
          <cell r="D47" t="e">
            <v>#VALUE!</v>
          </cell>
          <cell r="E47" t="e">
            <v>#VALUE!</v>
          </cell>
          <cell r="F47">
            <v>604.09328399999993</v>
          </cell>
          <cell r="G47">
            <v>702.238159</v>
          </cell>
          <cell r="H47">
            <v>826.64122899999995</v>
          </cell>
          <cell r="I47">
            <v>1004.7889793000001</v>
          </cell>
          <cell r="J47">
            <v>658.5356119999999</v>
          </cell>
          <cell r="K47">
            <v>741.19553700999973</v>
          </cell>
          <cell r="L47">
            <v>286.6414011400002</v>
          </cell>
          <cell r="M47">
            <v>338.84132800000003</v>
          </cell>
          <cell r="N47">
            <v>1086.402010776103</v>
          </cell>
          <cell r="O47">
            <v>830.69671063472026</v>
          </cell>
          <cell r="P47">
            <v>876.15773107124744</v>
          </cell>
          <cell r="Q47" t="e">
            <v>#VALUE!</v>
          </cell>
          <cell r="R47" t="e">
            <v>#VALUE!</v>
          </cell>
          <cell r="U47" t="str">
            <v>EQCAP.USER</v>
          </cell>
          <cell r="V47" t="b">
            <v>1</v>
          </cell>
          <cell r="W47" t="str">
            <v>=net_capital_employed+net_debt+provisions+other_long_term_liabilities</v>
          </cell>
          <cell r="X47" t="b">
            <v>0</v>
          </cell>
          <cell r="Y47" t="str">
            <v>=net_capital_employed+net_debt+provisions+other_long_term_liabilities</v>
          </cell>
          <cell r="Z47" t="str">
            <v>=net_capital_employed+net_debt+provisions+other_long_term_liabilities</v>
          </cell>
          <cell r="AA47" t="b">
            <v>1</v>
          </cell>
          <cell r="AB47" t="b">
            <v>1</v>
          </cell>
          <cell r="AC47">
            <v>1</v>
          </cell>
        </row>
        <row r="48">
          <cell r="A48" t="str">
            <v>Minority Interests</v>
          </cell>
          <cell r="B48" t="str">
            <v>Missing</v>
          </cell>
          <cell r="C48" t="str">
            <v>Missing</v>
          </cell>
          <cell r="D48" t="str">
            <v>Missing</v>
          </cell>
          <cell r="E48" t="str">
            <v>Missing</v>
          </cell>
          <cell r="F48">
            <v>0</v>
          </cell>
          <cell r="G48">
            <v>0</v>
          </cell>
          <cell r="H48">
            <v>0</v>
          </cell>
          <cell r="I48">
            <v>0</v>
          </cell>
          <cell r="J48">
            <v>0</v>
          </cell>
          <cell r="K48">
            <v>0</v>
          </cell>
          <cell r="L48">
            <v>0</v>
          </cell>
          <cell r="M48">
            <v>0</v>
          </cell>
          <cell r="N48">
            <v>-3.52</v>
          </cell>
          <cell r="O48">
            <v>0</v>
          </cell>
          <cell r="P48">
            <v>0</v>
          </cell>
          <cell r="Q48" t="str">
            <v>Missing</v>
          </cell>
          <cell r="R48" t="str">
            <v>Missing</v>
          </cell>
          <cell r="T48" t="str">
            <v>M</v>
          </cell>
          <cell r="U48" t="str">
            <v>MININT.USER</v>
          </cell>
          <cell r="V48" t="b">
            <v>1</v>
          </cell>
          <cell r="X48" t="b">
            <v>0</v>
          </cell>
          <cell r="AA48" t="b">
            <v>0</v>
          </cell>
          <cell r="AB48" t="b">
            <v>0</v>
          </cell>
          <cell r="AC48">
            <v>1</v>
          </cell>
        </row>
        <row r="49">
          <cell r="A49" t="str">
            <v>Shareholders Funds</v>
          </cell>
          <cell r="B49" t="e">
            <v>#VALUE!</v>
          </cell>
          <cell r="C49" t="e">
            <v>#VALUE!</v>
          </cell>
          <cell r="D49" t="e">
            <v>#VALUE!</v>
          </cell>
          <cell r="E49" t="e">
            <v>#VALUE!</v>
          </cell>
          <cell r="F49">
            <v>604.09328399999993</v>
          </cell>
          <cell r="G49">
            <v>702.238159</v>
          </cell>
          <cell r="H49">
            <v>826.64122899999995</v>
          </cell>
          <cell r="I49">
            <v>1004.7889793000001</v>
          </cell>
          <cell r="J49">
            <v>658.5356119999999</v>
          </cell>
          <cell r="K49">
            <v>741.19553700999973</v>
          </cell>
          <cell r="L49">
            <v>286.6414011400002</v>
          </cell>
          <cell r="M49">
            <v>338.84132800000003</v>
          </cell>
          <cell r="N49">
            <v>1082.882010776103</v>
          </cell>
          <cell r="O49">
            <v>830.69671063472026</v>
          </cell>
          <cell r="P49">
            <v>876.15773107124744</v>
          </cell>
        </row>
        <row r="51">
          <cell r="A51" t="str">
            <v>Net Debt</v>
          </cell>
          <cell r="B51">
            <v>0</v>
          </cell>
          <cell r="C51">
            <v>0</v>
          </cell>
          <cell r="D51">
            <v>0</v>
          </cell>
          <cell r="E51">
            <v>0</v>
          </cell>
          <cell r="F51">
            <v>252.05238600000001</v>
          </cell>
          <cell r="G51">
            <v>291.59648299999998</v>
          </cell>
          <cell r="H51">
            <v>367.30651599999999</v>
          </cell>
          <cell r="I51">
            <v>390.281203</v>
          </cell>
          <cell r="J51">
            <v>389.16900199999998</v>
          </cell>
          <cell r="K51">
            <v>-206.75500000000022</v>
          </cell>
          <cell r="L51">
            <v>334.77100000000019</v>
          </cell>
          <cell r="M51">
            <v>-242.14600000000002</v>
          </cell>
          <cell r="N51">
            <v>329.00886856457385</v>
          </cell>
          <cell r="O51">
            <v>396.6291977033917</v>
          </cell>
          <cell r="P51">
            <v>431.44855334725673</v>
          </cell>
          <cell r="T51" t="str">
            <v>F</v>
          </cell>
        </row>
        <row r="52">
          <cell r="A52" t="str">
            <v>Net Assets</v>
          </cell>
          <cell r="B52">
            <v>0</v>
          </cell>
          <cell r="C52">
            <v>0</v>
          </cell>
          <cell r="D52">
            <v>0</v>
          </cell>
          <cell r="E52">
            <v>0</v>
          </cell>
          <cell r="F52">
            <v>13.691491000000001</v>
          </cell>
          <cell r="G52">
            <v>14.535238</v>
          </cell>
          <cell r="H52">
            <v>19.107776000000001</v>
          </cell>
          <cell r="I52">
            <v>15.287905</v>
          </cell>
          <cell r="J52">
            <v>21.304207999999999</v>
          </cell>
          <cell r="K52">
            <v>1137.9870090099998</v>
          </cell>
          <cell r="L52">
            <v>1075.6320000000001</v>
          </cell>
          <cell r="M52">
            <v>1140.6500000000001</v>
          </cell>
          <cell r="N52">
            <v>1443.1714406850708</v>
          </cell>
          <cell r="O52">
            <v>1290.7345459496898</v>
          </cell>
          <cell r="P52">
            <v>1375.413167357852</v>
          </cell>
          <cell r="T52" t="str">
            <v>-</v>
          </cell>
        </row>
        <row r="53">
          <cell r="A53" t="str">
            <v>Gearing</v>
          </cell>
          <cell r="B53" t="e">
            <v>#DIV/0!</v>
          </cell>
          <cell r="C53" t="e">
            <v>#DIV/0!</v>
          </cell>
          <cell r="D53" t="e">
            <v>#DIV/0!</v>
          </cell>
          <cell r="E53" t="e">
            <v>#DIV/0!</v>
          </cell>
          <cell r="F53">
            <v>-1856.8000008180263</v>
          </cell>
          <cell r="G53">
            <v>-2027.5445850972649</v>
          </cell>
          <cell r="H53">
            <v>-1929.6658020274049</v>
          </cell>
          <cell r="I53">
            <v>-2566.5563790460501</v>
          </cell>
          <cell r="J53">
            <v>-1826.7236313126496</v>
          </cell>
          <cell r="K53">
            <v>18.168485084892858</v>
          </cell>
          <cell r="L53">
            <v>-31.123190831064917</v>
          </cell>
          <cell r="M53">
            <v>21.22877306798755</v>
          </cell>
          <cell r="N53">
            <v>22.624399247367361</v>
          </cell>
          <cell r="O53">
            <v>30.728951893943613</v>
          </cell>
          <cell r="P53">
            <v>31.368650787025903</v>
          </cell>
          <cell r="T53" t="str">
            <v>F</v>
          </cell>
        </row>
        <row r="54">
          <cell r="A54" t="str">
            <v>Net Asset Value Per Share</v>
          </cell>
          <cell r="B54" t="e">
            <v>#VALUE!</v>
          </cell>
          <cell r="C54" t="e">
            <v>#VALUE!</v>
          </cell>
          <cell r="D54" t="e">
            <v>#VALUE!</v>
          </cell>
          <cell r="E54" t="e">
            <v>#VALUE!</v>
          </cell>
          <cell r="F54">
            <v>0.40272885599999997</v>
          </cell>
          <cell r="G54">
            <v>0.46815877266666667</v>
          </cell>
          <cell r="H54">
            <v>0.55109415266666661</v>
          </cell>
          <cell r="I54">
            <v>0.66985931953333333</v>
          </cell>
          <cell r="J54">
            <v>0.43902374133333327</v>
          </cell>
          <cell r="K54">
            <v>0.49413035800666649</v>
          </cell>
          <cell r="L54">
            <v>0.1910942674266668</v>
          </cell>
          <cell r="M54">
            <v>0.2258942186666667</v>
          </cell>
          <cell r="N54">
            <v>0.72192134051740198</v>
          </cell>
          <cell r="O54">
            <v>0.55379780708981352</v>
          </cell>
          <cell r="P54">
            <v>0.5841051540474983</v>
          </cell>
          <cell r="T54" t="str">
            <v>-</v>
          </cell>
        </row>
        <row r="55">
          <cell r="A55" t="str">
            <v>Capital Employed</v>
          </cell>
          <cell r="B55" t="str">
            <v>Missing</v>
          </cell>
          <cell r="C55" t="str">
            <v>Missing</v>
          </cell>
          <cell r="D55">
            <v>0</v>
          </cell>
          <cell r="E55">
            <v>0</v>
          </cell>
          <cell r="F55" t="e">
            <v>#REF!</v>
          </cell>
          <cell r="G55" t="e">
            <v>#REF!</v>
          </cell>
          <cell r="H55" t="e">
            <v>#REF!</v>
          </cell>
          <cell r="I55" t="e">
            <v>#REF!</v>
          </cell>
          <cell r="J55" t="e">
            <v>#REF!</v>
          </cell>
          <cell r="K55" t="e">
            <v>#REF!</v>
          </cell>
          <cell r="L55" t="e">
            <v>#REF!</v>
          </cell>
          <cell r="M55" t="e">
            <v>#REF!</v>
          </cell>
          <cell r="N55" t="e">
            <v>#REF!</v>
          </cell>
          <cell r="O55" t="e">
            <v>#REF!</v>
          </cell>
          <cell r="P55" t="e">
            <v>#REF!</v>
          </cell>
          <cell r="T55" t="str">
            <v>F</v>
          </cell>
        </row>
        <row r="56">
          <cell r="A56" t="str">
            <v>Return On Capital Employed</v>
          </cell>
          <cell r="B56" t="e">
            <v>#VALUE!</v>
          </cell>
          <cell r="C56" t="e">
            <v>#VALUE!</v>
          </cell>
          <cell r="D56" t="e">
            <v>#VALUE!</v>
          </cell>
          <cell r="E56" t="e">
            <v>#DIV/0!</v>
          </cell>
          <cell r="F56" t="e">
            <v>#REF!</v>
          </cell>
          <cell r="G56" t="e">
            <v>#REF!</v>
          </cell>
          <cell r="H56" t="e">
            <v>#REF!</v>
          </cell>
          <cell r="I56" t="e">
            <v>#REF!</v>
          </cell>
          <cell r="J56" t="e">
            <v>#REF!</v>
          </cell>
          <cell r="K56" t="e">
            <v>#REF!</v>
          </cell>
          <cell r="L56" t="e">
            <v>#REF!</v>
          </cell>
          <cell r="M56" t="e">
            <v>#REF!</v>
          </cell>
          <cell r="N56" t="e">
            <v>#REF!</v>
          </cell>
          <cell r="O56" t="e">
            <v>#REF!</v>
          </cell>
          <cell r="P56" t="e">
            <v>#REF!</v>
          </cell>
          <cell r="T56" t="str">
            <v>F</v>
          </cell>
        </row>
        <row r="57">
          <cell r="A57" t="str">
            <v>Cash Flow</v>
          </cell>
        </row>
        <row r="58">
          <cell r="A58" t="str">
            <v>Trading Profit</v>
          </cell>
          <cell r="B58">
            <v>0</v>
          </cell>
          <cell r="C58">
            <v>0</v>
          </cell>
          <cell r="D58">
            <v>0</v>
          </cell>
          <cell r="E58">
            <v>0</v>
          </cell>
          <cell r="F58">
            <v>103.14014883517395</v>
          </cell>
          <cell r="G58">
            <v>85.031905999999964</v>
          </cell>
          <cell r="H58">
            <v>102.31706000000004</v>
          </cell>
          <cell r="I58">
            <v>145.31982504152276</v>
          </cell>
          <cell r="J58">
            <v>149.38255728490844</v>
          </cell>
          <cell r="K58">
            <v>81.774202127637722</v>
          </cell>
          <cell r="L58">
            <v>84.697456844106654</v>
          </cell>
          <cell r="M58">
            <v>87.207222194199247</v>
          </cell>
          <cell r="N58">
            <v>75.794896141600518</v>
          </cell>
          <cell r="O58">
            <v>109.31397764669283</v>
          </cell>
          <cell r="P58">
            <v>101.87934673708736</v>
          </cell>
        </row>
        <row r="59">
          <cell r="A59" t="str">
            <v>Depreciation</v>
          </cell>
          <cell r="B59">
            <v>0</v>
          </cell>
          <cell r="C59">
            <v>0</v>
          </cell>
          <cell r="D59">
            <v>0</v>
          </cell>
          <cell r="E59">
            <v>0</v>
          </cell>
          <cell r="F59">
            <v>0.66979599999999995</v>
          </cell>
          <cell r="G59">
            <v>0.81186100000000005</v>
          </cell>
          <cell r="H59">
            <v>1.088684</v>
          </cell>
          <cell r="I59">
            <v>1.659745</v>
          </cell>
          <cell r="J59">
            <v>2.0688279999999999</v>
          </cell>
          <cell r="K59">
            <v>123.254</v>
          </cell>
          <cell r="L59">
            <v>117.2</v>
          </cell>
          <cell r="M59">
            <v>130.69999999999999</v>
          </cell>
          <cell r="N59">
            <v>136.44166666666666</v>
          </cell>
          <cell r="O59">
            <v>181.19225</v>
          </cell>
          <cell r="P59">
            <v>41.375583333333338</v>
          </cell>
          <cell r="T59">
            <v>0</v>
          </cell>
        </row>
        <row r="60">
          <cell r="A60" t="str">
            <v>Working Capital Movement</v>
          </cell>
          <cell r="D60">
            <v>0</v>
          </cell>
          <cell r="E60">
            <v>0</v>
          </cell>
          <cell r="F60">
            <v>6.8087370000000043</v>
          </cell>
          <cell r="G60">
            <v>16.807165999999988</v>
          </cell>
          <cell r="H60">
            <v>4.8430730000000111</v>
          </cell>
          <cell r="I60">
            <v>20.804696699999994</v>
          </cell>
          <cell r="J60">
            <v>-18.7707847</v>
          </cell>
          <cell r="K60">
            <v>72.838639000000015</v>
          </cell>
          <cell r="L60">
            <v>-33.940000000000026</v>
          </cell>
          <cell r="M60">
            <v>-10.938999999999979</v>
          </cell>
          <cell r="N60">
            <v>-41.526060877014515</v>
          </cell>
          <cell r="O60">
            <v>19.88526270221503</v>
          </cell>
          <cell r="P60">
            <v>1.6471230494453124</v>
          </cell>
          <cell r="T60">
            <v>0</v>
          </cell>
        </row>
        <row r="61">
          <cell r="A61" t="str">
            <v>Other (Operating)</v>
          </cell>
          <cell r="D61">
            <v>0</v>
          </cell>
          <cell r="E61">
            <v>0</v>
          </cell>
          <cell r="F61">
            <v>56.365307999999999</v>
          </cell>
          <cell r="G61">
            <v>29.299089000000009</v>
          </cell>
          <cell r="H61">
            <v>49.131889000000001</v>
          </cell>
          <cell r="I61">
            <v>12.180223999999981</v>
          </cell>
          <cell r="J61">
            <v>10.217184999999972</v>
          </cell>
          <cell r="K61">
            <v>4.2059999999999889</v>
          </cell>
          <cell r="L61">
            <v>61.804199999999994</v>
          </cell>
          <cell r="M61">
            <v>42.587999999999994</v>
          </cell>
          <cell r="N61">
            <v>-6.371013856066682</v>
          </cell>
          <cell r="O61">
            <v>-19.896902917230719</v>
          </cell>
          <cell r="P61">
            <v>-19.921166265759723</v>
          </cell>
          <cell r="T61">
            <v>0</v>
          </cell>
        </row>
        <row r="62">
          <cell r="A62" t="str">
            <v>Operational Cash Flow</v>
          </cell>
          <cell r="B62">
            <v>0</v>
          </cell>
          <cell r="C62">
            <v>0</v>
          </cell>
          <cell r="D62">
            <v>0</v>
          </cell>
          <cell r="E62">
            <v>0</v>
          </cell>
          <cell r="F62">
            <v>166.98398983517396</v>
          </cell>
          <cell r="G62">
            <v>131.95002199999996</v>
          </cell>
          <cell r="H62">
            <v>157.38070600000006</v>
          </cell>
          <cell r="I62">
            <v>179.96449074152272</v>
          </cell>
          <cell r="J62">
            <v>142.89778558490841</v>
          </cell>
          <cell r="K62">
            <v>282.07284112763773</v>
          </cell>
          <cell r="L62">
            <v>229.76165684410665</v>
          </cell>
          <cell r="M62">
            <v>249.55622219419925</v>
          </cell>
          <cell r="N62">
            <v>164.33948807518601</v>
          </cell>
          <cell r="O62">
            <v>290.49458743167713</v>
          </cell>
          <cell r="P62">
            <v>124.9808868541063</v>
          </cell>
          <cell r="T62" t="str">
            <v>-</v>
          </cell>
        </row>
        <row r="64">
          <cell r="A64" t="str">
            <v>Interest Paid</v>
          </cell>
          <cell r="D64">
            <v>0</v>
          </cell>
          <cell r="E64">
            <v>0</v>
          </cell>
          <cell r="F64">
            <v>54.414753000000005</v>
          </cell>
          <cell r="G64">
            <v>37.787031000000006</v>
          </cell>
          <cell r="H64">
            <v>47.561526000000001</v>
          </cell>
          <cell r="I64">
            <v>41.427</v>
          </cell>
          <cell r="J64">
            <v>22.454999999999998</v>
          </cell>
          <cell r="K64">
            <v>20.100000000000001</v>
          </cell>
          <cell r="L64">
            <v>75.171999999999997</v>
          </cell>
          <cell r="M64">
            <v>59.037999999999997</v>
          </cell>
          <cell r="N64">
            <v>5.544040143933314</v>
          </cell>
          <cell r="O64">
            <v>-10.396902917230713</v>
          </cell>
          <cell r="P64">
            <v>-12.421166265759725</v>
          </cell>
          <cell r="T64">
            <v>0</v>
          </cell>
        </row>
        <row r="65">
          <cell r="A65" t="str">
            <v>Dividends Paid</v>
          </cell>
          <cell r="D65">
            <v>0</v>
          </cell>
          <cell r="E65">
            <v>0</v>
          </cell>
          <cell r="F65">
            <v>-9</v>
          </cell>
          <cell r="G65">
            <v>-9</v>
          </cell>
          <cell r="H65">
            <v>-10.5</v>
          </cell>
          <cell r="I65">
            <v>-10.5</v>
          </cell>
          <cell r="J65">
            <v>-12</v>
          </cell>
          <cell r="K65">
            <v>-12</v>
          </cell>
          <cell r="L65">
            <v>-12</v>
          </cell>
          <cell r="M65">
            <v>-569.90200000000004</v>
          </cell>
          <cell r="N65">
            <v>-52.239486989659525</v>
          </cell>
          <cell r="O65">
            <v>-29.955448447789024</v>
          </cell>
          <cell r="P65">
            <v>-32</v>
          </cell>
          <cell r="T65">
            <v>0</v>
          </cell>
        </row>
        <row r="66">
          <cell r="A66" t="str">
            <v>Tax Paid</v>
          </cell>
          <cell r="B66" t="str">
            <v/>
          </cell>
          <cell r="C66" t="str">
            <v/>
          </cell>
          <cell r="D66">
            <v>0</v>
          </cell>
          <cell r="E66">
            <v>0</v>
          </cell>
          <cell r="F66">
            <v>-9.4643660000000001</v>
          </cell>
          <cell r="G66">
            <v>-11.089834</v>
          </cell>
          <cell r="H66">
            <v>-7.6449039999999995</v>
          </cell>
          <cell r="I66">
            <v>-8.8640749999999997</v>
          </cell>
          <cell r="J66">
            <v>-12</v>
          </cell>
          <cell r="K66">
            <v>-17</v>
          </cell>
          <cell r="L66">
            <v>-16</v>
          </cell>
          <cell r="M66">
            <v>-15</v>
          </cell>
          <cell r="N66">
            <v>-14</v>
          </cell>
          <cell r="O66">
            <v>-13</v>
          </cell>
          <cell r="P66">
            <v>-12</v>
          </cell>
          <cell r="T66" t="str">
            <v>-</v>
          </cell>
        </row>
        <row r="67">
          <cell r="A67" t="str">
            <v>Capital Expenditure</v>
          </cell>
          <cell r="B67">
            <v>0</v>
          </cell>
          <cell r="C67">
            <v>0</v>
          </cell>
          <cell r="D67">
            <v>0</v>
          </cell>
          <cell r="E67">
            <v>0</v>
          </cell>
          <cell r="F67">
            <v>-10.436920000000001</v>
          </cell>
          <cell r="G67">
            <v>-1.8663790000000002</v>
          </cell>
          <cell r="H67">
            <v>-2.092625</v>
          </cell>
          <cell r="I67">
            <v>-1.9100669999999997</v>
          </cell>
          <cell r="J67">
            <v>-8.1351309999999994</v>
          </cell>
          <cell r="K67">
            <v>-1222.8400005599999</v>
          </cell>
          <cell r="L67">
            <v>-783</v>
          </cell>
          <cell r="M67">
            <v>-202.00326999999993</v>
          </cell>
          <cell r="N67">
            <v>-354.62802133333344</v>
          </cell>
          <cell r="O67">
            <v>21.974999999999909</v>
          </cell>
          <cell r="P67">
            <v>-88.583333333333144</v>
          </cell>
          <cell r="T67" t="str">
            <v>-</v>
          </cell>
        </row>
        <row r="68">
          <cell r="A68" t="str">
            <v>Net Acquisitions/Disposals</v>
          </cell>
          <cell r="B68">
            <v>0</v>
          </cell>
          <cell r="C68">
            <v>0</v>
          </cell>
          <cell r="D68">
            <v>0</v>
          </cell>
          <cell r="E68">
            <v>0</v>
          </cell>
          <cell r="F68">
            <v>-31.15191999999999</v>
          </cell>
          <cell r="G68">
            <v>-1.7830289999999707</v>
          </cell>
          <cell r="H68">
            <v>-54.007680999999963</v>
          </cell>
          <cell r="I68">
            <v>-100.41571900000008</v>
          </cell>
          <cell r="J68">
            <v>496.68509000000006</v>
          </cell>
          <cell r="K68">
            <v>-226.521388</v>
          </cell>
          <cell r="L68">
            <v>344.60099999999994</v>
          </cell>
          <cell r="M68">
            <v>343.07100000000003</v>
          </cell>
          <cell r="N68">
            <v>-17.5</v>
          </cell>
          <cell r="O68">
            <v>17.5</v>
          </cell>
          <cell r="P68">
            <v>0</v>
          </cell>
          <cell r="T68">
            <v>0</v>
          </cell>
        </row>
        <row r="69">
          <cell r="A69" t="str">
            <v>Other</v>
          </cell>
          <cell r="D69">
            <v>0</v>
          </cell>
          <cell r="E69">
            <v>0</v>
          </cell>
          <cell r="F69">
            <v>-159.582087</v>
          </cell>
          <cell r="G69">
            <v>-107.05674200000001</v>
          </cell>
          <cell r="H69">
            <v>-137.58262200000001</v>
          </cell>
          <cell r="I69">
            <v>-112.39292500000001</v>
          </cell>
          <cell r="J69">
            <v>336.65499999999997</v>
          </cell>
          <cell r="K69">
            <v>500.46400000000006</v>
          </cell>
          <cell r="L69">
            <v>-504.50600000000009</v>
          </cell>
          <cell r="M69">
            <v>-309.51800000000003</v>
          </cell>
          <cell r="N69">
            <v>-622.83404014393329</v>
          </cell>
          <cell r="O69">
            <v>-780.36309708276929</v>
          </cell>
          <cell r="P69">
            <v>-492.64883373424033</v>
          </cell>
          <cell r="T69">
            <v>0</v>
          </cell>
        </row>
        <row r="70">
          <cell r="A70" t="str">
            <v>Share Issues</v>
          </cell>
          <cell r="D70">
            <v>0</v>
          </cell>
          <cell r="E70">
            <v>0</v>
          </cell>
          <cell r="F70">
            <v>-9.9999999747524271E-7</v>
          </cell>
          <cell r="G70">
            <v>0</v>
          </cell>
          <cell r="H70">
            <v>0</v>
          </cell>
          <cell r="I70">
            <v>0</v>
          </cell>
          <cell r="J70">
            <v>-346.24825771509154</v>
          </cell>
          <cell r="K70">
            <v>432.66</v>
          </cell>
          <cell r="L70">
            <v>386.80192686000004</v>
          </cell>
          <cell r="M70">
            <v>342.57</v>
          </cell>
          <cell r="N70">
            <v>0</v>
          </cell>
          <cell r="O70">
            <v>0</v>
          </cell>
          <cell r="P70">
            <v>0</v>
          </cell>
          <cell r="T70">
            <v>0</v>
          </cell>
        </row>
        <row r="71">
          <cell r="A71" t="str">
            <v>Movement in Net Debt/Net Cash</v>
          </cell>
          <cell r="B71" t="e">
            <v>#VALUE!</v>
          </cell>
          <cell r="C71" t="e">
            <v>#VALUE!</v>
          </cell>
          <cell r="D71">
            <v>0</v>
          </cell>
          <cell r="E71">
            <v>0</v>
          </cell>
          <cell r="F71">
            <v>1.7634488351739321</v>
          </cell>
          <cell r="G71">
            <v>38.941068999999999</v>
          </cell>
          <cell r="H71">
            <v>-6.8855999999999256</v>
          </cell>
          <cell r="I71">
            <v>-12.691295258477382</v>
          </cell>
          <cell r="J71">
            <v>620.30948686981696</v>
          </cell>
          <cell r="K71">
            <v>-243.06454743236208</v>
          </cell>
          <cell r="L71">
            <v>-279.16941629589343</v>
          </cell>
          <cell r="M71">
            <v>-102.18804780580075</v>
          </cell>
          <cell r="N71">
            <v>-891.318020247807</v>
          </cell>
          <cell r="O71">
            <v>-503.74586101611197</v>
          </cell>
          <cell r="P71">
            <v>-512.67244647922689</v>
          </cell>
          <cell r="T71" t="str">
            <v>-</v>
          </cell>
        </row>
        <row r="72">
          <cell r="A72" t="str">
            <v>Other Data</v>
          </cell>
        </row>
        <row r="73">
          <cell r="A73" t="str">
            <v>Staff Numbers</v>
          </cell>
          <cell r="B73" t="str">
            <v/>
          </cell>
          <cell r="C73" t="str">
            <v/>
          </cell>
          <cell r="D73" t="str">
            <v/>
          </cell>
          <cell r="E73" t="str">
            <v/>
          </cell>
          <cell r="F73">
            <v>2240</v>
          </cell>
          <cell r="G73">
            <v>2384</v>
          </cell>
          <cell r="H73">
            <v>2615</v>
          </cell>
          <cell r="I73">
            <v>2442</v>
          </cell>
          <cell r="J73">
            <v>2485</v>
          </cell>
          <cell r="K73">
            <v>2545</v>
          </cell>
          <cell r="L73">
            <v>2450</v>
          </cell>
          <cell r="M73">
            <v>2640</v>
          </cell>
          <cell r="N73">
            <v>2650</v>
          </cell>
          <cell r="O73">
            <v>2600</v>
          </cell>
          <cell r="P73">
            <v>2590</v>
          </cell>
          <cell r="T73" t="str">
            <v>-</v>
          </cell>
        </row>
        <row r="74">
          <cell r="A74" t="str">
            <v>Wage Costs</v>
          </cell>
          <cell r="B74" t="str">
            <v/>
          </cell>
          <cell r="C74" t="str">
            <v/>
          </cell>
          <cell r="D74" t="str">
            <v/>
          </cell>
          <cell r="E74" t="str">
            <v/>
          </cell>
          <cell r="F74">
            <v>116.44241452482602</v>
          </cell>
          <cell r="G74">
            <v>99.071545978379547</v>
          </cell>
          <cell r="H74">
            <v>112.76939906819553</v>
          </cell>
          <cell r="I74">
            <v>109.65464495847723</v>
          </cell>
          <cell r="J74">
            <v>120.61084171509165</v>
          </cell>
          <cell r="K74">
            <v>120.01579787236237</v>
          </cell>
          <cell r="L74">
            <v>118.31657929589343</v>
          </cell>
          <cell r="M74">
            <v>143.84551850260067</v>
          </cell>
          <cell r="N74">
            <v>150.00904820445365</v>
          </cell>
          <cell r="O74">
            <v>154.36113588630647</v>
          </cell>
          <cell r="P74">
            <v>162.51023279959614</v>
          </cell>
          <cell r="T74" t="str">
            <v>-</v>
          </cell>
        </row>
        <row r="75">
          <cell r="A75" t="str">
            <v>Geographical Breakdown</v>
          </cell>
        </row>
        <row r="76">
          <cell r="A76" t="str">
            <v>Home Turnover</v>
          </cell>
          <cell r="B76" t="str">
            <v/>
          </cell>
          <cell r="C76" t="str">
            <v/>
          </cell>
          <cell r="D76" t="str">
            <v/>
          </cell>
          <cell r="E76">
            <v>0</v>
          </cell>
          <cell r="F76">
            <v>298.73655400000001</v>
          </cell>
          <cell r="G76">
            <v>252.68</v>
          </cell>
          <cell r="H76">
            <v>280.2</v>
          </cell>
          <cell r="I76">
            <v>336.38097699999997</v>
          </cell>
          <cell r="J76">
            <v>355.16300000000007</v>
          </cell>
          <cell r="K76">
            <v>352.79000000000008</v>
          </cell>
          <cell r="L76">
            <v>367.76700000000005</v>
          </cell>
          <cell r="M76">
            <v>414.05334863999997</v>
          </cell>
          <cell r="N76">
            <v>420.36061261981996</v>
          </cell>
          <cell r="O76">
            <v>643.49528031834666</v>
          </cell>
          <cell r="P76">
            <v>284.45375496111768</v>
          </cell>
          <cell r="T76" t="str">
            <v>-</v>
          </cell>
        </row>
        <row r="77">
          <cell r="A77" t="str">
            <v>Rest Of Asia Turnover</v>
          </cell>
          <cell r="B77" t="str">
            <v/>
          </cell>
          <cell r="C77" t="str">
            <v/>
          </cell>
          <cell r="D77" t="str">
            <v/>
          </cell>
          <cell r="E77">
            <v>0</v>
          </cell>
          <cell r="F77">
            <v>0</v>
          </cell>
          <cell r="G77">
            <v>0</v>
          </cell>
          <cell r="H77">
            <v>0</v>
          </cell>
          <cell r="I77">
            <v>0</v>
          </cell>
          <cell r="J77">
            <v>0</v>
          </cell>
          <cell r="K77">
            <v>0</v>
          </cell>
          <cell r="L77">
            <v>0</v>
          </cell>
          <cell r="M77">
            <v>0</v>
          </cell>
          <cell r="N77">
            <v>0</v>
          </cell>
          <cell r="O77">
            <v>0</v>
          </cell>
          <cell r="P77">
            <v>0</v>
          </cell>
          <cell r="T77" t="str">
            <v>-</v>
          </cell>
        </row>
        <row r="78">
          <cell r="A78" t="str">
            <v>North American Turnover</v>
          </cell>
          <cell r="B78" t="str">
            <v/>
          </cell>
          <cell r="C78" t="str">
            <v/>
          </cell>
          <cell r="D78" t="str">
            <v/>
          </cell>
          <cell r="E78">
            <v>0</v>
          </cell>
          <cell r="F78">
            <v>0</v>
          </cell>
          <cell r="G78">
            <v>0</v>
          </cell>
          <cell r="H78">
            <v>0</v>
          </cell>
          <cell r="I78">
            <v>0</v>
          </cell>
          <cell r="J78">
            <v>0</v>
          </cell>
          <cell r="K78">
            <v>0</v>
          </cell>
          <cell r="L78">
            <v>0</v>
          </cell>
          <cell r="M78">
            <v>0</v>
          </cell>
          <cell r="N78">
            <v>0</v>
          </cell>
          <cell r="O78">
            <v>0</v>
          </cell>
          <cell r="P78">
            <v>0</v>
          </cell>
          <cell r="T78" t="str">
            <v>-</v>
          </cell>
        </row>
        <row r="79">
          <cell r="A79" t="str">
            <v>Rest Of The World Turnover</v>
          </cell>
          <cell r="B79" t="str">
            <v/>
          </cell>
          <cell r="C79" t="str">
            <v/>
          </cell>
          <cell r="D79" t="str">
            <v/>
          </cell>
          <cell r="E79">
            <v>0</v>
          </cell>
          <cell r="F79">
            <v>0</v>
          </cell>
          <cell r="G79">
            <v>0</v>
          </cell>
          <cell r="H79">
            <v>0</v>
          </cell>
          <cell r="I79">
            <v>0</v>
          </cell>
          <cell r="J79">
            <v>0</v>
          </cell>
          <cell r="K79">
            <v>0</v>
          </cell>
          <cell r="L79">
            <v>0</v>
          </cell>
          <cell r="M79">
            <v>0</v>
          </cell>
          <cell r="N79">
            <v>0</v>
          </cell>
          <cell r="O79">
            <v>0</v>
          </cell>
          <cell r="P79">
            <v>0</v>
          </cell>
          <cell r="T79" t="str">
            <v>-</v>
          </cell>
        </row>
        <row r="80">
          <cell r="A80" t="str">
            <v>Turnover</v>
          </cell>
          <cell r="B80">
            <v>1</v>
          </cell>
          <cell r="C80">
            <v>0</v>
          </cell>
          <cell r="D80">
            <v>0</v>
          </cell>
          <cell r="E80">
            <v>0</v>
          </cell>
          <cell r="F80">
            <v>298.73655400000001</v>
          </cell>
          <cell r="G80">
            <v>252.68</v>
          </cell>
          <cell r="H80">
            <v>280.2</v>
          </cell>
          <cell r="I80">
            <v>336.38097699999997</v>
          </cell>
          <cell r="J80">
            <v>355.16300000000007</v>
          </cell>
          <cell r="K80">
            <v>352.79000000000008</v>
          </cell>
          <cell r="L80">
            <v>367.76700000000005</v>
          </cell>
          <cell r="M80">
            <v>414.05334863999997</v>
          </cell>
          <cell r="N80">
            <v>420.36061261981996</v>
          </cell>
          <cell r="O80">
            <v>643.49528031834666</v>
          </cell>
          <cell r="P80">
            <v>284.45375496111768</v>
          </cell>
        </row>
        <row r="82">
          <cell r="A82" t="str">
            <v>Home Trading Profit</v>
          </cell>
          <cell r="B82" t="str">
            <v/>
          </cell>
          <cell r="C82" t="str">
            <v/>
          </cell>
          <cell r="D82" t="str">
            <v/>
          </cell>
          <cell r="E82">
            <v>0</v>
          </cell>
          <cell r="F82">
            <v>103.14014883517395</v>
          </cell>
          <cell r="G82">
            <v>85.031905999999964</v>
          </cell>
          <cell r="H82">
            <v>102.31706000000004</v>
          </cell>
          <cell r="I82">
            <v>145.31982504152276</v>
          </cell>
          <cell r="J82">
            <v>149.38255728490844</v>
          </cell>
          <cell r="K82">
            <v>81.774202127637722</v>
          </cell>
          <cell r="L82">
            <v>84.697456844106654</v>
          </cell>
          <cell r="M82">
            <v>87.207222194199247</v>
          </cell>
          <cell r="N82">
            <v>75.794896141600518</v>
          </cell>
          <cell r="O82">
            <v>109.31397764669283</v>
          </cell>
          <cell r="P82">
            <v>101.87934673708736</v>
          </cell>
          <cell r="T82" t="str">
            <v>-</v>
          </cell>
        </row>
        <row r="83">
          <cell r="A83" t="str">
            <v>Rest Of Asia Trading Profit</v>
          </cell>
          <cell r="B83" t="str">
            <v/>
          </cell>
          <cell r="C83" t="str">
            <v/>
          </cell>
          <cell r="D83" t="str">
            <v/>
          </cell>
          <cell r="E83">
            <v>0</v>
          </cell>
          <cell r="F83">
            <v>0</v>
          </cell>
          <cell r="G83">
            <v>0</v>
          </cell>
          <cell r="H83">
            <v>0</v>
          </cell>
          <cell r="I83">
            <v>0</v>
          </cell>
          <cell r="J83">
            <v>0</v>
          </cell>
          <cell r="K83">
            <v>0</v>
          </cell>
          <cell r="L83">
            <v>0</v>
          </cell>
          <cell r="M83">
            <v>0</v>
          </cell>
          <cell r="N83">
            <v>0</v>
          </cell>
          <cell r="O83">
            <v>0</v>
          </cell>
          <cell r="P83">
            <v>0</v>
          </cell>
          <cell r="T83" t="str">
            <v>-</v>
          </cell>
        </row>
        <row r="84">
          <cell r="A84" t="str">
            <v>North American Trading Profit</v>
          </cell>
          <cell r="B84" t="str">
            <v/>
          </cell>
          <cell r="C84" t="str">
            <v/>
          </cell>
          <cell r="D84" t="str">
            <v/>
          </cell>
          <cell r="E84">
            <v>0</v>
          </cell>
          <cell r="F84">
            <v>0</v>
          </cell>
          <cell r="G84">
            <v>0</v>
          </cell>
          <cell r="H84">
            <v>0</v>
          </cell>
          <cell r="I84">
            <v>0</v>
          </cell>
          <cell r="J84">
            <v>0</v>
          </cell>
          <cell r="K84">
            <v>0</v>
          </cell>
          <cell r="L84">
            <v>0</v>
          </cell>
          <cell r="M84">
            <v>0</v>
          </cell>
          <cell r="N84">
            <v>0</v>
          </cell>
          <cell r="O84">
            <v>0</v>
          </cell>
          <cell r="P84">
            <v>0</v>
          </cell>
          <cell r="T84" t="str">
            <v>-</v>
          </cell>
        </row>
        <row r="85">
          <cell r="A85" t="str">
            <v>Rest Of The World Trading Profit</v>
          </cell>
          <cell r="B85" t="str">
            <v/>
          </cell>
          <cell r="C85" t="str">
            <v/>
          </cell>
          <cell r="D85" t="str">
            <v/>
          </cell>
          <cell r="E85">
            <v>0</v>
          </cell>
          <cell r="F85">
            <v>0</v>
          </cell>
          <cell r="G85">
            <v>0</v>
          </cell>
          <cell r="H85">
            <v>0</v>
          </cell>
          <cell r="I85">
            <v>0</v>
          </cell>
          <cell r="J85">
            <v>0</v>
          </cell>
          <cell r="K85">
            <v>0</v>
          </cell>
          <cell r="L85">
            <v>0</v>
          </cell>
          <cell r="M85">
            <v>0</v>
          </cell>
          <cell r="N85">
            <v>0</v>
          </cell>
          <cell r="O85">
            <v>0</v>
          </cell>
          <cell r="P85">
            <v>0</v>
          </cell>
          <cell r="T85" t="str">
            <v>-</v>
          </cell>
        </row>
        <row r="86">
          <cell r="A86" t="str">
            <v>Trading Profit</v>
          </cell>
          <cell r="B86">
            <v>0</v>
          </cell>
          <cell r="C86">
            <v>0</v>
          </cell>
          <cell r="D86">
            <v>0</v>
          </cell>
          <cell r="E86">
            <v>0</v>
          </cell>
          <cell r="F86">
            <v>103.14014883517395</v>
          </cell>
          <cell r="G86">
            <v>85.031905999999964</v>
          </cell>
          <cell r="H86">
            <v>102.31706000000004</v>
          </cell>
          <cell r="I86">
            <v>145.31982504152276</v>
          </cell>
          <cell r="J86">
            <v>149.38255728490844</v>
          </cell>
          <cell r="K86">
            <v>81.774202127637722</v>
          </cell>
          <cell r="L86">
            <v>84.697456844106654</v>
          </cell>
          <cell r="M86">
            <v>87.207222194199247</v>
          </cell>
          <cell r="N86">
            <v>75.794896141600518</v>
          </cell>
          <cell r="O86">
            <v>109.31397764669283</v>
          </cell>
          <cell r="P86">
            <v>101.87934673708736</v>
          </cell>
        </row>
        <row r="87">
          <cell r="A87" t="str">
            <v>Growth Rates</v>
          </cell>
        </row>
        <row r="88">
          <cell r="A88" t="str">
            <v>Turnover Change</v>
          </cell>
          <cell r="B88" t="e">
            <v>#NAME?</v>
          </cell>
          <cell r="C88" t="e">
            <v>#NAME?</v>
          </cell>
          <cell r="D88" t="e">
            <v>#NAME?</v>
          </cell>
          <cell r="E88" t="e">
            <v>#NAME?</v>
          </cell>
          <cell r="F88" t="e">
            <v>#NAME?</v>
          </cell>
          <cell r="G88" t="e">
            <v>#NAME?</v>
          </cell>
          <cell r="H88" t="e">
            <v>#NAME?</v>
          </cell>
          <cell r="I88" t="e">
            <v>#NAME?</v>
          </cell>
          <cell r="J88" t="e">
            <v>#NAME?</v>
          </cell>
          <cell r="K88" t="e">
            <v>#NAME?</v>
          </cell>
          <cell r="L88" t="e">
            <v>#NAME?</v>
          </cell>
          <cell r="M88" t="e">
            <v>#NAME?</v>
          </cell>
          <cell r="N88" t="e">
            <v>#NAME?</v>
          </cell>
          <cell r="O88" t="e">
            <v>#NAME?</v>
          </cell>
          <cell r="P88" t="e">
            <v>#NAME?</v>
          </cell>
          <cell r="T88" t="str">
            <v>-</v>
          </cell>
        </row>
        <row r="89">
          <cell r="A89" t="str">
            <v>Trading Profit Change</v>
          </cell>
          <cell r="B89" t="e">
            <v>#NAME?</v>
          </cell>
          <cell r="C89" t="e">
            <v>#NAME?</v>
          </cell>
          <cell r="D89" t="e">
            <v>#NAME?</v>
          </cell>
          <cell r="E89" t="e">
            <v>#NAME?</v>
          </cell>
          <cell r="F89" t="e">
            <v>#NAME?</v>
          </cell>
          <cell r="G89" t="e">
            <v>#NAME?</v>
          </cell>
          <cell r="H89" t="e">
            <v>#NAME?</v>
          </cell>
          <cell r="I89" t="e">
            <v>#NAME?</v>
          </cell>
          <cell r="J89" t="e">
            <v>#NAME?</v>
          </cell>
          <cell r="K89" t="e">
            <v>#NAME?</v>
          </cell>
          <cell r="L89" t="e">
            <v>#NAME?</v>
          </cell>
          <cell r="M89" t="e">
            <v>#NAME?</v>
          </cell>
          <cell r="N89" t="e">
            <v>#NAME?</v>
          </cell>
          <cell r="O89" t="e">
            <v>#NAME?</v>
          </cell>
          <cell r="P89" t="e">
            <v>#NAME?</v>
          </cell>
          <cell r="T89" t="str">
            <v>-</v>
          </cell>
        </row>
        <row r="90">
          <cell r="A90" t="str">
            <v>PBT Change</v>
          </cell>
          <cell r="B90" t="e">
            <v>#NAME?</v>
          </cell>
          <cell r="C90" t="e">
            <v>#NAME?</v>
          </cell>
          <cell r="D90" t="e">
            <v>#NAME?</v>
          </cell>
          <cell r="E90" t="e">
            <v>#NAME?</v>
          </cell>
          <cell r="F90" t="e">
            <v>#NAME?</v>
          </cell>
          <cell r="G90" t="e">
            <v>#NAME?</v>
          </cell>
          <cell r="H90" t="e">
            <v>#NAME?</v>
          </cell>
          <cell r="I90" t="e">
            <v>#NAME?</v>
          </cell>
          <cell r="J90" t="e">
            <v>#NAME?</v>
          </cell>
          <cell r="K90" t="e">
            <v>#NAME?</v>
          </cell>
          <cell r="L90" t="e">
            <v>#NAME?</v>
          </cell>
          <cell r="M90" t="e">
            <v>#NAME?</v>
          </cell>
          <cell r="N90" t="e">
            <v>#NAME?</v>
          </cell>
          <cell r="O90" t="e">
            <v>#NAME?</v>
          </cell>
          <cell r="P90" t="e">
            <v>#NAME?</v>
          </cell>
          <cell r="T90" t="str">
            <v>-</v>
          </cell>
        </row>
        <row r="91">
          <cell r="A91" t="str">
            <v>Pre-Exceptional PBT Change</v>
          </cell>
          <cell r="B91" t="e">
            <v>#NAME?</v>
          </cell>
          <cell r="C91" t="e">
            <v>#NAME?</v>
          </cell>
          <cell r="D91" t="e">
            <v>#NAME?</v>
          </cell>
          <cell r="E91" t="e">
            <v>#NAME?</v>
          </cell>
          <cell r="F91" t="e">
            <v>#NAME?</v>
          </cell>
          <cell r="G91" t="e">
            <v>#NAME?</v>
          </cell>
          <cell r="H91" t="e">
            <v>#NAME?</v>
          </cell>
          <cell r="I91" t="e">
            <v>#NAME?</v>
          </cell>
          <cell r="J91" t="e">
            <v>#NAME?</v>
          </cell>
          <cell r="K91" t="e">
            <v>#NAME?</v>
          </cell>
          <cell r="L91" t="e">
            <v>#NAME?</v>
          </cell>
          <cell r="M91" t="e">
            <v>#NAME?</v>
          </cell>
          <cell r="N91" t="e">
            <v>#NAME?</v>
          </cell>
          <cell r="O91" t="e">
            <v>#NAME?</v>
          </cell>
          <cell r="P91" t="e">
            <v>#NAME?</v>
          </cell>
          <cell r="T91" t="str">
            <v>-</v>
          </cell>
        </row>
        <row r="92">
          <cell r="A92" t="str">
            <v>EPS (Pre-Exceptional) Change</v>
          </cell>
          <cell r="B92" t="e">
            <v>#NAME?</v>
          </cell>
          <cell r="C92" t="e">
            <v>#NAME?</v>
          </cell>
          <cell r="D92" t="e">
            <v>#NAME?</v>
          </cell>
          <cell r="E92" t="e">
            <v>#NAME?</v>
          </cell>
          <cell r="F92" t="e">
            <v>#NAME?</v>
          </cell>
          <cell r="G92" t="e">
            <v>#NAME?</v>
          </cell>
          <cell r="H92" t="e">
            <v>#NAME?</v>
          </cell>
          <cell r="I92" t="e">
            <v>#NAME?</v>
          </cell>
          <cell r="J92" t="e">
            <v>#NAME?</v>
          </cell>
          <cell r="K92" t="e">
            <v>#NAME?</v>
          </cell>
          <cell r="L92" t="e">
            <v>#NAME?</v>
          </cell>
          <cell r="M92" t="e">
            <v>#NAME?</v>
          </cell>
          <cell r="N92" t="e">
            <v>#NAME?</v>
          </cell>
          <cell r="O92" t="e">
            <v>#NAME?</v>
          </cell>
          <cell r="P92" t="e">
            <v>#NAME?</v>
          </cell>
          <cell r="T92" t="str">
            <v>-</v>
          </cell>
        </row>
        <row r="93">
          <cell r="A93" t="str">
            <v>EPS Change</v>
          </cell>
          <cell r="B93" t="e">
            <v>#NAME?</v>
          </cell>
          <cell r="C93" t="e">
            <v>#NAME?</v>
          </cell>
          <cell r="D93" t="e">
            <v>#NAME?</v>
          </cell>
          <cell r="E93" t="e">
            <v>#NAME?</v>
          </cell>
          <cell r="F93" t="e">
            <v>#NAME?</v>
          </cell>
          <cell r="G93" t="e">
            <v>#NAME?</v>
          </cell>
          <cell r="H93" t="e">
            <v>#NAME?</v>
          </cell>
          <cell r="I93" t="e">
            <v>#NAME?</v>
          </cell>
          <cell r="J93" t="e">
            <v>#NAME?</v>
          </cell>
          <cell r="K93" t="e">
            <v>#NAME?</v>
          </cell>
          <cell r="L93" t="e">
            <v>#NAME?</v>
          </cell>
          <cell r="M93" t="e">
            <v>#NAME?</v>
          </cell>
          <cell r="N93" t="e">
            <v>#NAME?</v>
          </cell>
          <cell r="O93" t="e">
            <v>#NAME?</v>
          </cell>
          <cell r="P93" t="e">
            <v>#NAME?</v>
          </cell>
          <cell r="T93" t="str">
            <v>-</v>
          </cell>
        </row>
        <row r="94">
          <cell r="A94" t="str">
            <v>EPS (Fully Diluted) Change</v>
          </cell>
          <cell r="B94" t="e">
            <v>#NAME?</v>
          </cell>
          <cell r="C94" t="e">
            <v>#NAME?</v>
          </cell>
          <cell r="D94" t="e">
            <v>#NAME?</v>
          </cell>
          <cell r="E94" t="e">
            <v>#NAME?</v>
          </cell>
          <cell r="F94" t="e">
            <v>#NAME?</v>
          </cell>
          <cell r="G94" t="e">
            <v>#NAME?</v>
          </cell>
          <cell r="H94" t="e">
            <v>#NAME?</v>
          </cell>
          <cell r="I94" t="e">
            <v>#NAME?</v>
          </cell>
          <cell r="J94" t="e">
            <v>#NAME?</v>
          </cell>
          <cell r="K94" t="e">
            <v>#NAME?</v>
          </cell>
          <cell r="L94" t="e">
            <v>#NAME?</v>
          </cell>
          <cell r="M94" t="e">
            <v>#NAME?</v>
          </cell>
          <cell r="N94" t="e">
            <v>#NAME?</v>
          </cell>
          <cell r="O94" t="e">
            <v>#NAME?</v>
          </cell>
          <cell r="P94" t="e">
            <v>#NAME?</v>
          </cell>
          <cell r="T94" t="str">
            <v>-</v>
          </cell>
        </row>
        <row r="95">
          <cell r="A95" t="str">
            <v>Cash EPS Change</v>
          </cell>
          <cell r="B95" t="e">
            <v>#NAME?</v>
          </cell>
          <cell r="C95" t="e">
            <v>#NAME?</v>
          </cell>
          <cell r="D95" t="e">
            <v>#NAME?</v>
          </cell>
          <cell r="E95" t="e">
            <v>#NAME?</v>
          </cell>
          <cell r="F95" t="e">
            <v>#NAME?</v>
          </cell>
          <cell r="G95" t="e">
            <v>#NAME?</v>
          </cell>
          <cell r="H95" t="e">
            <v>#NAME?</v>
          </cell>
          <cell r="I95" t="e">
            <v>#NAME?</v>
          </cell>
          <cell r="J95" t="e">
            <v>#NAME?</v>
          </cell>
          <cell r="K95" t="e">
            <v>#NAME?</v>
          </cell>
          <cell r="L95" t="e">
            <v>#NAME?</v>
          </cell>
          <cell r="M95" t="e">
            <v>#NAME?</v>
          </cell>
          <cell r="N95" t="e">
            <v>#NAME?</v>
          </cell>
          <cell r="O95" t="e">
            <v>#NAME?</v>
          </cell>
          <cell r="P95" t="e">
            <v>#NAME?</v>
          </cell>
          <cell r="T95" t="str">
            <v>-</v>
          </cell>
        </row>
        <row r="96">
          <cell r="A96" t="str">
            <v>Net DPS Change</v>
          </cell>
          <cell r="B96" t="e">
            <v>#NAME?</v>
          </cell>
          <cell r="C96" t="e">
            <v>#NAME?</v>
          </cell>
          <cell r="D96" t="e">
            <v>#NAME?</v>
          </cell>
          <cell r="E96" t="e">
            <v>#NAME?</v>
          </cell>
          <cell r="F96" t="e">
            <v>#NAME?</v>
          </cell>
          <cell r="G96" t="e">
            <v>#NAME?</v>
          </cell>
          <cell r="H96" t="e">
            <v>#NAME?</v>
          </cell>
          <cell r="I96" t="e">
            <v>#NAME?</v>
          </cell>
          <cell r="J96" t="e">
            <v>#NAME?</v>
          </cell>
          <cell r="K96" t="e">
            <v>#NAME?</v>
          </cell>
          <cell r="L96" t="e">
            <v>#NAME?</v>
          </cell>
          <cell r="M96" t="e">
            <v>#NAME?</v>
          </cell>
          <cell r="N96" t="e">
            <v>#NAME?</v>
          </cell>
          <cell r="O96" t="e">
            <v>#NAME?</v>
          </cell>
          <cell r="P96" t="e">
            <v>#NAME?</v>
          </cell>
          <cell r="T96" t="str">
            <v>-</v>
          </cell>
        </row>
        <row r="97">
          <cell r="A97" t="str">
            <v>Key Ratios</v>
          </cell>
        </row>
        <row r="98">
          <cell r="A98" t="str">
            <v>Trading Margin</v>
          </cell>
          <cell r="B98">
            <v>0</v>
          </cell>
          <cell r="C98" t="e">
            <v>#DIV/0!</v>
          </cell>
          <cell r="D98" t="e">
            <v>#DIV/0!</v>
          </cell>
          <cell r="E98" t="e">
            <v>#DIV/0!</v>
          </cell>
          <cell r="F98">
            <v>34.525453097103728</v>
          </cell>
          <cell r="G98">
            <v>33.652012822542332</v>
          </cell>
          <cell r="H98">
            <v>36.51572448251251</v>
          </cell>
          <cell r="I98">
            <v>43.200964078751333</v>
          </cell>
          <cell r="J98">
            <v>42.060281415831156</v>
          </cell>
          <cell r="K98">
            <v>23.17928573021846</v>
          </cell>
          <cell r="L98">
            <v>23.030194890815828</v>
          </cell>
          <cell r="M98">
            <v>21.061832365476615</v>
          </cell>
          <cell r="N98">
            <v>18.030922466599051</v>
          </cell>
          <cell r="O98">
            <v>16.987533706947094</v>
          </cell>
          <cell r="P98">
            <v>35.815785504752213</v>
          </cell>
          <cell r="T98" t="str">
            <v>-</v>
          </cell>
        </row>
        <row r="99">
          <cell r="A99" t="str">
            <v>PBT Margin</v>
          </cell>
          <cell r="B99">
            <v>0</v>
          </cell>
          <cell r="C99" t="e">
            <v>#DIV/0!</v>
          </cell>
          <cell r="D99" t="e">
            <v>#DIV/0!</v>
          </cell>
          <cell r="E99" t="e">
            <v>#DIV/0!</v>
          </cell>
          <cell r="F99">
            <v>52.81464311032186</v>
          </cell>
          <cell r="G99">
            <v>48.484161389900258</v>
          </cell>
          <cell r="H99">
            <v>53.326293361884382</v>
          </cell>
          <cell r="I99">
            <v>55.415477326924702</v>
          </cell>
          <cell r="J99">
            <v>48.315771148714362</v>
          </cell>
          <cell r="K99">
            <v>28.844412292762744</v>
          </cell>
          <cell r="L99">
            <v>43.458618321955647</v>
          </cell>
          <cell r="M99">
            <v>34.487155498977259</v>
          </cell>
          <cell r="N99">
            <v>18.992963157978192</v>
          </cell>
          <cell r="O99">
            <v>15.061038937459776</v>
          </cell>
          <cell r="P99">
            <v>30.746010184777628</v>
          </cell>
          <cell r="T99" t="str">
            <v>-</v>
          </cell>
        </row>
        <row r="100">
          <cell r="A100" t="str">
            <v>Interest Cover</v>
          </cell>
          <cell r="B100" t="e">
            <v>#DIV/0!</v>
          </cell>
          <cell r="C100" t="e">
            <v>#DIV/0!</v>
          </cell>
          <cell r="D100" t="e">
            <v>#DIV/0!</v>
          </cell>
          <cell r="E100" t="e">
            <v>#DIV/0!</v>
          </cell>
          <cell r="F100">
            <v>-1.8995196364334124</v>
          </cell>
          <cell r="G100">
            <v>-2.2421117975635596</v>
          </cell>
          <cell r="H100">
            <v>-2.1416206872756782</v>
          </cell>
          <cell r="I100">
            <v>-3.4996529809429302</v>
          </cell>
          <cell r="J100">
            <v>-6.6419390908442857</v>
          </cell>
          <cell r="K100">
            <v>-4.0626966232655581</v>
          </cell>
          <cell r="L100">
            <v>-1.1261434688994127</v>
          </cell>
          <cell r="M100">
            <v>-1.4187001963853663</v>
          </cell>
          <cell r="N100">
            <v>-13.400858257294423</v>
          </cell>
          <cell r="O100">
            <v>10.321725469691762</v>
          </cell>
          <cell r="P100">
            <v>8.041060283720336</v>
          </cell>
          <cell r="T100" t="str">
            <v>-</v>
          </cell>
        </row>
        <row r="101">
          <cell r="A101" t="str">
            <v>Pre-Exceptional Dividend Cover</v>
          </cell>
          <cell r="B101" t="e">
            <v>#DIV/0!</v>
          </cell>
          <cell r="C101" t="e">
            <v>#DIV/0!</v>
          </cell>
          <cell r="D101" t="e">
            <v>#DIV/0!</v>
          </cell>
          <cell r="E101" t="e">
            <v>#DIV/0!</v>
          </cell>
          <cell r="F101">
            <v>15.60742342613044</v>
          </cell>
          <cell r="G101">
            <v>10.347130952380951</v>
          </cell>
          <cell r="H101">
            <v>12.793923714285716</v>
          </cell>
          <cell r="I101">
            <v>14.220895336793562</v>
          </cell>
          <cell r="J101">
            <v>12.144561857075701</v>
          </cell>
          <cell r="K101">
            <v>6.1133501773031416</v>
          </cell>
          <cell r="L101">
            <v>0.20246068243565557</v>
          </cell>
          <cell r="M101">
            <v>2</v>
          </cell>
          <cell r="N101">
            <v>2</v>
          </cell>
          <cell r="O101">
            <v>2.2713247318982468</v>
          </cell>
          <cell r="P101">
            <v>1.3798089738074182</v>
          </cell>
          <cell r="T101" t="str">
            <v>M</v>
          </cell>
        </row>
        <row r="102">
          <cell r="A102" t="str">
            <v>Dividend Cover</v>
          </cell>
          <cell r="B102" t="e">
            <v>#DIV/0!</v>
          </cell>
          <cell r="C102" t="e">
            <v>#DIV/0!</v>
          </cell>
          <cell r="D102" t="e">
            <v>#DIV/0!</v>
          </cell>
          <cell r="E102" t="e">
            <v>#DIV/0!</v>
          </cell>
          <cell r="F102">
            <v>15.60742342613044</v>
          </cell>
          <cell r="G102">
            <v>10.347130952380951</v>
          </cell>
          <cell r="H102">
            <v>12.793923714285716</v>
          </cell>
          <cell r="I102">
            <v>14.220895336793562</v>
          </cell>
          <cell r="J102">
            <v>12.144561857075701</v>
          </cell>
          <cell r="K102">
            <v>6.1133501773031425</v>
          </cell>
          <cell r="L102">
            <v>0.20246068243565557</v>
          </cell>
          <cell r="M102">
            <v>2</v>
          </cell>
          <cell r="N102">
            <v>2</v>
          </cell>
          <cell r="O102">
            <v>2.2713247318982468</v>
          </cell>
          <cell r="P102">
            <v>1.3798089738074184</v>
          </cell>
          <cell r="T102" t="str">
            <v>M</v>
          </cell>
        </row>
        <row r="103">
          <cell r="A103" t="str">
            <v>Return On Capital Employed</v>
          </cell>
          <cell r="B103" t="e">
            <v>#VALUE!</v>
          </cell>
          <cell r="C103" t="e">
            <v>#VALUE!</v>
          </cell>
          <cell r="D103" t="e">
            <v>#DIV/0!</v>
          </cell>
          <cell r="E103" t="e">
            <v>#DIV/0!</v>
          </cell>
          <cell r="F103">
            <v>52.686577951026358</v>
          </cell>
          <cell r="G103">
            <v>20.059437709244115</v>
          </cell>
          <cell r="H103">
            <v>21.038741787952919</v>
          </cell>
          <cell r="I103">
            <v>24.758761152660746</v>
          </cell>
          <cell r="J103">
            <v>30.330502534771338</v>
          </cell>
          <cell r="K103">
            <v>9.1609974716593019</v>
          </cell>
          <cell r="L103">
            <v>6.869967286343452</v>
          </cell>
          <cell r="M103">
            <v>8.3374934994638181</v>
          </cell>
          <cell r="N103">
            <v>5.9989624653554241</v>
          </cell>
          <cell r="O103">
            <v>8.1013558139381558</v>
          </cell>
          <cell r="P103">
            <v>7.8538849854076584</v>
          </cell>
          <cell r="T103" t="str">
            <v>F</v>
          </cell>
        </row>
        <row r="104">
          <cell r="A104" t="str">
            <v>Gearing</v>
          </cell>
          <cell r="B104" t="e">
            <v>#VALUE!</v>
          </cell>
          <cell r="C104" t="e">
            <v>#VALUE!</v>
          </cell>
          <cell r="D104" t="e">
            <v>#VALUE!</v>
          </cell>
          <cell r="E104" t="e">
            <v>#VALUE!</v>
          </cell>
          <cell r="F104">
            <v>-42.083501295803188</v>
          </cell>
          <cell r="G104">
            <v>-41.967020336757287</v>
          </cell>
          <cell r="H104">
            <v>-44.604140957987468</v>
          </cell>
          <cell r="I104">
            <v>-39.050259216950387</v>
          </cell>
          <cell r="J104">
            <v>-59.096120985481349</v>
          </cell>
          <cell r="K104">
            <v>27.894798292236718</v>
          </cell>
          <cell r="L104">
            <v>-116.79087482428707</v>
          </cell>
          <cell r="M104">
            <v>71.462947400560296</v>
          </cell>
          <cell r="N104">
            <v>30.151841596349406</v>
          </cell>
          <cell r="O104">
            <v>47.746571356991957</v>
          </cell>
          <cell r="P104">
            <v>49.243251305873848</v>
          </cell>
          <cell r="T104" t="str">
            <v>F</v>
          </cell>
        </row>
        <row r="105">
          <cell r="A105" t="str">
            <v>Turnover Per Employee</v>
          </cell>
          <cell r="B105" t="e">
            <v>#VALUE!</v>
          </cell>
          <cell r="C105" t="e">
            <v>#VALUE!</v>
          </cell>
          <cell r="D105" t="e">
            <v>#VALUE!</v>
          </cell>
          <cell r="E105" t="e">
            <v>#VALUE!</v>
          </cell>
          <cell r="F105">
            <v>133.36453303571429</v>
          </cell>
          <cell r="G105">
            <v>105.98993288590604</v>
          </cell>
          <cell r="H105">
            <v>107.15105162523899</v>
          </cell>
          <cell r="I105">
            <v>137.74814782964782</v>
          </cell>
          <cell r="J105">
            <v>142.92273641851108</v>
          </cell>
          <cell r="K105">
            <v>138.62082514734777</v>
          </cell>
          <cell r="L105">
            <v>150.10897959183674</v>
          </cell>
          <cell r="M105">
            <v>156.83838963636362</v>
          </cell>
          <cell r="N105">
            <v>158.62664627163016</v>
          </cell>
          <cell r="O105">
            <v>247.49818473782565</v>
          </cell>
          <cell r="P105">
            <v>109.82770461819214</v>
          </cell>
          <cell r="T105" t="str">
            <v>-</v>
          </cell>
        </row>
        <row r="106">
          <cell r="A106" t="str">
            <v>Trading Profit Per Employee</v>
          </cell>
          <cell r="B106" t="e">
            <v>#VALUE!</v>
          </cell>
          <cell r="C106" t="e">
            <v>#VALUE!</v>
          </cell>
          <cell r="D106" t="e">
            <v>#VALUE!</v>
          </cell>
          <cell r="E106" t="e">
            <v>#VALUE!</v>
          </cell>
          <cell r="F106">
            <v>46.044709301416944</v>
          </cell>
          <cell r="G106">
            <v>35.667745805369115</v>
          </cell>
          <cell r="H106">
            <v>39.126982791587018</v>
          </cell>
          <cell r="I106">
            <v>59.508527863031439</v>
          </cell>
          <cell r="J106">
            <v>60.113705144832373</v>
          </cell>
          <cell r="K106">
            <v>32.131317142490261</v>
          </cell>
          <cell r="L106">
            <v>34.570390548614959</v>
          </cell>
          <cell r="M106">
            <v>33.03303870992395</v>
          </cell>
          <cell r="N106">
            <v>28.601847600603968</v>
          </cell>
          <cell r="O106">
            <v>42.043837556420321</v>
          </cell>
          <cell r="P106">
            <v>39.335655110844542</v>
          </cell>
          <cell r="T106" t="str">
            <v>-</v>
          </cell>
        </row>
        <row r="107">
          <cell r="A107" t="str">
            <v>Wage Costs/Turnover</v>
          </cell>
          <cell r="B107" t="e">
            <v>#VALUE!</v>
          </cell>
          <cell r="C107" t="e">
            <v>#VALUE!</v>
          </cell>
          <cell r="D107" t="e">
            <v>#VALUE!</v>
          </cell>
          <cell r="E107" t="e">
            <v>#VALUE!</v>
          </cell>
          <cell r="F107">
            <v>38.978294743543849</v>
          </cell>
          <cell r="G107">
            <v>39.208305357914966</v>
          </cell>
          <cell r="H107">
            <v>40.24603821134744</v>
          </cell>
          <cell r="I107">
            <v>32.598349031633035</v>
          </cell>
          <cell r="J107">
            <v>33.959292413649969</v>
          </cell>
          <cell r="K107">
            <v>34.019047555872426</v>
          </cell>
          <cell r="L107">
            <v>32.171613901163894</v>
          </cell>
          <cell r="M107">
            <v>34.740817572198317</v>
          </cell>
          <cell r="N107">
            <v>35.685800167991459</v>
          </cell>
          <cell r="O107">
            <v>23.987920441303274</v>
          </cell>
          <cell r="P107">
            <v>57.130633702413192</v>
          </cell>
          <cell r="T107" t="str">
            <v>-</v>
          </cell>
        </row>
        <row r="108">
          <cell r="A108" t="str">
            <v>Enterprise Value Data</v>
          </cell>
        </row>
        <row r="109">
          <cell r="A109" t="str">
            <v>Core Sales</v>
          </cell>
          <cell r="B109">
            <v>1</v>
          </cell>
          <cell r="C109">
            <v>0</v>
          </cell>
          <cell r="D109">
            <v>0</v>
          </cell>
          <cell r="E109">
            <v>0</v>
          </cell>
          <cell r="F109">
            <v>298.73655400000001</v>
          </cell>
          <cell r="G109">
            <v>252.68</v>
          </cell>
          <cell r="H109">
            <v>280.2</v>
          </cell>
          <cell r="I109">
            <v>2012.6</v>
          </cell>
          <cell r="J109">
            <v>355.16300000000007</v>
          </cell>
          <cell r="K109">
            <v>352.79000000000008</v>
          </cell>
          <cell r="L109">
            <v>367.76700000000005</v>
          </cell>
          <cell r="M109">
            <v>414.05334863999997</v>
          </cell>
          <cell r="N109">
            <v>420.36061261981996</v>
          </cell>
          <cell r="O109">
            <v>643.49528031834666</v>
          </cell>
          <cell r="P109">
            <v>284.45375496111768</v>
          </cell>
          <cell r="Q109" t="e">
            <v>#VALUE!</v>
          </cell>
          <cell r="R109" t="e">
            <v>#VALUE!</v>
          </cell>
          <cell r="U109" t="str">
            <v>CCSAL.USER</v>
          </cell>
          <cell r="V109" t="b">
            <v>1</v>
          </cell>
          <cell r="W109" t="str">
            <v>=turnover</v>
          </cell>
          <cell r="X109" t="b">
            <v>0</v>
          </cell>
          <cell r="Y109" t="str">
            <v>=turnover</v>
          </cell>
          <cell r="Z109" t="str">
            <v>=turnover</v>
          </cell>
          <cell r="AA109" t="b">
            <v>0</v>
          </cell>
          <cell r="AB109" t="b">
            <v>0</v>
          </cell>
          <cell r="AC109">
            <v>1</v>
          </cell>
        </row>
        <row r="110">
          <cell r="A110" t="str">
            <v>Core EBIT</v>
          </cell>
          <cell r="B110">
            <v>0</v>
          </cell>
          <cell r="C110">
            <v>0</v>
          </cell>
          <cell r="D110">
            <v>0</v>
          </cell>
          <cell r="E110">
            <v>0</v>
          </cell>
          <cell r="F110">
            <v>103.14014883517395</v>
          </cell>
          <cell r="G110">
            <v>85.031905999999964</v>
          </cell>
          <cell r="H110">
            <v>102.31706000000004</v>
          </cell>
          <cell r="I110">
            <v>652.6</v>
          </cell>
          <cell r="J110">
            <v>149.38255728490844</v>
          </cell>
          <cell r="K110">
            <v>81.774202127637722</v>
          </cell>
          <cell r="L110">
            <v>84.697456844106654</v>
          </cell>
          <cell r="M110">
            <v>87.207222194199247</v>
          </cell>
          <cell r="N110">
            <v>75.794896141600518</v>
          </cell>
          <cell r="O110">
            <v>109.31397764669283</v>
          </cell>
          <cell r="P110">
            <v>101.87934673708736</v>
          </cell>
          <cell r="Q110" t="e">
            <v>#VALUE!</v>
          </cell>
          <cell r="R110" t="e">
            <v>#VALUE!</v>
          </cell>
          <cell r="U110" t="str">
            <v>CCEBIT.USER</v>
          </cell>
          <cell r="V110" t="b">
            <v>1</v>
          </cell>
          <cell r="W110" t="str">
            <v>=trading_profit</v>
          </cell>
          <cell r="X110" t="b">
            <v>0</v>
          </cell>
          <cell r="Y110" t="str">
            <v>=trading_profit</v>
          </cell>
          <cell r="Z110" t="str">
            <v>=trading_profit</v>
          </cell>
          <cell r="AA110" t="b">
            <v>0</v>
          </cell>
          <cell r="AB110" t="b">
            <v>0</v>
          </cell>
          <cell r="AC110">
            <v>1</v>
          </cell>
        </row>
        <row r="112">
          <cell r="A112" t="str">
            <v>Core EBITDA</v>
          </cell>
          <cell r="B112">
            <v>0</v>
          </cell>
          <cell r="C112">
            <v>0</v>
          </cell>
          <cell r="D112">
            <v>0</v>
          </cell>
          <cell r="E112">
            <v>0</v>
          </cell>
          <cell r="F112">
            <v>103.80994483517395</v>
          </cell>
          <cell r="G112">
            <v>85.843766999999957</v>
          </cell>
          <cell r="H112">
            <v>103.40574400000004</v>
          </cell>
          <cell r="I112">
            <v>834.7</v>
          </cell>
          <cell r="J112">
            <v>151.45138528490844</v>
          </cell>
          <cell r="K112">
            <v>205.02820212763771</v>
          </cell>
          <cell r="L112">
            <v>201.89745684410667</v>
          </cell>
          <cell r="M112">
            <v>217.90722219419922</v>
          </cell>
          <cell r="N112">
            <v>212.23656280826719</v>
          </cell>
          <cell r="O112">
            <v>290.50622764669282</v>
          </cell>
          <cell r="P112">
            <v>143.2549300704207</v>
          </cell>
          <cell r="Q112" t="e">
            <v>#VALUE!</v>
          </cell>
          <cell r="R112" t="e">
            <v>#VALUE!</v>
          </cell>
          <cell r="U112" t="str">
            <v>CCEBDA.USER</v>
          </cell>
          <cell r="V112" t="b">
            <v>1</v>
          </cell>
          <cell r="W112" t="str">
            <v>=trading_profit-depreciation_amortisation</v>
          </cell>
          <cell r="X112" t="b">
            <v>0</v>
          </cell>
          <cell r="Y112" t="str">
            <v>=trading_profit-depreciation_amortisation</v>
          </cell>
          <cell r="Z112" t="str">
            <v>=trading_profit-depreciation_amortisation</v>
          </cell>
          <cell r="AA112" t="b">
            <v>0</v>
          </cell>
          <cell r="AB112" t="b">
            <v>0</v>
          </cell>
          <cell r="AC112">
            <v>1</v>
          </cell>
        </row>
        <row r="113">
          <cell r="A113" t="str">
            <v>Less : Maintenance Capital Expenditure</v>
          </cell>
          <cell r="E113">
            <v>0</v>
          </cell>
          <cell r="F113">
            <v>0</v>
          </cell>
          <cell r="G113">
            <v>0</v>
          </cell>
          <cell r="H113">
            <v>0</v>
          </cell>
          <cell r="I113">
            <v>0</v>
          </cell>
          <cell r="J113">
            <v>0</v>
          </cell>
          <cell r="K113">
            <v>0</v>
          </cell>
          <cell r="L113">
            <v>0</v>
          </cell>
          <cell r="M113">
            <v>10</v>
          </cell>
          <cell r="N113">
            <v>8</v>
          </cell>
          <cell r="O113">
            <v>5</v>
          </cell>
          <cell r="P113">
            <v>5</v>
          </cell>
          <cell r="Q113" t="str">
            <v>Missing</v>
          </cell>
          <cell r="R113" t="str">
            <v>Missing</v>
          </cell>
          <cell r="U113" t="str">
            <v>CVMCPX.USER</v>
          </cell>
          <cell r="V113" t="b">
            <v>1</v>
          </cell>
          <cell r="X113" t="b">
            <v>0</v>
          </cell>
          <cell r="AA113" t="b">
            <v>0</v>
          </cell>
          <cell r="AB113" t="b">
            <v>0</v>
          </cell>
          <cell r="AC113">
            <v>1</v>
          </cell>
        </row>
        <row r="114">
          <cell r="A114" t="str">
            <v>Less : Net Working Capital Inflation</v>
          </cell>
          <cell r="B114" t="str">
            <v>Missing</v>
          </cell>
          <cell r="C114" t="str">
            <v>Missing</v>
          </cell>
          <cell r="D114">
            <v>0</v>
          </cell>
          <cell r="E114">
            <v>0</v>
          </cell>
          <cell r="F114">
            <v>0.40505680000000044</v>
          </cell>
          <cell r="G114">
            <v>1.7496300799999995</v>
          </cell>
          <cell r="H114">
            <v>2.1370759200000005</v>
          </cell>
          <cell r="I114">
            <v>3.8014516559999998</v>
          </cell>
          <cell r="J114">
            <v>2.2997888799999999</v>
          </cell>
          <cell r="K114">
            <v>8.1268800000000017</v>
          </cell>
          <cell r="L114">
            <v>5.4116799999999987</v>
          </cell>
          <cell r="M114">
            <v>4.5365600000000006</v>
          </cell>
          <cell r="N114">
            <v>1.2144751298388394</v>
          </cell>
          <cell r="O114">
            <v>2.8052961460160417</v>
          </cell>
          <cell r="P114">
            <v>2.9370659899716669</v>
          </cell>
          <cell r="Q114" t="str">
            <v>Missing</v>
          </cell>
          <cell r="R114" t="str">
            <v>Missing</v>
          </cell>
          <cell r="T114" t="str">
            <v>M</v>
          </cell>
          <cell r="U114" t="str">
            <v>CEVNWC.USER</v>
          </cell>
          <cell r="V114" t="b">
            <v>1</v>
          </cell>
          <cell r="X114" t="b">
            <v>0</v>
          </cell>
          <cell r="AA114" t="b">
            <v>0</v>
          </cell>
          <cell r="AB114" t="b">
            <v>0</v>
          </cell>
          <cell r="AC114">
            <v>1</v>
          </cell>
        </row>
        <row r="115">
          <cell r="A115" t="str">
            <v>Operating Free Cash Flow (OpFCF)</v>
          </cell>
          <cell r="B115" t="e">
            <v>#VALUE!</v>
          </cell>
          <cell r="C115" t="e">
            <v>#VALUE!</v>
          </cell>
          <cell r="D115">
            <v>0</v>
          </cell>
          <cell r="E115">
            <v>0</v>
          </cell>
          <cell r="F115">
            <v>104.21500163517395</v>
          </cell>
          <cell r="G115">
            <v>87.59339707999996</v>
          </cell>
          <cell r="H115">
            <v>105.54281992000004</v>
          </cell>
          <cell r="I115">
            <v>838.50145165600009</v>
          </cell>
          <cell r="J115">
            <v>153.75117416490843</v>
          </cell>
          <cell r="K115">
            <v>213.15508212763771</v>
          </cell>
          <cell r="L115">
            <v>207.30913684410666</v>
          </cell>
          <cell r="M115">
            <v>232.44378219419923</v>
          </cell>
          <cell r="N115">
            <v>221.45103793810603</v>
          </cell>
          <cell r="O115">
            <v>298.31152379270884</v>
          </cell>
          <cell r="P115">
            <v>151.19199606039237</v>
          </cell>
          <cell r="Q115" t="e">
            <v>#VALUE!</v>
          </cell>
          <cell r="R115" t="e">
            <v>#VALUE!</v>
          </cell>
          <cell r="U115" t="str">
            <v>COPFCF.USER</v>
          </cell>
          <cell r="V115" t="b">
            <v>1</v>
          </cell>
          <cell r="W115" t="str">
            <v>=core_ebitda+maintenance_capital_expenditure+net_working_capital_inflation</v>
          </cell>
          <cell r="X115" t="b">
            <v>0</v>
          </cell>
          <cell r="Y115" t="str">
            <v>=core_ebitda+maintenance_capital_expenditure+net_working_capital_inflation</v>
          </cell>
          <cell r="Z115" t="str">
            <v>=core_ebitda+maintenance_capital_expenditure+net_working_capital_inflation</v>
          </cell>
          <cell r="AA115" t="b">
            <v>1</v>
          </cell>
          <cell r="AB115" t="b">
            <v>1</v>
          </cell>
          <cell r="AC115">
            <v>1</v>
          </cell>
        </row>
        <row r="117">
          <cell r="A117" t="str">
            <v>Core Net Cash (Debt)</v>
          </cell>
          <cell r="B117" t="e">
            <v>#NAME?</v>
          </cell>
          <cell r="C117">
            <v>0</v>
          </cell>
          <cell r="D117">
            <v>0</v>
          </cell>
          <cell r="E117">
            <v>0</v>
          </cell>
          <cell r="F117">
            <v>127.11180250000001</v>
          </cell>
          <cell r="G117">
            <v>274.46601799999996</v>
          </cell>
          <cell r="H117">
            <v>331.71232499999996</v>
          </cell>
          <cell r="I117">
            <v>0</v>
          </cell>
          <cell r="J117">
            <v>390.77085149999999</v>
          </cell>
          <cell r="K117">
            <v>91.207000999999906</v>
          </cell>
          <cell r="L117">
            <v>64.00800000000001</v>
          </cell>
          <cell r="M117">
            <v>46.312500000000085</v>
          </cell>
          <cell r="N117">
            <v>-284.32743428228696</v>
          </cell>
          <cell r="O117">
            <v>-361.56903313398277</v>
          </cell>
          <cell r="P117">
            <v>-414.03887552532422</v>
          </cell>
          <cell r="Q117" t="e">
            <v>#VALUE!</v>
          </cell>
          <cell r="R117" t="e">
            <v>#VALUE!</v>
          </cell>
          <cell r="U117" t="str">
            <v>CCNCND.USER</v>
          </cell>
          <cell r="V117" t="b">
            <v>1</v>
          </cell>
          <cell r="W117" t="str">
            <v>=(net_debt+net_debt #Token.cu09.prevperiod)/2</v>
          </cell>
          <cell r="X117" t="b">
            <v>0</v>
          </cell>
          <cell r="Y117" t="str">
            <v>=(net_debt+net_debt #Token.cu09.prevperiod)/2</v>
          </cell>
          <cell r="Z117" t="str">
            <v>=(net_debt+net_debt #Token.cu09.prevperiod)/2</v>
          </cell>
          <cell r="AA117" t="b">
            <v>0</v>
          </cell>
          <cell r="AB117" t="b">
            <v>0</v>
          </cell>
          <cell r="AC117">
            <v>1</v>
          </cell>
        </row>
        <row r="118">
          <cell r="A118" t="str">
            <v>Peripheral Assets</v>
          </cell>
          <cell r="B118" t="str">
            <v>Missing</v>
          </cell>
          <cell r="C118" t="str">
            <v>Missing</v>
          </cell>
          <cell r="D118" t="str">
            <v>Missing</v>
          </cell>
          <cell r="E118" t="str">
            <v>Missing</v>
          </cell>
          <cell r="F118">
            <v>0</v>
          </cell>
          <cell r="G118">
            <v>0</v>
          </cell>
          <cell r="H118">
            <v>0</v>
          </cell>
          <cell r="I118">
            <v>0</v>
          </cell>
          <cell r="J118">
            <v>0</v>
          </cell>
          <cell r="K118">
            <v>0</v>
          </cell>
          <cell r="L118">
            <v>0</v>
          </cell>
          <cell r="M118">
            <v>0</v>
          </cell>
          <cell r="N118">
            <v>0</v>
          </cell>
          <cell r="O118">
            <v>0</v>
          </cell>
          <cell r="P118">
            <v>0</v>
          </cell>
          <cell r="Q118" t="str">
            <v>Missing</v>
          </cell>
          <cell r="R118" t="str">
            <v>Missing</v>
          </cell>
          <cell r="T118" t="str">
            <v>M</v>
          </cell>
          <cell r="U118" t="str">
            <v>CEVNPA.USER</v>
          </cell>
          <cell r="V118" t="b">
            <v>1</v>
          </cell>
          <cell r="W118" t="str">
            <v>=non_performing_or_peripheral_assets_npas</v>
          </cell>
          <cell r="X118" t="b">
            <v>0</v>
          </cell>
          <cell r="Y118" t="str">
            <v>=non_performing_or_peripheral_assets_npas</v>
          </cell>
          <cell r="Z118" t="str">
            <v>=non_performing_or_peripheral_assets_npas</v>
          </cell>
          <cell r="AA118" t="b">
            <v>0</v>
          </cell>
          <cell r="AB118" t="b">
            <v>0</v>
          </cell>
          <cell r="AC118">
            <v>1</v>
          </cell>
        </row>
        <row r="119">
          <cell r="A119" t="str">
            <v>Pension Provisions etc</v>
          </cell>
          <cell r="B119" t="str">
            <v>Missing</v>
          </cell>
          <cell r="C119" t="str">
            <v>Missing</v>
          </cell>
          <cell r="D119" t="str">
            <v>Missing</v>
          </cell>
          <cell r="E119" t="str">
            <v>Missing</v>
          </cell>
          <cell r="F119">
            <v>3.4989999999999999E-3</v>
          </cell>
          <cell r="G119">
            <v>0</v>
          </cell>
          <cell r="H119">
            <v>0</v>
          </cell>
          <cell r="I119">
            <v>0</v>
          </cell>
          <cell r="J119">
            <v>0</v>
          </cell>
          <cell r="K119">
            <v>0</v>
          </cell>
          <cell r="L119">
            <v>0</v>
          </cell>
          <cell r="M119">
            <v>0</v>
          </cell>
          <cell r="N119">
            <v>0.75</v>
          </cell>
          <cell r="O119">
            <v>0.75447770309058437</v>
          </cell>
          <cell r="P119">
            <v>0.80820301056461463</v>
          </cell>
          <cell r="Q119" t="str">
            <v>Missing</v>
          </cell>
          <cell r="R119" t="str">
            <v>Missing</v>
          </cell>
          <cell r="T119" t="str">
            <v>M</v>
          </cell>
          <cell r="U119" t="str">
            <v>CPPROV.USER</v>
          </cell>
          <cell r="V119" t="b">
            <v>1</v>
          </cell>
          <cell r="X119" t="b">
            <v>0</v>
          </cell>
          <cell r="AA119" t="b">
            <v>0</v>
          </cell>
          <cell r="AB119" t="b">
            <v>0</v>
          </cell>
          <cell r="AC119">
            <v>1</v>
          </cell>
        </row>
        <row r="120">
          <cell r="A120" t="str">
            <v>Buy Out Of Minorities</v>
          </cell>
          <cell r="B120" t="str">
            <v>Missing</v>
          </cell>
          <cell r="C120" t="str">
            <v>Missing</v>
          </cell>
          <cell r="D120" t="str">
            <v>Missing</v>
          </cell>
          <cell r="E120" t="str">
            <v>Missing</v>
          </cell>
          <cell r="F120">
            <v>0</v>
          </cell>
          <cell r="G120">
            <v>0</v>
          </cell>
          <cell r="H120">
            <v>0</v>
          </cell>
          <cell r="I120">
            <v>0</v>
          </cell>
          <cell r="J120">
            <v>0</v>
          </cell>
          <cell r="K120">
            <v>0</v>
          </cell>
          <cell r="L120">
            <v>0</v>
          </cell>
          <cell r="M120">
            <v>0</v>
          </cell>
          <cell r="N120">
            <v>0</v>
          </cell>
          <cell r="O120">
            <v>0</v>
          </cell>
          <cell r="P120">
            <v>0</v>
          </cell>
          <cell r="Q120" t="str">
            <v>Missing</v>
          </cell>
          <cell r="R120" t="str">
            <v>Missing</v>
          </cell>
          <cell r="T120" t="str">
            <v>M</v>
          </cell>
          <cell r="U120" t="str">
            <v>CBOOM.USER</v>
          </cell>
          <cell r="V120" t="b">
            <v>1</v>
          </cell>
          <cell r="X120" t="b">
            <v>0</v>
          </cell>
          <cell r="AA120" t="b">
            <v>0</v>
          </cell>
          <cell r="AB120" t="b">
            <v>0</v>
          </cell>
          <cell r="AC120">
            <v>1</v>
          </cell>
        </row>
        <row r="121">
          <cell r="A121" t="str">
            <v>Additional Data and Sensitivities</v>
          </cell>
        </row>
        <row r="122">
          <cell r="A122" t="str">
            <v>Non-Performing (or Peripheral) Assets (NPAs)</v>
          </cell>
          <cell r="B122" t="str">
            <v/>
          </cell>
          <cell r="C122" t="str">
            <v/>
          </cell>
          <cell r="D122" t="str">
            <v/>
          </cell>
          <cell r="E122" t="str">
            <v/>
          </cell>
          <cell r="F122" t="str">
            <v/>
          </cell>
          <cell r="G122" t="str">
            <v/>
          </cell>
          <cell r="H122" t="str">
            <v/>
          </cell>
          <cell r="I122" t="str">
            <v/>
          </cell>
          <cell r="J122" t="str">
            <v/>
          </cell>
          <cell r="K122" t="str">
            <v/>
          </cell>
          <cell r="L122" t="str">
            <v/>
          </cell>
          <cell r="M122" t="str">
            <v/>
          </cell>
          <cell r="N122" t="str">
            <v/>
          </cell>
          <cell r="O122" t="str">
            <v/>
          </cell>
          <cell r="P122" t="str">
            <v/>
          </cell>
          <cell r="T122" t="str">
            <v>-</v>
          </cell>
        </row>
        <row r="123">
          <cell r="A123" t="str">
            <v>Average Yield on NPAs</v>
          </cell>
          <cell r="B123" t="str">
            <v/>
          </cell>
          <cell r="C123" t="str">
            <v/>
          </cell>
          <cell r="D123" t="str">
            <v/>
          </cell>
          <cell r="E123" t="str">
            <v/>
          </cell>
          <cell r="F123" t="str">
            <v/>
          </cell>
          <cell r="G123" t="str">
            <v/>
          </cell>
          <cell r="H123" t="str">
            <v/>
          </cell>
          <cell r="I123" t="str">
            <v/>
          </cell>
          <cell r="J123" t="str">
            <v/>
          </cell>
          <cell r="K123" t="str">
            <v/>
          </cell>
          <cell r="L123" t="str">
            <v/>
          </cell>
          <cell r="M123" t="str">
            <v/>
          </cell>
          <cell r="N123" t="str">
            <v/>
          </cell>
          <cell r="O123" t="str">
            <v/>
          </cell>
          <cell r="P123" t="str">
            <v/>
          </cell>
          <cell r="T123" t="str">
            <v>-</v>
          </cell>
        </row>
        <row r="124">
          <cell r="A124" t="str">
            <v>Maintenance Capital Expenditure</v>
          </cell>
          <cell r="B124" t="str">
            <v/>
          </cell>
          <cell r="C124" t="str">
            <v/>
          </cell>
          <cell r="D124" t="str">
            <v/>
          </cell>
          <cell r="E124" t="str">
            <v/>
          </cell>
          <cell r="F124" t="str">
            <v/>
          </cell>
          <cell r="G124" t="str">
            <v/>
          </cell>
          <cell r="H124" t="str">
            <v/>
          </cell>
          <cell r="I124" t="str">
            <v/>
          </cell>
          <cell r="J124" t="str">
            <v/>
          </cell>
          <cell r="K124" t="str">
            <v/>
          </cell>
          <cell r="L124" t="str">
            <v/>
          </cell>
          <cell r="M124" t="str">
            <v/>
          </cell>
          <cell r="N124" t="str">
            <v/>
          </cell>
          <cell r="O124" t="str">
            <v/>
          </cell>
          <cell r="P124" t="str">
            <v/>
          </cell>
          <cell r="T124" t="str">
            <v>-</v>
          </cell>
        </row>
        <row r="125">
          <cell r="A125" t="str">
            <v>Net Profit Sensitivity to Interest Rates</v>
          </cell>
          <cell r="B125" t="str">
            <v/>
          </cell>
          <cell r="C125" t="str">
            <v/>
          </cell>
          <cell r="D125" t="str">
            <v/>
          </cell>
          <cell r="E125" t="str">
            <v/>
          </cell>
          <cell r="F125" t="str">
            <v/>
          </cell>
          <cell r="G125" t="str">
            <v/>
          </cell>
          <cell r="H125" t="str">
            <v/>
          </cell>
          <cell r="I125" t="str">
            <v/>
          </cell>
          <cell r="J125" t="str">
            <v/>
          </cell>
          <cell r="K125" t="str">
            <v/>
          </cell>
          <cell r="L125" t="str">
            <v/>
          </cell>
          <cell r="M125" t="str">
            <v/>
          </cell>
          <cell r="N125" t="str">
            <v/>
          </cell>
          <cell r="O125" t="str">
            <v/>
          </cell>
          <cell r="P125" t="str">
            <v/>
          </cell>
          <cell r="T125" t="str">
            <v>-</v>
          </cell>
        </row>
        <row r="126">
          <cell r="A126" t="str">
            <v>Net Profit Sensitivity to US$</v>
          </cell>
          <cell r="B126" t="str">
            <v/>
          </cell>
          <cell r="C126" t="str">
            <v/>
          </cell>
          <cell r="D126" t="str">
            <v/>
          </cell>
          <cell r="E126" t="str">
            <v/>
          </cell>
          <cell r="F126" t="str">
            <v/>
          </cell>
          <cell r="G126" t="str">
            <v/>
          </cell>
          <cell r="H126" t="str">
            <v/>
          </cell>
          <cell r="I126" t="str">
            <v/>
          </cell>
          <cell r="J126" t="str">
            <v/>
          </cell>
          <cell r="K126" t="str">
            <v/>
          </cell>
          <cell r="L126" t="str">
            <v/>
          </cell>
          <cell r="M126" t="str">
            <v/>
          </cell>
          <cell r="N126" t="str">
            <v/>
          </cell>
          <cell r="O126" t="str">
            <v/>
          </cell>
          <cell r="P126" t="str">
            <v/>
          </cell>
          <cell r="T126" t="str">
            <v>-</v>
          </cell>
        </row>
        <row r="127">
          <cell r="A127" t="str">
            <v>Net Profit Sensitivity to Yen</v>
          </cell>
          <cell r="B127" t="str">
            <v/>
          </cell>
          <cell r="C127" t="str">
            <v/>
          </cell>
          <cell r="D127" t="str">
            <v/>
          </cell>
          <cell r="E127" t="str">
            <v/>
          </cell>
          <cell r="F127" t="str">
            <v/>
          </cell>
          <cell r="G127" t="str">
            <v/>
          </cell>
          <cell r="H127" t="str">
            <v/>
          </cell>
          <cell r="I127" t="str">
            <v/>
          </cell>
          <cell r="J127" t="str">
            <v/>
          </cell>
          <cell r="K127" t="str">
            <v/>
          </cell>
          <cell r="L127" t="str">
            <v/>
          </cell>
          <cell r="M127" t="str">
            <v/>
          </cell>
          <cell r="N127" t="str">
            <v/>
          </cell>
          <cell r="O127" t="str">
            <v/>
          </cell>
          <cell r="P127" t="str">
            <v/>
          </cell>
          <cell r="T127" t="str">
            <v>-</v>
          </cell>
        </row>
        <row r="128">
          <cell r="A128" t="str">
            <v>Capacity Measurement</v>
          </cell>
          <cell r="U128" t="str">
            <v>CAPMES.USER</v>
          </cell>
          <cell r="V128" t="b">
            <v>1</v>
          </cell>
          <cell r="X128" t="b">
            <v>0</v>
          </cell>
          <cell r="AA128" t="b">
            <v>0</v>
          </cell>
          <cell r="AB128" t="b">
            <v>0</v>
          </cell>
          <cell r="AC128">
            <v>1</v>
          </cell>
        </row>
        <row r="129">
          <cell r="A129" t="str">
            <v>Item 1</v>
          </cell>
          <cell r="B129" t="str">
            <v/>
          </cell>
          <cell r="C129" t="str">
            <v/>
          </cell>
          <cell r="D129" t="str">
            <v/>
          </cell>
          <cell r="E129" t="str">
            <v/>
          </cell>
          <cell r="F129" t="str">
            <v/>
          </cell>
          <cell r="G129" t="str">
            <v/>
          </cell>
          <cell r="H129" t="str">
            <v/>
          </cell>
          <cell r="I129" t="str">
            <v/>
          </cell>
          <cell r="J129" t="str">
            <v/>
          </cell>
          <cell r="K129" t="str">
            <v/>
          </cell>
          <cell r="L129" t="str">
            <v/>
          </cell>
          <cell r="M129" t="str">
            <v/>
          </cell>
          <cell r="N129" t="str">
            <v/>
          </cell>
          <cell r="O129" t="str">
            <v/>
          </cell>
          <cell r="P129" t="str">
            <v/>
          </cell>
          <cell r="Q129" t="str">
            <v/>
          </cell>
          <cell r="R129" t="str">
            <v/>
          </cell>
          <cell r="T129" t="str">
            <v>-</v>
          </cell>
          <cell r="U129" t="str">
            <v>ITEM1.USER</v>
          </cell>
          <cell r="V129" t="b">
            <v>1</v>
          </cell>
          <cell r="X129" t="b">
            <v>0</v>
          </cell>
          <cell r="AA129" t="b">
            <v>0</v>
          </cell>
          <cell r="AB129" t="b">
            <v>0</v>
          </cell>
          <cell r="AC129">
            <v>1</v>
          </cell>
        </row>
        <row r="130">
          <cell r="A130" t="str">
            <v>Item 2</v>
          </cell>
          <cell r="B130" t="str">
            <v/>
          </cell>
          <cell r="C130" t="str">
            <v/>
          </cell>
          <cell r="D130" t="str">
            <v/>
          </cell>
          <cell r="E130" t="str">
            <v/>
          </cell>
          <cell r="F130" t="str">
            <v/>
          </cell>
          <cell r="G130" t="str">
            <v/>
          </cell>
          <cell r="H130" t="str">
            <v/>
          </cell>
          <cell r="I130" t="str">
            <v/>
          </cell>
          <cell r="J130" t="str">
            <v/>
          </cell>
          <cell r="K130" t="str">
            <v/>
          </cell>
          <cell r="L130" t="str">
            <v/>
          </cell>
          <cell r="M130" t="str">
            <v/>
          </cell>
          <cell r="N130" t="str">
            <v/>
          </cell>
          <cell r="O130" t="str">
            <v/>
          </cell>
          <cell r="P130" t="str">
            <v/>
          </cell>
          <cell r="Q130" t="str">
            <v/>
          </cell>
          <cell r="R130" t="str">
            <v/>
          </cell>
          <cell r="T130" t="str">
            <v>-</v>
          </cell>
          <cell r="U130" t="str">
            <v>ITEM2.USER</v>
          </cell>
          <cell r="V130" t="b">
            <v>1</v>
          </cell>
          <cell r="X130" t="b">
            <v>0</v>
          </cell>
          <cell r="AA130" t="b">
            <v>0</v>
          </cell>
          <cell r="AB130" t="b">
            <v>0</v>
          </cell>
          <cell r="AC130">
            <v>1</v>
          </cell>
        </row>
        <row r="131">
          <cell r="A131" t="str">
            <v>Item 3</v>
          </cell>
          <cell r="B131" t="str">
            <v/>
          </cell>
          <cell r="C131" t="str">
            <v/>
          </cell>
          <cell r="D131" t="str">
            <v/>
          </cell>
          <cell r="E131" t="str">
            <v/>
          </cell>
          <cell r="F131" t="str">
            <v/>
          </cell>
          <cell r="G131" t="str">
            <v/>
          </cell>
          <cell r="H131" t="str">
            <v/>
          </cell>
          <cell r="I131" t="str">
            <v/>
          </cell>
          <cell r="J131" t="str">
            <v/>
          </cell>
          <cell r="K131" t="str">
            <v/>
          </cell>
          <cell r="L131" t="str">
            <v/>
          </cell>
          <cell r="M131" t="str">
            <v/>
          </cell>
          <cell r="N131" t="str">
            <v/>
          </cell>
          <cell r="O131" t="str">
            <v/>
          </cell>
          <cell r="P131" t="str">
            <v/>
          </cell>
          <cell r="Q131" t="str">
            <v/>
          </cell>
          <cell r="R131" t="str">
            <v/>
          </cell>
          <cell r="T131" t="str">
            <v>-</v>
          </cell>
          <cell r="U131" t="str">
            <v>ITEM3.USER</v>
          </cell>
          <cell r="V131" t="b">
            <v>1</v>
          </cell>
          <cell r="X131" t="b">
            <v>0</v>
          </cell>
          <cell r="AA131" t="b">
            <v>0</v>
          </cell>
          <cell r="AB131" t="b">
            <v>0</v>
          </cell>
          <cell r="AC131">
            <v>1</v>
          </cell>
        </row>
        <row r="132">
          <cell r="A132" t="str">
            <v>Item 4</v>
          </cell>
          <cell r="B132" t="str">
            <v/>
          </cell>
          <cell r="C132" t="str">
            <v/>
          </cell>
          <cell r="D132" t="str">
            <v/>
          </cell>
          <cell r="E132" t="str">
            <v/>
          </cell>
          <cell r="F132" t="str">
            <v/>
          </cell>
          <cell r="G132" t="str">
            <v/>
          </cell>
          <cell r="H132" t="str">
            <v/>
          </cell>
          <cell r="I132" t="str">
            <v/>
          </cell>
          <cell r="J132" t="str">
            <v/>
          </cell>
          <cell r="K132" t="str">
            <v/>
          </cell>
          <cell r="L132" t="str">
            <v/>
          </cell>
          <cell r="M132" t="str">
            <v/>
          </cell>
          <cell r="N132" t="str">
            <v/>
          </cell>
          <cell r="O132" t="str">
            <v/>
          </cell>
          <cell r="P132" t="str">
            <v/>
          </cell>
          <cell r="Q132" t="str">
            <v/>
          </cell>
          <cell r="R132" t="str">
            <v/>
          </cell>
          <cell r="T132" t="str">
            <v>-</v>
          </cell>
          <cell r="U132" t="str">
            <v>ITEM4.USER</v>
          </cell>
          <cell r="V132" t="b">
            <v>1</v>
          </cell>
          <cell r="X132" t="b">
            <v>0</v>
          </cell>
          <cell r="AA132" t="b">
            <v>0</v>
          </cell>
          <cell r="AB132" t="b">
            <v>0</v>
          </cell>
          <cell r="AC132">
            <v>1</v>
          </cell>
        </row>
        <row r="133">
          <cell r="A133" t="str">
            <v>Item 5</v>
          </cell>
          <cell r="B133" t="str">
            <v/>
          </cell>
          <cell r="C133" t="str">
            <v/>
          </cell>
          <cell r="D133" t="str">
            <v/>
          </cell>
          <cell r="E133" t="str">
            <v/>
          </cell>
          <cell r="F133" t="str">
            <v/>
          </cell>
          <cell r="G133" t="str">
            <v/>
          </cell>
          <cell r="H133" t="str">
            <v/>
          </cell>
          <cell r="I133" t="str">
            <v/>
          </cell>
          <cell r="J133" t="str">
            <v/>
          </cell>
          <cell r="K133" t="str">
            <v/>
          </cell>
          <cell r="L133" t="str">
            <v/>
          </cell>
          <cell r="M133" t="str">
            <v/>
          </cell>
          <cell r="N133" t="str">
            <v/>
          </cell>
          <cell r="O133" t="str">
            <v/>
          </cell>
          <cell r="P133" t="str">
            <v/>
          </cell>
          <cell r="Q133" t="str">
            <v/>
          </cell>
          <cell r="R133" t="str">
            <v/>
          </cell>
          <cell r="T133" t="str">
            <v>-</v>
          </cell>
          <cell r="U133" t="str">
            <v>ITEM5.USER</v>
          </cell>
          <cell r="V133" t="b">
            <v>1</v>
          </cell>
          <cell r="X133" t="b">
            <v>0</v>
          </cell>
          <cell r="AA133" t="b">
            <v>0</v>
          </cell>
          <cell r="AB133" t="b">
            <v>0</v>
          </cell>
          <cell r="AC133">
            <v>1</v>
          </cell>
        </row>
        <row r="134">
          <cell r="A134" t="str">
            <v>Item 6</v>
          </cell>
          <cell r="B134" t="str">
            <v/>
          </cell>
          <cell r="C134" t="str">
            <v/>
          </cell>
          <cell r="D134" t="str">
            <v/>
          </cell>
          <cell r="E134" t="str">
            <v/>
          </cell>
          <cell r="F134" t="str">
            <v/>
          </cell>
          <cell r="G134" t="str">
            <v/>
          </cell>
          <cell r="H134" t="str">
            <v/>
          </cell>
          <cell r="I134" t="str">
            <v/>
          </cell>
          <cell r="J134" t="str">
            <v/>
          </cell>
          <cell r="K134" t="str">
            <v/>
          </cell>
          <cell r="L134" t="str">
            <v/>
          </cell>
          <cell r="M134" t="str">
            <v/>
          </cell>
          <cell r="N134" t="str">
            <v/>
          </cell>
          <cell r="O134" t="str">
            <v/>
          </cell>
          <cell r="P134" t="str">
            <v/>
          </cell>
          <cell r="Q134" t="str">
            <v/>
          </cell>
          <cell r="R134" t="str">
            <v/>
          </cell>
          <cell r="T134" t="str">
            <v>-</v>
          </cell>
          <cell r="U134" t="str">
            <v>ITEM6.USER</v>
          </cell>
          <cell r="V134" t="b">
            <v>1</v>
          </cell>
          <cell r="X134" t="b">
            <v>0</v>
          </cell>
          <cell r="AA134" t="b">
            <v>0</v>
          </cell>
          <cell r="AB134" t="b">
            <v>0</v>
          </cell>
          <cell r="AC134">
            <v>1</v>
          </cell>
        </row>
        <row r="135">
          <cell r="A135" t="str">
            <v>Item 7</v>
          </cell>
          <cell r="B135" t="str">
            <v/>
          </cell>
          <cell r="C135" t="str">
            <v/>
          </cell>
          <cell r="D135" t="str">
            <v/>
          </cell>
          <cell r="E135" t="str">
            <v/>
          </cell>
          <cell r="F135" t="str">
            <v/>
          </cell>
          <cell r="G135" t="str">
            <v/>
          </cell>
          <cell r="H135" t="str">
            <v/>
          </cell>
          <cell r="I135" t="str">
            <v/>
          </cell>
          <cell r="J135" t="str">
            <v/>
          </cell>
          <cell r="K135" t="str">
            <v/>
          </cell>
          <cell r="L135" t="str">
            <v/>
          </cell>
          <cell r="M135" t="str">
            <v/>
          </cell>
          <cell r="N135" t="str">
            <v/>
          </cell>
          <cell r="O135" t="str">
            <v/>
          </cell>
          <cell r="P135" t="str">
            <v/>
          </cell>
          <cell r="Q135" t="str">
            <v/>
          </cell>
          <cell r="R135" t="str">
            <v/>
          </cell>
          <cell r="T135" t="str">
            <v>-</v>
          </cell>
          <cell r="U135" t="str">
            <v>ITEM7.USER</v>
          </cell>
          <cell r="V135" t="b">
            <v>1</v>
          </cell>
          <cell r="X135" t="b">
            <v>0</v>
          </cell>
          <cell r="AA135" t="b">
            <v>0</v>
          </cell>
          <cell r="AB135" t="b">
            <v>0</v>
          </cell>
          <cell r="AC135">
            <v>1</v>
          </cell>
        </row>
        <row r="136">
          <cell r="A136" t="str">
            <v>Item 8</v>
          </cell>
          <cell r="B136" t="str">
            <v/>
          </cell>
          <cell r="C136" t="str">
            <v/>
          </cell>
          <cell r="D136" t="str">
            <v/>
          </cell>
          <cell r="E136" t="str">
            <v/>
          </cell>
          <cell r="F136" t="str">
            <v/>
          </cell>
          <cell r="G136" t="str">
            <v/>
          </cell>
          <cell r="H136" t="str">
            <v/>
          </cell>
          <cell r="I136" t="str">
            <v/>
          </cell>
          <cell r="J136" t="str">
            <v/>
          </cell>
          <cell r="K136" t="str">
            <v/>
          </cell>
          <cell r="L136" t="str">
            <v/>
          </cell>
          <cell r="M136" t="str">
            <v/>
          </cell>
          <cell r="N136" t="str">
            <v/>
          </cell>
          <cell r="O136" t="str">
            <v/>
          </cell>
          <cell r="P136" t="str">
            <v/>
          </cell>
          <cell r="Q136" t="str">
            <v/>
          </cell>
          <cell r="R136" t="str">
            <v/>
          </cell>
          <cell r="T136" t="str">
            <v>-</v>
          </cell>
          <cell r="U136" t="str">
            <v>ITEM8.USER</v>
          </cell>
          <cell r="V136" t="b">
            <v>1</v>
          </cell>
          <cell r="X136" t="b">
            <v>0</v>
          </cell>
          <cell r="AA136" t="b">
            <v>0</v>
          </cell>
          <cell r="AB136" t="b">
            <v>0</v>
          </cell>
          <cell r="AC136">
            <v>1</v>
          </cell>
        </row>
        <row r="137">
          <cell r="A137" t="str">
            <v>Item 9</v>
          </cell>
          <cell r="B137" t="str">
            <v/>
          </cell>
          <cell r="C137" t="str">
            <v/>
          </cell>
          <cell r="D137" t="str">
            <v/>
          </cell>
          <cell r="E137" t="str">
            <v/>
          </cell>
          <cell r="F137" t="str">
            <v/>
          </cell>
          <cell r="G137" t="str">
            <v/>
          </cell>
          <cell r="H137" t="str">
            <v/>
          </cell>
          <cell r="I137" t="str">
            <v/>
          </cell>
          <cell r="J137" t="str">
            <v/>
          </cell>
          <cell r="K137" t="str">
            <v/>
          </cell>
          <cell r="L137" t="str">
            <v/>
          </cell>
          <cell r="M137" t="str">
            <v/>
          </cell>
          <cell r="N137" t="str">
            <v/>
          </cell>
          <cell r="O137" t="str">
            <v/>
          </cell>
          <cell r="P137" t="str">
            <v/>
          </cell>
          <cell r="Q137" t="str">
            <v/>
          </cell>
          <cell r="R137" t="str">
            <v/>
          </cell>
          <cell r="T137" t="str">
            <v>-</v>
          </cell>
          <cell r="U137" t="str">
            <v>ITEM9.USER</v>
          </cell>
          <cell r="V137" t="b">
            <v>1</v>
          </cell>
          <cell r="X137" t="b">
            <v>0</v>
          </cell>
          <cell r="AA137" t="b">
            <v>0</v>
          </cell>
          <cell r="AB137" t="b">
            <v>0</v>
          </cell>
          <cell r="AC137">
            <v>1</v>
          </cell>
        </row>
        <row r="138">
          <cell r="A138" t="str">
            <v>Item 10</v>
          </cell>
          <cell r="B138" t="str">
            <v/>
          </cell>
          <cell r="C138" t="str">
            <v/>
          </cell>
          <cell r="D138" t="str">
            <v/>
          </cell>
          <cell r="E138" t="str">
            <v/>
          </cell>
          <cell r="F138" t="str">
            <v/>
          </cell>
          <cell r="G138" t="str">
            <v/>
          </cell>
          <cell r="H138" t="str">
            <v/>
          </cell>
          <cell r="I138" t="str">
            <v/>
          </cell>
          <cell r="J138" t="str">
            <v/>
          </cell>
          <cell r="K138" t="str">
            <v/>
          </cell>
          <cell r="L138" t="str">
            <v/>
          </cell>
          <cell r="M138" t="str">
            <v/>
          </cell>
          <cell r="N138" t="str">
            <v/>
          </cell>
          <cell r="O138" t="str">
            <v/>
          </cell>
          <cell r="P138" t="str">
            <v/>
          </cell>
          <cell r="Q138" t="str">
            <v/>
          </cell>
          <cell r="R138" t="str">
            <v/>
          </cell>
          <cell r="T138" t="str">
            <v>-</v>
          </cell>
          <cell r="U138" t="str">
            <v>ITEM10.USER</v>
          </cell>
          <cell r="V138" t="b">
            <v>1</v>
          </cell>
          <cell r="X138" t="b">
            <v>0</v>
          </cell>
          <cell r="AA138" t="b">
            <v>0</v>
          </cell>
          <cell r="AB138" t="b">
            <v>0</v>
          </cell>
          <cell r="AC138">
            <v>1</v>
          </cell>
        </row>
        <row r="139">
          <cell r="A139" t="str">
            <v>Item 11</v>
          </cell>
          <cell r="B139" t="str">
            <v/>
          </cell>
          <cell r="C139" t="str">
            <v/>
          </cell>
          <cell r="D139" t="str">
            <v/>
          </cell>
          <cell r="E139" t="str">
            <v/>
          </cell>
          <cell r="F139" t="str">
            <v/>
          </cell>
          <cell r="G139" t="str">
            <v/>
          </cell>
          <cell r="H139" t="str">
            <v/>
          </cell>
          <cell r="I139" t="str">
            <v/>
          </cell>
          <cell r="J139" t="str">
            <v/>
          </cell>
          <cell r="K139" t="str">
            <v/>
          </cell>
          <cell r="L139" t="str">
            <v/>
          </cell>
          <cell r="M139" t="str">
            <v/>
          </cell>
          <cell r="N139" t="str">
            <v/>
          </cell>
          <cell r="O139" t="str">
            <v/>
          </cell>
          <cell r="P139" t="str">
            <v/>
          </cell>
          <cell r="Q139" t="str">
            <v/>
          </cell>
          <cell r="R139" t="str">
            <v/>
          </cell>
          <cell r="T139" t="str">
            <v>-</v>
          </cell>
          <cell r="U139" t="str">
            <v>ITEM11.USER</v>
          </cell>
          <cell r="V139" t="b">
            <v>1</v>
          </cell>
          <cell r="X139" t="b">
            <v>0</v>
          </cell>
          <cell r="AA139" t="b">
            <v>0</v>
          </cell>
          <cell r="AB139" t="b">
            <v>0</v>
          </cell>
          <cell r="AC139">
            <v>1</v>
          </cell>
        </row>
        <row r="140">
          <cell r="A140" t="str">
            <v>Item 12</v>
          </cell>
          <cell r="B140" t="str">
            <v/>
          </cell>
          <cell r="C140" t="str">
            <v/>
          </cell>
          <cell r="D140" t="str">
            <v/>
          </cell>
          <cell r="E140" t="str">
            <v/>
          </cell>
          <cell r="F140" t="str">
            <v/>
          </cell>
          <cell r="G140" t="str">
            <v/>
          </cell>
          <cell r="H140" t="str">
            <v/>
          </cell>
          <cell r="I140" t="str">
            <v/>
          </cell>
          <cell r="J140" t="str">
            <v/>
          </cell>
          <cell r="K140" t="str">
            <v/>
          </cell>
          <cell r="L140" t="str">
            <v/>
          </cell>
          <cell r="M140" t="str">
            <v/>
          </cell>
          <cell r="N140" t="str">
            <v/>
          </cell>
          <cell r="O140" t="str">
            <v/>
          </cell>
          <cell r="P140" t="str">
            <v/>
          </cell>
          <cell r="Q140" t="str">
            <v/>
          </cell>
          <cell r="R140" t="str">
            <v/>
          </cell>
          <cell r="T140" t="str">
            <v>-</v>
          </cell>
          <cell r="U140" t="str">
            <v>ITEM12.USER</v>
          </cell>
          <cell r="V140" t="b">
            <v>1</v>
          </cell>
          <cell r="X140" t="b">
            <v>0</v>
          </cell>
          <cell r="AA140" t="b">
            <v>0</v>
          </cell>
          <cell r="AB140" t="b">
            <v>0</v>
          </cell>
          <cell r="AC140">
            <v>1</v>
          </cell>
        </row>
        <row r="141">
          <cell r="A141" t="str">
            <v>Global Profit And Loss</v>
          </cell>
        </row>
        <row r="142">
          <cell r="A142" t="str">
            <v>Turnover</v>
          </cell>
          <cell r="B142">
            <v>1</v>
          </cell>
          <cell r="C142">
            <v>0</v>
          </cell>
          <cell r="D142">
            <v>0</v>
          </cell>
          <cell r="E142">
            <v>0</v>
          </cell>
          <cell r="F142">
            <v>298.73655400000001</v>
          </cell>
          <cell r="G142">
            <v>252.68</v>
          </cell>
          <cell r="H142">
            <v>280.2</v>
          </cell>
          <cell r="I142">
            <v>336.38097699999997</v>
          </cell>
          <cell r="J142">
            <v>355.16300000000007</v>
          </cell>
          <cell r="K142">
            <v>352.79000000000008</v>
          </cell>
          <cell r="L142">
            <v>367.76700000000005</v>
          </cell>
          <cell r="M142">
            <v>414.05334863999997</v>
          </cell>
          <cell r="N142">
            <v>420.36061261981996</v>
          </cell>
          <cell r="O142">
            <v>643.49528031834666</v>
          </cell>
          <cell r="P142">
            <v>284.45375496111768</v>
          </cell>
          <cell r="Q142" t="e">
            <v>#VALUE!</v>
          </cell>
          <cell r="R142" t="e">
            <v>#VALUE!</v>
          </cell>
          <cell r="U142" t="str">
            <v>GPLTRN.USER</v>
          </cell>
          <cell r="V142" t="b">
            <v>1</v>
          </cell>
          <cell r="W142" t="str">
            <v>=turnover</v>
          </cell>
          <cell r="X142" t="b">
            <v>0</v>
          </cell>
          <cell r="Y142" t="str">
            <v>=turnover</v>
          </cell>
          <cell r="Z142" t="str">
            <v>=turnover</v>
          </cell>
          <cell r="AA142" t="b">
            <v>1</v>
          </cell>
          <cell r="AB142" t="b">
            <v>1</v>
          </cell>
          <cell r="AC142">
            <v>1</v>
          </cell>
        </row>
        <row r="143">
          <cell r="A143" t="str">
            <v>Depreciation/Amortisation</v>
          </cell>
          <cell r="B143">
            <v>0</v>
          </cell>
          <cell r="C143">
            <v>0</v>
          </cell>
          <cell r="D143">
            <v>0</v>
          </cell>
          <cell r="E143">
            <v>0</v>
          </cell>
          <cell r="F143">
            <v>-0.66979599999999995</v>
          </cell>
          <cell r="G143">
            <v>-0.81186100000000005</v>
          </cell>
          <cell r="H143">
            <v>-1.088684</v>
          </cell>
          <cell r="I143">
            <v>-1.659745</v>
          </cell>
          <cell r="J143">
            <v>-2.0688279999999999</v>
          </cell>
          <cell r="K143">
            <v>-123.254</v>
          </cell>
          <cell r="L143">
            <v>-117.2</v>
          </cell>
          <cell r="M143">
            <v>-130.69999999999999</v>
          </cell>
          <cell r="N143">
            <v>-136.44166666666666</v>
          </cell>
          <cell r="O143">
            <v>-181.19225</v>
          </cell>
          <cell r="P143">
            <v>-41.375583333333338</v>
          </cell>
          <cell r="Q143" t="e">
            <v>#VALUE!</v>
          </cell>
          <cell r="R143" t="e">
            <v>#VALUE!</v>
          </cell>
          <cell r="U143" t="str">
            <v>GPLDAM.USER</v>
          </cell>
          <cell r="V143" t="b">
            <v>1</v>
          </cell>
          <cell r="W143" t="str">
            <v>=depreciation_amortisation</v>
          </cell>
          <cell r="X143" t="b">
            <v>0</v>
          </cell>
          <cell r="Y143" t="str">
            <v>=depreciation_amortisation</v>
          </cell>
          <cell r="Z143" t="str">
            <v>=depreciation_amortisation</v>
          </cell>
          <cell r="AA143" t="b">
            <v>1</v>
          </cell>
          <cell r="AB143" t="b">
            <v>1</v>
          </cell>
          <cell r="AC143">
            <v>1</v>
          </cell>
        </row>
        <row r="144">
          <cell r="A144" t="str">
            <v>Other Costs</v>
          </cell>
          <cell r="B144">
            <v>-1</v>
          </cell>
          <cell r="C144">
            <v>0</v>
          </cell>
          <cell r="D144">
            <v>0</v>
          </cell>
          <cell r="E144">
            <v>0</v>
          </cell>
          <cell r="F144">
            <v>-194.92660916482606</v>
          </cell>
          <cell r="G144">
            <v>-166.83623300000005</v>
          </cell>
          <cell r="H144">
            <v>-176.79425599999996</v>
          </cell>
          <cell r="I144">
            <v>-189.40140695847722</v>
          </cell>
          <cell r="J144">
            <v>-203.71161471509163</v>
          </cell>
          <cell r="K144">
            <v>-147.76179787236234</v>
          </cell>
          <cell r="L144">
            <v>-165.86954315589341</v>
          </cell>
          <cell r="M144">
            <v>-196.14612644580075</v>
          </cell>
          <cell r="N144">
            <v>-208.12404981155277</v>
          </cell>
          <cell r="O144">
            <v>-352.98905267165384</v>
          </cell>
          <cell r="P144">
            <v>-141.19882489069698</v>
          </cell>
          <cell r="Q144" t="e">
            <v>#VALUE!</v>
          </cell>
          <cell r="R144" t="e">
            <v>#VALUE!</v>
          </cell>
          <cell r="U144" t="str">
            <v>GPLOCO.USER</v>
          </cell>
          <cell r="V144" t="b">
            <v>1</v>
          </cell>
          <cell r="W144" t="str">
            <v>=-(turnover+depreciation_amortisation-ebit)</v>
          </cell>
          <cell r="X144" t="b">
            <v>0</v>
          </cell>
          <cell r="Y144" t="str">
            <v>=-(turnover+depreciation_amortisation-ebit)</v>
          </cell>
          <cell r="Z144" t="str">
            <v>=-(turnover+depreciation_amortisation-ebit)</v>
          </cell>
          <cell r="AA144" t="b">
            <v>1</v>
          </cell>
          <cell r="AB144" t="b">
            <v>1</v>
          </cell>
          <cell r="AC144">
            <v>1</v>
          </cell>
        </row>
        <row r="145">
          <cell r="A145" t="str">
            <v>EBIT</v>
          </cell>
          <cell r="B145">
            <v>0</v>
          </cell>
          <cell r="C145">
            <v>0</v>
          </cell>
          <cell r="D145">
            <v>0</v>
          </cell>
          <cell r="E145">
            <v>0</v>
          </cell>
          <cell r="F145">
            <v>103.14014883517395</v>
          </cell>
          <cell r="G145">
            <v>85.031905999999964</v>
          </cell>
          <cell r="H145">
            <v>102.31706000000004</v>
          </cell>
          <cell r="I145">
            <v>145.31982504152276</v>
          </cell>
          <cell r="J145">
            <v>149.38255728490844</v>
          </cell>
          <cell r="K145">
            <v>81.774202127637722</v>
          </cell>
          <cell r="L145">
            <v>84.697456844106654</v>
          </cell>
          <cell r="M145">
            <v>87.207222194199247</v>
          </cell>
          <cell r="N145">
            <v>75.794896141600518</v>
          </cell>
          <cell r="O145">
            <v>109.31397764669283</v>
          </cell>
          <cell r="P145">
            <v>101.87934673708736</v>
          </cell>
          <cell r="Q145" t="e">
            <v>#VALUE!</v>
          </cell>
          <cell r="R145" t="e">
            <v>#VALUE!</v>
          </cell>
          <cell r="U145" t="str">
            <v>GPLEBT.USER</v>
          </cell>
          <cell r="V145" t="b">
            <v>1</v>
          </cell>
          <cell r="W145" t="str">
            <v>=trading_profit</v>
          </cell>
          <cell r="X145" t="b">
            <v>0</v>
          </cell>
          <cell r="Y145" t="str">
            <v>=trading_profit</v>
          </cell>
          <cell r="Z145" t="str">
            <v>=trading_profit</v>
          </cell>
          <cell r="AA145" t="b">
            <v>1</v>
          </cell>
          <cell r="AB145" t="b">
            <v>1</v>
          </cell>
          <cell r="AC145">
            <v>1</v>
          </cell>
        </row>
        <row r="146">
          <cell r="A146" t="str">
            <v>Net Interest</v>
          </cell>
          <cell r="B146">
            <v>0</v>
          </cell>
          <cell r="C146">
            <v>0</v>
          </cell>
          <cell r="D146">
            <v>0</v>
          </cell>
          <cell r="E146">
            <v>0</v>
          </cell>
          <cell r="F146">
            <v>54.414753000000005</v>
          </cell>
          <cell r="G146">
            <v>37.787031000000006</v>
          </cell>
          <cell r="H146">
            <v>47.561526000000001</v>
          </cell>
          <cell r="I146">
            <v>41.427</v>
          </cell>
          <cell r="J146">
            <v>22.454999999999998</v>
          </cell>
          <cell r="K146">
            <v>20.100000000000001</v>
          </cell>
          <cell r="L146">
            <v>75.171999999999997</v>
          </cell>
          <cell r="M146">
            <v>59.037999999999997</v>
          </cell>
          <cell r="N146">
            <v>5.544040143933314</v>
          </cell>
          <cell r="O146">
            <v>-10.396902917230713</v>
          </cell>
          <cell r="P146">
            <v>-12.421166265759725</v>
          </cell>
          <cell r="Q146" t="e">
            <v>#VALUE!</v>
          </cell>
          <cell r="R146" t="e">
            <v>#VALUE!</v>
          </cell>
          <cell r="U146" t="str">
            <v>GPLNI.USER</v>
          </cell>
          <cell r="V146" t="b">
            <v>1</v>
          </cell>
          <cell r="W146" t="str">
            <v>=net_interest</v>
          </cell>
          <cell r="X146" t="b">
            <v>0</v>
          </cell>
          <cell r="Y146" t="str">
            <v>=net_interest</v>
          </cell>
          <cell r="Z146" t="str">
            <v>=net_interest</v>
          </cell>
          <cell r="AA146" t="b">
            <v>1</v>
          </cell>
          <cell r="AB146" t="b">
            <v>1</v>
          </cell>
          <cell r="AC146">
            <v>1</v>
          </cell>
        </row>
        <row r="147">
          <cell r="A147" t="str">
            <v>Net Other Non-Operating Items</v>
          </cell>
          <cell r="B147">
            <v>0</v>
          </cell>
          <cell r="C147">
            <v>0</v>
          </cell>
          <cell r="D147">
            <v>0</v>
          </cell>
          <cell r="E147">
            <v>0</v>
          </cell>
          <cell r="F147">
            <v>0.221743</v>
          </cell>
          <cell r="G147">
            <v>-0.30915799999999999</v>
          </cell>
          <cell r="H147">
            <v>-0.458312</v>
          </cell>
          <cell r="I147">
            <v>-0.33970099999999998</v>
          </cell>
          <cell r="J147">
            <v>-0.237815</v>
          </cell>
          <cell r="K147">
            <v>-0.114</v>
          </cell>
          <cell r="L147">
            <v>-4.2999999999999997E-2</v>
          </cell>
          <cell r="M147">
            <v>-3.45</v>
          </cell>
          <cell r="N147">
            <v>-1.5</v>
          </cell>
          <cell r="O147">
            <v>-2</v>
          </cell>
          <cell r="P147">
            <v>-2</v>
          </cell>
          <cell r="Q147" t="e">
            <v>#VALUE!</v>
          </cell>
          <cell r="R147" t="e">
            <v>#VALUE!</v>
          </cell>
          <cell r="U147" t="str">
            <v>GPLNOI.USER</v>
          </cell>
          <cell r="V147" t="b">
            <v>1</v>
          </cell>
          <cell r="W147" t="str">
            <v>=other_income_associates+net_exceptionals</v>
          </cell>
          <cell r="X147" t="b">
            <v>0</v>
          </cell>
          <cell r="Y147" t="str">
            <v>=other_income_associates+net_exceptionals</v>
          </cell>
          <cell r="Z147" t="str">
            <v>=other_income_associates+net_exceptionals</v>
          </cell>
          <cell r="AA147" t="b">
            <v>1</v>
          </cell>
          <cell r="AB147" t="b">
            <v>1</v>
          </cell>
          <cell r="AC147">
            <v>1</v>
          </cell>
        </row>
        <row r="148">
          <cell r="A148" t="str">
            <v>Profit Before Tax</v>
          </cell>
          <cell r="B148">
            <v>0</v>
          </cell>
          <cell r="C148">
            <v>0</v>
          </cell>
          <cell r="D148">
            <v>0</v>
          </cell>
          <cell r="E148">
            <v>0</v>
          </cell>
          <cell r="F148">
            <v>157.77664483517395</v>
          </cell>
          <cell r="G148">
            <v>122.50977899999998</v>
          </cell>
          <cell r="H148">
            <v>149.42027400000003</v>
          </cell>
          <cell r="I148">
            <v>186.40712404152276</v>
          </cell>
          <cell r="J148">
            <v>171.59974228490842</v>
          </cell>
          <cell r="K148">
            <v>101.76020212763771</v>
          </cell>
          <cell r="L148">
            <v>159.82645684410664</v>
          </cell>
          <cell r="M148">
            <v>142.79522219419925</v>
          </cell>
          <cell r="N148">
            <v>79.838936285533833</v>
          </cell>
          <cell r="O148">
            <v>96.917074729462115</v>
          </cell>
          <cell r="P148">
            <v>87.458180471327637</v>
          </cell>
          <cell r="Q148" t="e">
            <v>#VALUE!</v>
          </cell>
          <cell r="R148" t="e">
            <v>#VALUE!</v>
          </cell>
          <cell r="U148" t="str">
            <v>GPLPTP.USER</v>
          </cell>
          <cell r="V148" t="b">
            <v>1</v>
          </cell>
          <cell r="W148" t="str">
            <v>=profit_before_tax</v>
          </cell>
          <cell r="X148" t="b">
            <v>0</v>
          </cell>
          <cell r="Y148" t="str">
            <v>=profit_before_tax</v>
          </cell>
          <cell r="Z148" t="str">
            <v>=profit_before_tax</v>
          </cell>
          <cell r="AA148" t="b">
            <v>1</v>
          </cell>
          <cell r="AB148" t="b">
            <v>1</v>
          </cell>
          <cell r="AC148">
            <v>1</v>
          </cell>
        </row>
        <row r="149">
          <cell r="A149" t="str">
            <v>Tax</v>
          </cell>
          <cell r="B149">
            <v>0</v>
          </cell>
          <cell r="C149">
            <v>0</v>
          </cell>
          <cell r="D149">
            <v>0</v>
          </cell>
          <cell r="E149">
            <v>0</v>
          </cell>
          <cell r="F149">
            <v>-17.309833999999999</v>
          </cell>
          <cell r="G149">
            <v>-13.864903999999999</v>
          </cell>
          <cell r="H149">
            <v>-15.084075</v>
          </cell>
          <cell r="I149">
            <v>-15.75638</v>
          </cell>
          <cell r="J149">
            <v>-25.864999999999998</v>
          </cell>
          <cell r="K149">
            <v>-28.4</v>
          </cell>
          <cell r="L149">
            <v>-44.443709002661656</v>
          </cell>
          <cell r="M149">
            <v>-38.316248214880204</v>
          </cell>
          <cell r="N149">
            <v>-19.928039389955789</v>
          </cell>
          <cell r="O149">
            <v>-24.234683308718218</v>
          </cell>
          <cell r="P149">
            <v>-21.917254215475271</v>
          </cell>
          <cell r="Q149" t="e">
            <v>#VALUE!</v>
          </cell>
          <cell r="R149" t="e">
            <v>#VALUE!</v>
          </cell>
          <cell r="U149" t="str">
            <v>GPLTAX.USER</v>
          </cell>
          <cell r="V149" t="b">
            <v>1</v>
          </cell>
          <cell r="W149" t="str">
            <v>=taxation</v>
          </cell>
          <cell r="X149" t="b">
            <v>0</v>
          </cell>
          <cell r="Y149" t="str">
            <v>=taxation</v>
          </cell>
          <cell r="Z149" t="str">
            <v>=taxation</v>
          </cell>
          <cell r="AA149" t="b">
            <v>1</v>
          </cell>
          <cell r="AB149" t="b">
            <v>1</v>
          </cell>
          <cell r="AC149">
            <v>1</v>
          </cell>
        </row>
        <row r="150">
          <cell r="A150" t="str">
            <v>Minorities And Associates</v>
          </cell>
          <cell r="B150">
            <v>0</v>
          </cell>
          <cell r="C150">
            <v>0</v>
          </cell>
          <cell r="D150">
            <v>0</v>
          </cell>
          <cell r="E150">
            <v>0</v>
          </cell>
          <cell r="F150">
            <v>0</v>
          </cell>
          <cell r="G150">
            <v>0</v>
          </cell>
          <cell r="H150">
            <v>0</v>
          </cell>
          <cell r="I150">
            <v>0</v>
          </cell>
          <cell r="J150">
            <v>0</v>
          </cell>
          <cell r="K150">
            <v>0</v>
          </cell>
          <cell r="L150">
            <v>0</v>
          </cell>
          <cell r="M150">
            <v>0</v>
          </cell>
          <cell r="N150">
            <v>0</v>
          </cell>
          <cell r="O150">
            <v>0</v>
          </cell>
          <cell r="P150">
            <v>0</v>
          </cell>
          <cell r="Q150" t="e">
            <v>#VALUE!</v>
          </cell>
          <cell r="R150" t="e">
            <v>#VALUE!</v>
          </cell>
          <cell r="U150" t="str">
            <v>GPLMAS.USER</v>
          </cell>
          <cell r="V150" t="b">
            <v>1</v>
          </cell>
          <cell r="W150" t="str">
            <v>=minorities</v>
          </cell>
          <cell r="X150" t="b">
            <v>0</v>
          </cell>
          <cell r="Y150" t="str">
            <v>=minorities</v>
          </cell>
          <cell r="Z150" t="str">
            <v>=minorities</v>
          </cell>
          <cell r="AA150" t="b">
            <v>1</v>
          </cell>
          <cell r="AB150" t="b">
            <v>1</v>
          </cell>
          <cell r="AC150">
            <v>1</v>
          </cell>
        </row>
        <row r="151">
          <cell r="A151" t="str">
            <v>Extraordinary Items</v>
          </cell>
          <cell r="B151">
            <v>0</v>
          </cell>
          <cell r="C151">
            <v>0</v>
          </cell>
          <cell r="D151">
            <v>0</v>
          </cell>
          <cell r="E151">
            <v>0</v>
          </cell>
          <cell r="F151">
            <v>0</v>
          </cell>
          <cell r="G151">
            <v>0</v>
          </cell>
          <cell r="H151">
            <v>0</v>
          </cell>
          <cell r="I151">
            <v>-480</v>
          </cell>
          <cell r="J151">
            <v>0</v>
          </cell>
          <cell r="K151">
            <v>0</v>
          </cell>
          <cell r="L151">
            <v>0</v>
          </cell>
          <cell r="M151">
            <v>0</v>
          </cell>
          <cell r="N151">
            <v>0</v>
          </cell>
          <cell r="O151">
            <v>0</v>
          </cell>
          <cell r="P151">
            <v>0</v>
          </cell>
          <cell r="Q151" t="e">
            <v>#VALUE!</v>
          </cell>
          <cell r="R151" t="e">
            <v>#VALUE!</v>
          </cell>
          <cell r="U151" t="str">
            <v>GPLXTI.USER</v>
          </cell>
          <cell r="V151" t="b">
            <v>1</v>
          </cell>
          <cell r="W151" t="str">
            <v>=extraordinaries</v>
          </cell>
          <cell r="X151" t="b">
            <v>0</v>
          </cell>
          <cell r="Y151" t="str">
            <v>=extraordinaries</v>
          </cell>
          <cell r="Z151" t="str">
            <v>=extraordinaries</v>
          </cell>
          <cell r="AA151" t="b">
            <v>1</v>
          </cell>
          <cell r="AB151" t="b">
            <v>1</v>
          </cell>
          <cell r="AC151">
            <v>1</v>
          </cell>
        </row>
        <row r="152">
          <cell r="A152" t="str">
            <v>Other</v>
          </cell>
          <cell r="B152">
            <v>0</v>
          </cell>
          <cell r="C152">
            <v>0</v>
          </cell>
          <cell r="D152">
            <v>0</v>
          </cell>
          <cell r="E152">
            <v>0</v>
          </cell>
          <cell r="F152">
            <v>0</v>
          </cell>
          <cell r="G152">
            <v>0</v>
          </cell>
          <cell r="H152">
            <v>0</v>
          </cell>
          <cell r="I152">
            <v>0</v>
          </cell>
          <cell r="J152">
            <v>0</v>
          </cell>
          <cell r="K152">
            <v>0</v>
          </cell>
          <cell r="L152">
            <v>0</v>
          </cell>
          <cell r="M152">
            <v>0</v>
          </cell>
          <cell r="N152">
            <v>0</v>
          </cell>
          <cell r="O152">
            <v>0</v>
          </cell>
          <cell r="P152">
            <v>0</v>
          </cell>
          <cell r="Q152" t="e">
            <v>#VALUE!</v>
          </cell>
          <cell r="R152" t="e">
            <v>#VALUE!</v>
          </cell>
          <cell r="U152" t="str">
            <v>GPLOTH.USER</v>
          </cell>
          <cell r="V152" t="b">
            <v>1</v>
          </cell>
          <cell r="W152" t="str">
            <v>=preference_dividend</v>
          </cell>
          <cell r="X152" t="b">
            <v>0</v>
          </cell>
          <cell r="Y152" t="str">
            <v>=preference_dividend</v>
          </cell>
          <cell r="Z152" t="str">
            <v>=preference_dividend</v>
          </cell>
          <cell r="AA152" t="b">
            <v>1</v>
          </cell>
          <cell r="AB152" t="b">
            <v>1</v>
          </cell>
          <cell r="AC152">
            <v>1</v>
          </cell>
        </row>
        <row r="153">
          <cell r="A153" t="str">
            <v>Net Profit</v>
          </cell>
          <cell r="B153">
            <v>0</v>
          </cell>
          <cell r="C153">
            <v>0</v>
          </cell>
          <cell r="D153">
            <v>0</v>
          </cell>
          <cell r="E153">
            <v>0</v>
          </cell>
          <cell r="F153">
            <v>140.46681083517396</v>
          </cell>
          <cell r="G153">
            <v>108.64487499999998</v>
          </cell>
          <cell r="H153">
            <v>134.33619900000002</v>
          </cell>
          <cell r="I153">
            <v>-309.34925595847722</v>
          </cell>
          <cell r="J153">
            <v>145.73474228490841</v>
          </cell>
          <cell r="K153">
            <v>73.360202127637706</v>
          </cell>
          <cell r="L153">
            <v>115.382747841445</v>
          </cell>
          <cell r="M153">
            <v>104.47897397931905</v>
          </cell>
          <cell r="N153">
            <v>59.910896895578048</v>
          </cell>
          <cell r="O153">
            <v>72.682391420743897</v>
          </cell>
          <cell r="P153">
            <v>65.540926255852369</v>
          </cell>
          <cell r="Q153" t="e">
            <v>#VALUE!</v>
          </cell>
          <cell r="R153" t="e">
            <v>#VALUE!</v>
          </cell>
          <cell r="U153" t="str">
            <v>GPLNPR.USER</v>
          </cell>
          <cell r="V153" t="b">
            <v>1</v>
          </cell>
          <cell r="W153" t="str">
            <v>=retentions-ordinary_dividend</v>
          </cell>
          <cell r="X153" t="b">
            <v>0</v>
          </cell>
          <cell r="Y153" t="str">
            <v>=retentions-ordinary_dividend</v>
          </cell>
          <cell r="Z153" t="str">
            <v>=retentions-ordinary_dividend</v>
          </cell>
          <cell r="AA153" t="b">
            <v>1</v>
          </cell>
          <cell r="AB153" t="b">
            <v>1</v>
          </cell>
          <cell r="AC153">
            <v>1</v>
          </cell>
        </row>
        <row r="154">
          <cell r="A154" t="str">
            <v>Global Cash Flow</v>
          </cell>
        </row>
        <row r="155">
          <cell r="A155" t="str">
            <v>EBIT</v>
          </cell>
          <cell r="B155">
            <v>0</v>
          </cell>
          <cell r="C155">
            <v>0</v>
          </cell>
          <cell r="D155">
            <v>0</v>
          </cell>
          <cell r="E155">
            <v>0</v>
          </cell>
          <cell r="F155">
            <v>103.14014883517395</v>
          </cell>
          <cell r="G155">
            <v>85.031905999999964</v>
          </cell>
          <cell r="H155">
            <v>102.31706000000004</v>
          </cell>
          <cell r="I155">
            <v>145.31982504152276</v>
          </cell>
          <cell r="J155">
            <v>149.38255728490844</v>
          </cell>
          <cell r="K155">
            <v>81.774202127637722</v>
          </cell>
          <cell r="L155">
            <v>84.697456844106654</v>
          </cell>
          <cell r="M155">
            <v>87.207222194199247</v>
          </cell>
          <cell r="N155">
            <v>75.794896141600518</v>
          </cell>
          <cell r="O155">
            <v>109.31397764669283</v>
          </cell>
          <cell r="P155">
            <v>101.87934673708736</v>
          </cell>
        </row>
        <row r="156">
          <cell r="A156" t="str">
            <v>Depreciation</v>
          </cell>
          <cell r="B156">
            <v>0</v>
          </cell>
          <cell r="C156">
            <v>0</v>
          </cell>
          <cell r="D156">
            <v>0</v>
          </cell>
          <cell r="E156">
            <v>0</v>
          </cell>
          <cell r="F156">
            <v>0.66979599999999995</v>
          </cell>
          <cell r="G156">
            <v>0.81186100000000005</v>
          </cell>
          <cell r="H156">
            <v>1.088684</v>
          </cell>
          <cell r="I156">
            <v>1.659745</v>
          </cell>
          <cell r="J156">
            <v>2.0688279999999999</v>
          </cell>
          <cell r="K156">
            <v>123.254</v>
          </cell>
          <cell r="L156">
            <v>117.2</v>
          </cell>
          <cell r="M156">
            <v>130.69999999999999</v>
          </cell>
          <cell r="N156">
            <v>136.44166666666666</v>
          </cell>
          <cell r="O156">
            <v>181.19225</v>
          </cell>
          <cell r="P156">
            <v>41.375583333333338</v>
          </cell>
          <cell r="Q156" t="e">
            <v>#VALUE!</v>
          </cell>
          <cell r="R156" t="e">
            <v>#VALUE!</v>
          </cell>
          <cell r="U156" t="str">
            <v>GCFDEP.USER</v>
          </cell>
          <cell r="V156" t="b">
            <v>1</v>
          </cell>
          <cell r="W156" t="str">
            <v>=depreciation_adjustment</v>
          </cell>
          <cell r="X156" t="b">
            <v>0</v>
          </cell>
          <cell r="Y156" t="str">
            <v>=depreciation_adjustment</v>
          </cell>
          <cell r="Z156" t="str">
            <v>=depreciation_adjustment</v>
          </cell>
          <cell r="AA156" t="b">
            <v>1</v>
          </cell>
          <cell r="AB156" t="b">
            <v>1</v>
          </cell>
          <cell r="AC156">
            <v>1</v>
          </cell>
        </row>
        <row r="157">
          <cell r="A157" t="str">
            <v>Working Capital (Increase)</v>
          </cell>
          <cell r="B157">
            <v>0</v>
          </cell>
          <cell r="C157">
            <v>0</v>
          </cell>
          <cell r="D157">
            <v>0</v>
          </cell>
          <cell r="E157">
            <v>0</v>
          </cell>
          <cell r="F157">
            <v>5.0632100000000051</v>
          </cell>
          <cell r="G157">
            <v>16.807165999999988</v>
          </cell>
          <cell r="H157">
            <v>4.8430730000000111</v>
          </cell>
          <cell r="I157">
            <v>20.804696699999994</v>
          </cell>
          <cell r="J157">
            <v>-18.7707847</v>
          </cell>
          <cell r="K157">
            <v>72.838639000000015</v>
          </cell>
          <cell r="L157">
            <v>-33.940000000000026</v>
          </cell>
          <cell r="M157">
            <v>-10.938999999999979</v>
          </cell>
          <cell r="N157">
            <v>-41.526060877014515</v>
          </cell>
          <cell r="O157">
            <v>19.88526270221503</v>
          </cell>
          <cell r="P157">
            <v>1.6471230494453124</v>
          </cell>
          <cell r="Q157" t="e">
            <v>#VALUE!</v>
          </cell>
          <cell r="R157" t="e">
            <v>#VALUE!</v>
          </cell>
          <cell r="U157" t="str">
            <v>GCFWCI.USER</v>
          </cell>
          <cell r="V157" t="b">
            <v>1</v>
          </cell>
          <cell r="W157" t="str">
            <v>=if(or(istext(net_working_capital),net_working_capital=0),working_capital_movement,-(net_working_capital-net_working_capital #Token.cu09.prevperiod))</v>
          </cell>
          <cell r="X157" t="b">
            <v>0</v>
          </cell>
          <cell r="Y157" t="str">
            <v>=if(or(istext(net_working_capital),net_working_capital=0),working_capital_movement,-(net_working_capital-net_working_capital #Token.cu09.prevperiod))</v>
          </cell>
          <cell r="Z157" t="str">
            <v>=if(or(istext(net_working_capital),net_working_capital=0),working_capital_movement,-(net_working_capital-net_working_capital #Token.cu09.prevperiod))</v>
          </cell>
          <cell r="AA157" t="b">
            <v>1</v>
          </cell>
          <cell r="AB157" t="b">
            <v>1</v>
          </cell>
          <cell r="AC157">
            <v>1</v>
          </cell>
        </row>
        <row r="158">
          <cell r="A158" t="str">
            <v>Other (Operating)</v>
          </cell>
          <cell r="B158">
            <v>0</v>
          </cell>
          <cell r="C158">
            <v>0</v>
          </cell>
          <cell r="D158">
            <v>0</v>
          </cell>
          <cell r="E158">
            <v>0</v>
          </cell>
          <cell r="F158">
            <v>58.110835000000009</v>
          </cell>
          <cell r="G158">
            <v>29.299089000000009</v>
          </cell>
          <cell r="H158">
            <v>49.131889000000008</v>
          </cell>
          <cell r="I158">
            <v>12.180223999999967</v>
          </cell>
          <cell r="J158">
            <v>10.217184999999962</v>
          </cell>
          <cell r="K158">
            <v>4.2059999999999889</v>
          </cell>
          <cell r="L158">
            <v>61.804200000000023</v>
          </cell>
          <cell r="M158">
            <v>42.58799999999998</v>
          </cell>
          <cell r="N158">
            <v>-6.3710138560666536</v>
          </cell>
          <cell r="O158">
            <v>-19.896902917230719</v>
          </cell>
          <cell r="P158">
            <v>-19.921166265759709</v>
          </cell>
          <cell r="Q158" t="e">
            <v>#VALUE!</v>
          </cell>
          <cell r="R158" t="e">
            <v>#VALUE!</v>
          </cell>
          <cell r="U158" t="str">
            <v>GCFOOP.USER</v>
          </cell>
          <cell r="V158" t="b">
            <v>1</v>
          </cell>
          <cell r="W158" t="str">
            <v>=operational_cash_flow-ebit-depreciation_adjustment-gbl_working_capital_increase</v>
          </cell>
          <cell r="X158" t="b">
            <v>0</v>
          </cell>
          <cell r="Y158" t="str">
            <v>=operational_cash_flow-ebit-depreciation_adjustment-gbl_working_capital_increase</v>
          </cell>
          <cell r="Z158" t="str">
            <v>=operational_cash_flow-ebit-depreciation_adjustment-gbl_working_capital_increase</v>
          </cell>
          <cell r="AA158" t="b">
            <v>1</v>
          </cell>
          <cell r="AB158" t="b">
            <v>1</v>
          </cell>
          <cell r="AC158">
            <v>1</v>
          </cell>
        </row>
        <row r="159">
          <cell r="A159" t="str">
            <v>Operational Cash Flow</v>
          </cell>
          <cell r="B159">
            <v>0</v>
          </cell>
          <cell r="C159">
            <v>0</v>
          </cell>
          <cell r="D159">
            <v>0</v>
          </cell>
          <cell r="E159">
            <v>0</v>
          </cell>
          <cell r="F159">
            <v>166.98398983517396</v>
          </cell>
          <cell r="G159">
            <v>131.95002199999996</v>
          </cell>
          <cell r="H159">
            <v>157.38070600000006</v>
          </cell>
          <cell r="I159">
            <v>179.96449074152272</v>
          </cell>
          <cell r="J159">
            <v>142.89778558490841</v>
          </cell>
          <cell r="K159">
            <v>282.07284112763773</v>
          </cell>
          <cell r="L159">
            <v>229.76165684410665</v>
          </cell>
          <cell r="M159">
            <v>249.55622219419925</v>
          </cell>
          <cell r="N159">
            <v>164.33948807518601</v>
          </cell>
          <cell r="O159">
            <v>290.49458743167713</v>
          </cell>
          <cell r="P159">
            <v>124.9808868541063</v>
          </cell>
          <cell r="Q159" t="e">
            <v>#VALUE!</v>
          </cell>
          <cell r="R159" t="e">
            <v>#VALUE!</v>
          </cell>
          <cell r="U159" t="str">
            <v>GCFOCF.USER</v>
          </cell>
          <cell r="V159" t="b">
            <v>1</v>
          </cell>
          <cell r="W159" t="str">
            <v>=operational_cash_flow</v>
          </cell>
          <cell r="X159" t="b">
            <v>0</v>
          </cell>
          <cell r="Y159" t="str">
            <v>=operational_cash_flow</v>
          </cell>
          <cell r="Z159" t="str">
            <v>=operational_cash_flow</v>
          </cell>
          <cell r="AA159" t="b">
            <v>1</v>
          </cell>
          <cell r="AB159" t="b">
            <v>1</v>
          </cell>
          <cell r="AC159">
            <v>1</v>
          </cell>
        </row>
        <row r="160">
          <cell r="A160" t="str">
            <v>Interest Paid</v>
          </cell>
          <cell r="B160">
            <v>0</v>
          </cell>
          <cell r="C160">
            <v>0</v>
          </cell>
          <cell r="D160">
            <v>0</v>
          </cell>
          <cell r="E160">
            <v>0</v>
          </cell>
          <cell r="F160">
            <v>54.414753000000005</v>
          </cell>
          <cell r="G160">
            <v>37.787031000000006</v>
          </cell>
          <cell r="H160">
            <v>47.561526000000001</v>
          </cell>
          <cell r="I160">
            <v>41.427</v>
          </cell>
          <cell r="J160">
            <v>22.454999999999998</v>
          </cell>
          <cell r="K160">
            <v>20.100000000000001</v>
          </cell>
          <cell r="L160">
            <v>75.171999999999997</v>
          </cell>
          <cell r="M160">
            <v>59.037999999999997</v>
          </cell>
          <cell r="N160">
            <v>5.544040143933314</v>
          </cell>
          <cell r="O160">
            <v>-10.396902917230713</v>
          </cell>
          <cell r="P160">
            <v>-12.421166265759725</v>
          </cell>
          <cell r="Q160" t="e">
            <v>#VALUE!</v>
          </cell>
          <cell r="R160" t="e">
            <v>#VALUE!</v>
          </cell>
          <cell r="U160" t="str">
            <v>GCFIP.USER</v>
          </cell>
          <cell r="V160" t="b">
            <v>1</v>
          </cell>
          <cell r="W160" t="str">
            <v>=interest_paid</v>
          </cell>
          <cell r="X160" t="b">
            <v>0</v>
          </cell>
          <cell r="Y160" t="str">
            <v>=interest_paid</v>
          </cell>
          <cell r="Z160" t="str">
            <v>=interest_paid</v>
          </cell>
          <cell r="AA160" t="b">
            <v>1</v>
          </cell>
          <cell r="AB160" t="b">
            <v>1</v>
          </cell>
          <cell r="AC160">
            <v>1</v>
          </cell>
        </row>
        <row r="161">
          <cell r="A161" t="str">
            <v>Dividends Paid</v>
          </cell>
          <cell r="B161">
            <v>0</v>
          </cell>
          <cell r="C161">
            <v>0</v>
          </cell>
          <cell r="D161">
            <v>0</v>
          </cell>
          <cell r="E161">
            <v>0</v>
          </cell>
          <cell r="F161">
            <v>-9</v>
          </cell>
          <cell r="G161">
            <v>-9</v>
          </cell>
          <cell r="H161">
            <v>-10.5</v>
          </cell>
          <cell r="I161">
            <v>-10.5</v>
          </cell>
          <cell r="J161">
            <v>-12</v>
          </cell>
          <cell r="K161">
            <v>-12</v>
          </cell>
          <cell r="L161">
            <v>-12</v>
          </cell>
          <cell r="M161">
            <v>-569.90200000000004</v>
          </cell>
          <cell r="N161">
            <v>-52.239486989659525</v>
          </cell>
          <cell r="O161">
            <v>-29.955448447789024</v>
          </cell>
          <cell r="P161">
            <v>-32</v>
          </cell>
          <cell r="Q161" t="e">
            <v>#VALUE!</v>
          </cell>
          <cell r="R161" t="e">
            <v>#VALUE!</v>
          </cell>
          <cell r="U161" t="str">
            <v>GCFDP.USER</v>
          </cell>
          <cell r="V161" t="b">
            <v>1</v>
          </cell>
          <cell r="W161" t="str">
            <v>=dividends_paid</v>
          </cell>
          <cell r="X161" t="b">
            <v>0</v>
          </cell>
          <cell r="Y161" t="str">
            <v>=dividends_paid</v>
          </cell>
          <cell r="Z161" t="str">
            <v>=dividends_paid</v>
          </cell>
          <cell r="AA161" t="b">
            <v>1</v>
          </cell>
          <cell r="AB161" t="b">
            <v>1</v>
          </cell>
          <cell r="AC161">
            <v>1</v>
          </cell>
        </row>
        <row r="162">
          <cell r="A162" t="str">
            <v>Tax Paid</v>
          </cell>
          <cell r="B162" t="str">
            <v/>
          </cell>
          <cell r="C162" t="str">
            <v/>
          </cell>
          <cell r="D162">
            <v>0</v>
          </cell>
          <cell r="E162">
            <v>0</v>
          </cell>
          <cell r="F162">
            <v>-9.4643660000000001</v>
          </cell>
          <cell r="G162">
            <v>-11.089834</v>
          </cell>
          <cell r="H162">
            <v>-7.6449039999999995</v>
          </cell>
          <cell r="I162">
            <v>-8.8640749999999997</v>
          </cell>
          <cell r="J162">
            <v>-12</v>
          </cell>
          <cell r="K162">
            <v>-17</v>
          </cell>
          <cell r="L162">
            <v>-16</v>
          </cell>
          <cell r="M162">
            <v>-15</v>
          </cell>
          <cell r="N162">
            <v>-14</v>
          </cell>
          <cell r="O162">
            <v>-13</v>
          </cell>
          <cell r="P162">
            <v>-12</v>
          </cell>
          <cell r="Q162" t="e">
            <v>#VALUE!</v>
          </cell>
          <cell r="R162" t="e">
            <v>#VALUE!</v>
          </cell>
          <cell r="U162" t="str">
            <v>GCFTP.USER</v>
          </cell>
          <cell r="V162" t="b">
            <v>1</v>
          </cell>
          <cell r="W162" t="str">
            <v>=tax_paid</v>
          </cell>
          <cell r="X162" t="b">
            <v>0</v>
          </cell>
          <cell r="Y162" t="str">
            <v>=tax_paid</v>
          </cell>
          <cell r="Z162" t="str">
            <v>=tax_paid</v>
          </cell>
          <cell r="AA162" t="b">
            <v>1</v>
          </cell>
          <cell r="AB162" t="b">
            <v>1</v>
          </cell>
          <cell r="AC162">
            <v>1</v>
          </cell>
        </row>
        <row r="163">
          <cell r="A163" t="str">
            <v>Capital Expenditure</v>
          </cell>
          <cell r="B163">
            <v>0</v>
          </cell>
          <cell r="C163">
            <v>0</v>
          </cell>
          <cell r="D163">
            <v>0</v>
          </cell>
          <cell r="E163">
            <v>0</v>
          </cell>
          <cell r="F163">
            <v>-10.436920000000001</v>
          </cell>
          <cell r="G163">
            <v>-1.8663790000000002</v>
          </cell>
          <cell r="H163">
            <v>-2.092625</v>
          </cell>
          <cell r="I163">
            <v>-1.9100669999999997</v>
          </cell>
          <cell r="J163">
            <v>-8.1351309999999994</v>
          </cell>
          <cell r="K163">
            <v>-1222.8400005599999</v>
          </cell>
          <cell r="L163">
            <v>-783</v>
          </cell>
          <cell r="M163">
            <v>-202.00326999999993</v>
          </cell>
          <cell r="N163">
            <v>-354.62802133333344</v>
          </cell>
          <cell r="O163">
            <v>21.974999999999909</v>
          </cell>
          <cell r="P163">
            <v>-88.583333333333144</v>
          </cell>
          <cell r="Q163" t="e">
            <v>#VALUE!</v>
          </cell>
          <cell r="R163" t="e">
            <v>#VALUE!</v>
          </cell>
          <cell r="U163" t="str">
            <v>GCFCPX.USER</v>
          </cell>
          <cell r="V163" t="b">
            <v>1</v>
          </cell>
          <cell r="W163" t="str">
            <v>=capital_expenditure</v>
          </cell>
          <cell r="X163" t="b">
            <v>0</v>
          </cell>
          <cell r="Y163" t="str">
            <v>=capital_expenditure</v>
          </cell>
          <cell r="Z163" t="str">
            <v>=capital_expenditure</v>
          </cell>
          <cell r="AA163" t="b">
            <v>1</v>
          </cell>
          <cell r="AB163" t="b">
            <v>1</v>
          </cell>
          <cell r="AC163">
            <v>1</v>
          </cell>
        </row>
        <row r="164">
          <cell r="A164" t="str">
            <v>Net Acquisitions/Disposals</v>
          </cell>
          <cell r="B164">
            <v>0</v>
          </cell>
          <cell r="C164">
            <v>0</v>
          </cell>
          <cell r="D164">
            <v>0</v>
          </cell>
          <cell r="E164">
            <v>0</v>
          </cell>
          <cell r="F164">
            <v>-31.15191999999999</v>
          </cell>
          <cell r="G164">
            <v>-1.7830289999999707</v>
          </cell>
          <cell r="H164">
            <v>-54.007680999999963</v>
          </cell>
          <cell r="I164">
            <v>-100.41571900000008</v>
          </cell>
          <cell r="J164">
            <v>496.68509000000006</v>
          </cell>
          <cell r="K164">
            <v>-226.521388</v>
          </cell>
          <cell r="L164">
            <v>344.60099999999994</v>
          </cell>
          <cell r="M164">
            <v>343.07100000000003</v>
          </cell>
          <cell r="N164">
            <v>-17.5</v>
          </cell>
          <cell r="O164">
            <v>17.5</v>
          </cell>
          <cell r="P164">
            <v>0</v>
          </cell>
          <cell r="Q164" t="e">
            <v>#VALUE!</v>
          </cell>
          <cell r="R164" t="e">
            <v>#VALUE!</v>
          </cell>
          <cell r="U164" t="str">
            <v>GCFNAD.USER</v>
          </cell>
          <cell r="V164" t="b">
            <v>1</v>
          </cell>
          <cell r="W164" t="str">
            <v>=net_acquisitions_disposals</v>
          </cell>
          <cell r="X164" t="b">
            <v>0</v>
          </cell>
          <cell r="Y164" t="str">
            <v>=net_acquisitions_disposals</v>
          </cell>
          <cell r="Z164" t="str">
            <v>=net_acquisitions_disposals</v>
          </cell>
          <cell r="AA164" t="b">
            <v>1</v>
          </cell>
          <cell r="AB164" t="b">
            <v>1</v>
          </cell>
          <cell r="AC164">
            <v>1</v>
          </cell>
        </row>
        <row r="165">
          <cell r="A165" t="str">
            <v>Other</v>
          </cell>
          <cell r="B165" t="e">
            <v>#VALUE!</v>
          </cell>
          <cell r="C165" t="e">
            <v>#VALUE!</v>
          </cell>
          <cell r="D165">
            <v>0</v>
          </cell>
          <cell r="E165">
            <v>0</v>
          </cell>
          <cell r="F165">
            <v>92.878069164826087</v>
          </cell>
          <cell r="G165">
            <v>-105.51298500000007</v>
          </cell>
          <cell r="H165">
            <v>-56.689234000000084</v>
          </cell>
          <cell r="I165">
            <v>-76.045147741522584</v>
          </cell>
          <cell r="J165">
            <v>-286.85818586981696</v>
          </cell>
          <cell r="K165">
            <v>147.60454543236199</v>
          </cell>
          <cell r="L165">
            <v>316.18941629589375</v>
          </cell>
          <cell r="M165">
            <v>-784.24695219419948</v>
          </cell>
          <cell r="N165">
            <v>184.12111153929982</v>
          </cell>
          <cell r="O165">
            <v>-346.73756520547516</v>
          </cell>
          <cell r="P165">
            <v>-14.795742898878473</v>
          </cell>
          <cell r="Q165" t="e">
            <v>#VALUE!</v>
          </cell>
          <cell r="R165" t="e">
            <v>#VALUE!</v>
          </cell>
          <cell r="U165" t="str">
            <v>GCFOTH.USER</v>
          </cell>
          <cell r="V165" t="b">
            <v>1</v>
          </cell>
          <cell r="W165" t="str">
            <v>=-(operational_cash_flow+interest_paid+share_issues+dividends_paid+tax_paid+capital_expenditure+net_acquisitions_disposals+gbl_increase_net_debt)</v>
          </cell>
          <cell r="X165" t="b">
            <v>0</v>
          </cell>
          <cell r="Y165" t="str">
            <v>=-(operational_cash_flow+interest_paid+share_issues+dividends_paid+tax_paid+capital_expenditure+net_acquisitions_disposals+gbl_increase_net_debt)</v>
          </cell>
          <cell r="Z165" t="str">
            <v>=-(operational_cash_flow+interest_paid+share_issues+dividends_paid+tax_paid+capital_expenditure+net_acquisitions_disposals+gbl_increase_net_debt)</v>
          </cell>
          <cell r="AA165" t="b">
            <v>1</v>
          </cell>
          <cell r="AB165" t="b">
            <v>1</v>
          </cell>
          <cell r="AC165">
            <v>1</v>
          </cell>
        </row>
        <row r="166">
          <cell r="A166" t="str">
            <v>Share Issues</v>
          </cell>
          <cell r="B166">
            <v>0</v>
          </cell>
          <cell r="C166">
            <v>0</v>
          </cell>
          <cell r="D166">
            <v>0</v>
          </cell>
          <cell r="E166">
            <v>0</v>
          </cell>
          <cell r="F166">
            <v>-9.9999999747524271E-7</v>
          </cell>
          <cell r="G166">
            <v>0</v>
          </cell>
          <cell r="H166">
            <v>0</v>
          </cell>
          <cell r="I166">
            <v>0</v>
          </cell>
          <cell r="J166">
            <v>-346.24825771509154</v>
          </cell>
          <cell r="K166">
            <v>432.66</v>
          </cell>
          <cell r="L166">
            <v>386.80192686000004</v>
          </cell>
          <cell r="M166">
            <v>342.57</v>
          </cell>
          <cell r="N166">
            <v>0</v>
          </cell>
          <cell r="O166">
            <v>0</v>
          </cell>
          <cell r="P166">
            <v>0</v>
          </cell>
          <cell r="Q166" t="e">
            <v>#VALUE!</v>
          </cell>
          <cell r="R166" t="e">
            <v>#VALUE!</v>
          </cell>
          <cell r="U166" t="str">
            <v>GCFSII.USER</v>
          </cell>
          <cell r="V166" t="b">
            <v>1</v>
          </cell>
          <cell r="W166" t="str">
            <v>=share_issues</v>
          </cell>
          <cell r="X166" t="b">
            <v>0</v>
          </cell>
          <cell r="Y166" t="str">
            <v>=share_issues</v>
          </cell>
          <cell r="Z166" t="str">
            <v>=share_issues</v>
          </cell>
          <cell r="AA166" t="b">
            <v>1</v>
          </cell>
          <cell r="AB166" t="b">
            <v>1</v>
          </cell>
          <cell r="AC166">
            <v>1</v>
          </cell>
        </row>
        <row r="167">
          <cell r="A167" t="str">
            <v>Increase (Decrease) In Net Debt</v>
          </cell>
          <cell r="B167" t="e">
            <v>#NAME?</v>
          </cell>
          <cell r="C167">
            <v>0</v>
          </cell>
          <cell r="D167">
            <v>0</v>
          </cell>
          <cell r="E167">
            <v>0</v>
          </cell>
          <cell r="F167">
            <v>-254.22360500000002</v>
          </cell>
          <cell r="G167">
            <v>-40.484825999999941</v>
          </cell>
          <cell r="H167">
            <v>-74.007788000000005</v>
          </cell>
          <cell r="I167">
            <v>-23.65648200000004</v>
          </cell>
          <cell r="J167">
            <v>3.2036990000000287</v>
          </cell>
          <cell r="K167">
            <v>595.9240020000002</v>
          </cell>
          <cell r="L167">
            <v>-541.52600000000029</v>
          </cell>
          <cell r="M167">
            <v>576.91700000000014</v>
          </cell>
          <cell r="N167">
            <v>84.36286856457383</v>
          </cell>
          <cell r="O167">
            <v>70.120329138817851</v>
          </cell>
          <cell r="P167">
            <v>34.819355643865038</v>
          </cell>
          <cell r="Q167" t="e">
            <v>#VALUE!</v>
          </cell>
          <cell r="R167" t="e">
            <v>#VALUE!</v>
          </cell>
          <cell r="U167" t="str">
            <v>GCFLOW.USER</v>
          </cell>
          <cell r="V167" t="b">
            <v>1</v>
          </cell>
          <cell r="W167" t="str">
            <v>=-(net_debt-net_debt #Token.cu09.prevperiod)</v>
          </cell>
          <cell r="X167" t="b">
            <v>0</v>
          </cell>
          <cell r="Y167" t="str">
            <v>=-(net_debt-net_debt #Token.cu09.prevperiod)</v>
          </cell>
          <cell r="Z167" t="str">
            <v>=-(net_debt-net_debt #Token.cu09.prevperiod)</v>
          </cell>
          <cell r="AA167" t="b">
            <v>1</v>
          </cell>
          <cell r="AB167" t="b">
            <v>1</v>
          </cell>
          <cell r="AC167">
            <v>1</v>
          </cell>
        </row>
        <row r="168">
          <cell r="A168" t="str">
            <v>Global Balance Sheet</v>
          </cell>
        </row>
        <row r="169">
          <cell r="A169" t="str">
            <v>Net Tangible Fixed Assets</v>
          </cell>
          <cell r="B169" t="str">
            <v>Missing</v>
          </cell>
          <cell r="C169">
            <v>0</v>
          </cell>
          <cell r="D169">
            <v>0</v>
          </cell>
          <cell r="E169">
            <v>0</v>
          </cell>
          <cell r="F169">
            <v>13.691491000000001</v>
          </cell>
          <cell r="G169">
            <v>14.535238</v>
          </cell>
          <cell r="H169">
            <v>19.107776000000001</v>
          </cell>
          <cell r="I169">
            <v>15.287905</v>
          </cell>
          <cell r="J169">
            <v>21.304207999999999</v>
          </cell>
          <cell r="K169">
            <v>1137.9870090099998</v>
          </cell>
          <cell r="L169">
            <v>1075.6320000000001</v>
          </cell>
          <cell r="M169">
            <v>1140.6500000000001</v>
          </cell>
          <cell r="N169">
            <v>1383.1714406850708</v>
          </cell>
          <cell r="O169">
            <v>1233.7345459496898</v>
          </cell>
          <cell r="P169">
            <v>1321.413167357852</v>
          </cell>
          <cell r="Q169" t="e">
            <v>#VALUE!</v>
          </cell>
          <cell r="R169" t="e">
            <v>#VALUE!</v>
          </cell>
          <cell r="U169" t="str">
            <v>GBSTFA.USER</v>
          </cell>
          <cell r="V169" t="b">
            <v>1</v>
          </cell>
          <cell r="W169" t="str">
            <v>=tangible_fixed_assets</v>
          </cell>
          <cell r="X169" t="b">
            <v>0</v>
          </cell>
          <cell r="Y169" t="str">
            <v>=tangible_fixed_assets</v>
          </cell>
          <cell r="Z169" t="str">
            <v>=tangible_fixed_assets</v>
          </cell>
          <cell r="AA169" t="b">
            <v>1</v>
          </cell>
          <cell r="AB169" t="b">
            <v>1</v>
          </cell>
          <cell r="AC169">
            <v>1</v>
          </cell>
        </row>
        <row r="170">
          <cell r="A170" t="str">
            <v>Net Intangible Fixed Assets</v>
          </cell>
          <cell r="B170" t="str">
            <v>Missing</v>
          </cell>
          <cell r="C170">
            <v>0</v>
          </cell>
          <cell r="D170">
            <v>0</v>
          </cell>
          <cell r="E170">
            <v>0</v>
          </cell>
          <cell r="F170">
            <v>0</v>
          </cell>
          <cell r="G170">
            <v>0</v>
          </cell>
          <cell r="H170">
            <v>0</v>
          </cell>
          <cell r="I170">
            <v>0</v>
          </cell>
          <cell r="J170">
            <v>0</v>
          </cell>
          <cell r="K170">
            <v>0</v>
          </cell>
          <cell r="L170">
            <v>0</v>
          </cell>
          <cell r="M170">
            <v>0</v>
          </cell>
          <cell r="N170">
            <v>60</v>
          </cell>
          <cell r="O170">
            <v>57</v>
          </cell>
          <cell r="P170">
            <v>54</v>
          </cell>
          <cell r="Q170" t="e">
            <v>#VALUE!</v>
          </cell>
          <cell r="R170" t="e">
            <v>#VALUE!</v>
          </cell>
          <cell r="U170" t="str">
            <v>GBSIFA.USER</v>
          </cell>
          <cell r="V170" t="b">
            <v>1</v>
          </cell>
          <cell r="W170" t="str">
            <v>=intangible_fixed_assets</v>
          </cell>
          <cell r="X170" t="b">
            <v>0</v>
          </cell>
          <cell r="Y170" t="str">
            <v>=intangible_fixed_assets</v>
          </cell>
          <cell r="Z170" t="str">
            <v>=intangible_fixed_assets</v>
          </cell>
          <cell r="AA170" t="b">
            <v>1</v>
          </cell>
          <cell r="AB170" t="b">
            <v>1</v>
          </cell>
          <cell r="AC170">
            <v>1</v>
          </cell>
        </row>
        <row r="171">
          <cell r="A171" t="str">
            <v>Investments/Other Assets</v>
          </cell>
          <cell r="B171" t="str">
            <v>Missing</v>
          </cell>
          <cell r="C171">
            <v>0</v>
          </cell>
          <cell r="D171">
            <v>0</v>
          </cell>
          <cell r="E171">
            <v>0</v>
          </cell>
          <cell r="F171">
            <v>382.89515</v>
          </cell>
          <cell r="G171">
            <v>463.61120399999999</v>
          </cell>
          <cell r="H171">
            <v>523.98339999999996</v>
          </cell>
          <cell r="I171">
            <v>689.73859100000004</v>
          </cell>
          <cell r="J171">
            <v>334.96666699999997</v>
          </cell>
          <cell r="K171">
            <v>421.34399999999999</v>
          </cell>
          <cell r="L171">
            <v>0</v>
          </cell>
          <cell r="M171">
            <v>0</v>
          </cell>
          <cell r="N171">
            <v>15</v>
          </cell>
          <cell r="O171">
            <v>0</v>
          </cell>
          <cell r="P171">
            <v>0</v>
          </cell>
          <cell r="Q171" t="e">
            <v>#VALUE!</v>
          </cell>
          <cell r="R171" t="e">
            <v>#VALUE!</v>
          </cell>
          <cell r="U171" t="str">
            <v>GBSIOA.USER</v>
          </cell>
          <cell r="V171" t="b">
            <v>1</v>
          </cell>
          <cell r="W171" t="str">
            <v>=investments_other_assets</v>
          </cell>
          <cell r="X171" t="b">
            <v>0</v>
          </cell>
          <cell r="Y171" t="str">
            <v>=investments_other_assets</v>
          </cell>
          <cell r="Z171" t="str">
            <v>=investments_other_assets</v>
          </cell>
          <cell r="AA171" t="b">
            <v>1</v>
          </cell>
          <cell r="AB171" t="b">
            <v>1</v>
          </cell>
          <cell r="AC171">
            <v>1</v>
          </cell>
        </row>
        <row r="172">
          <cell r="A172" t="str">
            <v>Net Working Capital</v>
          </cell>
          <cell r="B172" t="str">
            <v>Missing</v>
          </cell>
          <cell r="C172">
            <v>0</v>
          </cell>
          <cell r="D172">
            <v>0</v>
          </cell>
          <cell r="E172">
            <v>0</v>
          </cell>
          <cell r="F172">
            <v>-5.0632100000000051</v>
          </cell>
          <cell r="G172">
            <v>-21.870375999999993</v>
          </cell>
          <cell r="H172">
            <v>-26.713449000000004</v>
          </cell>
          <cell r="I172">
            <v>-47.518145699999998</v>
          </cell>
          <cell r="J172">
            <v>-28.747360999999998</v>
          </cell>
          <cell r="K172">
            <v>-101.58600000000001</v>
          </cell>
          <cell r="L172">
            <v>-67.645999999999987</v>
          </cell>
          <cell r="M172">
            <v>-56.707000000000008</v>
          </cell>
          <cell r="N172">
            <v>-15.180939122985492</v>
          </cell>
          <cell r="O172">
            <v>-35.066201825200523</v>
          </cell>
          <cell r="P172">
            <v>-36.713324874645835</v>
          </cell>
          <cell r="Q172" t="e">
            <v>#VALUE!</v>
          </cell>
          <cell r="R172" t="e">
            <v>#VALUE!</v>
          </cell>
          <cell r="U172" t="str">
            <v>GBSNWC.USER</v>
          </cell>
          <cell r="V172" t="b">
            <v>1</v>
          </cell>
          <cell r="W172" t="str">
            <v>=net_working_capital</v>
          </cell>
          <cell r="X172" t="b">
            <v>0</v>
          </cell>
          <cell r="Y172" t="str">
            <v>=net_working_capital</v>
          </cell>
          <cell r="Z172" t="str">
            <v>=net_working_capital</v>
          </cell>
          <cell r="AA172" t="b">
            <v>1</v>
          </cell>
          <cell r="AB172" t="b">
            <v>1</v>
          </cell>
          <cell r="AC172">
            <v>1</v>
          </cell>
        </row>
        <row r="173">
          <cell r="A173" t="str">
            <v>Net Capital Employed</v>
          </cell>
          <cell r="B173" t="e">
            <v>#VALUE!</v>
          </cell>
          <cell r="C173">
            <v>0</v>
          </cell>
          <cell r="D173">
            <v>0</v>
          </cell>
          <cell r="E173">
            <v>0</v>
          </cell>
          <cell r="F173">
            <v>391.52343099999996</v>
          </cell>
          <cell r="G173">
            <v>456.27606600000001</v>
          </cell>
          <cell r="H173">
            <v>516.37772699999994</v>
          </cell>
          <cell r="I173">
            <v>657.50835030000007</v>
          </cell>
          <cell r="J173">
            <v>327.52351399999998</v>
          </cell>
          <cell r="K173">
            <v>1457.7450090099999</v>
          </cell>
          <cell r="L173">
            <v>1007.9860000000001</v>
          </cell>
          <cell r="M173">
            <v>1083.943</v>
          </cell>
          <cell r="N173">
            <v>1442.9905015620852</v>
          </cell>
          <cell r="O173">
            <v>1255.6683441244893</v>
          </cell>
          <cell r="P173">
            <v>1338.6998424832061</v>
          </cell>
          <cell r="Q173" t="e">
            <v>#VALUE!</v>
          </cell>
          <cell r="R173" t="e">
            <v>#VALUE!</v>
          </cell>
          <cell r="U173" t="str">
            <v>GBSNCE.USER</v>
          </cell>
          <cell r="V173" t="b">
            <v>1</v>
          </cell>
          <cell r="W173" t="str">
            <v>=net_capital_employed</v>
          </cell>
          <cell r="X173" t="b">
            <v>0</v>
          </cell>
          <cell r="Y173" t="str">
            <v>=net_capital_employed</v>
          </cell>
          <cell r="Z173" t="str">
            <v>=net_capital_employed</v>
          </cell>
          <cell r="AA173" t="b">
            <v>1</v>
          </cell>
          <cell r="AB173" t="b">
            <v>1</v>
          </cell>
          <cell r="AC173">
            <v>1</v>
          </cell>
        </row>
        <row r="174">
          <cell r="A174" t="str">
            <v>Net Cash (Debt)</v>
          </cell>
          <cell r="B174">
            <v>0</v>
          </cell>
          <cell r="C174">
            <v>0</v>
          </cell>
          <cell r="D174">
            <v>0</v>
          </cell>
          <cell r="E174">
            <v>0</v>
          </cell>
          <cell r="F174">
            <v>254.22360500000002</v>
          </cell>
          <cell r="G174">
            <v>294.70843099999996</v>
          </cell>
          <cell r="H174">
            <v>368.71621899999997</v>
          </cell>
          <cell r="I174">
            <v>392.37270100000001</v>
          </cell>
          <cell r="J174">
            <v>389.16900199999998</v>
          </cell>
          <cell r="K174">
            <v>-206.75500000000017</v>
          </cell>
          <cell r="L174">
            <v>334.77100000000019</v>
          </cell>
          <cell r="M174">
            <v>-242.14600000000002</v>
          </cell>
          <cell r="N174">
            <v>-326.50886856457385</v>
          </cell>
          <cell r="O174">
            <v>-396.6291977033917</v>
          </cell>
          <cell r="P174">
            <v>-431.44855334725673</v>
          </cell>
          <cell r="Q174" t="e">
            <v>#VALUE!</v>
          </cell>
          <cell r="R174" t="e">
            <v>#VALUE!</v>
          </cell>
          <cell r="U174" t="str">
            <v>GBSNC.USER</v>
          </cell>
          <cell r="V174" t="b">
            <v>1</v>
          </cell>
          <cell r="W174" t="str">
            <v>=net_debt</v>
          </cell>
          <cell r="X174" t="b">
            <v>0</v>
          </cell>
          <cell r="Y174" t="str">
            <v>=net_debt</v>
          </cell>
          <cell r="Z174" t="str">
            <v>=net_debt</v>
          </cell>
          <cell r="AA174" t="b">
            <v>1</v>
          </cell>
          <cell r="AB174" t="b">
            <v>1</v>
          </cell>
          <cell r="AC174">
            <v>1</v>
          </cell>
        </row>
        <row r="175">
          <cell r="A175" t="str">
            <v>Provisions</v>
          </cell>
          <cell r="B175" t="str">
            <v>Missing</v>
          </cell>
          <cell r="C175" t="str">
            <v>Missing</v>
          </cell>
          <cell r="D175" t="str">
            <v>Missing</v>
          </cell>
          <cell r="E175" t="str">
            <v>Missing</v>
          </cell>
          <cell r="F175">
            <v>-26.002909000000002</v>
          </cell>
          <cell r="G175">
            <v>-28.334444999999999</v>
          </cell>
          <cell r="H175">
            <v>-37.910245000000003</v>
          </cell>
          <cell r="I175">
            <v>-23.049600000000002</v>
          </cell>
          <cell r="J175">
            <v>-35.394432000000002</v>
          </cell>
          <cell r="K175">
            <v>-17.702000000000002</v>
          </cell>
          <cell r="L175">
            <v>-5.617</v>
          </cell>
          <cell r="M175">
            <v>-2.024</v>
          </cell>
          <cell r="N175">
            <v>-3.8344250406760443</v>
          </cell>
          <cell r="O175">
            <v>-3.8573175964830435</v>
          </cell>
          <cell r="P175">
            <v>-4.1319918155449651</v>
          </cell>
          <cell r="Q175" t="e">
            <v>#VALUE!</v>
          </cell>
          <cell r="R175" t="e">
            <v>#VALUE!</v>
          </cell>
          <cell r="U175" t="str">
            <v>GBSPRV.USER</v>
          </cell>
          <cell r="V175" t="b">
            <v>1</v>
          </cell>
          <cell r="W175" t="str">
            <v>=provisions</v>
          </cell>
          <cell r="X175" t="b">
            <v>0</v>
          </cell>
          <cell r="Y175" t="str">
            <v>=provisions</v>
          </cell>
          <cell r="Z175" t="str">
            <v>=provisions</v>
          </cell>
          <cell r="AA175" t="b">
            <v>1</v>
          </cell>
          <cell r="AB175" t="b">
            <v>1</v>
          </cell>
          <cell r="AC175">
            <v>1</v>
          </cell>
        </row>
        <row r="176">
          <cell r="A176" t="str">
            <v>Other Liabilities</v>
          </cell>
          <cell r="B176" t="str">
            <v>Missing</v>
          </cell>
          <cell r="C176" t="str">
            <v>Missing</v>
          </cell>
          <cell r="D176" t="str">
            <v>Missing</v>
          </cell>
          <cell r="E176" t="str">
            <v>Missing</v>
          </cell>
          <cell r="F176">
            <v>-15.650843</v>
          </cell>
          <cell r="G176">
            <v>-20.411892999999999</v>
          </cell>
          <cell r="H176">
            <v>-20.542472</v>
          </cell>
          <cell r="I176">
            <v>-22.042472</v>
          </cell>
          <cell r="J176">
            <v>-22.762471999999999</v>
          </cell>
          <cell r="K176">
            <v>-492.09247200000004</v>
          </cell>
          <cell r="L176">
            <v>-1050.4985988600001</v>
          </cell>
          <cell r="M176">
            <v>-500.93167199999999</v>
          </cell>
          <cell r="N176">
            <v>-26.245197180732379</v>
          </cell>
          <cell r="O176">
            <v>-24.485118189894223</v>
          </cell>
          <cell r="P176">
            <v>-26.961566249156903</v>
          </cell>
          <cell r="Q176" t="e">
            <v>#VALUE!</v>
          </cell>
          <cell r="R176" t="e">
            <v>#VALUE!</v>
          </cell>
          <cell r="U176" t="str">
            <v>GBSOLB.USER</v>
          </cell>
          <cell r="V176" t="b">
            <v>1</v>
          </cell>
          <cell r="W176" t="str">
            <v>=other_long_term_liabilities</v>
          </cell>
          <cell r="X176" t="b">
            <v>0</v>
          </cell>
          <cell r="Y176" t="str">
            <v>=other_long_term_liabilities</v>
          </cell>
          <cell r="Z176" t="str">
            <v>=other_long_term_liabilities</v>
          </cell>
          <cell r="AA176" t="b">
            <v>1</v>
          </cell>
          <cell r="AB176" t="b">
            <v>1</v>
          </cell>
          <cell r="AC176">
            <v>1</v>
          </cell>
        </row>
        <row r="177">
          <cell r="A177" t="str">
            <v>Total Equity</v>
          </cell>
          <cell r="B177" t="e">
            <v>#VALUE!</v>
          </cell>
          <cell r="C177" t="e">
            <v>#VALUE!</v>
          </cell>
          <cell r="D177" t="e">
            <v>#VALUE!</v>
          </cell>
          <cell r="E177" t="e">
            <v>#VALUE!</v>
          </cell>
          <cell r="F177">
            <v>604.09328399999993</v>
          </cell>
          <cell r="G177">
            <v>702.238159</v>
          </cell>
          <cell r="H177">
            <v>826.64122899999995</v>
          </cell>
          <cell r="I177">
            <v>1004.7889793000001</v>
          </cell>
          <cell r="J177">
            <v>658.5356119999999</v>
          </cell>
          <cell r="K177">
            <v>741.19553700999973</v>
          </cell>
          <cell r="L177">
            <v>286.6414011400002</v>
          </cell>
          <cell r="M177">
            <v>338.84132800000003</v>
          </cell>
          <cell r="N177">
            <v>1086.402010776103</v>
          </cell>
          <cell r="O177">
            <v>830.69671063472026</v>
          </cell>
          <cell r="P177">
            <v>876.15773107124744</v>
          </cell>
          <cell r="Q177" t="e">
            <v>#VALUE!</v>
          </cell>
          <cell r="R177" t="e">
            <v>#VALUE!</v>
          </cell>
          <cell r="U177" t="str">
            <v>GBSTOT.USER</v>
          </cell>
          <cell r="V177" t="b">
            <v>1</v>
          </cell>
          <cell r="W177" t="str">
            <v>=total_equity</v>
          </cell>
          <cell r="X177" t="b">
            <v>0</v>
          </cell>
          <cell r="Y177" t="str">
            <v>=total_equity</v>
          </cell>
          <cell r="Z177" t="str">
            <v>=total_equity</v>
          </cell>
          <cell r="AA177" t="b">
            <v>1</v>
          </cell>
          <cell r="AB177" t="b">
            <v>1</v>
          </cell>
          <cell r="AC177">
            <v>1</v>
          </cell>
        </row>
        <row r="178">
          <cell r="A178" t="str">
            <v>Minority Interests</v>
          </cell>
          <cell r="B178" t="str">
            <v>Missing</v>
          </cell>
          <cell r="C178" t="str">
            <v>Missing</v>
          </cell>
          <cell r="D178" t="str">
            <v>Missing</v>
          </cell>
          <cell r="E178" t="str">
            <v>Missing</v>
          </cell>
          <cell r="F178">
            <v>0</v>
          </cell>
          <cell r="G178">
            <v>0</v>
          </cell>
          <cell r="H178">
            <v>0</v>
          </cell>
          <cell r="I178">
            <v>0</v>
          </cell>
          <cell r="J178">
            <v>0</v>
          </cell>
          <cell r="K178">
            <v>0</v>
          </cell>
          <cell r="L178">
            <v>0</v>
          </cell>
          <cell r="M178">
            <v>0</v>
          </cell>
          <cell r="N178">
            <v>-3.52</v>
          </cell>
          <cell r="O178">
            <v>0</v>
          </cell>
          <cell r="P178">
            <v>0</v>
          </cell>
          <cell r="Q178" t="e">
            <v>#VALUE!</v>
          </cell>
          <cell r="R178" t="e">
            <v>#VALUE!</v>
          </cell>
          <cell r="U178" t="str">
            <v>GBSMIN.USER</v>
          </cell>
          <cell r="V178" t="b">
            <v>1</v>
          </cell>
          <cell r="W178" t="str">
            <v>=minority_interests</v>
          </cell>
          <cell r="X178" t="b">
            <v>0</v>
          </cell>
          <cell r="Y178" t="str">
            <v>=minority_interests</v>
          </cell>
          <cell r="Z178" t="str">
            <v>=minority_interests</v>
          </cell>
          <cell r="AA178" t="b">
            <v>1</v>
          </cell>
          <cell r="AB178" t="b">
            <v>1</v>
          </cell>
          <cell r="AC178">
            <v>1</v>
          </cell>
        </row>
        <row r="179">
          <cell r="A179" t="str">
            <v>Shareholders Funds</v>
          </cell>
          <cell r="B179" t="e">
            <v>#VALUE!</v>
          </cell>
          <cell r="C179" t="e">
            <v>#VALUE!</v>
          </cell>
          <cell r="D179" t="e">
            <v>#VALUE!</v>
          </cell>
          <cell r="E179" t="e">
            <v>#VALUE!</v>
          </cell>
          <cell r="F179">
            <v>604.09328399999993</v>
          </cell>
          <cell r="G179">
            <v>702.238159</v>
          </cell>
          <cell r="H179">
            <v>826.64122899999995</v>
          </cell>
          <cell r="I179">
            <v>1004.7889793000001</v>
          </cell>
          <cell r="J179">
            <v>658.5356119999999</v>
          </cell>
          <cell r="K179">
            <v>741.19553700999973</v>
          </cell>
          <cell r="L179">
            <v>286.6414011400002</v>
          </cell>
          <cell r="M179">
            <v>338.84132800000003</v>
          </cell>
          <cell r="N179">
            <v>1082.882010776103</v>
          </cell>
          <cell r="O179">
            <v>830.69671063472026</v>
          </cell>
          <cell r="P179">
            <v>876.15773107124744</v>
          </cell>
          <cell r="Q179" t="e">
            <v>#VALUE!</v>
          </cell>
          <cell r="R179" t="e">
            <v>#VALUE!</v>
          </cell>
          <cell r="U179" t="str">
            <v>GBSOSF.USER</v>
          </cell>
          <cell r="V179" t="b">
            <v>1</v>
          </cell>
          <cell r="W179" t="str">
            <v>=shareholders_funds</v>
          </cell>
          <cell r="X179" t="b">
            <v>0</v>
          </cell>
          <cell r="Y179" t="str">
            <v>=shareholders_funds</v>
          </cell>
          <cell r="Z179" t="str">
            <v>=shareholders_funds</v>
          </cell>
          <cell r="AA179" t="b">
            <v>1</v>
          </cell>
          <cell r="AB179" t="b">
            <v>1</v>
          </cell>
          <cell r="AC179">
            <v>1</v>
          </cell>
        </row>
        <row r="180">
          <cell r="A180" t="str">
            <v>Global Enterprise Value Data</v>
          </cell>
        </row>
        <row r="181">
          <cell r="A181" t="str">
            <v>Core Sales</v>
          </cell>
          <cell r="B181">
            <v>1</v>
          </cell>
          <cell r="C181">
            <v>0</v>
          </cell>
          <cell r="D181">
            <v>0</v>
          </cell>
          <cell r="E181">
            <v>0</v>
          </cell>
          <cell r="F181">
            <v>298.73655400000001</v>
          </cell>
          <cell r="G181">
            <v>252.68</v>
          </cell>
          <cell r="H181">
            <v>280.2</v>
          </cell>
          <cell r="I181">
            <v>2012.6</v>
          </cell>
          <cell r="J181">
            <v>355.16300000000007</v>
          </cell>
          <cell r="K181">
            <v>352.79000000000008</v>
          </cell>
          <cell r="L181">
            <v>367.76700000000005</v>
          </cell>
          <cell r="M181">
            <v>414.05334863999997</v>
          </cell>
          <cell r="N181">
            <v>420.36061261981996</v>
          </cell>
          <cell r="O181">
            <v>643.49528031834666</v>
          </cell>
          <cell r="P181">
            <v>284.45375496111768</v>
          </cell>
        </row>
        <row r="182">
          <cell r="A182" t="str">
            <v>Core EBIT</v>
          </cell>
          <cell r="B182">
            <v>0</v>
          </cell>
          <cell r="C182">
            <v>0</v>
          </cell>
          <cell r="D182">
            <v>0</v>
          </cell>
          <cell r="E182">
            <v>0</v>
          </cell>
          <cell r="F182">
            <v>103.14014883517395</v>
          </cell>
          <cell r="G182">
            <v>85.031905999999964</v>
          </cell>
          <cell r="H182">
            <v>102.31706000000004</v>
          </cell>
          <cell r="I182">
            <v>652.6</v>
          </cell>
          <cell r="J182">
            <v>149.38255728490844</v>
          </cell>
          <cell r="K182">
            <v>81.774202127637722</v>
          </cell>
          <cell r="L182">
            <v>84.697456844106654</v>
          </cell>
          <cell r="M182">
            <v>87.207222194199247</v>
          </cell>
          <cell r="N182">
            <v>75.794896141600518</v>
          </cell>
          <cell r="O182">
            <v>109.31397764669283</v>
          </cell>
          <cell r="P182">
            <v>101.87934673708736</v>
          </cell>
        </row>
        <row r="184">
          <cell r="A184" t="str">
            <v>Core EBITDA</v>
          </cell>
          <cell r="B184">
            <v>0</v>
          </cell>
          <cell r="C184">
            <v>0</v>
          </cell>
          <cell r="D184">
            <v>0</v>
          </cell>
          <cell r="E184">
            <v>0</v>
          </cell>
          <cell r="F184">
            <v>103.80994483517395</v>
          </cell>
          <cell r="G184">
            <v>85.843766999999957</v>
          </cell>
          <cell r="H184">
            <v>103.40574400000004</v>
          </cell>
          <cell r="I184">
            <v>834.7</v>
          </cell>
          <cell r="J184">
            <v>151.45138528490844</v>
          </cell>
          <cell r="K184">
            <v>205.02820212763771</v>
          </cell>
          <cell r="L184">
            <v>201.89745684410667</v>
          </cell>
          <cell r="M184">
            <v>217.90722219419922</v>
          </cell>
          <cell r="N184">
            <v>212.23656280826719</v>
          </cell>
          <cell r="O184">
            <v>290.50622764669282</v>
          </cell>
          <cell r="P184">
            <v>143.2549300704207</v>
          </cell>
        </row>
        <row r="185">
          <cell r="A185" t="str">
            <v>Less : Maintenance Capital Expenditure</v>
          </cell>
          <cell r="B185">
            <v>0</v>
          </cell>
          <cell r="C185">
            <v>0</v>
          </cell>
          <cell r="D185">
            <v>0</v>
          </cell>
          <cell r="E185">
            <v>0</v>
          </cell>
          <cell r="F185">
            <v>0</v>
          </cell>
          <cell r="G185">
            <v>0</v>
          </cell>
          <cell r="H185">
            <v>0</v>
          </cell>
          <cell r="I185">
            <v>0</v>
          </cell>
          <cell r="J185">
            <v>0</v>
          </cell>
          <cell r="K185">
            <v>0</v>
          </cell>
          <cell r="L185">
            <v>0</v>
          </cell>
          <cell r="M185">
            <v>10</v>
          </cell>
          <cell r="N185">
            <v>8</v>
          </cell>
          <cell r="O185">
            <v>5</v>
          </cell>
          <cell r="P185">
            <v>5</v>
          </cell>
        </row>
        <row r="186">
          <cell r="A186" t="str">
            <v>Less : Net Working Capital Inflation</v>
          </cell>
          <cell r="B186" t="str">
            <v>Missing</v>
          </cell>
          <cell r="C186" t="str">
            <v>Missing</v>
          </cell>
          <cell r="D186">
            <v>0</v>
          </cell>
          <cell r="E186">
            <v>0</v>
          </cell>
          <cell r="F186">
            <v>0.40505680000000044</v>
          </cell>
          <cell r="G186">
            <v>1.7496300799999995</v>
          </cell>
          <cell r="H186">
            <v>2.1370759200000005</v>
          </cell>
          <cell r="I186">
            <v>3.8014516559999998</v>
          </cell>
          <cell r="J186">
            <v>2.2997888799999999</v>
          </cell>
          <cell r="K186">
            <v>8.1268800000000017</v>
          </cell>
          <cell r="L186">
            <v>5.4116799999999987</v>
          </cell>
          <cell r="M186">
            <v>4.5365600000000006</v>
          </cell>
          <cell r="N186">
            <v>1.2144751298388394</v>
          </cell>
          <cell r="O186">
            <v>2.8052961460160417</v>
          </cell>
          <cell r="P186">
            <v>2.9370659899716669</v>
          </cell>
        </row>
        <row r="187">
          <cell r="A187" t="str">
            <v>Operating Free Cash Flow (OpFCF)</v>
          </cell>
          <cell r="B187" t="e">
            <v>#VALUE!</v>
          </cell>
          <cell r="C187" t="e">
            <v>#VALUE!</v>
          </cell>
          <cell r="D187">
            <v>0</v>
          </cell>
          <cell r="E187">
            <v>0</v>
          </cell>
          <cell r="F187">
            <v>104.21500163517395</v>
          </cell>
          <cell r="G187">
            <v>87.59339707999996</v>
          </cell>
          <cell r="H187">
            <v>105.54281992000004</v>
          </cell>
          <cell r="I187">
            <v>838.50145165600009</v>
          </cell>
          <cell r="J187">
            <v>153.75117416490843</v>
          </cell>
          <cell r="K187">
            <v>213.15508212763771</v>
          </cell>
          <cell r="L187">
            <v>207.30913684410666</v>
          </cell>
          <cell r="M187">
            <v>232.44378219419923</v>
          </cell>
          <cell r="N187">
            <v>221.45103793810603</v>
          </cell>
          <cell r="O187">
            <v>298.31152379270884</v>
          </cell>
          <cell r="P187">
            <v>151.19199606039237</v>
          </cell>
        </row>
        <row r="189">
          <cell r="A189" t="str">
            <v>Core Net Cash (Debt)</v>
          </cell>
          <cell r="B189" t="e">
            <v>#NAME?</v>
          </cell>
          <cell r="C189">
            <v>0</v>
          </cell>
          <cell r="D189">
            <v>0</v>
          </cell>
          <cell r="E189">
            <v>0</v>
          </cell>
          <cell r="F189">
            <v>127.11180250000001</v>
          </cell>
          <cell r="G189">
            <v>274.46601799999996</v>
          </cell>
          <cell r="H189">
            <v>331.71232499999996</v>
          </cell>
          <cell r="I189">
            <v>0</v>
          </cell>
          <cell r="J189">
            <v>390.77085149999999</v>
          </cell>
          <cell r="K189">
            <v>91.207000999999906</v>
          </cell>
          <cell r="L189">
            <v>64.00800000000001</v>
          </cell>
          <cell r="M189">
            <v>46.312500000000085</v>
          </cell>
          <cell r="N189">
            <v>-284.32743428228696</v>
          </cell>
          <cell r="O189">
            <v>-361.56903313398277</v>
          </cell>
          <cell r="P189">
            <v>-414.03887552532422</v>
          </cell>
        </row>
        <row r="190">
          <cell r="A190" t="str">
            <v>Peripheral Assets</v>
          </cell>
          <cell r="B190" t="str">
            <v>Missing</v>
          </cell>
          <cell r="C190" t="str">
            <v>Missing</v>
          </cell>
          <cell r="D190" t="str">
            <v>Missing</v>
          </cell>
          <cell r="E190" t="str">
            <v>Missing</v>
          </cell>
          <cell r="F190">
            <v>0</v>
          </cell>
          <cell r="G190">
            <v>0</v>
          </cell>
          <cell r="H190">
            <v>0</v>
          </cell>
          <cell r="I190">
            <v>0</v>
          </cell>
          <cell r="J190">
            <v>0</v>
          </cell>
          <cell r="K190">
            <v>0</v>
          </cell>
          <cell r="L190">
            <v>0</v>
          </cell>
          <cell r="M190">
            <v>0</v>
          </cell>
          <cell r="N190">
            <v>0</v>
          </cell>
          <cell r="O190">
            <v>0</v>
          </cell>
          <cell r="P190">
            <v>0</v>
          </cell>
        </row>
        <row r="191">
          <cell r="A191" t="str">
            <v>Pension Provisions etc</v>
          </cell>
          <cell r="B191" t="str">
            <v>Missing</v>
          </cell>
          <cell r="C191" t="str">
            <v>Missing</v>
          </cell>
          <cell r="D191" t="str">
            <v>Missing</v>
          </cell>
          <cell r="E191" t="str">
            <v>Missing</v>
          </cell>
          <cell r="F191">
            <v>3.4989999999999999E-3</v>
          </cell>
          <cell r="G191">
            <v>0</v>
          </cell>
          <cell r="H191">
            <v>0</v>
          </cell>
          <cell r="I191">
            <v>0</v>
          </cell>
          <cell r="J191">
            <v>0</v>
          </cell>
          <cell r="K191">
            <v>0</v>
          </cell>
          <cell r="L191">
            <v>0</v>
          </cell>
          <cell r="M191">
            <v>0</v>
          </cell>
          <cell r="N191">
            <v>0.75</v>
          </cell>
          <cell r="O191">
            <v>0.75447770309058437</v>
          </cell>
          <cell r="P191">
            <v>0.80820301056461463</v>
          </cell>
        </row>
        <row r="192">
          <cell r="A192" t="str">
            <v>Buy Out Of Minorities</v>
          </cell>
          <cell r="B192" t="str">
            <v>Missing</v>
          </cell>
          <cell r="C192" t="str">
            <v>Missing</v>
          </cell>
          <cell r="D192" t="str">
            <v>Missing</v>
          </cell>
          <cell r="E192" t="str">
            <v>Missing</v>
          </cell>
          <cell r="F192">
            <v>0</v>
          </cell>
          <cell r="G192">
            <v>0</v>
          </cell>
          <cell r="H192">
            <v>0</v>
          </cell>
          <cell r="I192">
            <v>0</v>
          </cell>
          <cell r="J192">
            <v>0</v>
          </cell>
          <cell r="K192">
            <v>0</v>
          </cell>
          <cell r="L192">
            <v>0</v>
          </cell>
          <cell r="M192">
            <v>0</v>
          </cell>
          <cell r="N192">
            <v>0</v>
          </cell>
          <cell r="O192">
            <v>0</v>
          </cell>
          <cell r="P192">
            <v>0</v>
          </cell>
        </row>
        <row r="195">
          <cell r="B195">
            <v>9568</v>
          </cell>
          <cell r="C195">
            <v>41034</v>
          </cell>
          <cell r="D195">
            <v>49712</v>
          </cell>
          <cell r="E195">
            <v>47397</v>
          </cell>
          <cell r="F195">
            <v>52434</v>
          </cell>
          <cell r="G195">
            <v>12212</v>
          </cell>
          <cell r="H195">
            <v>21489</v>
          </cell>
          <cell r="I195">
            <v>14523</v>
          </cell>
          <cell r="J195">
            <v>47867</v>
          </cell>
          <cell r="K195">
            <v>22426</v>
          </cell>
          <cell r="L195">
            <v>10439</v>
          </cell>
          <cell r="M195">
            <v>22641</v>
          </cell>
          <cell r="N195">
            <v>8771</v>
          </cell>
          <cell r="O195">
            <v>56863</v>
          </cell>
          <cell r="P195">
            <v>15314</v>
          </cell>
        </row>
        <row r="196">
          <cell r="B196">
            <v>18919</v>
          </cell>
          <cell r="C196">
            <v>21950</v>
          </cell>
          <cell r="D196">
            <v>63426</v>
          </cell>
          <cell r="E196">
            <v>57946</v>
          </cell>
          <cell r="F196">
            <v>50469</v>
          </cell>
          <cell r="G196">
            <v>25681</v>
          </cell>
          <cell r="H196">
            <v>18989</v>
          </cell>
          <cell r="I196">
            <v>54280</v>
          </cell>
          <cell r="J196">
            <v>29786</v>
          </cell>
          <cell r="K196">
            <v>23610</v>
          </cell>
          <cell r="L196">
            <v>16363</v>
          </cell>
          <cell r="M196">
            <v>59764</v>
          </cell>
          <cell r="N196">
            <v>16436</v>
          </cell>
          <cell r="O196">
            <v>11206</v>
          </cell>
          <cell r="P196">
            <v>37321</v>
          </cell>
        </row>
        <row r="314">
          <cell r="A314" t="str">
            <v>cu59.LastRow</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Master_Data"/>
      <sheetName val="General_Assumption"/>
      <sheetName val="Budget_Description 1"/>
      <sheetName val="Budget_Description 2"/>
      <sheetName val="COAL_HAULING_Capex&amp;Opex_detail"/>
      <sheetName val="Technical assumption1"/>
      <sheetName val="Technical_Assumption2"/>
      <sheetName val="TA_CS"/>
      <sheetName val="TA_WB"/>
      <sheetName val="TA_MSW"/>
      <sheetName val="Dispacth Yard"/>
      <sheetName val="SUMMARY_07_COAL_HAULING"/>
      <sheetName val="Analysis"/>
      <sheetName val="To be complete"/>
      <sheetName val="Summary"/>
      <sheetName val="Leave_relocation"/>
      <sheetName val="Direct_supplies"/>
      <sheetName val="Trans_fuel_lubricant"/>
      <sheetName val="Travel_Fares_Accomodation"/>
      <sheetName val="Repair_maintenance"/>
      <sheetName val="Hire_Equipment"/>
      <sheetName val="Consultants"/>
      <sheetName val="Other_Expenses"/>
      <sheetName val="CAPEX"/>
      <sheetName val="Qual_1_8_0607_1"/>
      <sheetName val="Qual_1_8_0607_2"/>
      <sheetName val="Qual_1_8_0607_3"/>
      <sheetName val="Qual_1_8_0607_4"/>
      <sheetName val="Budget_Description_1"/>
      <sheetName val="Budget_Description_2"/>
      <sheetName val="Technical_assumption1"/>
      <sheetName val="Dispacth_Yard"/>
      <sheetName val="To_be_complete"/>
      <sheetName val="Budget_Description_11"/>
      <sheetName val="Budget_Description_21"/>
      <sheetName val="Technical_assumption11"/>
      <sheetName val="Dispacth_Yard1"/>
      <sheetName val="To_be_complete1"/>
      <sheetName val="COMB"/>
      <sheetName val="Budget_Description_12"/>
      <sheetName val="Budget_Description_22"/>
      <sheetName val="Technical_assumption12"/>
      <sheetName val="Dispacth_Yard2"/>
      <sheetName val="To_be_complete2"/>
      <sheetName val="I-ME"/>
      <sheetName val="data"/>
      <sheetName val="table dozer"/>
      <sheetName val="last month"/>
      <sheetName val="LIST Mining"/>
      <sheetName val="4334-Summary"/>
      <sheetName val="A"/>
      <sheetName val="GeneralInfo"/>
      <sheetName val="BQ"/>
      <sheetName val="OVERBURDEN"/>
      <sheetName val="SUBKON"/>
      <sheetName val="MAINTENANCE"/>
      <sheetName val="PS ACTUAL"/>
      <sheetName val="Param"/>
      <sheetName val="MATERIALFINAL"/>
      <sheetName val="2. EWH"/>
      <sheetName val="SAMO"/>
      <sheetName val="MP"/>
      <sheetName val="Sheet2"/>
      <sheetName val="hal 3"/>
      <sheetName val="Sum"/>
      <sheetName val="PARAMETER"/>
      <sheetName val="Currency"/>
      <sheetName val="Non-Statistical Sampling"/>
      <sheetName val="Sheet4"/>
      <sheetName val="Saldo Awal 2006"/>
      <sheetName val="ocean voyage"/>
      <sheetName val="Blok 8 S1"/>
      <sheetName val="cus"/>
      <sheetName val="OLDMAP"/>
      <sheetName val="AR Drop Downs"/>
      <sheetName val="DropDown"/>
      <sheetName val="I_KAMAR"/>
      <sheetName val="TAT FORMULA"/>
      <sheetName val="Juli"/>
      <sheetName val="Code"/>
      <sheetName val="Daily Report"/>
      <sheetName val="Perm. Test"/>
      <sheetName val="Data_Unit"/>
      <sheetName val="22861"/>
      <sheetName val="Price"/>
    </sheetNames>
    <sheetDataSet>
      <sheetData sheetId="0"/>
      <sheetData sheetId="1">
        <row r="105">
          <cell r="B105" t="str">
            <v>07*</v>
          </cell>
        </row>
        <row r="107">
          <cell r="B107" t="str">
            <v>07.1</v>
          </cell>
        </row>
        <row r="108">
          <cell r="B108" t="str">
            <v>07.3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ily Report"/>
      <sheetName val="NB065 &amp; NB061"/>
      <sheetName val="master"/>
      <sheetName val="DTDummy"/>
      <sheetName val="Dashboard"/>
      <sheetName val="Master_Data"/>
      <sheetName val="Dist Coal"/>
      <sheetName val="all factor"/>
      <sheetName val="Sheet2"/>
      <sheetName val="M"/>
      <sheetName val="ACUM"/>
      <sheetName val="TJ"/>
      <sheetName val="LM"/>
      <sheetName val="Run"/>
      <sheetName val="ANAL.BOW"/>
      <sheetName val="FORM"/>
      <sheetName val="Sheet1"/>
      <sheetName val="Calculation"/>
      <sheetName val="Pivot"/>
      <sheetName val="Resume Eng"/>
      <sheetName val="4-Entry WH+HM"/>
      <sheetName val="For_Ari"/>
      <sheetName val="Down_Time"/>
      <sheetName val="Input_Date"/>
      <sheetName val="_SAF 02"/>
      <sheetName val="BLSP"/>
      <sheetName val="Ranges"/>
      <sheetName val="Schedule"/>
      <sheetName val="Family"/>
      <sheetName val="Unit Rate"/>
      <sheetName val="Assump"/>
      <sheetName val="Resume"/>
      <sheetName val="Masukkan Data Shift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D"/>
      <sheetName val="E"/>
      <sheetName val="F"/>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AB"/>
      <sheetName val="AC"/>
      <sheetName val="BY UMUM"/>
      <sheetName val="MATERIALFINAL"/>
      <sheetName val="MATERIALNONFIN"/>
      <sheetName val="UPAHFINAL "/>
      <sheetName val="UPAHNONFIN"/>
      <sheetName val="OVERHEADFINAL"/>
      <sheetName val="OVERHEADNONFIN"/>
      <sheetName val="PEND PROYEK"/>
      <sheetName val="PENJUALAN"/>
      <sheetName val="MODAL"/>
      <sheetName val="LABA DITAHAN"/>
      <sheetName val="HUTANG CICILAN"/>
      <sheetName val="HUTANG BANK"/>
      <sheetName val="HUT LAIN LAIN"/>
      <sheetName val="HUT BIAYA"/>
      <sheetName val="SSP BLM DTRM"/>
      <sheetName val="PPN PRO BLM TGH"/>
      <sheetName val="IKTISAR RL"/>
      <sheetName val="HUT DAGANG"/>
      <sheetName val="AKUMULASI"/>
      <sheetName val="ASURANSI DI MK"/>
      <sheetName val="AKTIVA TETAP"/>
      <sheetName val="UM PROYEK"/>
      <sheetName val="PAJAK"/>
      <sheetName val="PIUTANG DAGANG"/>
      <sheetName val="P BLM DITAGIH"/>
      <sheetName val="PINJAMAN"/>
      <sheetName val="UANG MUKA"/>
      <sheetName val="DEPOSITO"/>
      <sheetName val="BANK"/>
      <sheetName val="BANK (2)"/>
      <sheetName val="BANK (3)"/>
      <sheetName val="AYAT SILANG"/>
      <sheetName val="KAS PROYEK PT"/>
      <sheetName val="PPN BESAR"/>
      <sheetName val="rekonsiliasi"/>
      <sheetName val="BY_UMUM"/>
      <sheetName val="UPAHFINAL_"/>
      <sheetName val="PEND_PROYEK"/>
      <sheetName val="LABA_DITAHAN"/>
      <sheetName val="HUTANG_CICILAN"/>
      <sheetName val="HUTANG_BANK"/>
      <sheetName val="HUT_LAIN_LAIN"/>
      <sheetName val="HUT_BIAYA"/>
      <sheetName val="SSP_BLM_DTRM"/>
      <sheetName val="PPN_PRO_BLM_TGH"/>
      <sheetName val="IKTISAR_RL"/>
      <sheetName val="HUT_DAGANG"/>
      <sheetName val="ASURANSI_DI_MK"/>
      <sheetName val="AKTIVA_TETAP"/>
      <sheetName val="UM_PROYEK"/>
      <sheetName val="PIUTANG_DAGANG"/>
      <sheetName val="P_BLM_DITAGIH"/>
      <sheetName val="UANG_MUKA"/>
      <sheetName val="BANK_(2)"/>
      <sheetName val="BANK_(3)"/>
      <sheetName val="AYAT_SILANG"/>
      <sheetName val="KAS_PROYEK_PT"/>
      <sheetName val="PPN_BESAR"/>
      <sheetName val="BY_UMUM1"/>
      <sheetName val="UPAHFINAL_1"/>
      <sheetName val="PEND_PROYEK1"/>
      <sheetName val="LABA_DITAHAN1"/>
      <sheetName val="HUTANG_CICILAN1"/>
      <sheetName val="HUTANG_BANK1"/>
      <sheetName val="HUT_LAIN_LAIN1"/>
      <sheetName val="HUT_BIAYA1"/>
      <sheetName val="SSP_BLM_DTRM1"/>
      <sheetName val="PPN_PRO_BLM_TGH1"/>
      <sheetName val="IKTISAR_RL1"/>
      <sheetName val="HUT_DAGANG1"/>
      <sheetName val="ASURANSI_DI_MK1"/>
      <sheetName val="AKTIVA_TETAP1"/>
      <sheetName val="UM_PROYEK1"/>
      <sheetName val="PIUTANG_DAGANG1"/>
      <sheetName val="P_BLM_DITAGIH1"/>
      <sheetName val="UANG_MUKA1"/>
      <sheetName val="BANK_(2)1"/>
      <sheetName val="BANK_(3)1"/>
      <sheetName val="AYAT_SILANG1"/>
      <sheetName val="KAS_PROYEK_PT1"/>
      <sheetName val="PPN_BESAR1"/>
      <sheetName val="Master_Data"/>
      <sheetName val="BY_UMUM2"/>
      <sheetName val="UPAHFINAL_2"/>
      <sheetName val="PEND_PROYEK2"/>
      <sheetName val="LABA_DITAHAN2"/>
      <sheetName val="HUTANG_CICILAN2"/>
      <sheetName val="HUTANG_BANK2"/>
      <sheetName val="HUT_LAIN_LAIN2"/>
      <sheetName val="HUT_BIAYA2"/>
      <sheetName val="SSP_BLM_DTRM2"/>
      <sheetName val="PPN_PRO_BLM_TGH2"/>
      <sheetName val="IKTISAR_RL2"/>
      <sheetName val="HUT_DAGANG2"/>
      <sheetName val="ASURANSI_DI_MK2"/>
      <sheetName val="AKTIVA_TETAP2"/>
      <sheetName val="UM_PROYEK2"/>
      <sheetName val="PIUTANG_DAGANG2"/>
      <sheetName val="P_BLM_DITAGIH2"/>
      <sheetName val="UANG_MUKA2"/>
      <sheetName val="BANK_(2)2"/>
      <sheetName val="BANK_(3)2"/>
      <sheetName val="AYAT_SILANG2"/>
      <sheetName val="KAS_PROYEK_PT2"/>
      <sheetName val="PPN_BESAR2"/>
      <sheetName val="Analisa"/>
      <sheetName val="Belt Scale"/>
      <sheetName val="DBase Karyawan"/>
      <sheetName val="Daily Report"/>
      <sheetName val="HM WH PRO"/>
      <sheetName val="D-04"/>
      <sheetName val="I-ME"/>
      <sheetName val="ALL MEKANIK"/>
      <sheetName val="ENS MACHINE"/>
      <sheetName val="Resume"/>
      <sheetName val="DATA"/>
      <sheetName val="WH"/>
      <sheetName val="no ref"/>
      <sheetName val="input data VDR"/>
      <sheetName val="Lbr April 2006"/>
      <sheetName val="AGM"/>
      <sheetName val="last month"/>
      <sheetName val="LIST Mining"/>
      <sheetName val="PARAMETER"/>
      <sheetName val="HMMB"/>
      <sheetName val="ocean voyage"/>
      <sheetName val="4334-Summary"/>
      <sheetName val="Loss time"/>
      <sheetName val="List"/>
      <sheetName val="Drop Down"/>
      <sheetName val="COMB"/>
      <sheetName val="Plan Budget"/>
      <sheetName val="OLDMAP"/>
      <sheetName val="Rain"/>
      <sheetName val="U_Rental"/>
      <sheetName val="EXA"/>
      <sheetName val="D_Report"/>
      <sheetName val="2002"/>
      <sheetName val="Param"/>
      <sheetName val="Mandiri Rp"/>
      <sheetName val="Cetak BG"/>
      <sheetName val="OVERBURDEN"/>
      <sheetName val="SUBKON"/>
      <sheetName val="MAINTENANCE"/>
      <sheetName val="adaro"/>
      <sheetName val="DAF-2"/>
      <sheetName val="MASTER"/>
      <sheetName val="Data Va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tuan"/>
      <sheetName val="ANAL ALAT"/>
      <sheetName val="ANAL KOEF"/>
      <sheetName val="persiapbadan"/>
      <sheetName val="galian"/>
      <sheetName val="timbunan"/>
      <sheetName val="Timb.Pilihan"/>
      <sheetName val="lpbklasc"/>
      <sheetName val="galiansal"/>
      <sheetName val="pas.batu"/>
      <sheetName val="tulangan"/>
      <sheetName val="beton275"/>
      <sheetName val="dinding kepala"/>
      <sheetName val="GPBSB (1,5)"/>
      <sheetName val="GPBSB1"/>
      <sheetName val="REK-Lokasi 1"/>
      <sheetName val="Gt-Lti"/>
      <sheetName val="tabel"/>
      <sheetName val="Sheet1"/>
      <sheetName val="NP"/>
      <sheetName val="SCHEDULE"/>
      <sheetName val="Sumber Daya"/>
      <sheetName val="ANALISA"/>
      <sheetName val="data"/>
      <sheetName val="Kuantitas &amp; Harga"/>
      <sheetName val="AHS Marka"/>
      <sheetName val="DAFTAR HARGA"/>
      <sheetName val="REKAP_ARSITEKTUR."/>
      <sheetName val="Uraian"/>
      <sheetName val="ASPAL (14)"/>
      <sheetName val="D8"/>
      <sheetName val="Data Validation"/>
      <sheetName val="BL (1)"/>
      <sheetName val="OB"/>
      <sheetName val="Dbase Man Hours"/>
      <sheetName val="Contract"/>
      <sheetName val="MATERIALFINAL"/>
      <sheetName val="new"/>
      <sheetName val="old"/>
      <sheetName val="Mth by Mth KPI's"/>
      <sheetName val="General Assump"/>
      <sheetName val="HARGA MATERIAL"/>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0135"/>
      <sheetName val="0220"/>
      <sheetName val="0230"/>
      <sheetName val="0420"/>
      <sheetName val="0441"/>
      <sheetName val="0443"/>
      <sheetName val="0445"/>
      <sheetName val="0448"/>
      <sheetName val="0449"/>
      <sheetName val="0460"/>
      <sheetName val="0461"/>
      <sheetName val="0463"/>
      <sheetName val="0464"/>
      <sheetName val="0465"/>
      <sheetName val="0469"/>
      <sheetName val="0520"/>
      <sheetName val="0650"/>
      <sheetName val="0651"/>
      <sheetName val="0670"/>
      <sheetName val="0690"/>
      <sheetName val="FA Movement"/>
      <sheetName val="Summary"/>
      <sheetName val="SCHEDU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Set>
  </externalBook>
</externalLink>
</file>

<file path=xl/tables/table1.xml><?xml version="1.0" encoding="utf-8"?>
<table xmlns="http://schemas.openxmlformats.org/spreadsheetml/2006/main" id="1" name="Table1" displayName="Table1" ref="A3:D6" totalsRowShown="0">
  <autoFilter ref="A3:D6"/>
  <tableColumns count="4">
    <tableColumn id="1" name="Nama"/>
    <tableColumn id="2" name="April"/>
    <tableColumn id="3" name="Mei"/>
    <tableColumn id="4" name="Juni"/>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E68"/>
  <sheetViews>
    <sheetView topLeftCell="A18" zoomScale="70" zoomScaleNormal="70" workbookViewId="0">
      <selection activeCell="B29" sqref="B29"/>
    </sheetView>
  </sheetViews>
  <sheetFormatPr defaultRowHeight="14.4"/>
  <cols>
    <col min="1" max="1" width="57.6640625" style="488" customWidth="1"/>
    <col min="2" max="2" width="141.77734375" style="488" customWidth="1"/>
    <col min="3" max="3" width="22.109375" style="523" customWidth="1"/>
    <col min="4" max="4" width="33" style="524" customWidth="1"/>
    <col min="5" max="5" width="31" style="523" customWidth="1"/>
  </cols>
  <sheetData>
    <row r="1" spans="1:5" s="442" customFormat="1">
      <c r="A1" s="520" t="s">
        <v>215</v>
      </c>
      <c r="B1" s="520" t="s">
        <v>243</v>
      </c>
      <c r="C1" s="489" t="s">
        <v>244</v>
      </c>
      <c r="D1" s="489" t="s">
        <v>245</v>
      </c>
      <c r="E1" s="489" t="s">
        <v>246</v>
      </c>
    </row>
    <row r="2" spans="1:5" ht="72">
      <c r="A2" s="492" t="s">
        <v>156</v>
      </c>
      <c r="B2" s="493" t="s">
        <v>178</v>
      </c>
      <c r="C2" s="521" t="s">
        <v>247</v>
      </c>
      <c r="D2" s="522"/>
      <c r="E2" s="521"/>
    </row>
    <row r="3" spans="1:5" ht="100.8">
      <c r="A3" s="494" t="s">
        <v>175</v>
      </c>
      <c r="B3" s="495" t="s">
        <v>176</v>
      </c>
      <c r="C3" s="521" t="s">
        <v>248</v>
      </c>
      <c r="D3" s="522" t="s">
        <v>249</v>
      </c>
      <c r="E3" s="521" t="s">
        <v>250</v>
      </c>
    </row>
    <row r="4" spans="1:5" ht="129.6">
      <c r="A4" s="496" t="s">
        <v>230</v>
      </c>
      <c r="B4" s="495" t="s">
        <v>231</v>
      </c>
      <c r="C4" s="521" t="s">
        <v>248</v>
      </c>
      <c r="D4" s="522" t="s">
        <v>249</v>
      </c>
      <c r="E4" s="521" t="s">
        <v>250</v>
      </c>
    </row>
    <row r="5" spans="1:5" ht="86.4">
      <c r="A5" s="497" t="s">
        <v>183</v>
      </c>
      <c r="B5" s="495" t="s">
        <v>185</v>
      </c>
      <c r="C5" s="521" t="s">
        <v>251</v>
      </c>
      <c r="D5" s="522"/>
      <c r="E5" s="521" t="s">
        <v>252</v>
      </c>
    </row>
    <row r="6" spans="1:5" ht="100.8">
      <c r="A6" s="498" t="s">
        <v>20</v>
      </c>
      <c r="B6" s="499" t="s">
        <v>210</v>
      </c>
      <c r="C6" s="521" t="s">
        <v>253</v>
      </c>
      <c r="D6" s="522"/>
      <c r="E6" s="521" t="s">
        <v>250</v>
      </c>
    </row>
    <row r="7" spans="1:5" ht="86.4">
      <c r="A7" s="500" t="s">
        <v>159</v>
      </c>
      <c r="B7" s="495" t="s">
        <v>167</v>
      </c>
      <c r="C7" s="521" t="s">
        <v>251</v>
      </c>
      <c r="D7" s="522"/>
      <c r="E7" s="521" t="s">
        <v>254</v>
      </c>
    </row>
    <row r="8" spans="1:5" ht="86.4">
      <c r="A8" s="500" t="s">
        <v>160</v>
      </c>
      <c r="B8" s="495" t="s">
        <v>161</v>
      </c>
      <c r="C8" s="521" t="s">
        <v>251</v>
      </c>
      <c r="D8" s="522"/>
      <c r="E8" s="521" t="s">
        <v>17</v>
      </c>
    </row>
    <row r="9" spans="1:5" ht="86.4">
      <c r="A9" s="500" t="s">
        <v>40</v>
      </c>
      <c r="B9" s="495" t="s">
        <v>168</v>
      </c>
      <c r="C9" s="521" t="s">
        <v>251</v>
      </c>
      <c r="D9" s="522"/>
      <c r="E9" s="521" t="s">
        <v>17</v>
      </c>
    </row>
    <row r="10" spans="1:5" ht="86.4">
      <c r="A10" s="500" t="s">
        <v>32</v>
      </c>
      <c r="B10" s="501" t="s">
        <v>48</v>
      </c>
      <c r="C10" s="521" t="s">
        <v>253</v>
      </c>
      <c r="D10" s="522"/>
      <c r="E10" s="521" t="s">
        <v>15</v>
      </c>
    </row>
    <row r="11" spans="1:5" ht="100.8">
      <c r="A11" s="500" t="s">
        <v>34</v>
      </c>
      <c r="B11" s="501" t="s">
        <v>49</v>
      </c>
      <c r="C11" s="521" t="s">
        <v>253</v>
      </c>
      <c r="D11" s="522"/>
      <c r="E11" s="521" t="s">
        <v>15</v>
      </c>
    </row>
    <row r="12" spans="1:5" ht="100.8">
      <c r="A12" s="502" t="s">
        <v>35</v>
      </c>
      <c r="B12" s="503" t="s">
        <v>208</v>
      </c>
      <c r="C12" s="521" t="s">
        <v>253</v>
      </c>
      <c r="D12" s="522"/>
      <c r="E12" s="521" t="s">
        <v>15</v>
      </c>
    </row>
    <row r="13" spans="1:5" ht="86.4">
      <c r="A13" s="502" t="s">
        <v>41</v>
      </c>
      <c r="B13" s="503" t="s">
        <v>209</v>
      </c>
      <c r="C13" s="521" t="s">
        <v>253</v>
      </c>
      <c r="D13" s="522"/>
      <c r="E13" s="521" t="s">
        <v>15</v>
      </c>
    </row>
    <row r="14" spans="1:5" ht="86.4">
      <c r="A14" s="500" t="s">
        <v>151</v>
      </c>
      <c r="B14" s="501" t="s">
        <v>152</v>
      </c>
      <c r="C14" s="521" t="s">
        <v>251</v>
      </c>
      <c r="D14" s="522"/>
      <c r="E14" s="521" t="s">
        <v>250</v>
      </c>
    </row>
    <row r="15" spans="1:5" ht="86.4">
      <c r="A15" s="500" t="s">
        <v>123</v>
      </c>
      <c r="B15" s="495" t="s">
        <v>170</v>
      </c>
      <c r="C15" s="521" t="s">
        <v>251</v>
      </c>
      <c r="D15" s="522"/>
      <c r="E15" s="521" t="s">
        <v>15</v>
      </c>
    </row>
    <row r="16" spans="1:5" ht="86.4">
      <c r="A16" s="504" t="s">
        <v>121</v>
      </c>
      <c r="B16" s="501" t="s">
        <v>190</v>
      </c>
      <c r="C16" s="521" t="s">
        <v>255</v>
      </c>
      <c r="D16" s="522"/>
      <c r="E16" s="521" t="s">
        <v>256</v>
      </c>
    </row>
    <row r="17" spans="1:5" ht="115.2">
      <c r="A17" s="505" t="s">
        <v>165</v>
      </c>
      <c r="B17" s="495" t="s">
        <v>235</v>
      </c>
      <c r="C17" s="521" t="s">
        <v>251</v>
      </c>
      <c r="D17" s="522"/>
      <c r="E17" s="521" t="s">
        <v>256</v>
      </c>
    </row>
    <row r="18" spans="1:5" ht="110.4">
      <c r="A18" s="507" t="s">
        <v>173</v>
      </c>
      <c r="B18" s="508" t="s">
        <v>233</v>
      </c>
      <c r="C18" s="521" t="s">
        <v>251</v>
      </c>
      <c r="D18" s="522"/>
      <c r="E18" s="521" t="s">
        <v>250</v>
      </c>
    </row>
    <row r="19" spans="1:5" ht="82.8">
      <c r="A19" s="509" t="s">
        <v>166</v>
      </c>
      <c r="B19" s="510" t="s">
        <v>211</v>
      </c>
      <c r="C19" s="521" t="s">
        <v>251</v>
      </c>
      <c r="D19" s="522"/>
      <c r="E19" s="521" t="s">
        <v>250</v>
      </c>
    </row>
    <row r="20" spans="1:5" ht="82.8">
      <c r="A20" s="509" t="s">
        <v>47</v>
      </c>
      <c r="B20" s="510" t="s">
        <v>188</v>
      </c>
      <c r="C20" s="521" t="s">
        <v>251</v>
      </c>
      <c r="D20" s="522"/>
      <c r="E20" s="521" t="s">
        <v>15</v>
      </c>
    </row>
    <row r="21" spans="1:5" ht="129.6">
      <c r="A21" s="494" t="s">
        <v>84</v>
      </c>
      <c r="B21" s="511" t="s">
        <v>85</v>
      </c>
      <c r="C21" s="521" t="s">
        <v>248</v>
      </c>
      <c r="D21" s="522" t="s">
        <v>249</v>
      </c>
      <c r="E21" s="521" t="s">
        <v>252</v>
      </c>
    </row>
    <row r="22" spans="1:5" ht="69">
      <c r="A22" s="509" t="s">
        <v>46</v>
      </c>
      <c r="B22" s="512" t="s">
        <v>172</v>
      </c>
      <c r="C22" s="521" t="s">
        <v>251</v>
      </c>
      <c r="D22" s="522"/>
      <c r="E22" s="521" t="s">
        <v>256</v>
      </c>
    </row>
    <row r="23" spans="1:5" ht="82.8">
      <c r="A23" s="506" t="s">
        <v>16</v>
      </c>
      <c r="B23" s="510" t="s">
        <v>76</v>
      </c>
      <c r="C23" s="521" t="s">
        <v>248</v>
      </c>
      <c r="D23" s="522" t="s">
        <v>249</v>
      </c>
      <c r="E23" s="521" t="s">
        <v>252</v>
      </c>
    </row>
    <row r="24" spans="1:5" ht="96.6">
      <c r="A24" s="513" t="s">
        <v>192</v>
      </c>
      <c r="B24" s="510" t="s">
        <v>210</v>
      </c>
      <c r="C24" s="521" t="s">
        <v>253</v>
      </c>
      <c r="D24" s="522"/>
      <c r="E24" s="521" t="s">
        <v>15</v>
      </c>
    </row>
    <row r="25" spans="1:5" ht="96.6">
      <c r="A25" s="509" t="s">
        <v>194</v>
      </c>
      <c r="B25" s="514" t="s">
        <v>195</v>
      </c>
      <c r="C25" s="521" t="s">
        <v>248</v>
      </c>
      <c r="D25" s="522" t="s">
        <v>249</v>
      </c>
      <c r="E25" s="521" t="s">
        <v>256</v>
      </c>
    </row>
    <row r="26" spans="1:5" ht="82.8">
      <c r="A26" s="507" t="s">
        <v>199</v>
      </c>
      <c r="B26" s="514" t="s">
        <v>200</v>
      </c>
      <c r="C26" s="521" t="s">
        <v>251</v>
      </c>
      <c r="D26" s="522"/>
      <c r="E26" s="521" t="s">
        <v>252</v>
      </c>
    </row>
    <row r="27" spans="1:5" ht="82.8">
      <c r="A27" s="515" t="s">
        <v>69</v>
      </c>
      <c r="B27" s="516" t="s">
        <v>224</v>
      </c>
      <c r="C27" s="521" t="s">
        <v>255</v>
      </c>
      <c r="D27" s="522"/>
      <c r="E27" s="521" t="s">
        <v>256</v>
      </c>
    </row>
    <row r="28" spans="1:5" ht="193.2">
      <c r="A28" s="517" t="s">
        <v>202</v>
      </c>
      <c r="B28" s="518" t="s">
        <v>203</v>
      </c>
      <c r="C28" s="521" t="s">
        <v>253</v>
      </c>
      <c r="D28" s="522"/>
      <c r="E28" s="521" t="s">
        <v>256</v>
      </c>
    </row>
    <row r="29" spans="1:5" ht="193.2">
      <c r="A29" s="519" t="s">
        <v>225</v>
      </c>
      <c r="B29" s="518" t="s">
        <v>238</v>
      </c>
      <c r="C29" s="521" t="s">
        <v>251</v>
      </c>
      <c r="D29" s="522"/>
      <c r="E29" s="521" t="s">
        <v>256</v>
      </c>
    </row>
    <row r="30" spans="1:5">
      <c r="A30" s="490"/>
      <c r="B30" s="491"/>
    </row>
    <row r="31" spans="1:5">
      <c r="A31"/>
      <c r="B31"/>
    </row>
    <row r="32" spans="1:5">
      <c r="A32"/>
      <c r="B32"/>
    </row>
    <row r="33" spans="1:2">
      <c r="A33"/>
      <c r="B33"/>
    </row>
    <row r="34" spans="1:2">
      <c r="A34"/>
      <c r="B34"/>
    </row>
    <row r="35" spans="1:2">
      <c r="A35"/>
      <c r="B35"/>
    </row>
    <row r="36" spans="1:2">
      <c r="A36"/>
      <c r="B36"/>
    </row>
    <row r="37" spans="1:2">
      <c r="A37"/>
      <c r="B37"/>
    </row>
    <row r="38" spans="1:2">
      <c r="A38"/>
      <c r="B38"/>
    </row>
    <row r="39" spans="1:2">
      <c r="A39"/>
      <c r="B39"/>
    </row>
    <row r="40" spans="1:2">
      <c r="A40"/>
      <c r="B40"/>
    </row>
    <row r="41" spans="1:2">
      <c r="A41"/>
      <c r="B41"/>
    </row>
    <row r="42" spans="1:2">
      <c r="A42"/>
      <c r="B42"/>
    </row>
    <row r="43" spans="1:2">
      <c r="A43"/>
      <c r="B43"/>
    </row>
    <row r="44" spans="1:2">
      <c r="A44"/>
      <c r="B44"/>
    </row>
    <row r="45" spans="1:2">
      <c r="A45"/>
      <c r="B45"/>
    </row>
    <row r="46" spans="1:2">
      <c r="A46"/>
      <c r="B46"/>
    </row>
    <row r="47" spans="1:2">
      <c r="A47"/>
      <c r="B47"/>
    </row>
    <row r="48" spans="1:2">
      <c r="A48"/>
      <c r="B48"/>
    </row>
    <row r="49" spans="1:2">
      <c r="A49"/>
      <c r="B49"/>
    </row>
    <row r="50" spans="1:2">
      <c r="A50"/>
      <c r="B50"/>
    </row>
    <row r="51" spans="1:2">
      <c r="A51"/>
      <c r="B51"/>
    </row>
    <row r="52" spans="1:2">
      <c r="A52"/>
      <c r="B52"/>
    </row>
    <row r="53" spans="1:2">
      <c r="A53"/>
      <c r="B53"/>
    </row>
    <row r="54" spans="1:2">
      <c r="A54"/>
      <c r="B54"/>
    </row>
    <row r="55" spans="1:2">
      <c r="A55"/>
      <c r="B55"/>
    </row>
    <row r="56" spans="1:2">
      <c r="A56"/>
      <c r="B56"/>
    </row>
    <row r="57" spans="1:2">
      <c r="A57"/>
      <c r="B57"/>
    </row>
    <row r="58" spans="1:2">
      <c r="A58"/>
      <c r="B58"/>
    </row>
    <row r="59" spans="1:2">
      <c r="A59"/>
      <c r="B59"/>
    </row>
    <row r="60" spans="1:2">
      <c r="A60"/>
      <c r="B60"/>
    </row>
    <row r="61" spans="1:2">
      <c r="A61"/>
      <c r="B61"/>
    </row>
    <row r="62" spans="1:2">
      <c r="A62"/>
      <c r="B62"/>
    </row>
    <row r="63" spans="1:2">
      <c r="A63"/>
      <c r="B63"/>
    </row>
    <row r="64" spans="1:2">
      <c r="A64"/>
      <c r="B64"/>
    </row>
    <row r="65" spans="1:2">
      <c r="A65"/>
      <c r="B65"/>
    </row>
    <row r="66" spans="1:2">
      <c r="A66"/>
      <c r="B66"/>
    </row>
    <row r="67" spans="1:2">
      <c r="A67"/>
      <c r="B67"/>
    </row>
    <row r="68" spans="1:2">
      <c r="A68"/>
      <c r="B6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9"/>
  <sheetViews>
    <sheetView workbookViewId="0">
      <selection activeCell="B14" sqref="B14"/>
    </sheetView>
  </sheetViews>
  <sheetFormatPr defaultRowHeight="14.4"/>
  <cols>
    <col min="1" max="1" width="14.33203125" style="441" customWidth="1"/>
    <col min="2" max="2" width="36.5546875" style="456" customWidth="1"/>
    <col min="3" max="3" width="71.33203125" style="472" customWidth="1"/>
    <col min="4" max="4" width="81.109375" style="471" customWidth="1"/>
    <col min="6" max="6" width="30.33203125" bestFit="1" customWidth="1"/>
  </cols>
  <sheetData>
    <row r="1" spans="1:15">
      <c r="A1" s="435" t="s">
        <v>214</v>
      </c>
      <c r="B1" s="442" t="s">
        <v>215</v>
      </c>
      <c r="C1" s="465"/>
      <c r="D1" s="466" t="s">
        <v>216</v>
      </c>
    </row>
    <row r="2" spans="1:15" ht="110.4">
      <c r="A2" s="441" t="s">
        <v>213</v>
      </c>
      <c r="B2" s="340" t="s">
        <v>20</v>
      </c>
      <c r="C2" s="467" t="s">
        <v>239</v>
      </c>
      <c r="D2" s="468" t="s">
        <v>210</v>
      </c>
    </row>
    <row r="3" spans="1:15" ht="96.6">
      <c r="A3" s="441" t="s">
        <v>213</v>
      </c>
      <c r="B3" s="341" t="s">
        <v>121</v>
      </c>
      <c r="C3" s="443" t="s">
        <v>217</v>
      </c>
      <c r="D3" s="3" t="s">
        <v>190</v>
      </c>
    </row>
    <row r="4" spans="1:15" ht="179.4">
      <c r="A4" s="441" t="s">
        <v>213</v>
      </c>
      <c r="B4" s="451" t="s">
        <v>165</v>
      </c>
      <c r="C4" s="469" t="s">
        <v>218</v>
      </c>
      <c r="D4" s="165" t="s">
        <v>235</v>
      </c>
    </row>
    <row r="5" spans="1:15" ht="110.4">
      <c r="A5" s="441" t="s">
        <v>212</v>
      </c>
      <c r="B5" s="333" t="s">
        <v>35</v>
      </c>
      <c r="C5" s="443" t="s">
        <v>52</v>
      </c>
      <c r="D5" s="3" t="s">
        <v>207</v>
      </c>
    </row>
    <row r="6" spans="1:15" ht="96.6">
      <c r="A6" s="441" t="s">
        <v>212</v>
      </c>
      <c r="B6" s="332" t="s">
        <v>41</v>
      </c>
      <c r="C6" s="443" t="s">
        <v>53</v>
      </c>
      <c r="D6" s="3" t="s">
        <v>219</v>
      </c>
    </row>
    <row r="7" spans="1:15" ht="82.8">
      <c r="A7" s="441" t="s">
        <v>212</v>
      </c>
      <c r="B7" s="335" t="s">
        <v>166</v>
      </c>
      <c r="C7" s="8" t="s">
        <v>220</v>
      </c>
      <c r="D7" s="8" t="s">
        <v>211</v>
      </c>
    </row>
    <row r="8" spans="1:15" ht="96.6">
      <c r="A8" s="441" t="s">
        <v>212</v>
      </c>
      <c r="B8" s="332" t="s">
        <v>47</v>
      </c>
      <c r="C8" s="444" t="s">
        <v>221</v>
      </c>
      <c r="D8" s="8" t="s">
        <v>188</v>
      </c>
    </row>
    <row r="9" spans="1:15" ht="179.4">
      <c r="A9" s="441" t="s">
        <v>213</v>
      </c>
      <c r="B9" s="450" t="s">
        <v>230</v>
      </c>
      <c r="C9" s="470" t="s">
        <v>186</v>
      </c>
      <c r="D9" s="470" t="s">
        <v>231</v>
      </c>
      <c r="O9" s="445"/>
    </row>
    <row r="10" spans="1:15" ht="124.2">
      <c r="A10" s="441" t="s">
        <v>241</v>
      </c>
      <c r="B10" s="332" t="s">
        <v>173</v>
      </c>
      <c r="C10" s="8" t="s">
        <v>174</v>
      </c>
      <c r="D10" s="459" t="s">
        <v>233</v>
      </c>
      <c r="O10" s="445"/>
    </row>
    <row r="11" spans="1:15">
      <c r="B11" s="457"/>
      <c r="C11" s="458"/>
      <c r="O11" s="445"/>
    </row>
    <row r="12" spans="1:15" ht="96.6">
      <c r="A12" s="441" t="s">
        <v>226</v>
      </c>
      <c r="B12" s="452" t="s">
        <v>121</v>
      </c>
      <c r="C12" s="443" t="s">
        <v>227</v>
      </c>
      <c r="D12" s="3" t="s">
        <v>190</v>
      </c>
    </row>
    <row r="13" spans="1:15" ht="110.4">
      <c r="A13" s="441" t="s">
        <v>226</v>
      </c>
      <c r="B13" s="453" t="s">
        <v>20</v>
      </c>
      <c r="C13" s="467" t="s">
        <v>240</v>
      </c>
      <c r="D13" s="468" t="s">
        <v>228</v>
      </c>
    </row>
    <row r="14" spans="1:15" ht="96.6">
      <c r="A14" s="441" t="s">
        <v>229</v>
      </c>
      <c r="B14" s="452" t="s">
        <v>121</v>
      </c>
      <c r="C14" s="443" t="s">
        <v>227</v>
      </c>
      <c r="D14" s="3" t="s">
        <v>190</v>
      </c>
    </row>
    <row r="15" spans="1:15" ht="110.4">
      <c r="A15" s="441" t="s">
        <v>229</v>
      </c>
      <c r="B15" s="453" t="s">
        <v>20</v>
      </c>
      <c r="C15" s="467" t="s">
        <v>240</v>
      </c>
      <c r="D15" s="468" t="s">
        <v>228</v>
      </c>
    </row>
    <row r="16" spans="1:15" ht="110.4">
      <c r="A16" s="441" t="s">
        <v>229</v>
      </c>
      <c r="B16" s="454" t="s">
        <v>35</v>
      </c>
      <c r="C16" s="443" t="s">
        <v>52</v>
      </c>
      <c r="D16" s="3" t="s">
        <v>207</v>
      </c>
    </row>
    <row r="17" spans="1:4" ht="96.6">
      <c r="A17" s="441" t="s">
        <v>229</v>
      </c>
      <c r="B17" s="455" t="s">
        <v>41</v>
      </c>
      <c r="C17" s="443" t="s">
        <v>53</v>
      </c>
      <c r="D17" s="3" t="s">
        <v>219</v>
      </c>
    </row>
    <row r="18" spans="1:4" ht="248.4">
      <c r="A18" s="441" t="s">
        <v>226</v>
      </c>
      <c r="B18" s="461" t="s">
        <v>225</v>
      </c>
      <c r="D18" s="398" t="s">
        <v>238</v>
      </c>
    </row>
    <row r="19" spans="1:4" ht="179.4">
      <c r="A19" s="441" t="s">
        <v>226</v>
      </c>
      <c r="B19" s="462" t="s">
        <v>230</v>
      </c>
      <c r="C19" s="470" t="s">
        <v>236</v>
      </c>
      <c r="D19" s="470" t="s">
        <v>237</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FFFF00"/>
  </sheetPr>
  <dimension ref="A1:AA23"/>
  <sheetViews>
    <sheetView topLeftCell="B14" zoomScale="55" zoomScaleNormal="55" workbookViewId="0">
      <selection activeCell="E17" sqref="E17"/>
    </sheetView>
  </sheetViews>
  <sheetFormatPr defaultColWidth="9.33203125" defaultRowHeight="14.4"/>
  <cols>
    <col min="1" max="3" width="35.5546875" style="232" customWidth="1"/>
    <col min="4" max="4" width="35.5546875" style="29" customWidth="1"/>
    <col min="5" max="5" width="59.88671875" style="232" customWidth="1"/>
    <col min="6" max="8" width="35.5546875" style="283" customWidth="1"/>
    <col min="9" max="19" width="35.5546875" style="232" customWidth="1"/>
    <col min="20" max="20" width="9.33203125" style="232"/>
    <col min="21" max="21" width="18.44140625" style="232" customWidth="1"/>
    <col min="22" max="22" width="32.6640625" style="232" customWidth="1"/>
    <col min="23" max="16384" width="9.33203125" style="232"/>
  </cols>
  <sheetData>
    <row r="1" spans="1:27" s="219" customFormat="1" ht="45.75" customHeight="1">
      <c r="A1" s="217" t="s">
        <v>0</v>
      </c>
      <c r="B1" s="217" t="s">
        <v>1</v>
      </c>
      <c r="C1" s="217" t="s">
        <v>21</v>
      </c>
      <c r="D1" s="217" t="s">
        <v>2</v>
      </c>
      <c r="E1" s="217" t="s">
        <v>3</v>
      </c>
      <c r="F1" s="217" t="s">
        <v>22</v>
      </c>
      <c r="G1" s="476" t="s">
        <v>242</v>
      </c>
      <c r="H1" s="313" t="s">
        <v>184</v>
      </c>
      <c r="I1" s="217" t="s">
        <v>23</v>
      </c>
      <c r="J1" s="313"/>
      <c r="K1" s="217" t="s">
        <v>4</v>
      </c>
      <c r="L1" s="217" t="s">
        <v>24</v>
      </c>
      <c r="M1" s="217" t="s">
        <v>5</v>
      </c>
      <c r="N1" s="217" t="s">
        <v>6</v>
      </c>
      <c r="O1" s="217" t="s">
        <v>7</v>
      </c>
      <c r="P1" s="217" t="s">
        <v>39</v>
      </c>
      <c r="Q1" s="217" t="s">
        <v>25</v>
      </c>
      <c r="R1" s="217" t="s">
        <v>26</v>
      </c>
      <c r="S1" s="218" t="s">
        <v>37</v>
      </c>
      <c r="U1" s="299" t="s">
        <v>37</v>
      </c>
    </row>
    <row r="2" spans="1:27" s="164" customFormat="1" ht="144" hidden="1">
      <c r="A2" s="220"/>
      <c r="B2" s="220"/>
      <c r="C2" s="220" t="s">
        <v>148</v>
      </c>
      <c r="D2" s="220" t="s">
        <v>146</v>
      </c>
      <c r="E2" s="221" t="s">
        <v>147</v>
      </c>
      <c r="F2" s="220"/>
      <c r="G2" s="478"/>
      <c r="H2" s="314"/>
      <c r="I2" s="220"/>
      <c r="J2" s="314"/>
      <c r="K2" s="220"/>
      <c r="L2" s="220"/>
      <c r="M2" s="220"/>
      <c r="N2" s="220"/>
      <c r="O2" s="220"/>
      <c r="P2" s="220"/>
      <c r="Q2" s="220"/>
      <c r="R2" s="220"/>
      <c r="S2" s="222"/>
    </row>
    <row r="3" spans="1:27" ht="243.75" customHeight="1">
      <c r="A3" s="257" t="s">
        <v>9</v>
      </c>
      <c r="B3" s="223" t="s">
        <v>155</v>
      </c>
      <c r="C3" s="530"/>
      <c r="D3" s="224" t="s">
        <v>156</v>
      </c>
      <c r="E3" s="225" t="s">
        <v>178</v>
      </c>
      <c r="F3" s="226">
        <v>3</v>
      </c>
      <c r="G3" s="479">
        <v>5</v>
      </c>
      <c r="H3" s="321"/>
      <c r="I3" s="538"/>
      <c r="J3" s="315"/>
      <c r="K3" s="226" t="s">
        <v>13</v>
      </c>
      <c r="L3" s="226" t="s">
        <v>28</v>
      </c>
      <c r="M3" s="226" t="s">
        <v>158</v>
      </c>
      <c r="N3" s="227">
        <v>1</v>
      </c>
      <c r="O3" s="228">
        <v>2</v>
      </c>
      <c r="P3" s="229">
        <v>3</v>
      </c>
      <c r="Q3" s="230">
        <v>4</v>
      </c>
      <c r="R3" s="231">
        <v>5</v>
      </c>
      <c r="S3" s="257" t="s">
        <v>29</v>
      </c>
      <c r="U3" s="300" t="s">
        <v>179</v>
      </c>
      <c r="V3" s="296" t="s">
        <v>177</v>
      </c>
      <c r="Z3" s="226">
        <v>3</v>
      </c>
      <c r="AA3" s="232">
        <v>5</v>
      </c>
    </row>
    <row r="4" spans="1:27" ht="243.75" customHeight="1">
      <c r="A4" s="533" t="s">
        <v>12</v>
      </c>
      <c r="B4" s="533" t="s">
        <v>30</v>
      </c>
      <c r="C4" s="531"/>
      <c r="D4" s="338" t="s">
        <v>175</v>
      </c>
      <c r="E4" s="233" t="s">
        <v>176</v>
      </c>
      <c r="F4" s="297">
        <v>5</v>
      </c>
      <c r="G4" s="479">
        <v>7</v>
      </c>
      <c r="H4" s="323">
        <f t="shared" ref="H4:H10" si="0">F4/47</f>
        <v>0.10638297872340426</v>
      </c>
      <c r="I4" s="539"/>
      <c r="J4" s="294"/>
      <c r="K4" s="226" t="s">
        <v>43</v>
      </c>
      <c r="L4" s="298" t="s">
        <v>28</v>
      </c>
      <c r="M4" s="226" t="s">
        <v>92</v>
      </c>
      <c r="N4" s="235">
        <v>1</v>
      </c>
      <c r="O4" s="236">
        <v>2</v>
      </c>
      <c r="P4" s="237">
        <v>3</v>
      </c>
      <c r="Q4" s="238">
        <v>4</v>
      </c>
      <c r="R4" s="239">
        <v>5</v>
      </c>
      <c r="S4" s="257" t="s">
        <v>29</v>
      </c>
      <c r="U4" s="300" t="s">
        <v>180</v>
      </c>
      <c r="V4" s="325" t="s">
        <v>181</v>
      </c>
      <c r="Z4" s="297">
        <v>5</v>
      </c>
      <c r="AA4" s="232">
        <v>7</v>
      </c>
    </row>
    <row r="5" spans="1:27" ht="243.75" customHeight="1">
      <c r="A5" s="534"/>
      <c r="B5" s="534"/>
      <c r="C5" s="531"/>
      <c r="D5" s="450" t="s">
        <v>230</v>
      </c>
      <c r="E5" s="233" t="s">
        <v>231</v>
      </c>
      <c r="F5" s="328">
        <v>5</v>
      </c>
      <c r="G5" s="479">
        <v>7</v>
      </c>
      <c r="H5" s="323">
        <f t="shared" si="0"/>
        <v>0.10638297872340426</v>
      </c>
      <c r="I5" s="539"/>
      <c r="J5" s="326"/>
      <c r="K5" s="226" t="s">
        <v>43</v>
      </c>
      <c r="L5" s="298" t="s">
        <v>28</v>
      </c>
      <c r="M5" s="226" t="s">
        <v>92</v>
      </c>
      <c r="N5" s="235">
        <v>1</v>
      </c>
      <c r="O5" s="236">
        <v>2</v>
      </c>
      <c r="P5" s="237">
        <v>3</v>
      </c>
      <c r="Q5" s="238">
        <v>4</v>
      </c>
      <c r="R5" s="239">
        <v>5</v>
      </c>
      <c r="S5" s="327" t="s">
        <v>29</v>
      </c>
      <c r="U5" s="300" t="s">
        <v>187</v>
      </c>
      <c r="V5" s="325"/>
      <c r="Z5" s="328">
        <v>5</v>
      </c>
      <c r="AA5" s="232">
        <v>7</v>
      </c>
    </row>
    <row r="6" spans="1:27" ht="115.2">
      <c r="A6" s="534"/>
      <c r="B6" s="534"/>
      <c r="C6" s="531"/>
      <c r="D6" s="339" t="s">
        <v>183</v>
      </c>
      <c r="E6" s="309" t="s">
        <v>185</v>
      </c>
      <c r="F6" s="234">
        <v>5</v>
      </c>
      <c r="G6" s="479">
        <v>7</v>
      </c>
      <c r="H6" s="323">
        <f t="shared" si="0"/>
        <v>0.10638297872340426</v>
      </c>
      <c r="I6" s="539"/>
      <c r="J6" s="294"/>
      <c r="K6" s="226" t="s">
        <v>72</v>
      </c>
      <c r="L6" s="298" t="s">
        <v>28</v>
      </c>
      <c r="M6" s="226" t="s">
        <v>92</v>
      </c>
      <c r="N6" s="235">
        <v>1</v>
      </c>
      <c r="O6" s="236">
        <v>2</v>
      </c>
      <c r="P6" s="237">
        <v>3</v>
      </c>
      <c r="Q6" s="238">
        <v>4</v>
      </c>
      <c r="R6" s="239">
        <v>5</v>
      </c>
      <c r="S6" s="240" t="s">
        <v>29</v>
      </c>
      <c r="U6" s="300" t="s">
        <v>182</v>
      </c>
      <c r="Z6" s="234">
        <v>5</v>
      </c>
      <c r="AA6" s="232">
        <v>7</v>
      </c>
    </row>
    <row r="7" spans="1:27" ht="165" customHeight="1">
      <c r="A7" s="534"/>
      <c r="B7" s="534"/>
      <c r="C7" s="531"/>
      <c r="D7" s="340" t="s">
        <v>20</v>
      </c>
      <c r="E7" s="293" t="s">
        <v>210</v>
      </c>
      <c r="F7" s="243">
        <v>4</v>
      </c>
      <c r="G7" s="479">
        <v>6</v>
      </c>
      <c r="H7" s="323">
        <f t="shared" si="0"/>
        <v>8.5106382978723402E-2</v>
      </c>
      <c r="I7" s="539"/>
      <c r="J7" s="294"/>
      <c r="K7" s="243" t="s">
        <v>15</v>
      </c>
      <c r="L7" s="226" t="s">
        <v>28</v>
      </c>
      <c r="M7" s="226" t="s">
        <v>92</v>
      </c>
      <c r="N7" s="235">
        <v>1</v>
      </c>
      <c r="O7" s="236">
        <v>2</v>
      </c>
      <c r="P7" s="237">
        <v>3</v>
      </c>
      <c r="Q7" s="238">
        <v>4</v>
      </c>
      <c r="R7" s="239">
        <v>5</v>
      </c>
      <c r="S7" s="243" t="s">
        <v>29</v>
      </c>
      <c r="V7" s="293" t="s">
        <v>169</v>
      </c>
      <c r="Z7" s="243">
        <v>4</v>
      </c>
      <c r="AA7" s="232">
        <v>6</v>
      </c>
    </row>
    <row r="8" spans="1:27" ht="105.75" customHeight="1">
      <c r="A8" s="534"/>
      <c r="B8" s="534"/>
      <c r="C8" s="531"/>
      <c r="D8" s="244" t="s">
        <v>159</v>
      </c>
      <c r="E8" s="242" t="s">
        <v>167</v>
      </c>
      <c r="F8" s="243">
        <v>4</v>
      </c>
      <c r="G8" s="479">
        <v>6</v>
      </c>
      <c r="H8" s="323">
        <f t="shared" si="0"/>
        <v>8.5106382978723402E-2</v>
      </c>
      <c r="I8" s="539"/>
      <c r="J8" s="294"/>
      <c r="K8" s="243" t="s">
        <v>15</v>
      </c>
      <c r="L8" s="226" t="s">
        <v>28</v>
      </c>
      <c r="M8" s="226" t="s">
        <v>163</v>
      </c>
      <c r="N8" s="245">
        <v>12</v>
      </c>
      <c r="O8" s="246">
        <v>11</v>
      </c>
      <c r="P8" s="247">
        <v>10</v>
      </c>
      <c r="Q8" s="248">
        <v>9</v>
      </c>
      <c r="R8" s="249">
        <v>8</v>
      </c>
      <c r="S8" s="243" t="s">
        <v>33</v>
      </c>
      <c r="Z8" s="243">
        <v>4</v>
      </c>
      <c r="AA8" s="232">
        <v>6</v>
      </c>
    </row>
    <row r="9" spans="1:27" ht="105.75" customHeight="1">
      <c r="A9" s="534"/>
      <c r="B9" s="534"/>
      <c r="C9" s="531"/>
      <c r="D9" s="244" t="s">
        <v>160</v>
      </c>
      <c r="E9" s="242" t="s">
        <v>161</v>
      </c>
      <c r="F9" s="250">
        <v>5</v>
      </c>
      <c r="G9" s="479">
        <v>7</v>
      </c>
      <c r="H9" s="323">
        <f t="shared" si="0"/>
        <v>0.10638297872340426</v>
      </c>
      <c r="I9" s="539"/>
      <c r="J9" s="294"/>
      <c r="K9" s="319" t="s">
        <v>17</v>
      </c>
      <c r="L9" s="251" t="s">
        <v>28</v>
      </c>
      <c r="M9" s="226" t="s">
        <v>163</v>
      </c>
      <c r="N9" s="252">
        <v>24</v>
      </c>
      <c r="O9" s="253">
        <v>23</v>
      </c>
      <c r="P9" s="254">
        <v>22</v>
      </c>
      <c r="Q9" s="255">
        <v>21</v>
      </c>
      <c r="R9" s="256">
        <v>20</v>
      </c>
      <c r="S9" s="250" t="s">
        <v>33</v>
      </c>
      <c r="Z9" s="250">
        <v>5</v>
      </c>
      <c r="AA9" s="232">
        <v>7</v>
      </c>
    </row>
    <row r="10" spans="1:27" ht="86.4">
      <c r="A10" s="534"/>
      <c r="B10" s="534"/>
      <c r="C10" s="532"/>
      <c r="D10" s="244" t="s">
        <v>40</v>
      </c>
      <c r="E10" s="242" t="s">
        <v>168</v>
      </c>
      <c r="F10" s="243">
        <v>4</v>
      </c>
      <c r="G10" s="479">
        <v>6</v>
      </c>
      <c r="H10" s="323">
        <f t="shared" si="0"/>
        <v>8.5106382978723402E-2</v>
      </c>
      <c r="I10" s="540"/>
      <c r="J10" s="295"/>
      <c r="K10" s="243" t="s">
        <v>17</v>
      </c>
      <c r="L10" s="226" t="s">
        <v>28</v>
      </c>
      <c r="M10" s="226" t="s">
        <v>163</v>
      </c>
      <c r="N10" s="245">
        <v>12</v>
      </c>
      <c r="O10" s="246">
        <v>11</v>
      </c>
      <c r="P10" s="247">
        <v>10</v>
      </c>
      <c r="Q10" s="248">
        <v>9</v>
      </c>
      <c r="R10" s="249">
        <v>8</v>
      </c>
      <c r="S10" s="243" t="s">
        <v>33</v>
      </c>
      <c r="Z10" s="243">
        <v>4</v>
      </c>
      <c r="AA10" s="232">
        <v>6</v>
      </c>
    </row>
    <row r="11" spans="1:27" ht="100.8">
      <c r="A11" s="534"/>
      <c r="B11" s="534"/>
      <c r="C11" s="526" t="s">
        <v>149</v>
      </c>
      <c r="D11" s="241" t="s">
        <v>32</v>
      </c>
      <c r="E11" s="258" t="s">
        <v>48</v>
      </c>
      <c r="F11" s="527">
        <v>5</v>
      </c>
      <c r="G11" s="537">
        <v>7</v>
      </c>
      <c r="H11" s="324">
        <f>5/4</f>
        <v>1.25</v>
      </c>
      <c r="I11" s="320">
        <v>0.2</v>
      </c>
      <c r="J11" s="316">
        <f>I11*5</f>
        <v>1</v>
      </c>
      <c r="K11" s="243" t="s">
        <v>15</v>
      </c>
      <c r="L11" s="226" t="s">
        <v>28</v>
      </c>
      <c r="M11" s="226" t="s">
        <v>162</v>
      </c>
      <c r="N11" s="245">
        <v>0</v>
      </c>
      <c r="O11" s="259">
        <v>1</v>
      </c>
      <c r="P11" s="260">
        <v>2</v>
      </c>
      <c r="Q11" s="261">
        <v>3</v>
      </c>
      <c r="R11" s="262">
        <v>4</v>
      </c>
      <c r="S11" s="243" t="s">
        <v>33</v>
      </c>
      <c r="Z11" s="527">
        <v>5</v>
      </c>
      <c r="AA11" s="536">
        <v>7</v>
      </c>
    </row>
    <row r="12" spans="1:27" ht="154.94999999999999" customHeight="1">
      <c r="A12" s="534"/>
      <c r="B12" s="534"/>
      <c r="C12" s="526"/>
      <c r="D12" s="241" t="s">
        <v>34</v>
      </c>
      <c r="E12" s="258" t="s">
        <v>49</v>
      </c>
      <c r="F12" s="528"/>
      <c r="G12" s="537"/>
      <c r="H12" s="324">
        <f t="shared" ref="H12:H14" si="1">5/4</f>
        <v>1.25</v>
      </c>
      <c r="I12" s="320">
        <v>0.3</v>
      </c>
      <c r="J12" s="316">
        <f>I12*5</f>
        <v>1.5</v>
      </c>
      <c r="K12" s="243" t="s">
        <v>15</v>
      </c>
      <c r="L12" s="226" t="s">
        <v>28</v>
      </c>
      <c r="M12" s="226" t="s">
        <v>162</v>
      </c>
      <c r="N12" s="245">
        <v>1</v>
      </c>
      <c r="O12" s="259">
        <v>2</v>
      </c>
      <c r="P12" s="260">
        <v>3</v>
      </c>
      <c r="Q12" s="261">
        <v>4</v>
      </c>
      <c r="R12" s="262">
        <v>5</v>
      </c>
      <c r="S12" s="243" t="s">
        <v>33</v>
      </c>
      <c r="Z12" s="528"/>
      <c r="AA12" s="536"/>
    </row>
    <row r="13" spans="1:27" ht="153.6" customHeight="1">
      <c r="A13" s="534"/>
      <c r="B13" s="534"/>
      <c r="C13" s="526"/>
      <c r="D13" s="436" t="s">
        <v>35</v>
      </c>
      <c r="E13" s="437" t="s">
        <v>208</v>
      </c>
      <c r="F13" s="528"/>
      <c r="G13" s="537"/>
      <c r="H13" s="324">
        <f t="shared" si="1"/>
        <v>1.25</v>
      </c>
      <c r="I13" s="320">
        <v>0.3</v>
      </c>
      <c r="J13" s="316">
        <f>I13*5</f>
        <v>1.5</v>
      </c>
      <c r="K13" s="243" t="s">
        <v>15</v>
      </c>
      <c r="L13" s="226" t="s">
        <v>28</v>
      </c>
      <c r="M13" s="226" t="s">
        <v>162</v>
      </c>
      <c r="N13" s="245">
        <v>1</v>
      </c>
      <c r="O13" s="259">
        <v>2</v>
      </c>
      <c r="P13" s="260">
        <v>3</v>
      </c>
      <c r="Q13" s="261">
        <v>4</v>
      </c>
      <c r="R13" s="262">
        <v>5</v>
      </c>
      <c r="S13" s="243" t="s">
        <v>33</v>
      </c>
      <c r="Z13" s="528"/>
      <c r="AA13" s="536"/>
    </row>
    <row r="14" spans="1:27" ht="100.8">
      <c r="A14" s="534"/>
      <c r="B14" s="534"/>
      <c r="C14" s="526"/>
      <c r="D14" s="438" t="s">
        <v>41</v>
      </c>
      <c r="E14" s="437" t="s">
        <v>209</v>
      </c>
      <c r="F14" s="529"/>
      <c r="G14" s="537"/>
      <c r="H14" s="324">
        <f t="shared" si="1"/>
        <v>1.25</v>
      </c>
      <c r="I14" s="320">
        <v>0.2</v>
      </c>
      <c r="J14" s="316">
        <f>I14*5</f>
        <v>1</v>
      </c>
      <c r="K14" s="243" t="s">
        <v>15</v>
      </c>
      <c r="L14" s="226" t="s">
        <v>28</v>
      </c>
      <c r="M14" s="226" t="s">
        <v>162</v>
      </c>
      <c r="N14" s="245">
        <v>0</v>
      </c>
      <c r="O14" s="259">
        <v>1</v>
      </c>
      <c r="P14" s="260">
        <v>2</v>
      </c>
      <c r="Q14" s="261">
        <v>3</v>
      </c>
      <c r="R14" s="262">
        <v>4</v>
      </c>
      <c r="S14" s="243" t="s">
        <v>33</v>
      </c>
      <c r="Z14" s="529"/>
      <c r="AA14" s="536"/>
    </row>
    <row r="15" spans="1:27" ht="115.2">
      <c r="A15" s="534"/>
      <c r="B15" s="534"/>
      <c r="C15" s="263"/>
      <c r="D15" s="264" t="s">
        <v>151</v>
      </c>
      <c r="E15" s="265" t="s">
        <v>152</v>
      </c>
      <c r="F15" s="266">
        <v>7</v>
      </c>
      <c r="G15" s="479">
        <f t="shared" ref="G15" si="2">(F15/70)*100</f>
        <v>10</v>
      </c>
      <c r="H15" s="323">
        <f>F15/47</f>
        <v>0.14893617021276595</v>
      </c>
      <c r="I15" s="267"/>
      <c r="J15" s="317"/>
      <c r="K15" s="250" t="s">
        <v>15</v>
      </c>
      <c r="L15" s="251" t="s">
        <v>28</v>
      </c>
      <c r="M15" s="251" t="s">
        <v>92</v>
      </c>
      <c r="N15" s="252">
        <v>1</v>
      </c>
      <c r="O15" s="268">
        <v>2</v>
      </c>
      <c r="P15" s="269">
        <v>3</v>
      </c>
      <c r="Q15" s="270">
        <v>4</v>
      </c>
      <c r="R15" s="271">
        <v>5</v>
      </c>
      <c r="S15" s="250" t="s">
        <v>33</v>
      </c>
      <c r="Z15" s="449">
        <v>7</v>
      </c>
      <c r="AA15" s="232">
        <f t="shared" ref="AA15" si="3">(Z15/70)*100</f>
        <v>10</v>
      </c>
    </row>
    <row r="16" spans="1:27" ht="100.8">
      <c r="A16" s="534"/>
      <c r="B16" s="534"/>
      <c r="C16" s="272"/>
      <c r="D16" s="241" t="s">
        <v>123</v>
      </c>
      <c r="E16" s="242" t="s">
        <v>170</v>
      </c>
      <c r="F16" s="266">
        <v>4</v>
      </c>
      <c r="G16" s="479">
        <v>6</v>
      </c>
      <c r="H16" s="323">
        <f>F16/47</f>
        <v>8.5106382978723402E-2</v>
      </c>
      <c r="I16" s="273"/>
      <c r="J16" s="317"/>
      <c r="K16" s="243" t="s">
        <v>15</v>
      </c>
      <c r="L16" s="226" t="s">
        <v>28</v>
      </c>
      <c r="M16" s="226" t="s">
        <v>163</v>
      </c>
      <c r="N16" s="245">
        <v>9</v>
      </c>
      <c r="O16" s="259">
        <v>8</v>
      </c>
      <c r="P16" s="260">
        <v>7</v>
      </c>
      <c r="Q16" s="261">
        <v>6</v>
      </c>
      <c r="R16" s="262">
        <v>5</v>
      </c>
      <c r="S16" s="243" t="s">
        <v>33</v>
      </c>
      <c r="Z16" s="449">
        <v>4</v>
      </c>
      <c r="AA16" s="232">
        <v>6</v>
      </c>
    </row>
    <row r="17" spans="1:27" ht="116.25" customHeight="1">
      <c r="A17" s="534"/>
      <c r="B17" s="534"/>
      <c r="C17" s="272"/>
      <c r="D17" s="341" t="s">
        <v>121</v>
      </c>
      <c r="E17" s="258" t="s">
        <v>190</v>
      </c>
      <c r="F17" s="266">
        <v>4</v>
      </c>
      <c r="G17" s="479">
        <v>6</v>
      </c>
      <c r="H17" s="323">
        <f>F17/47</f>
        <v>8.5106382978723402E-2</v>
      </c>
      <c r="I17" s="273"/>
      <c r="J17" s="317"/>
      <c r="K17" s="274" t="s">
        <v>13</v>
      </c>
      <c r="L17" s="226" t="s">
        <v>28</v>
      </c>
      <c r="M17" s="251" t="s">
        <v>92</v>
      </c>
      <c r="N17" s="252">
        <v>1</v>
      </c>
      <c r="O17" s="268">
        <v>2</v>
      </c>
      <c r="P17" s="269">
        <v>3</v>
      </c>
      <c r="Q17" s="270">
        <v>4</v>
      </c>
      <c r="R17" s="271">
        <v>5</v>
      </c>
      <c r="S17" s="243" t="s">
        <v>33</v>
      </c>
      <c r="V17" s="258" t="s">
        <v>171</v>
      </c>
      <c r="Z17" s="449">
        <v>4</v>
      </c>
      <c r="AA17" s="232">
        <v>6</v>
      </c>
    </row>
    <row r="18" spans="1:27" ht="163.19999999999999" customHeight="1">
      <c r="A18" s="535"/>
      <c r="B18" s="535"/>
      <c r="C18" s="275" t="s">
        <v>150</v>
      </c>
      <c r="D18" s="337" t="s">
        <v>165</v>
      </c>
      <c r="E18" s="276" t="s">
        <v>235</v>
      </c>
      <c r="F18" s="277">
        <v>15</v>
      </c>
      <c r="G18" s="479">
        <v>20</v>
      </c>
      <c r="H18" s="316"/>
      <c r="I18" s="273"/>
      <c r="J18" s="317"/>
      <c r="K18" s="274" t="s">
        <v>13</v>
      </c>
      <c r="L18" s="226" t="s">
        <v>28</v>
      </c>
      <c r="M18" s="226" t="s">
        <v>92</v>
      </c>
      <c r="N18" s="252">
        <v>1</v>
      </c>
      <c r="O18" s="268">
        <v>2</v>
      </c>
      <c r="P18" s="269">
        <v>3</v>
      </c>
      <c r="Q18" s="270">
        <v>4</v>
      </c>
      <c r="R18" s="271">
        <v>5</v>
      </c>
      <c r="S18" s="243" t="s">
        <v>33</v>
      </c>
      <c r="Z18" s="277">
        <v>15</v>
      </c>
      <c r="AA18" s="232">
        <v>20</v>
      </c>
    </row>
    <row r="19" spans="1:27">
      <c r="A19" s="278"/>
      <c r="B19" s="525" t="s">
        <v>19</v>
      </c>
      <c r="C19" s="525"/>
      <c r="D19" s="279">
        <f>COUNTA(D3:D17)</f>
        <v>15</v>
      </c>
      <c r="E19" s="280"/>
      <c r="F19" s="281">
        <f>SUM(F3:F17,F18:F18)</f>
        <v>70</v>
      </c>
      <c r="G19" s="281">
        <f>SUM(G3:G17,G18:G18)</f>
        <v>100</v>
      </c>
      <c r="H19" s="322"/>
      <c r="I19" s="282"/>
      <c r="J19" s="318"/>
      <c r="K19" s="282"/>
      <c r="L19" s="282"/>
      <c r="M19" s="278"/>
      <c r="N19" s="278"/>
      <c r="O19" s="278"/>
      <c r="P19" s="278"/>
      <c r="Q19" s="278"/>
      <c r="R19" s="278"/>
      <c r="S19" s="278"/>
      <c r="Z19" s="281">
        <f>SUM(Z3:Z17,Z18:Z18)</f>
        <v>70</v>
      </c>
    </row>
    <row r="21" spans="1:27" ht="22.5" customHeight="1">
      <c r="D21" s="232"/>
      <c r="F21" s="232"/>
      <c r="G21" s="232"/>
      <c r="H21" s="232"/>
    </row>
    <row r="22" spans="1:27" ht="22.5" customHeight="1">
      <c r="D22" s="232"/>
      <c r="F22" s="232"/>
      <c r="G22" s="232"/>
      <c r="H22" s="232"/>
    </row>
    <row r="23" spans="1:27" ht="22.5" customHeight="1">
      <c r="D23" s="232"/>
      <c r="F23" s="232"/>
      <c r="G23" s="232"/>
      <c r="H23" s="232"/>
    </row>
  </sheetData>
  <mergeCells count="10">
    <mergeCell ref="Z11:Z14"/>
    <mergeCell ref="AA11:AA14"/>
    <mergeCell ref="G11:G14"/>
    <mergeCell ref="A4:A18"/>
    <mergeCell ref="I3:I10"/>
    <mergeCell ref="B19:C19"/>
    <mergeCell ref="C11:C14"/>
    <mergeCell ref="F11:F14"/>
    <mergeCell ref="C3:C10"/>
    <mergeCell ref="B4:B1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FFFF00"/>
  </sheetPr>
  <dimension ref="A1:R15"/>
  <sheetViews>
    <sheetView topLeftCell="B3" zoomScale="85" zoomScaleNormal="85" workbookViewId="0">
      <selection activeCell="D3" sqref="D3"/>
    </sheetView>
  </sheetViews>
  <sheetFormatPr defaultRowHeight="14.4"/>
  <cols>
    <col min="1" max="1" width="13" style="1" bestFit="1" customWidth="1"/>
    <col min="2" max="2" width="19.6640625" style="1" customWidth="1"/>
    <col min="3" max="3" width="20.33203125" style="40" customWidth="1"/>
    <col min="4" max="4" width="56.33203125" style="1" customWidth="1"/>
    <col min="5" max="5" width="11.6640625" style="1" bestFit="1" customWidth="1"/>
    <col min="6" max="6" width="11.88671875" style="1" bestFit="1" customWidth="1"/>
    <col min="7" max="7" width="11.88671875" style="1" customWidth="1"/>
    <col min="8" max="8" width="12.109375" style="1" customWidth="1"/>
    <col min="9" max="9" width="13.88671875" style="1" customWidth="1"/>
    <col min="10" max="10" width="11.33203125" style="1" customWidth="1"/>
    <col min="11" max="12" width="7.5546875" style="1" bestFit="1" customWidth="1"/>
    <col min="13" max="15" width="8.88671875" style="1" bestFit="1" customWidth="1"/>
    <col min="16" max="16" width="15.5546875" style="1" customWidth="1"/>
    <col min="17" max="17" width="9.109375" style="1"/>
    <col min="18" max="18" width="16.44140625" style="1" customWidth="1"/>
    <col min="19" max="256" width="9.109375" style="1"/>
    <col min="257" max="257" width="11.6640625" style="1" customWidth="1"/>
    <col min="258" max="258" width="19.6640625" style="1" customWidth="1"/>
    <col min="259" max="259" width="23.44140625" style="1" customWidth="1"/>
    <col min="260" max="260" width="56.33203125" style="1" customWidth="1"/>
    <col min="261" max="261" width="10.88671875" style="1" customWidth="1"/>
    <col min="262" max="262" width="6" style="1" customWidth="1"/>
    <col min="263" max="265" width="6.5546875" style="1" customWidth="1"/>
    <col min="266" max="266" width="10.109375" style="1" customWidth="1"/>
    <col min="267" max="267" width="11.109375" style="1" customWidth="1"/>
    <col min="268" max="268" width="17.33203125" style="1" customWidth="1"/>
    <col min="269" max="512" width="9.109375" style="1"/>
    <col min="513" max="513" width="11.6640625" style="1" customWidth="1"/>
    <col min="514" max="514" width="19.6640625" style="1" customWidth="1"/>
    <col min="515" max="515" width="23.44140625" style="1" customWidth="1"/>
    <col min="516" max="516" width="56.33203125" style="1" customWidth="1"/>
    <col min="517" max="517" width="10.88671875" style="1" customWidth="1"/>
    <col min="518" max="518" width="6" style="1" customWidth="1"/>
    <col min="519" max="521" width="6.5546875" style="1" customWidth="1"/>
    <col min="522" max="522" width="10.109375" style="1" customWidth="1"/>
    <col min="523" max="523" width="11.109375" style="1" customWidth="1"/>
    <col min="524" max="524" width="17.33203125" style="1" customWidth="1"/>
    <col min="525" max="768" width="9.109375" style="1"/>
    <col min="769" max="769" width="11.6640625" style="1" customWidth="1"/>
    <col min="770" max="770" width="19.6640625" style="1" customWidth="1"/>
    <col min="771" max="771" width="23.44140625" style="1" customWidth="1"/>
    <col min="772" max="772" width="56.33203125" style="1" customWidth="1"/>
    <col min="773" max="773" width="10.88671875" style="1" customWidth="1"/>
    <col min="774" max="774" width="6" style="1" customWidth="1"/>
    <col min="775" max="777" width="6.5546875" style="1" customWidth="1"/>
    <col min="778" max="778" width="10.109375" style="1" customWidth="1"/>
    <col min="779" max="779" width="11.109375" style="1" customWidth="1"/>
    <col min="780" max="780" width="17.33203125" style="1" customWidth="1"/>
    <col min="781" max="1024" width="9.109375" style="1"/>
    <col min="1025" max="1025" width="11.6640625" style="1" customWidth="1"/>
    <col min="1026" max="1026" width="19.6640625" style="1" customWidth="1"/>
    <col min="1027" max="1027" width="23.44140625" style="1" customWidth="1"/>
    <col min="1028" max="1028" width="56.33203125" style="1" customWidth="1"/>
    <col min="1029" max="1029" width="10.88671875" style="1" customWidth="1"/>
    <col min="1030" max="1030" width="6" style="1" customWidth="1"/>
    <col min="1031" max="1033" width="6.5546875" style="1" customWidth="1"/>
    <col min="1034" max="1034" width="10.109375" style="1" customWidth="1"/>
    <col min="1035" max="1035" width="11.109375" style="1" customWidth="1"/>
    <col min="1036" max="1036" width="17.33203125" style="1" customWidth="1"/>
    <col min="1037" max="1280" width="9.109375" style="1"/>
    <col min="1281" max="1281" width="11.6640625" style="1" customWidth="1"/>
    <col min="1282" max="1282" width="19.6640625" style="1" customWidth="1"/>
    <col min="1283" max="1283" width="23.44140625" style="1" customWidth="1"/>
    <col min="1284" max="1284" width="56.33203125" style="1" customWidth="1"/>
    <col min="1285" max="1285" width="10.88671875" style="1" customWidth="1"/>
    <col min="1286" max="1286" width="6" style="1" customWidth="1"/>
    <col min="1287" max="1289" width="6.5546875" style="1" customWidth="1"/>
    <col min="1290" max="1290" width="10.109375" style="1" customWidth="1"/>
    <col min="1291" max="1291" width="11.109375" style="1" customWidth="1"/>
    <col min="1292" max="1292" width="17.33203125" style="1" customWidth="1"/>
    <col min="1293" max="1536" width="9.109375" style="1"/>
    <col min="1537" max="1537" width="11.6640625" style="1" customWidth="1"/>
    <col min="1538" max="1538" width="19.6640625" style="1" customWidth="1"/>
    <col min="1539" max="1539" width="23.44140625" style="1" customWidth="1"/>
    <col min="1540" max="1540" width="56.33203125" style="1" customWidth="1"/>
    <col min="1541" max="1541" width="10.88671875" style="1" customWidth="1"/>
    <col min="1542" max="1542" width="6" style="1" customWidth="1"/>
    <col min="1543" max="1545" width="6.5546875" style="1" customWidth="1"/>
    <col min="1546" max="1546" width="10.109375" style="1" customWidth="1"/>
    <col min="1547" max="1547" width="11.109375" style="1" customWidth="1"/>
    <col min="1548" max="1548" width="17.33203125" style="1" customWidth="1"/>
    <col min="1549" max="1792" width="9.109375" style="1"/>
    <col min="1793" max="1793" width="11.6640625" style="1" customWidth="1"/>
    <col min="1794" max="1794" width="19.6640625" style="1" customWidth="1"/>
    <col min="1795" max="1795" width="23.44140625" style="1" customWidth="1"/>
    <col min="1796" max="1796" width="56.33203125" style="1" customWidth="1"/>
    <col min="1797" max="1797" width="10.88671875" style="1" customWidth="1"/>
    <col min="1798" max="1798" width="6" style="1" customWidth="1"/>
    <col min="1799" max="1801" width="6.5546875" style="1" customWidth="1"/>
    <col min="1802" max="1802" width="10.109375" style="1" customWidth="1"/>
    <col min="1803" max="1803" width="11.109375" style="1" customWidth="1"/>
    <col min="1804" max="1804" width="17.33203125" style="1" customWidth="1"/>
    <col min="1805" max="2048" width="9.109375" style="1"/>
    <col min="2049" max="2049" width="11.6640625" style="1" customWidth="1"/>
    <col min="2050" max="2050" width="19.6640625" style="1" customWidth="1"/>
    <col min="2051" max="2051" width="23.44140625" style="1" customWidth="1"/>
    <col min="2052" max="2052" width="56.33203125" style="1" customWidth="1"/>
    <col min="2053" max="2053" width="10.88671875" style="1" customWidth="1"/>
    <col min="2054" max="2054" width="6" style="1" customWidth="1"/>
    <col min="2055" max="2057" width="6.5546875" style="1" customWidth="1"/>
    <col min="2058" max="2058" width="10.109375" style="1" customWidth="1"/>
    <col min="2059" max="2059" width="11.109375" style="1" customWidth="1"/>
    <col min="2060" max="2060" width="17.33203125" style="1" customWidth="1"/>
    <col min="2061" max="2304" width="9.109375" style="1"/>
    <col min="2305" max="2305" width="11.6640625" style="1" customWidth="1"/>
    <col min="2306" max="2306" width="19.6640625" style="1" customWidth="1"/>
    <col min="2307" max="2307" width="23.44140625" style="1" customWidth="1"/>
    <col min="2308" max="2308" width="56.33203125" style="1" customWidth="1"/>
    <col min="2309" max="2309" width="10.88671875" style="1" customWidth="1"/>
    <col min="2310" max="2310" width="6" style="1" customWidth="1"/>
    <col min="2311" max="2313" width="6.5546875" style="1" customWidth="1"/>
    <col min="2314" max="2314" width="10.109375" style="1" customWidth="1"/>
    <col min="2315" max="2315" width="11.109375" style="1" customWidth="1"/>
    <col min="2316" max="2316" width="17.33203125" style="1" customWidth="1"/>
    <col min="2317" max="2560" width="9.109375" style="1"/>
    <col min="2561" max="2561" width="11.6640625" style="1" customWidth="1"/>
    <col min="2562" max="2562" width="19.6640625" style="1" customWidth="1"/>
    <col min="2563" max="2563" width="23.44140625" style="1" customWidth="1"/>
    <col min="2564" max="2564" width="56.33203125" style="1" customWidth="1"/>
    <col min="2565" max="2565" width="10.88671875" style="1" customWidth="1"/>
    <col min="2566" max="2566" width="6" style="1" customWidth="1"/>
    <col min="2567" max="2569" width="6.5546875" style="1" customWidth="1"/>
    <col min="2570" max="2570" width="10.109375" style="1" customWidth="1"/>
    <col min="2571" max="2571" width="11.109375" style="1" customWidth="1"/>
    <col min="2572" max="2572" width="17.33203125" style="1" customWidth="1"/>
    <col min="2573" max="2816" width="9.109375" style="1"/>
    <col min="2817" max="2817" width="11.6640625" style="1" customWidth="1"/>
    <col min="2818" max="2818" width="19.6640625" style="1" customWidth="1"/>
    <col min="2819" max="2819" width="23.44140625" style="1" customWidth="1"/>
    <col min="2820" max="2820" width="56.33203125" style="1" customWidth="1"/>
    <col min="2821" max="2821" width="10.88671875" style="1" customWidth="1"/>
    <col min="2822" max="2822" width="6" style="1" customWidth="1"/>
    <col min="2823" max="2825" width="6.5546875" style="1" customWidth="1"/>
    <col min="2826" max="2826" width="10.109375" style="1" customWidth="1"/>
    <col min="2827" max="2827" width="11.109375" style="1" customWidth="1"/>
    <col min="2828" max="2828" width="17.33203125" style="1" customWidth="1"/>
    <col min="2829" max="3072" width="9.109375" style="1"/>
    <col min="3073" max="3073" width="11.6640625" style="1" customWidth="1"/>
    <col min="3074" max="3074" width="19.6640625" style="1" customWidth="1"/>
    <col min="3075" max="3075" width="23.44140625" style="1" customWidth="1"/>
    <col min="3076" max="3076" width="56.33203125" style="1" customWidth="1"/>
    <col min="3077" max="3077" width="10.88671875" style="1" customWidth="1"/>
    <col min="3078" max="3078" width="6" style="1" customWidth="1"/>
    <col min="3079" max="3081" width="6.5546875" style="1" customWidth="1"/>
    <col min="3082" max="3082" width="10.109375" style="1" customWidth="1"/>
    <col min="3083" max="3083" width="11.109375" style="1" customWidth="1"/>
    <col min="3084" max="3084" width="17.33203125" style="1" customWidth="1"/>
    <col min="3085" max="3328" width="9.109375" style="1"/>
    <col min="3329" max="3329" width="11.6640625" style="1" customWidth="1"/>
    <col min="3330" max="3330" width="19.6640625" style="1" customWidth="1"/>
    <col min="3331" max="3331" width="23.44140625" style="1" customWidth="1"/>
    <col min="3332" max="3332" width="56.33203125" style="1" customWidth="1"/>
    <col min="3333" max="3333" width="10.88671875" style="1" customWidth="1"/>
    <col min="3334" max="3334" width="6" style="1" customWidth="1"/>
    <col min="3335" max="3337" width="6.5546875" style="1" customWidth="1"/>
    <col min="3338" max="3338" width="10.109375" style="1" customWidth="1"/>
    <col min="3339" max="3339" width="11.109375" style="1" customWidth="1"/>
    <col min="3340" max="3340" width="17.33203125" style="1" customWidth="1"/>
    <col min="3341" max="3584" width="9.109375" style="1"/>
    <col min="3585" max="3585" width="11.6640625" style="1" customWidth="1"/>
    <col min="3586" max="3586" width="19.6640625" style="1" customWidth="1"/>
    <col min="3587" max="3587" width="23.44140625" style="1" customWidth="1"/>
    <col min="3588" max="3588" width="56.33203125" style="1" customWidth="1"/>
    <col min="3589" max="3589" width="10.88671875" style="1" customWidth="1"/>
    <col min="3590" max="3590" width="6" style="1" customWidth="1"/>
    <col min="3591" max="3593" width="6.5546875" style="1" customWidth="1"/>
    <col min="3594" max="3594" width="10.109375" style="1" customWidth="1"/>
    <col min="3595" max="3595" width="11.109375" style="1" customWidth="1"/>
    <col min="3596" max="3596" width="17.33203125" style="1" customWidth="1"/>
    <col min="3597" max="3840" width="9.109375" style="1"/>
    <col min="3841" max="3841" width="11.6640625" style="1" customWidth="1"/>
    <col min="3842" max="3842" width="19.6640625" style="1" customWidth="1"/>
    <col min="3843" max="3843" width="23.44140625" style="1" customWidth="1"/>
    <col min="3844" max="3844" width="56.33203125" style="1" customWidth="1"/>
    <col min="3845" max="3845" width="10.88671875" style="1" customWidth="1"/>
    <col min="3846" max="3846" width="6" style="1" customWidth="1"/>
    <col min="3847" max="3849" width="6.5546875" style="1" customWidth="1"/>
    <col min="3850" max="3850" width="10.109375" style="1" customWidth="1"/>
    <col min="3851" max="3851" width="11.109375" style="1" customWidth="1"/>
    <col min="3852" max="3852" width="17.33203125" style="1" customWidth="1"/>
    <col min="3853" max="4096" width="9.109375" style="1"/>
    <col min="4097" max="4097" width="11.6640625" style="1" customWidth="1"/>
    <col min="4098" max="4098" width="19.6640625" style="1" customWidth="1"/>
    <col min="4099" max="4099" width="23.44140625" style="1" customWidth="1"/>
    <col min="4100" max="4100" width="56.33203125" style="1" customWidth="1"/>
    <col min="4101" max="4101" width="10.88671875" style="1" customWidth="1"/>
    <col min="4102" max="4102" width="6" style="1" customWidth="1"/>
    <col min="4103" max="4105" width="6.5546875" style="1" customWidth="1"/>
    <col min="4106" max="4106" width="10.109375" style="1" customWidth="1"/>
    <col min="4107" max="4107" width="11.109375" style="1" customWidth="1"/>
    <col min="4108" max="4108" width="17.33203125" style="1" customWidth="1"/>
    <col min="4109" max="4352" width="9.109375" style="1"/>
    <col min="4353" max="4353" width="11.6640625" style="1" customWidth="1"/>
    <col min="4354" max="4354" width="19.6640625" style="1" customWidth="1"/>
    <col min="4355" max="4355" width="23.44140625" style="1" customWidth="1"/>
    <col min="4356" max="4356" width="56.33203125" style="1" customWidth="1"/>
    <col min="4357" max="4357" width="10.88671875" style="1" customWidth="1"/>
    <col min="4358" max="4358" width="6" style="1" customWidth="1"/>
    <col min="4359" max="4361" width="6.5546875" style="1" customWidth="1"/>
    <col min="4362" max="4362" width="10.109375" style="1" customWidth="1"/>
    <col min="4363" max="4363" width="11.109375" style="1" customWidth="1"/>
    <col min="4364" max="4364" width="17.33203125" style="1" customWidth="1"/>
    <col min="4365" max="4608" width="9.109375" style="1"/>
    <col min="4609" max="4609" width="11.6640625" style="1" customWidth="1"/>
    <col min="4610" max="4610" width="19.6640625" style="1" customWidth="1"/>
    <col min="4611" max="4611" width="23.44140625" style="1" customWidth="1"/>
    <col min="4612" max="4612" width="56.33203125" style="1" customWidth="1"/>
    <col min="4613" max="4613" width="10.88671875" style="1" customWidth="1"/>
    <col min="4614" max="4614" width="6" style="1" customWidth="1"/>
    <col min="4615" max="4617" width="6.5546875" style="1" customWidth="1"/>
    <col min="4618" max="4618" width="10.109375" style="1" customWidth="1"/>
    <col min="4619" max="4619" width="11.109375" style="1" customWidth="1"/>
    <col min="4620" max="4620" width="17.33203125" style="1" customWidth="1"/>
    <col min="4621" max="4864" width="9.109375" style="1"/>
    <col min="4865" max="4865" width="11.6640625" style="1" customWidth="1"/>
    <col min="4866" max="4866" width="19.6640625" style="1" customWidth="1"/>
    <col min="4867" max="4867" width="23.44140625" style="1" customWidth="1"/>
    <col min="4868" max="4868" width="56.33203125" style="1" customWidth="1"/>
    <col min="4869" max="4869" width="10.88671875" style="1" customWidth="1"/>
    <col min="4870" max="4870" width="6" style="1" customWidth="1"/>
    <col min="4871" max="4873" width="6.5546875" style="1" customWidth="1"/>
    <col min="4874" max="4874" width="10.109375" style="1" customWidth="1"/>
    <col min="4875" max="4875" width="11.109375" style="1" customWidth="1"/>
    <col min="4876" max="4876" width="17.33203125" style="1" customWidth="1"/>
    <col min="4877" max="5120" width="9.109375" style="1"/>
    <col min="5121" max="5121" width="11.6640625" style="1" customWidth="1"/>
    <col min="5122" max="5122" width="19.6640625" style="1" customWidth="1"/>
    <col min="5123" max="5123" width="23.44140625" style="1" customWidth="1"/>
    <col min="5124" max="5124" width="56.33203125" style="1" customWidth="1"/>
    <col min="5125" max="5125" width="10.88671875" style="1" customWidth="1"/>
    <col min="5126" max="5126" width="6" style="1" customWidth="1"/>
    <col min="5127" max="5129" width="6.5546875" style="1" customWidth="1"/>
    <col min="5130" max="5130" width="10.109375" style="1" customWidth="1"/>
    <col min="5131" max="5131" width="11.109375" style="1" customWidth="1"/>
    <col min="5132" max="5132" width="17.33203125" style="1" customWidth="1"/>
    <col min="5133" max="5376" width="9.109375" style="1"/>
    <col min="5377" max="5377" width="11.6640625" style="1" customWidth="1"/>
    <col min="5378" max="5378" width="19.6640625" style="1" customWidth="1"/>
    <col min="5379" max="5379" width="23.44140625" style="1" customWidth="1"/>
    <col min="5380" max="5380" width="56.33203125" style="1" customWidth="1"/>
    <col min="5381" max="5381" width="10.88671875" style="1" customWidth="1"/>
    <col min="5382" max="5382" width="6" style="1" customWidth="1"/>
    <col min="5383" max="5385" width="6.5546875" style="1" customWidth="1"/>
    <col min="5386" max="5386" width="10.109375" style="1" customWidth="1"/>
    <col min="5387" max="5387" width="11.109375" style="1" customWidth="1"/>
    <col min="5388" max="5388" width="17.33203125" style="1" customWidth="1"/>
    <col min="5389" max="5632" width="9.109375" style="1"/>
    <col min="5633" max="5633" width="11.6640625" style="1" customWidth="1"/>
    <col min="5634" max="5634" width="19.6640625" style="1" customWidth="1"/>
    <col min="5635" max="5635" width="23.44140625" style="1" customWidth="1"/>
    <col min="5636" max="5636" width="56.33203125" style="1" customWidth="1"/>
    <col min="5637" max="5637" width="10.88671875" style="1" customWidth="1"/>
    <col min="5638" max="5638" width="6" style="1" customWidth="1"/>
    <col min="5639" max="5641" width="6.5546875" style="1" customWidth="1"/>
    <col min="5642" max="5642" width="10.109375" style="1" customWidth="1"/>
    <col min="5643" max="5643" width="11.109375" style="1" customWidth="1"/>
    <col min="5644" max="5644" width="17.33203125" style="1" customWidth="1"/>
    <col min="5645" max="5888" width="9.109375" style="1"/>
    <col min="5889" max="5889" width="11.6640625" style="1" customWidth="1"/>
    <col min="5890" max="5890" width="19.6640625" style="1" customWidth="1"/>
    <col min="5891" max="5891" width="23.44140625" style="1" customWidth="1"/>
    <col min="5892" max="5892" width="56.33203125" style="1" customWidth="1"/>
    <col min="5893" max="5893" width="10.88671875" style="1" customWidth="1"/>
    <col min="5894" max="5894" width="6" style="1" customWidth="1"/>
    <col min="5895" max="5897" width="6.5546875" style="1" customWidth="1"/>
    <col min="5898" max="5898" width="10.109375" style="1" customWidth="1"/>
    <col min="5899" max="5899" width="11.109375" style="1" customWidth="1"/>
    <col min="5900" max="5900" width="17.33203125" style="1" customWidth="1"/>
    <col min="5901" max="6144" width="9.109375" style="1"/>
    <col min="6145" max="6145" width="11.6640625" style="1" customWidth="1"/>
    <col min="6146" max="6146" width="19.6640625" style="1" customWidth="1"/>
    <col min="6147" max="6147" width="23.44140625" style="1" customWidth="1"/>
    <col min="6148" max="6148" width="56.33203125" style="1" customWidth="1"/>
    <col min="6149" max="6149" width="10.88671875" style="1" customWidth="1"/>
    <col min="6150" max="6150" width="6" style="1" customWidth="1"/>
    <col min="6151" max="6153" width="6.5546875" style="1" customWidth="1"/>
    <col min="6154" max="6154" width="10.109375" style="1" customWidth="1"/>
    <col min="6155" max="6155" width="11.109375" style="1" customWidth="1"/>
    <col min="6156" max="6156" width="17.33203125" style="1" customWidth="1"/>
    <col min="6157" max="6400" width="9.109375" style="1"/>
    <col min="6401" max="6401" width="11.6640625" style="1" customWidth="1"/>
    <col min="6402" max="6402" width="19.6640625" style="1" customWidth="1"/>
    <col min="6403" max="6403" width="23.44140625" style="1" customWidth="1"/>
    <col min="6404" max="6404" width="56.33203125" style="1" customWidth="1"/>
    <col min="6405" max="6405" width="10.88671875" style="1" customWidth="1"/>
    <col min="6406" max="6406" width="6" style="1" customWidth="1"/>
    <col min="6407" max="6409" width="6.5546875" style="1" customWidth="1"/>
    <col min="6410" max="6410" width="10.109375" style="1" customWidth="1"/>
    <col min="6411" max="6411" width="11.109375" style="1" customWidth="1"/>
    <col min="6412" max="6412" width="17.33203125" style="1" customWidth="1"/>
    <col min="6413" max="6656" width="9.109375" style="1"/>
    <col min="6657" max="6657" width="11.6640625" style="1" customWidth="1"/>
    <col min="6658" max="6658" width="19.6640625" style="1" customWidth="1"/>
    <col min="6659" max="6659" width="23.44140625" style="1" customWidth="1"/>
    <col min="6660" max="6660" width="56.33203125" style="1" customWidth="1"/>
    <col min="6661" max="6661" width="10.88671875" style="1" customWidth="1"/>
    <col min="6662" max="6662" width="6" style="1" customWidth="1"/>
    <col min="6663" max="6665" width="6.5546875" style="1" customWidth="1"/>
    <col min="6666" max="6666" width="10.109375" style="1" customWidth="1"/>
    <col min="6667" max="6667" width="11.109375" style="1" customWidth="1"/>
    <col min="6668" max="6668" width="17.33203125" style="1" customWidth="1"/>
    <col min="6669" max="6912" width="9.109375" style="1"/>
    <col min="6913" max="6913" width="11.6640625" style="1" customWidth="1"/>
    <col min="6914" max="6914" width="19.6640625" style="1" customWidth="1"/>
    <col min="6915" max="6915" width="23.44140625" style="1" customWidth="1"/>
    <col min="6916" max="6916" width="56.33203125" style="1" customWidth="1"/>
    <col min="6917" max="6917" width="10.88671875" style="1" customWidth="1"/>
    <col min="6918" max="6918" width="6" style="1" customWidth="1"/>
    <col min="6919" max="6921" width="6.5546875" style="1" customWidth="1"/>
    <col min="6922" max="6922" width="10.109375" style="1" customWidth="1"/>
    <col min="6923" max="6923" width="11.109375" style="1" customWidth="1"/>
    <col min="6924" max="6924" width="17.33203125" style="1" customWidth="1"/>
    <col min="6925" max="7168" width="9.109375" style="1"/>
    <col min="7169" max="7169" width="11.6640625" style="1" customWidth="1"/>
    <col min="7170" max="7170" width="19.6640625" style="1" customWidth="1"/>
    <col min="7171" max="7171" width="23.44140625" style="1" customWidth="1"/>
    <col min="7172" max="7172" width="56.33203125" style="1" customWidth="1"/>
    <col min="7173" max="7173" width="10.88671875" style="1" customWidth="1"/>
    <col min="7174" max="7174" width="6" style="1" customWidth="1"/>
    <col min="7175" max="7177" width="6.5546875" style="1" customWidth="1"/>
    <col min="7178" max="7178" width="10.109375" style="1" customWidth="1"/>
    <col min="7179" max="7179" width="11.109375" style="1" customWidth="1"/>
    <col min="7180" max="7180" width="17.33203125" style="1" customWidth="1"/>
    <col min="7181" max="7424" width="9.109375" style="1"/>
    <col min="7425" max="7425" width="11.6640625" style="1" customWidth="1"/>
    <col min="7426" max="7426" width="19.6640625" style="1" customWidth="1"/>
    <col min="7427" max="7427" width="23.44140625" style="1" customWidth="1"/>
    <col min="7428" max="7428" width="56.33203125" style="1" customWidth="1"/>
    <col min="7429" max="7429" width="10.88671875" style="1" customWidth="1"/>
    <col min="7430" max="7430" width="6" style="1" customWidth="1"/>
    <col min="7431" max="7433" width="6.5546875" style="1" customWidth="1"/>
    <col min="7434" max="7434" width="10.109375" style="1" customWidth="1"/>
    <col min="7435" max="7435" width="11.109375" style="1" customWidth="1"/>
    <col min="7436" max="7436" width="17.33203125" style="1" customWidth="1"/>
    <col min="7437" max="7680" width="9.109375" style="1"/>
    <col min="7681" max="7681" width="11.6640625" style="1" customWidth="1"/>
    <col min="7682" max="7682" width="19.6640625" style="1" customWidth="1"/>
    <col min="7683" max="7683" width="23.44140625" style="1" customWidth="1"/>
    <col min="7684" max="7684" width="56.33203125" style="1" customWidth="1"/>
    <col min="7685" max="7685" width="10.88671875" style="1" customWidth="1"/>
    <col min="7686" max="7686" width="6" style="1" customWidth="1"/>
    <col min="7687" max="7689" width="6.5546875" style="1" customWidth="1"/>
    <col min="7690" max="7690" width="10.109375" style="1" customWidth="1"/>
    <col min="7691" max="7691" width="11.109375" style="1" customWidth="1"/>
    <col min="7692" max="7692" width="17.33203125" style="1" customWidth="1"/>
    <col min="7693" max="7936" width="9.109375" style="1"/>
    <col min="7937" max="7937" width="11.6640625" style="1" customWidth="1"/>
    <col min="7938" max="7938" width="19.6640625" style="1" customWidth="1"/>
    <col min="7939" max="7939" width="23.44140625" style="1" customWidth="1"/>
    <col min="7940" max="7940" width="56.33203125" style="1" customWidth="1"/>
    <col min="7941" max="7941" width="10.88671875" style="1" customWidth="1"/>
    <col min="7942" max="7942" width="6" style="1" customWidth="1"/>
    <col min="7943" max="7945" width="6.5546875" style="1" customWidth="1"/>
    <col min="7946" max="7946" width="10.109375" style="1" customWidth="1"/>
    <col min="7947" max="7947" width="11.109375" style="1" customWidth="1"/>
    <col min="7948" max="7948" width="17.33203125" style="1" customWidth="1"/>
    <col min="7949" max="8192" width="9.109375" style="1"/>
    <col min="8193" max="8193" width="11.6640625" style="1" customWidth="1"/>
    <col min="8194" max="8194" width="19.6640625" style="1" customWidth="1"/>
    <col min="8195" max="8195" width="23.44140625" style="1" customWidth="1"/>
    <col min="8196" max="8196" width="56.33203125" style="1" customWidth="1"/>
    <col min="8197" max="8197" width="10.88671875" style="1" customWidth="1"/>
    <col min="8198" max="8198" width="6" style="1" customWidth="1"/>
    <col min="8199" max="8201" width="6.5546875" style="1" customWidth="1"/>
    <col min="8202" max="8202" width="10.109375" style="1" customWidth="1"/>
    <col min="8203" max="8203" width="11.109375" style="1" customWidth="1"/>
    <col min="8204" max="8204" width="17.33203125" style="1" customWidth="1"/>
    <col min="8205" max="8448" width="9.109375" style="1"/>
    <col min="8449" max="8449" width="11.6640625" style="1" customWidth="1"/>
    <col min="8450" max="8450" width="19.6640625" style="1" customWidth="1"/>
    <col min="8451" max="8451" width="23.44140625" style="1" customWidth="1"/>
    <col min="8452" max="8452" width="56.33203125" style="1" customWidth="1"/>
    <col min="8453" max="8453" width="10.88671875" style="1" customWidth="1"/>
    <col min="8454" max="8454" width="6" style="1" customWidth="1"/>
    <col min="8455" max="8457" width="6.5546875" style="1" customWidth="1"/>
    <col min="8458" max="8458" width="10.109375" style="1" customWidth="1"/>
    <col min="8459" max="8459" width="11.109375" style="1" customWidth="1"/>
    <col min="8460" max="8460" width="17.33203125" style="1" customWidth="1"/>
    <col min="8461" max="8704" width="9.109375" style="1"/>
    <col min="8705" max="8705" width="11.6640625" style="1" customWidth="1"/>
    <col min="8706" max="8706" width="19.6640625" style="1" customWidth="1"/>
    <col min="8707" max="8707" width="23.44140625" style="1" customWidth="1"/>
    <col min="8708" max="8708" width="56.33203125" style="1" customWidth="1"/>
    <col min="8709" max="8709" width="10.88671875" style="1" customWidth="1"/>
    <col min="8710" max="8710" width="6" style="1" customWidth="1"/>
    <col min="8711" max="8713" width="6.5546875" style="1" customWidth="1"/>
    <col min="8714" max="8714" width="10.109375" style="1" customWidth="1"/>
    <col min="8715" max="8715" width="11.109375" style="1" customWidth="1"/>
    <col min="8716" max="8716" width="17.33203125" style="1" customWidth="1"/>
    <col min="8717" max="8960" width="9.109375" style="1"/>
    <col min="8961" max="8961" width="11.6640625" style="1" customWidth="1"/>
    <col min="8962" max="8962" width="19.6640625" style="1" customWidth="1"/>
    <col min="8963" max="8963" width="23.44140625" style="1" customWidth="1"/>
    <col min="8964" max="8964" width="56.33203125" style="1" customWidth="1"/>
    <col min="8965" max="8965" width="10.88671875" style="1" customWidth="1"/>
    <col min="8966" max="8966" width="6" style="1" customWidth="1"/>
    <col min="8967" max="8969" width="6.5546875" style="1" customWidth="1"/>
    <col min="8970" max="8970" width="10.109375" style="1" customWidth="1"/>
    <col min="8971" max="8971" width="11.109375" style="1" customWidth="1"/>
    <col min="8972" max="8972" width="17.33203125" style="1" customWidth="1"/>
    <col min="8973" max="9216" width="9.109375" style="1"/>
    <col min="9217" max="9217" width="11.6640625" style="1" customWidth="1"/>
    <col min="9218" max="9218" width="19.6640625" style="1" customWidth="1"/>
    <col min="9219" max="9219" width="23.44140625" style="1" customWidth="1"/>
    <col min="9220" max="9220" width="56.33203125" style="1" customWidth="1"/>
    <col min="9221" max="9221" width="10.88671875" style="1" customWidth="1"/>
    <col min="9222" max="9222" width="6" style="1" customWidth="1"/>
    <col min="9223" max="9225" width="6.5546875" style="1" customWidth="1"/>
    <col min="9226" max="9226" width="10.109375" style="1" customWidth="1"/>
    <col min="9227" max="9227" width="11.109375" style="1" customWidth="1"/>
    <col min="9228" max="9228" width="17.33203125" style="1" customWidth="1"/>
    <col min="9229" max="9472" width="9.109375" style="1"/>
    <col min="9473" max="9473" width="11.6640625" style="1" customWidth="1"/>
    <col min="9474" max="9474" width="19.6640625" style="1" customWidth="1"/>
    <col min="9475" max="9475" width="23.44140625" style="1" customWidth="1"/>
    <col min="9476" max="9476" width="56.33203125" style="1" customWidth="1"/>
    <col min="9477" max="9477" width="10.88671875" style="1" customWidth="1"/>
    <col min="9478" max="9478" width="6" style="1" customWidth="1"/>
    <col min="9479" max="9481" width="6.5546875" style="1" customWidth="1"/>
    <col min="9482" max="9482" width="10.109375" style="1" customWidth="1"/>
    <col min="9483" max="9483" width="11.109375" style="1" customWidth="1"/>
    <col min="9484" max="9484" width="17.33203125" style="1" customWidth="1"/>
    <col min="9485" max="9728" width="9.109375" style="1"/>
    <col min="9729" max="9729" width="11.6640625" style="1" customWidth="1"/>
    <col min="9730" max="9730" width="19.6640625" style="1" customWidth="1"/>
    <col min="9731" max="9731" width="23.44140625" style="1" customWidth="1"/>
    <col min="9732" max="9732" width="56.33203125" style="1" customWidth="1"/>
    <col min="9733" max="9733" width="10.88671875" style="1" customWidth="1"/>
    <col min="9734" max="9734" width="6" style="1" customWidth="1"/>
    <col min="9735" max="9737" width="6.5546875" style="1" customWidth="1"/>
    <col min="9738" max="9738" width="10.109375" style="1" customWidth="1"/>
    <col min="9739" max="9739" width="11.109375" style="1" customWidth="1"/>
    <col min="9740" max="9740" width="17.33203125" style="1" customWidth="1"/>
    <col min="9741" max="9984" width="9.109375" style="1"/>
    <col min="9985" max="9985" width="11.6640625" style="1" customWidth="1"/>
    <col min="9986" max="9986" width="19.6640625" style="1" customWidth="1"/>
    <col min="9987" max="9987" width="23.44140625" style="1" customWidth="1"/>
    <col min="9988" max="9988" width="56.33203125" style="1" customWidth="1"/>
    <col min="9989" max="9989" width="10.88671875" style="1" customWidth="1"/>
    <col min="9990" max="9990" width="6" style="1" customWidth="1"/>
    <col min="9991" max="9993" width="6.5546875" style="1" customWidth="1"/>
    <col min="9994" max="9994" width="10.109375" style="1" customWidth="1"/>
    <col min="9995" max="9995" width="11.109375" style="1" customWidth="1"/>
    <col min="9996" max="9996" width="17.33203125" style="1" customWidth="1"/>
    <col min="9997" max="10240" width="9.109375" style="1"/>
    <col min="10241" max="10241" width="11.6640625" style="1" customWidth="1"/>
    <col min="10242" max="10242" width="19.6640625" style="1" customWidth="1"/>
    <col min="10243" max="10243" width="23.44140625" style="1" customWidth="1"/>
    <col min="10244" max="10244" width="56.33203125" style="1" customWidth="1"/>
    <col min="10245" max="10245" width="10.88671875" style="1" customWidth="1"/>
    <col min="10246" max="10246" width="6" style="1" customWidth="1"/>
    <col min="10247" max="10249" width="6.5546875" style="1" customWidth="1"/>
    <col min="10250" max="10250" width="10.109375" style="1" customWidth="1"/>
    <col min="10251" max="10251" width="11.109375" style="1" customWidth="1"/>
    <col min="10252" max="10252" width="17.33203125" style="1" customWidth="1"/>
    <col min="10253" max="10496" width="9.109375" style="1"/>
    <col min="10497" max="10497" width="11.6640625" style="1" customWidth="1"/>
    <col min="10498" max="10498" width="19.6640625" style="1" customWidth="1"/>
    <col min="10499" max="10499" width="23.44140625" style="1" customWidth="1"/>
    <col min="10500" max="10500" width="56.33203125" style="1" customWidth="1"/>
    <col min="10501" max="10501" width="10.88671875" style="1" customWidth="1"/>
    <col min="10502" max="10502" width="6" style="1" customWidth="1"/>
    <col min="10503" max="10505" width="6.5546875" style="1" customWidth="1"/>
    <col min="10506" max="10506" width="10.109375" style="1" customWidth="1"/>
    <col min="10507" max="10507" width="11.109375" style="1" customWidth="1"/>
    <col min="10508" max="10508" width="17.33203125" style="1" customWidth="1"/>
    <col min="10509" max="10752" width="9.109375" style="1"/>
    <col min="10753" max="10753" width="11.6640625" style="1" customWidth="1"/>
    <col min="10754" max="10754" width="19.6640625" style="1" customWidth="1"/>
    <col min="10755" max="10755" width="23.44140625" style="1" customWidth="1"/>
    <col min="10756" max="10756" width="56.33203125" style="1" customWidth="1"/>
    <col min="10757" max="10757" width="10.88671875" style="1" customWidth="1"/>
    <col min="10758" max="10758" width="6" style="1" customWidth="1"/>
    <col min="10759" max="10761" width="6.5546875" style="1" customWidth="1"/>
    <col min="10762" max="10762" width="10.109375" style="1" customWidth="1"/>
    <col min="10763" max="10763" width="11.109375" style="1" customWidth="1"/>
    <col min="10764" max="10764" width="17.33203125" style="1" customWidth="1"/>
    <col min="10765" max="11008" width="9.109375" style="1"/>
    <col min="11009" max="11009" width="11.6640625" style="1" customWidth="1"/>
    <col min="11010" max="11010" width="19.6640625" style="1" customWidth="1"/>
    <col min="11011" max="11011" width="23.44140625" style="1" customWidth="1"/>
    <col min="11012" max="11012" width="56.33203125" style="1" customWidth="1"/>
    <col min="11013" max="11013" width="10.88671875" style="1" customWidth="1"/>
    <col min="11014" max="11014" width="6" style="1" customWidth="1"/>
    <col min="11015" max="11017" width="6.5546875" style="1" customWidth="1"/>
    <col min="11018" max="11018" width="10.109375" style="1" customWidth="1"/>
    <col min="11019" max="11019" width="11.109375" style="1" customWidth="1"/>
    <col min="11020" max="11020" width="17.33203125" style="1" customWidth="1"/>
    <col min="11021" max="11264" width="9.109375" style="1"/>
    <col min="11265" max="11265" width="11.6640625" style="1" customWidth="1"/>
    <col min="11266" max="11266" width="19.6640625" style="1" customWidth="1"/>
    <col min="11267" max="11267" width="23.44140625" style="1" customWidth="1"/>
    <col min="11268" max="11268" width="56.33203125" style="1" customWidth="1"/>
    <col min="11269" max="11269" width="10.88671875" style="1" customWidth="1"/>
    <col min="11270" max="11270" width="6" style="1" customWidth="1"/>
    <col min="11271" max="11273" width="6.5546875" style="1" customWidth="1"/>
    <col min="11274" max="11274" width="10.109375" style="1" customWidth="1"/>
    <col min="11275" max="11275" width="11.109375" style="1" customWidth="1"/>
    <col min="11276" max="11276" width="17.33203125" style="1" customWidth="1"/>
    <col min="11277" max="11520" width="9.109375" style="1"/>
    <col min="11521" max="11521" width="11.6640625" style="1" customWidth="1"/>
    <col min="11522" max="11522" width="19.6640625" style="1" customWidth="1"/>
    <col min="11523" max="11523" width="23.44140625" style="1" customWidth="1"/>
    <col min="11524" max="11524" width="56.33203125" style="1" customWidth="1"/>
    <col min="11525" max="11525" width="10.88671875" style="1" customWidth="1"/>
    <col min="11526" max="11526" width="6" style="1" customWidth="1"/>
    <col min="11527" max="11529" width="6.5546875" style="1" customWidth="1"/>
    <col min="11530" max="11530" width="10.109375" style="1" customWidth="1"/>
    <col min="11531" max="11531" width="11.109375" style="1" customWidth="1"/>
    <col min="11532" max="11532" width="17.33203125" style="1" customWidth="1"/>
    <col min="11533" max="11776" width="9.109375" style="1"/>
    <col min="11777" max="11777" width="11.6640625" style="1" customWidth="1"/>
    <col min="11778" max="11778" width="19.6640625" style="1" customWidth="1"/>
    <col min="11779" max="11779" width="23.44140625" style="1" customWidth="1"/>
    <col min="11780" max="11780" width="56.33203125" style="1" customWidth="1"/>
    <col min="11781" max="11781" width="10.88671875" style="1" customWidth="1"/>
    <col min="11782" max="11782" width="6" style="1" customWidth="1"/>
    <col min="11783" max="11785" width="6.5546875" style="1" customWidth="1"/>
    <col min="11786" max="11786" width="10.109375" style="1" customWidth="1"/>
    <col min="11787" max="11787" width="11.109375" style="1" customWidth="1"/>
    <col min="11788" max="11788" width="17.33203125" style="1" customWidth="1"/>
    <col min="11789" max="12032" width="9.109375" style="1"/>
    <col min="12033" max="12033" width="11.6640625" style="1" customWidth="1"/>
    <col min="12034" max="12034" width="19.6640625" style="1" customWidth="1"/>
    <col min="12035" max="12035" width="23.44140625" style="1" customWidth="1"/>
    <col min="12036" max="12036" width="56.33203125" style="1" customWidth="1"/>
    <col min="12037" max="12037" width="10.88671875" style="1" customWidth="1"/>
    <col min="12038" max="12038" width="6" style="1" customWidth="1"/>
    <col min="12039" max="12041" width="6.5546875" style="1" customWidth="1"/>
    <col min="12042" max="12042" width="10.109375" style="1" customWidth="1"/>
    <col min="12043" max="12043" width="11.109375" style="1" customWidth="1"/>
    <col min="12044" max="12044" width="17.33203125" style="1" customWidth="1"/>
    <col min="12045" max="12288" width="9.109375" style="1"/>
    <col min="12289" max="12289" width="11.6640625" style="1" customWidth="1"/>
    <col min="12290" max="12290" width="19.6640625" style="1" customWidth="1"/>
    <col min="12291" max="12291" width="23.44140625" style="1" customWidth="1"/>
    <col min="12292" max="12292" width="56.33203125" style="1" customWidth="1"/>
    <col min="12293" max="12293" width="10.88671875" style="1" customWidth="1"/>
    <col min="12294" max="12294" width="6" style="1" customWidth="1"/>
    <col min="12295" max="12297" width="6.5546875" style="1" customWidth="1"/>
    <col min="12298" max="12298" width="10.109375" style="1" customWidth="1"/>
    <col min="12299" max="12299" width="11.109375" style="1" customWidth="1"/>
    <col min="12300" max="12300" width="17.33203125" style="1" customWidth="1"/>
    <col min="12301" max="12544" width="9.109375" style="1"/>
    <col min="12545" max="12545" width="11.6640625" style="1" customWidth="1"/>
    <col min="12546" max="12546" width="19.6640625" style="1" customWidth="1"/>
    <col min="12547" max="12547" width="23.44140625" style="1" customWidth="1"/>
    <col min="12548" max="12548" width="56.33203125" style="1" customWidth="1"/>
    <col min="12549" max="12549" width="10.88671875" style="1" customWidth="1"/>
    <col min="12550" max="12550" width="6" style="1" customWidth="1"/>
    <col min="12551" max="12553" width="6.5546875" style="1" customWidth="1"/>
    <col min="12554" max="12554" width="10.109375" style="1" customWidth="1"/>
    <col min="12555" max="12555" width="11.109375" style="1" customWidth="1"/>
    <col min="12556" max="12556" width="17.33203125" style="1" customWidth="1"/>
    <col min="12557" max="12800" width="9.109375" style="1"/>
    <col min="12801" max="12801" width="11.6640625" style="1" customWidth="1"/>
    <col min="12802" max="12802" width="19.6640625" style="1" customWidth="1"/>
    <col min="12803" max="12803" width="23.44140625" style="1" customWidth="1"/>
    <col min="12804" max="12804" width="56.33203125" style="1" customWidth="1"/>
    <col min="12805" max="12805" width="10.88671875" style="1" customWidth="1"/>
    <col min="12806" max="12806" width="6" style="1" customWidth="1"/>
    <col min="12807" max="12809" width="6.5546875" style="1" customWidth="1"/>
    <col min="12810" max="12810" width="10.109375" style="1" customWidth="1"/>
    <col min="12811" max="12811" width="11.109375" style="1" customWidth="1"/>
    <col min="12812" max="12812" width="17.33203125" style="1" customWidth="1"/>
    <col min="12813" max="13056" width="9.109375" style="1"/>
    <col min="13057" max="13057" width="11.6640625" style="1" customWidth="1"/>
    <col min="13058" max="13058" width="19.6640625" style="1" customWidth="1"/>
    <col min="13059" max="13059" width="23.44140625" style="1" customWidth="1"/>
    <col min="13060" max="13060" width="56.33203125" style="1" customWidth="1"/>
    <col min="13061" max="13061" width="10.88671875" style="1" customWidth="1"/>
    <col min="13062" max="13062" width="6" style="1" customWidth="1"/>
    <col min="13063" max="13065" width="6.5546875" style="1" customWidth="1"/>
    <col min="13066" max="13066" width="10.109375" style="1" customWidth="1"/>
    <col min="13067" max="13067" width="11.109375" style="1" customWidth="1"/>
    <col min="13068" max="13068" width="17.33203125" style="1" customWidth="1"/>
    <col min="13069" max="13312" width="9.109375" style="1"/>
    <col min="13313" max="13313" width="11.6640625" style="1" customWidth="1"/>
    <col min="13314" max="13314" width="19.6640625" style="1" customWidth="1"/>
    <col min="13315" max="13315" width="23.44140625" style="1" customWidth="1"/>
    <col min="13316" max="13316" width="56.33203125" style="1" customWidth="1"/>
    <col min="13317" max="13317" width="10.88671875" style="1" customWidth="1"/>
    <col min="13318" max="13318" width="6" style="1" customWidth="1"/>
    <col min="13319" max="13321" width="6.5546875" style="1" customWidth="1"/>
    <col min="13322" max="13322" width="10.109375" style="1" customWidth="1"/>
    <col min="13323" max="13323" width="11.109375" style="1" customWidth="1"/>
    <col min="13324" max="13324" width="17.33203125" style="1" customWidth="1"/>
    <col min="13325" max="13568" width="9.109375" style="1"/>
    <col min="13569" max="13569" width="11.6640625" style="1" customWidth="1"/>
    <col min="13570" max="13570" width="19.6640625" style="1" customWidth="1"/>
    <col min="13571" max="13571" width="23.44140625" style="1" customWidth="1"/>
    <col min="13572" max="13572" width="56.33203125" style="1" customWidth="1"/>
    <col min="13573" max="13573" width="10.88671875" style="1" customWidth="1"/>
    <col min="13574" max="13574" width="6" style="1" customWidth="1"/>
    <col min="13575" max="13577" width="6.5546875" style="1" customWidth="1"/>
    <col min="13578" max="13578" width="10.109375" style="1" customWidth="1"/>
    <col min="13579" max="13579" width="11.109375" style="1" customWidth="1"/>
    <col min="13580" max="13580" width="17.33203125" style="1" customWidth="1"/>
    <col min="13581" max="13824" width="9.109375" style="1"/>
    <col min="13825" max="13825" width="11.6640625" style="1" customWidth="1"/>
    <col min="13826" max="13826" width="19.6640625" style="1" customWidth="1"/>
    <col min="13827" max="13827" width="23.44140625" style="1" customWidth="1"/>
    <col min="13828" max="13828" width="56.33203125" style="1" customWidth="1"/>
    <col min="13829" max="13829" width="10.88671875" style="1" customWidth="1"/>
    <col min="13830" max="13830" width="6" style="1" customWidth="1"/>
    <col min="13831" max="13833" width="6.5546875" style="1" customWidth="1"/>
    <col min="13834" max="13834" width="10.109375" style="1" customWidth="1"/>
    <col min="13835" max="13835" width="11.109375" style="1" customWidth="1"/>
    <col min="13836" max="13836" width="17.33203125" style="1" customWidth="1"/>
    <col min="13837" max="14080" width="9.109375" style="1"/>
    <col min="14081" max="14081" width="11.6640625" style="1" customWidth="1"/>
    <col min="14082" max="14082" width="19.6640625" style="1" customWidth="1"/>
    <col min="14083" max="14083" width="23.44140625" style="1" customWidth="1"/>
    <col min="14084" max="14084" width="56.33203125" style="1" customWidth="1"/>
    <col min="14085" max="14085" width="10.88671875" style="1" customWidth="1"/>
    <col min="14086" max="14086" width="6" style="1" customWidth="1"/>
    <col min="14087" max="14089" width="6.5546875" style="1" customWidth="1"/>
    <col min="14090" max="14090" width="10.109375" style="1" customWidth="1"/>
    <col min="14091" max="14091" width="11.109375" style="1" customWidth="1"/>
    <col min="14092" max="14092" width="17.33203125" style="1" customWidth="1"/>
    <col min="14093" max="14336" width="9.109375" style="1"/>
    <col min="14337" max="14337" width="11.6640625" style="1" customWidth="1"/>
    <col min="14338" max="14338" width="19.6640625" style="1" customWidth="1"/>
    <col min="14339" max="14339" width="23.44140625" style="1" customWidth="1"/>
    <col min="14340" max="14340" width="56.33203125" style="1" customWidth="1"/>
    <col min="14341" max="14341" width="10.88671875" style="1" customWidth="1"/>
    <col min="14342" max="14342" width="6" style="1" customWidth="1"/>
    <col min="14343" max="14345" width="6.5546875" style="1" customWidth="1"/>
    <col min="14346" max="14346" width="10.109375" style="1" customWidth="1"/>
    <col min="14347" max="14347" width="11.109375" style="1" customWidth="1"/>
    <col min="14348" max="14348" width="17.33203125" style="1" customWidth="1"/>
    <col min="14349" max="14592" width="9.109375" style="1"/>
    <col min="14593" max="14593" width="11.6640625" style="1" customWidth="1"/>
    <col min="14594" max="14594" width="19.6640625" style="1" customWidth="1"/>
    <col min="14595" max="14595" width="23.44140625" style="1" customWidth="1"/>
    <col min="14596" max="14596" width="56.33203125" style="1" customWidth="1"/>
    <col min="14597" max="14597" width="10.88671875" style="1" customWidth="1"/>
    <col min="14598" max="14598" width="6" style="1" customWidth="1"/>
    <col min="14599" max="14601" width="6.5546875" style="1" customWidth="1"/>
    <col min="14602" max="14602" width="10.109375" style="1" customWidth="1"/>
    <col min="14603" max="14603" width="11.109375" style="1" customWidth="1"/>
    <col min="14604" max="14604" width="17.33203125" style="1" customWidth="1"/>
    <col min="14605" max="14848" width="9.109375" style="1"/>
    <col min="14849" max="14849" width="11.6640625" style="1" customWidth="1"/>
    <col min="14850" max="14850" width="19.6640625" style="1" customWidth="1"/>
    <col min="14851" max="14851" width="23.44140625" style="1" customWidth="1"/>
    <col min="14852" max="14852" width="56.33203125" style="1" customWidth="1"/>
    <col min="14853" max="14853" width="10.88671875" style="1" customWidth="1"/>
    <col min="14854" max="14854" width="6" style="1" customWidth="1"/>
    <col min="14855" max="14857" width="6.5546875" style="1" customWidth="1"/>
    <col min="14858" max="14858" width="10.109375" style="1" customWidth="1"/>
    <col min="14859" max="14859" width="11.109375" style="1" customWidth="1"/>
    <col min="14860" max="14860" width="17.33203125" style="1" customWidth="1"/>
    <col min="14861" max="15104" width="9.109375" style="1"/>
    <col min="15105" max="15105" width="11.6640625" style="1" customWidth="1"/>
    <col min="15106" max="15106" width="19.6640625" style="1" customWidth="1"/>
    <col min="15107" max="15107" width="23.44140625" style="1" customWidth="1"/>
    <col min="15108" max="15108" width="56.33203125" style="1" customWidth="1"/>
    <col min="15109" max="15109" width="10.88671875" style="1" customWidth="1"/>
    <col min="15110" max="15110" width="6" style="1" customWidth="1"/>
    <col min="15111" max="15113" width="6.5546875" style="1" customWidth="1"/>
    <col min="15114" max="15114" width="10.109375" style="1" customWidth="1"/>
    <col min="15115" max="15115" width="11.109375" style="1" customWidth="1"/>
    <col min="15116" max="15116" width="17.33203125" style="1" customWidth="1"/>
    <col min="15117" max="15360" width="9.109375" style="1"/>
    <col min="15361" max="15361" width="11.6640625" style="1" customWidth="1"/>
    <col min="15362" max="15362" width="19.6640625" style="1" customWidth="1"/>
    <col min="15363" max="15363" width="23.44140625" style="1" customWidth="1"/>
    <col min="15364" max="15364" width="56.33203125" style="1" customWidth="1"/>
    <col min="15365" max="15365" width="10.88671875" style="1" customWidth="1"/>
    <col min="15366" max="15366" width="6" style="1" customWidth="1"/>
    <col min="15367" max="15369" width="6.5546875" style="1" customWidth="1"/>
    <col min="15370" max="15370" width="10.109375" style="1" customWidth="1"/>
    <col min="15371" max="15371" width="11.109375" style="1" customWidth="1"/>
    <col min="15372" max="15372" width="17.33203125" style="1" customWidth="1"/>
    <col min="15373" max="15616" width="9.109375" style="1"/>
    <col min="15617" max="15617" width="11.6640625" style="1" customWidth="1"/>
    <col min="15618" max="15618" width="19.6640625" style="1" customWidth="1"/>
    <col min="15619" max="15619" width="23.44140625" style="1" customWidth="1"/>
    <col min="15620" max="15620" width="56.33203125" style="1" customWidth="1"/>
    <col min="15621" max="15621" width="10.88671875" style="1" customWidth="1"/>
    <col min="15622" max="15622" width="6" style="1" customWidth="1"/>
    <col min="15623" max="15625" width="6.5546875" style="1" customWidth="1"/>
    <col min="15626" max="15626" width="10.109375" style="1" customWidth="1"/>
    <col min="15627" max="15627" width="11.109375" style="1" customWidth="1"/>
    <col min="15628" max="15628" width="17.33203125" style="1" customWidth="1"/>
    <col min="15629" max="15872" width="9.109375" style="1"/>
    <col min="15873" max="15873" width="11.6640625" style="1" customWidth="1"/>
    <col min="15874" max="15874" width="19.6640625" style="1" customWidth="1"/>
    <col min="15875" max="15875" width="23.44140625" style="1" customWidth="1"/>
    <col min="15876" max="15876" width="56.33203125" style="1" customWidth="1"/>
    <col min="15877" max="15877" width="10.88671875" style="1" customWidth="1"/>
    <col min="15878" max="15878" width="6" style="1" customWidth="1"/>
    <col min="15879" max="15881" width="6.5546875" style="1" customWidth="1"/>
    <col min="15882" max="15882" width="10.109375" style="1" customWidth="1"/>
    <col min="15883" max="15883" width="11.109375" style="1" customWidth="1"/>
    <col min="15884" max="15884" width="17.33203125" style="1" customWidth="1"/>
    <col min="15885" max="16128" width="9.109375" style="1"/>
    <col min="16129" max="16129" width="11.6640625" style="1" customWidth="1"/>
    <col min="16130" max="16130" width="19.6640625" style="1" customWidth="1"/>
    <col min="16131" max="16131" width="23.44140625" style="1" customWidth="1"/>
    <col min="16132" max="16132" width="56.33203125" style="1" customWidth="1"/>
    <col min="16133" max="16133" width="10.88671875" style="1" customWidth="1"/>
    <col min="16134" max="16134" width="6" style="1" customWidth="1"/>
    <col min="16135" max="16137" width="6.5546875" style="1" customWidth="1"/>
    <col min="16138" max="16138" width="10.109375" style="1" customWidth="1"/>
    <col min="16139" max="16139" width="11.109375" style="1" customWidth="1"/>
    <col min="16140" max="16140" width="17.33203125" style="1" customWidth="1"/>
    <col min="16141" max="16382" width="9.109375" style="1"/>
    <col min="16383" max="16384" width="9.109375" style="1" customWidth="1"/>
  </cols>
  <sheetData>
    <row r="1" spans="1:18" ht="45.75" customHeight="1">
      <c r="A1" s="4" t="s">
        <v>0</v>
      </c>
      <c r="B1" s="2" t="s">
        <v>1</v>
      </c>
      <c r="C1" s="30" t="s">
        <v>2</v>
      </c>
      <c r="D1" s="2" t="s">
        <v>3</v>
      </c>
      <c r="E1" s="2" t="s">
        <v>4</v>
      </c>
      <c r="F1" s="2" t="s">
        <v>22</v>
      </c>
      <c r="G1" s="476" t="s">
        <v>242</v>
      </c>
      <c r="H1" s="2" t="s">
        <v>23</v>
      </c>
      <c r="I1" s="2" t="s">
        <v>24</v>
      </c>
      <c r="J1" s="2" t="s">
        <v>5</v>
      </c>
      <c r="K1" s="2" t="s">
        <v>6</v>
      </c>
      <c r="L1" s="2" t="s">
        <v>7</v>
      </c>
      <c r="M1" s="2" t="s">
        <v>39</v>
      </c>
      <c r="N1" s="2" t="s">
        <v>25</v>
      </c>
      <c r="O1" s="2" t="s">
        <v>26</v>
      </c>
      <c r="P1" s="2" t="s">
        <v>37</v>
      </c>
    </row>
    <row r="2" spans="1:18" ht="155.25" customHeight="1">
      <c r="A2" s="547" t="s">
        <v>12</v>
      </c>
      <c r="B2" s="545" t="s">
        <v>30</v>
      </c>
      <c r="C2" s="31" t="s">
        <v>154</v>
      </c>
      <c r="D2" s="212" t="s">
        <v>176</v>
      </c>
      <c r="E2" s="5" t="s">
        <v>43</v>
      </c>
      <c r="F2" s="474">
        <v>3</v>
      </c>
      <c r="G2" s="477">
        <v>4</v>
      </c>
      <c r="H2" s="169"/>
      <c r="I2" s="32" t="s">
        <v>28</v>
      </c>
      <c r="J2" s="5" t="s">
        <v>92</v>
      </c>
      <c r="K2" s="147">
        <v>1</v>
      </c>
      <c r="L2" s="148">
        <v>2</v>
      </c>
      <c r="M2" s="149">
        <v>3</v>
      </c>
      <c r="N2" s="150">
        <v>4</v>
      </c>
      <c r="O2" s="151">
        <v>5</v>
      </c>
      <c r="P2" s="6" t="s">
        <v>29</v>
      </c>
    </row>
    <row r="3" spans="1:18" ht="244.8">
      <c r="A3" s="548"/>
      <c r="B3" s="546"/>
      <c r="C3" s="450" t="s">
        <v>230</v>
      </c>
      <c r="D3" s="233" t="s">
        <v>231</v>
      </c>
      <c r="E3" s="5" t="s">
        <v>43</v>
      </c>
      <c r="F3" s="474">
        <v>3</v>
      </c>
      <c r="G3" s="477">
        <v>4</v>
      </c>
      <c r="H3" s="329"/>
      <c r="I3" s="32" t="s">
        <v>28</v>
      </c>
      <c r="J3" s="5" t="s">
        <v>92</v>
      </c>
      <c r="K3" s="147">
        <v>1</v>
      </c>
      <c r="L3" s="148">
        <v>2</v>
      </c>
      <c r="M3" s="149">
        <v>3</v>
      </c>
      <c r="N3" s="150">
        <v>4</v>
      </c>
      <c r="O3" s="151">
        <v>5</v>
      </c>
      <c r="P3" s="6" t="s">
        <v>29</v>
      </c>
      <c r="R3" s="300" t="s">
        <v>232</v>
      </c>
    </row>
    <row r="4" spans="1:18" ht="110.4">
      <c r="A4" s="548"/>
      <c r="B4" s="546"/>
      <c r="C4" s="334" t="str">
        <f>'Supt SEDCR'!D6</f>
        <v>Evaluator Function (Evaluation Coverage)</v>
      </c>
      <c r="D4" s="331" t="str">
        <f>'Supt SEDCR'!E6</f>
        <v>Tidak terdapat penyebab kecelakaan (Rootcause/Non Confirmity) dikarenakan fungsi Evaluator yang tidak berjalan dan memastikan evaluasi program dilakukan
L1  : 30% Program masuk dalam evaluasi tematik
L2  : 50% Program masuk dalam evaluasi tematik
L3  : 80% Program masuk dalam evaluasi tematik
L4  : 90% Program masuk dalam evaluasi tematik
L5 : 100% Program masuk dalam evaluasi tematik</v>
      </c>
      <c r="E4" s="311" t="str">
        <f>'Supt SEDCR'!K6</f>
        <v>Annual</v>
      </c>
      <c r="F4" s="473">
        <f>'Supt SEDCR'!F6</f>
        <v>5</v>
      </c>
      <c r="G4" s="477">
        <v>8</v>
      </c>
      <c r="H4" s="310"/>
      <c r="I4" s="311" t="str">
        <f>'Supt SEDCR'!L6</f>
        <v>Constant</v>
      </c>
      <c r="J4" s="5" t="s">
        <v>92</v>
      </c>
      <c r="K4" s="303">
        <f>'Supt SEDCR'!N6</f>
        <v>1</v>
      </c>
      <c r="L4" s="304">
        <f>'Supt SEDCR'!O6</f>
        <v>2</v>
      </c>
      <c r="M4" s="305">
        <f>'Supt SEDCR'!P6</f>
        <v>3</v>
      </c>
      <c r="N4" s="306">
        <f>'Supt SEDCR'!Q6</f>
        <v>4</v>
      </c>
      <c r="O4" s="307">
        <f>'Supt SEDCR'!R6</f>
        <v>5</v>
      </c>
      <c r="P4" s="308" t="str">
        <f>'Supt SEDCR'!S6</f>
        <v>Support</v>
      </c>
      <c r="R4" s="312" t="str">
        <f>'Supt SEDCR'!U6</f>
        <v>Penambahan Coverage Evaluasi</v>
      </c>
    </row>
    <row r="5" spans="1:18" ht="98.4" customHeight="1">
      <c r="A5" s="548"/>
      <c r="B5" s="546"/>
      <c r="C5" s="7" t="s">
        <v>32</v>
      </c>
      <c r="D5" s="3" t="s">
        <v>189</v>
      </c>
      <c r="E5" s="6" t="s">
        <v>15</v>
      </c>
      <c r="F5" s="549">
        <v>10</v>
      </c>
      <c r="G5" s="541">
        <v>12</v>
      </c>
      <c r="H5" s="41">
        <v>15</v>
      </c>
      <c r="I5" s="542" t="s">
        <v>28</v>
      </c>
      <c r="J5" s="5" t="s">
        <v>133</v>
      </c>
      <c r="K5" s="15">
        <v>1</v>
      </c>
      <c r="L5" s="20">
        <v>2</v>
      </c>
      <c r="M5" s="21">
        <v>3</v>
      </c>
      <c r="N5" s="22">
        <v>4</v>
      </c>
      <c r="O5" s="23">
        <v>5</v>
      </c>
      <c r="P5" s="6" t="s">
        <v>33</v>
      </c>
    </row>
    <row r="6" spans="1:18" ht="135.6" customHeight="1">
      <c r="A6" s="548"/>
      <c r="B6" s="546"/>
      <c r="C6" s="7" t="s">
        <v>34</v>
      </c>
      <c r="D6" s="3" t="s">
        <v>51</v>
      </c>
      <c r="E6" s="6" t="s">
        <v>15</v>
      </c>
      <c r="F6" s="550"/>
      <c r="G6" s="541"/>
      <c r="H6" s="41">
        <v>40</v>
      </c>
      <c r="I6" s="543"/>
      <c r="J6" s="5" t="s">
        <v>133</v>
      </c>
      <c r="K6" s="15">
        <v>2</v>
      </c>
      <c r="L6" s="20">
        <v>3</v>
      </c>
      <c r="M6" s="21">
        <v>4</v>
      </c>
      <c r="N6" s="22">
        <v>5</v>
      </c>
      <c r="O6" s="23">
        <v>6</v>
      </c>
      <c r="P6" s="6" t="s">
        <v>33</v>
      </c>
    </row>
    <row r="7" spans="1:18" ht="138.6" customHeight="1">
      <c r="A7" s="548"/>
      <c r="B7" s="546"/>
      <c r="C7" s="333" t="s">
        <v>35</v>
      </c>
      <c r="D7" s="3" t="s">
        <v>207</v>
      </c>
      <c r="E7" s="6" t="s">
        <v>15</v>
      </c>
      <c r="F7" s="550"/>
      <c r="G7" s="541"/>
      <c r="H7" s="41">
        <v>30</v>
      </c>
      <c r="I7" s="543"/>
      <c r="J7" s="5" t="s">
        <v>92</v>
      </c>
      <c r="K7" s="15">
        <v>1</v>
      </c>
      <c r="L7" s="20">
        <v>2</v>
      </c>
      <c r="M7" s="21">
        <v>3</v>
      </c>
      <c r="N7" s="22">
        <v>4</v>
      </c>
      <c r="O7" s="23">
        <v>5</v>
      </c>
      <c r="P7" s="6" t="s">
        <v>33</v>
      </c>
    </row>
    <row r="8" spans="1:18" ht="97.95" customHeight="1">
      <c r="A8" s="548"/>
      <c r="B8" s="546"/>
      <c r="C8" s="332" t="s">
        <v>41</v>
      </c>
      <c r="D8" s="3" t="s">
        <v>219</v>
      </c>
      <c r="E8" s="6" t="s">
        <v>15</v>
      </c>
      <c r="F8" s="551"/>
      <c r="G8" s="541"/>
      <c r="H8" s="41">
        <v>15</v>
      </c>
      <c r="I8" s="544"/>
      <c r="J8" s="5" t="s">
        <v>92</v>
      </c>
      <c r="K8" s="15">
        <v>1</v>
      </c>
      <c r="L8" s="20">
        <v>2</v>
      </c>
      <c r="M8" s="21">
        <v>3</v>
      </c>
      <c r="N8" s="22">
        <v>4</v>
      </c>
      <c r="O8" s="23">
        <v>5</v>
      </c>
      <c r="P8" s="6" t="s">
        <v>33</v>
      </c>
    </row>
    <row r="9" spans="1:18" ht="168" customHeight="1">
      <c r="A9" s="548"/>
      <c r="B9" s="546"/>
      <c r="C9" s="7" t="s">
        <v>173</v>
      </c>
      <c r="D9" s="459" t="s">
        <v>233</v>
      </c>
      <c r="E9" s="6" t="s">
        <v>15</v>
      </c>
      <c r="F9" s="475">
        <v>8</v>
      </c>
      <c r="G9" s="477">
        <v>13</v>
      </c>
      <c r="H9" s="169"/>
      <c r="I9" s="32" t="s">
        <v>28</v>
      </c>
      <c r="J9" s="5" t="s">
        <v>92</v>
      </c>
      <c r="K9" s="15">
        <v>1</v>
      </c>
      <c r="L9" s="16">
        <v>2</v>
      </c>
      <c r="M9" s="17">
        <v>3</v>
      </c>
      <c r="N9" s="18">
        <v>4</v>
      </c>
      <c r="O9" s="19">
        <v>5</v>
      </c>
      <c r="P9" s="6" t="s">
        <v>33</v>
      </c>
    </row>
    <row r="10" spans="1:18" ht="104.4" customHeight="1">
      <c r="A10" s="548"/>
      <c r="B10" s="546"/>
      <c r="C10" s="335" t="s">
        <v>166</v>
      </c>
      <c r="D10" s="8" t="s">
        <v>211</v>
      </c>
      <c r="E10" s="284" t="s">
        <v>15</v>
      </c>
      <c r="F10" s="475">
        <v>5</v>
      </c>
      <c r="G10" s="477">
        <v>7</v>
      </c>
      <c r="H10" s="285"/>
      <c r="I10" s="286" t="s">
        <v>28</v>
      </c>
      <c r="J10" s="287" t="s">
        <v>92</v>
      </c>
      <c r="K10" s="288">
        <v>1</v>
      </c>
      <c r="L10" s="289">
        <v>2</v>
      </c>
      <c r="M10" s="290">
        <v>3</v>
      </c>
      <c r="N10" s="291">
        <v>4</v>
      </c>
      <c r="O10" s="292">
        <v>5</v>
      </c>
      <c r="P10" s="284"/>
    </row>
    <row r="11" spans="1:18" ht="118.95" customHeight="1">
      <c r="A11" s="548"/>
      <c r="B11" s="546"/>
      <c r="C11" s="332" t="s">
        <v>47</v>
      </c>
      <c r="D11" s="8" t="s">
        <v>188</v>
      </c>
      <c r="E11" s="6" t="s">
        <v>15</v>
      </c>
      <c r="F11" s="475">
        <v>8</v>
      </c>
      <c r="G11" s="477">
        <v>13</v>
      </c>
      <c r="H11" s="169"/>
      <c r="I11" s="32" t="s">
        <v>28</v>
      </c>
      <c r="J11" s="287" t="s">
        <v>92</v>
      </c>
      <c r="K11" s="288">
        <v>1</v>
      </c>
      <c r="L11" s="289">
        <v>2</v>
      </c>
      <c r="M11" s="290">
        <v>3</v>
      </c>
      <c r="N11" s="291">
        <v>4</v>
      </c>
      <c r="O11" s="292">
        <v>5</v>
      </c>
      <c r="P11" s="6" t="s">
        <v>33</v>
      </c>
    </row>
    <row r="12" spans="1:18" ht="172.2" customHeight="1">
      <c r="A12" s="548"/>
      <c r="B12" s="546"/>
      <c r="C12" s="332" t="s">
        <v>121</v>
      </c>
      <c r="D12" s="8" t="s">
        <v>190</v>
      </c>
      <c r="E12" s="6" t="s">
        <v>43</v>
      </c>
      <c r="F12" s="475">
        <v>8</v>
      </c>
      <c r="G12" s="477">
        <v>13</v>
      </c>
      <c r="H12" s="169"/>
      <c r="I12" s="32" t="s">
        <v>28</v>
      </c>
      <c r="J12" s="287" t="s">
        <v>92</v>
      </c>
      <c r="K12" s="425">
        <f>DCRS!K17</f>
        <v>1</v>
      </c>
      <c r="L12" s="426">
        <f>DCRS!L17</f>
        <v>2</v>
      </c>
      <c r="M12" s="427">
        <f>DCRS!M17</f>
        <v>3</v>
      </c>
      <c r="N12" s="428">
        <f>DCRS!N17</f>
        <v>4</v>
      </c>
      <c r="O12" s="429">
        <f>DCRS!O17</f>
        <v>5</v>
      </c>
      <c r="P12" s="6" t="s">
        <v>33</v>
      </c>
    </row>
    <row r="13" spans="1:18" ht="124.5" customHeight="1">
      <c r="A13" s="548"/>
      <c r="B13" s="546"/>
      <c r="C13" s="7" t="s">
        <v>44</v>
      </c>
      <c r="D13" s="8" t="str">
        <f>DCRS!D16</f>
        <v>Monitoring yang dilakukan perihal jumlah laporan hazard &amp; inspeksi dengan status closed dibandingkan dengan jumlah laporan hazard &amp; inspeksi yang masuk setiap bulannya (All Site).
L1: Closed 92% dan status Closed Overdue &lt; 5%
L2: Closed 94% dan status Closed Overdue &lt; 4%
L3: Closed 95% dan status Closed Overdue &lt; 3%
L4: Closed 97% dan status Closed Overdue &lt; 2%
L5: Closed 99% dan status Closed Overdue &lt; 1%</v>
      </c>
      <c r="E13" s="6" t="s">
        <v>15</v>
      </c>
      <c r="F13" s="475">
        <v>5</v>
      </c>
      <c r="G13" s="477">
        <v>8</v>
      </c>
      <c r="H13" s="169"/>
      <c r="I13" s="32" t="s">
        <v>28</v>
      </c>
      <c r="J13" s="5" t="s">
        <v>8</v>
      </c>
      <c r="K13" s="9">
        <f>DCRS!K16</f>
        <v>1</v>
      </c>
      <c r="L13" s="10">
        <f>DCRS!L16</f>
        <v>2</v>
      </c>
      <c r="M13" s="11">
        <f>DCRS!M16</f>
        <v>3</v>
      </c>
      <c r="N13" s="12">
        <f>DCRS!N16</f>
        <v>4</v>
      </c>
      <c r="O13" s="13">
        <f>DCRS!O16</f>
        <v>5</v>
      </c>
      <c r="P13" s="6" t="s">
        <v>29</v>
      </c>
    </row>
    <row r="14" spans="1:18" ht="124.5" customHeight="1">
      <c r="A14" s="548"/>
      <c r="B14" s="211" t="s">
        <v>150</v>
      </c>
      <c r="C14" s="336" t="str">
        <f>DCRS!C18</f>
        <v>Safety Evaluation Innovation Project Completion</v>
      </c>
      <c r="D14" s="165" t="str">
        <f>DCRS!D18</f>
        <v>Penyelesaian scope project dari project safety dashboard integration &amp; automation secara on-time, atau pengerjaan unplanned project/tasks, project based
L1: Completion : 80%, Improvement Generated : ≥1 improvement, Impact : Perbaikan minor pada reporting / dashboard
L2: Completion : 85%, Improvement Generated : ≥2 improvement, Impact : Mempercepat proses monitoring atau reporting
L3: Completion : 90%, Improvement Generated : ≥3 improvement, Impact : Mengurangi manual work / meningkatkan efisiensi proses
L4: Completion : 100% dan Presented &amp; Approved GM OHS, Improvement Generated : ≥4 improvement, Impact : Lintas fungsi (OHS / Operation) dan meningkatkan decision making
L5: Completion : 100% dan Presented ke KTT, Improvement Generated : ≥5 improvement, Impact : Lintas Divisi Transformasi proses kerja / automation signifikan yang berdampak ke performance monitoring perusahaan</v>
      </c>
      <c r="E14" s="166" t="s">
        <v>13</v>
      </c>
      <c r="F14" s="475">
        <v>15</v>
      </c>
      <c r="G14" s="477">
        <v>18</v>
      </c>
      <c r="H14" s="169"/>
      <c r="I14" s="168" t="s">
        <v>28</v>
      </c>
      <c r="J14" s="167" t="s">
        <v>8</v>
      </c>
      <c r="K14" s="430">
        <f>DCRS!K18</f>
        <v>1</v>
      </c>
      <c r="L14" s="431">
        <f>DCRS!L18</f>
        <v>2</v>
      </c>
      <c r="M14" s="432">
        <f>DCRS!M18</f>
        <v>3</v>
      </c>
      <c r="N14" s="433">
        <f>DCRS!N18</f>
        <v>4</v>
      </c>
      <c r="O14" s="434">
        <f>DCRS!O18</f>
        <v>5</v>
      </c>
      <c r="P14" s="166" t="s">
        <v>33</v>
      </c>
    </row>
    <row r="15" spans="1:18">
      <c r="A15" s="37"/>
      <c r="B15" s="38" t="s">
        <v>130</v>
      </c>
      <c r="C15" s="39"/>
      <c r="D15" s="25">
        <f>COUNTA(C2:C14)</f>
        <v>13</v>
      </c>
      <c r="E15" s="27"/>
      <c r="F15" s="26">
        <f>SUM(F2:F14)</f>
        <v>70</v>
      </c>
      <c r="G15" s="26">
        <f>SUM(G2:G14)</f>
        <v>100</v>
      </c>
      <c r="H15" s="26"/>
      <c r="I15" s="26"/>
      <c r="J15" s="24"/>
      <c r="K15" s="24"/>
      <c r="L15" s="24"/>
      <c r="M15" s="24"/>
      <c r="N15" s="24"/>
      <c r="O15" s="24"/>
      <c r="P15" s="28"/>
    </row>
  </sheetData>
  <mergeCells count="5">
    <mergeCell ref="G5:G8"/>
    <mergeCell ref="I5:I8"/>
    <mergeCell ref="B2:B13"/>
    <mergeCell ref="A2:A14"/>
    <mergeCell ref="F5:F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23"/>
  <sheetViews>
    <sheetView topLeftCell="A14" zoomScale="70" zoomScaleNormal="70" workbookViewId="0">
      <selection activeCell="B3" sqref="B3:B17"/>
    </sheetView>
  </sheetViews>
  <sheetFormatPr defaultRowHeight="14.4"/>
  <cols>
    <col min="1" max="1" width="14.88671875" style="1" customWidth="1"/>
    <col min="2" max="2" width="19.6640625" style="1" customWidth="1"/>
    <col min="3" max="3" width="25.6640625" style="40" customWidth="1"/>
    <col min="4" max="4" width="57.109375" style="1" customWidth="1"/>
    <col min="5" max="5" width="15.44140625" style="1" customWidth="1"/>
    <col min="6" max="6" width="17.6640625" style="1" customWidth="1"/>
    <col min="7" max="7" width="11.88671875" style="1" customWidth="1"/>
    <col min="8" max="8" width="14" style="1" customWidth="1"/>
    <col min="9" max="9" width="15.44140625" style="1" customWidth="1"/>
    <col min="10" max="10" width="14.5546875" style="1" customWidth="1"/>
    <col min="11" max="11" width="7.5546875" style="1" customWidth="1"/>
    <col min="12" max="12" width="6.5546875" style="1" customWidth="1"/>
    <col min="13" max="13" width="6.44140625" style="1" customWidth="1"/>
    <col min="14" max="14" width="9.33203125" style="1" bestFit="1" customWidth="1"/>
    <col min="15" max="15" width="8.5546875" style="1" customWidth="1"/>
    <col min="16" max="16" width="16.5546875" style="1" customWidth="1"/>
    <col min="17" max="260" width="9.109375" style="1"/>
    <col min="261" max="261" width="11.6640625" style="1" customWidth="1"/>
    <col min="262" max="262" width="19.6640625" style="1" customWidth="1"/>
    <col min="263" max="263" width="21.33203125" style="1" customWidth="1"/>
    <col min="264" max="264" width="56.33203125" style="1" customWidth="1"/>
    <col min="265" max="265" width="10.88671875" style="1" customWidth="1"/>
    <col min="266" max="266" width="6.5546875" style="1" customWidth="1"/>
    <col min="267" max="267" width="6.44140625" style="1" customWidth="1"/>
    <col min="268" max="268" width="7.6640625" style="1" customWidth="1"/>
    <col min="269" max="269" width="6.6640625" style="1" customWidth="1"/>
    <col min="270" max="270" width="10.109375" style="1" customWidth="1"/>
    <col min="271" max="271" width="11.109375" style="1" customWidth="1"/>
    <col min="272" max="272" width="16.5546875" style="1" customWidth="1"/>
    <col min="273" max="516" width="9.109375" style="1"/>
    <col min="517" max="517" width="11.6640625" style="1" customWidth="1"/>
    <col min="518" max="518" width="19.6640625" style="1" customWidth="1"/>
    <col min="519" max="519" width="21.33203125" style="1" customWidth="1"/>
    <col min="520" max="520" width="56.33203125" style="1" customWidth="1"/>
    <col min="521" max="521" width="10.88671875" style="1" customWidth="1"/>
    <col min="522" max="522" width="6.5546875" style="1" customWidth="1"/>
    <col min="523" max="523" width="6.44140625" style="1" customWidth="1"/>
    <col min="524" max="524" width="7.6640625" style="1" customWidth="1"/>
    <col min="525" max="525" width="6.6640625" style="1" customWidth="1"/>
    <col min="526" max="526" width="10.109375" style="1" customWidth="1"/>
    <col min="527" max="527" width="11.109375" style="1" customWidth="1"/>
    <col min="528" max="528" width="16.5546875" style="1" customWidth="1"/>
    <col min="529" max="772" width="9.109375" style="1"/>
    <col min="773" max="773" width="11.6640625" style="1" customWidth="1"/>
    <col min="774" max="774" width="19.6640625" style="1" customWidth="1"/>
    <col min="775" max="775" width="21.33203125" style="1" customWidth="1"/>
    <col min="776" max="776" width="56.33203125" style="1" customWidth="1"/>
    <col min="777" max="777" width="10.88671875" style="1" customWidth="1"/>
    <col min="778" max="778" width="6.5546875" style="1" customWidth="1"/>
    <col min="779" max="779" width="6.44140625" style="1" customWidth="1"/>
    <col min="780" max="780" width="7.6640625" style="1" customWidth="1"/>
    <col min="781" max="781" width="6.6640625" style="1" customWidth="1"/>
    <col min="782" max="782" width="10.109375" style="1" customWidth="1"/>
    <col min="783" max="783" width="11.109375" style="1" customWidth="1"/>
    <col min="784" max="784" width="16.5546875" style="1" customWidth="1"/>
    <col min="785" max="1028" width="9.109375" style="1"/>
    <col min="1029" max="1029" width="11.6640625" style="1" customWidth="1"/>
    <col min="1030" max="1030" width="19.6640625" style="1" customWidth="1"/>
    <col min="1031" max="1031" width="21.33203125" style="1" customWidth="1"/>
    <col min="1032" max="1032" width="56.33203125" style="1" customWidth="1"/>
    <col min="1033" max="1033" width="10.88671875" style="1" customWidth="1"/>
    <col min="1034" max="1034" width="6.5546875" style="1" customWidth="1"/>
    <col min="1035" max="1035" width="6.44140625" style="1" customWidth="1"/>
    <col min="1036" max="1036" width="7.6640625" style="1" customWidth="1"/>
    <col min="1037" max="1037" width="6.6640625" style="1" customWidth="1"/>
    <col min="1038" max="1038" width="10.109375" style="1" customWidth="1"/>
    <col min="1039" max="1039" width="11.109375" style="1" customWidth="1"/>
    <col min="1040" max="1040" width="16.5546875" style="1" customWidth="1"/>
    <col min="1041" max="1284" width="9.109375" style="1"/>
    <col min="1285" max="1285" width="11.6640625" style="1" customWidth="1"/>
    <col min="1286" max="1286" width="19.6640625" style="1" customWidth="1"/>
    <col min="1287" max="1287" width="21.33203125" style="1" customWidth="1"/>
    <col min="1288" max="1288" width="56.33203125" style="1" customWidth="1"/>
    <col min="1289" max="1289" width="10.88671875" style="1" customWidth="1"/>
    <col min="1290" max="1290" width="6.5546875" style="1" customWidth="1"/>
    <col min="1291" max="1291" width="6.44140625" style="1" customWidth="1"/>
    <col min="1292" max="1292" width="7.6640625" style="1" customWidth="1"/>
    <col min="1293" max="1293" width="6.6640625" style="1" customWidth="1"/>
    <col min="1294" max="1294" width="10.109375" style="1" customWidth="1"/>
    <col min="1295" max="1295" width="11.109375" style="1" customWidth="1"/>
    <col min="1296" max="1296" width="16.5546875" style="1" customWidth="1"/>
    <col min="1297" max="1540" width="9.109375" style="1"/>
    <col min="1541" max="1541" width="11.6640625" style="1" customWidth="1"/>
    <col min="1542" max="1542" width="19.6640625" style="1" customWidth="1"/>
    <col min="1543" max="1543" width="21.33203125" style="1" customWidth="1"/>
    <col min="1544" max="1544" width="56.33203125" style="1" customWidth="1"/>
    <col min="1545" max="1545" width="10.88671875" style="1" customWidth="1"/>
    <col min="1546" max="1546" width="6.5546875" style="1" customWidth="1"/>
    <col min="1547" max="1547" width="6.44140625" style="1" customWidth="1"/>
    <col min="1548" max="1548" width="7.6640625" style="1" customWidth="1"/>
    <col min="1549" max="1549" width="6.6640625" style="1" customWidth="1"/>
    <col min="1550" max="1550" width="10.109375" style="1" customWidth="1"/>
    <col min="1551" max="1551" width="11.109375" style="1" customWidth="1"/>
    <col min="1552" max="1552" width="16.5546875" style="1" customWidth="1"/>
    <col min="1553" max="1796" width="9.109375" style="1"/>
    <col min="1797" max="1797" width="11.6640625" style="1" customWidth="1"/>
    <col min="1798" max="1798" width="19.6640625" style="1" customWidth="1"/>
    <col min="1799" max="1799" width="21.33203125" style="1" customWidth="1"/>
    <col min="1800" max="1800" width="56.33203125" style="1" customWidth="1"/>
    <col min="1801" max="1801" width="10.88671875" style="1" customWidth="1"/>
    <col min="1802" max="1802" width="6.5546875" style="1" customWidth="1"/>
    <col min="1803" max="1803" width="6.44140625" style="1" customWidth="1"/>
    <col min="1804" max="1804" width="7.6640625" style="1" customWidth="1"/>
    <col min="1805" max="1805" width="6.6640625" style="1" customWidth="1"/>
    <col min="1806" max="1806" width="10.109375" style="1" customWidth="1"/>
    <col min="1807" max="1807" width="11.109375" style="1" customWidth="1"/>
    <col min="1808" max="1808" width="16.5546875" style="1" customWidth="1"/>
    <col min="1809" max="2052" width="9.109375" style="1"/>
    <col min="2053" max="2053" width="11.6640625" style="1" customWidth="1"/>
    <col min="2054" max="2054" width="19.6640625" style="1" customWidth="1"/>
    <col min="2055" max="2055" width="21.33203125" style="1" customWidth="1"/>
    <col min="2056" max="2056" width="56.33203125" style="1" customWidth="1"/>
    <col min="2057" max="2057" width="10.88671875" style="1" customWidth="1"/>
    <col min="2058" max="2058" width="6.5546875" style="1" customWidth="1"/>
    <col min="2059" max="2059" width="6.44140625" style="1" customWidth="1"/>
    <col min="2060" max="2060" width="7.6640625" style="1" customWidth="1"/>
    <col min="2061" max="2061" width="6.6640625" style="1" customWidth="1"/>
    <col min="2062" max="2062" width="10.109375" style="1" customWidth="1"/>
    <col min="2063" max="2063" width="11.109375" style="1" customWidth="1"/>
    <col min="2064" max="2064" width="16.5546875" style="1" customWidth="1"/>
    <col min="2065" max="2308" width="9.109375" style="1"/>
    <col min="2309" max="2309" width="11.6640625" style="1" customWidth="1"/>
    <col min="2310" max="2310" width="19.6640625" style="1" customWidth="1"/>
    <col min="2311" max="2311" width="21.33203125" style="1" customWidth="1"/>
    <col min="2312" max="2312" width="56.33203125" style="1" customWidth="1"/>
    <col min="2313" max="2313" width="10.88671875" style="1" customWidth="1"/>
    <col min="2314" max="2314" width="6.5546875" style="1" customWidth="1"/>
    <col min="2315" max="2315" width="6.44140625" style="1" customWidth="1"/>
    <col min="2316" max="2316" width="7.6640625" style="1" customWidth="1"/>
    <col min="2317" max="2317" width="6.6640625" style="1" customWidth="1"/>
    <col min="2318" max="2318" width="10.109375" style="1" customWidth="1"/>
    <col min="2319" max="2319" width="11.109375" style="1" customWidth="1"/>
    <col min="2320" max="2320" width="16.5546875" style="1" customWidth="1"/>
    <col min="2321" max="2564" width="9.109375" style="1"/>
    <col min="2565" max="2565" width="11.6640625" style="1" customWidth="1"/>
    <col min="2566" max="2566" width="19.6640625" style="1" customWidth="1"/>
    <col min="2567" max="2567" width="21.33203125" style="1" customWidth="1"/>
    <col min="2568" max="2568" width="56.33203125" style="1" customWidth="1"/>
    <col min="2569" max="2569" width="10.88671875" style="1" customWidth="1"/>
    <col min="2570" max="2570" width="6.5546875" style="1" customWidth="1"/>
    <col min="2571" max="2571" width="6.44140625" style="1" customWidth="1"/>
    <col min="2572" max="2572" width="7.6640625" style="1" customWidth="1"/>
    <col min="2573" max="2573" width="6.6640625" style="1" customWidth="1"/>
    <col min="2574" max="2574" width="10.109375" style="1" customWidth="1"/>
    <col min="2575" max="2575" width="11.109375" style="1" customWidth="1"/>
    <col min="2576" max="2576" width="16.5546875" style="1" customWidth="1"/>
    <col min="2577" max="2820" width="9.109375" style="1"/>
    <col min="2821" max="2821" width="11.6640625" style="1" customWidth="1"/>
    <col min="2822" max="2822" width="19.6640625" style="1" customWidth="1"/>
    <col min="2823" max="2823" width="21.33203125" style="1" customWidth="1"/>
    <col min="2824" max="2824" width="56.33203125" style="1" customWidth="1"/>
    <col min="2825" max="2825" width="10.88671875" style="1" customWidth="1"/>
    <col min="2826" max="2826" width="6.5546875" style="1" customWidth="1"/>
    <col min="2827" max="2827" width="6.44140625" style="1" customWidth="1"/>
    <col min="2828" max="2828" width="7.6640625" style="1" customWidth="1"/>
    <col min="2829" max="2829" width="6.6640625" style="1" customWidth="1"/>
    <col min="2830" max="2830" width="10.109375" style="1" customWidth="1"/>
    <col min="2831" max="2831" width="11.109375" style="1" customWidth="1"/>
    <col min="2832" max="2832" width="16.5546875" style="1" customWidth="1"/>
    <col min="2833" max="3076" width="9.109375" style="1"/>
    <col min="3077" max="3077" width="11.6640625" style="1" customWidth="1"/>
    <col min="3078" max="3078" width="19.6640625" style="1" customWidth="1"/>
    <col min="3079" max="3079" width="21.33203125" style="1" customWidth="1"/>
    <col min="3080" max="3080" width="56.33203125" style="1" customWidth="1"/>
    <col min="3081" max="3081" width="10.88671875" style="1" customWidth="1"/>
    <col min="3082" max="3082" width="6.5546875" style="1" customWidth="1"/>
    <col min="3083" max="3083" width="6.44140625" style="1" customWidth="1"/>
    <col min="3084" max="3084" width="7.6640625" style="1" customWidth="1"/>
    <col min="3085" max="3085" width="6.6640625" style="1" customWidth="1"/>
    <col min="3086" max="3086" width="10.109375" style="1" customWidth="1"/>
    <col min="3087" max="3087" width="11.109375" style="1" customWidth="1"/>
    <col min="3088" max="3088" width="16.5546875" style="1" customWidth="1"/>
    <col min="3089" max="3332" width="9.109375" style="1"/>
    <col min="3333" max="3333" width="11.6640625" style="1" customWidth="1"/>
    <col min="3334" max="3334" width="19.6640625" style="1" customWidth="1"/>
    <col min="3335" max="3335" width="21.33203125" style="1" customWidth="1"/>
    <col min="3336" max="3336" width="56.33203125" style="1" customWidth="1"/>
    <col min="3337" max="3337" width="10.88671875" style="1" customWidth="1"/>
    <col min="3338" max="3338" width="6.5546875" style="1" customWidth="1"/>
    <col min="3339" max="3339" width="6.44140625" style="1" customWidth="1"/>
    <col min="3340" max="3340" width="7.6640625" style="1" customWidth="1"/>
    <col min="3341" max="3341" width="6.6640625" style="1" customWidth="1"/>
    <col min="3342" max="3342" width="10.109375" style="1" customWidth="1"/>
    <col min="3343" max="3343" width="11.109375" style="1" customWidth="1"/>
    <col min="3344" max="3344" width="16.5546875" style="1" customWidth="1"/>
    <col min="3345" max="3588" width="9.109375" style="1"/>
    <col min="3589" max="3589" width="11.6640625" style="1" customWidth="1"/>
    <col min="3590" max="3590" width="19.6640625" style="1" customWidth="1"/>
    <col min="3591" max="3591" width="21.33203125" style="1" customWidth="1"/>
    <col min="3592" max="3592" width="56.33203125" style="1" customWidth="1"/>
    <col min="3593" max="3593" width="10.88671875" style="1" customWidth="1"/>
    <col min="3594" max="3594" width="6.5546875" style="1" customWidth="1"/>
    <col min="3595" max="3595" width="6.44140625" style="1" customWidth="1"/>
    <col min="3596" max="3596" width="7.6640625" style="1" customWidth="1"/>
    <col min="3597" max="3597" width="6.6640625" style="1" customWidth="1"/>
    <col min="3598" max="3598" width="10.109375" style="1" customWidth="1"/>
    <col min="3599" max="3599" width="11.109375" style="1" customWidth="1"/>
    <col min="3600" max="3600" width="16.5546875" style="1" customWidth="1"/>
    <col min="3601" max="3844" width="9.109375" style="1"/>
    <col min="3845" max="3845" width="11.6640625" style="1" customWidth="1"/>
    <col min="3846" max="3846" width="19.6640625" style="1" customWidth="1"/>
    <col min="3847" max="3847" width="21.33203125" style="1" customWidth="1"/>
    <col min="3848" max="3848" width="56.33203125" style="1" customWidth="1"/>
    <col min="3849" max="3849" width="10.88671875" style="1" customWidth="1"/>
    <col min="3850" max="3850" width="6.5546875" style="1" customWidth="1"/>
    <col min="3851" max="3851" width="6.44140625" style="1" customWidth="1"/>
    <col min="3852" max="3852" width="7.6640625" style="1" customWidth="1"/>
    <col min="3853" max="3853" width="6.6640625" style="1" customWidth="1"/>
    <col min="3854" max="3854" width="10.109375" style="1" customWidth="1"/>
    <col min="3855" max="3855" width="11.109375" style="1" customWidth="1"/>
    <col min="3856" max="3856" width="16.5546875" style="1" customWidth="1"/>
    <col min="3857" max="4100" width="9.109375" style="1"/>
    <col min="4101" max="4101" width="11.6640625" style="1" customWidth="1"/>
    <col min="4102" max="4102" width="19.6640625" style="1" customWidth="1"/>
    <col min="4103" max="4103" width="21.33203125" style="1" customWidth="1"/>
    <col min="4104" max="4104" width="56.33203125" style="1" customWidth="1"/>
    <col min="4105" max="4105" width="10.88671875" style="1" customWidth="1"/>
    <col min="4106" max="4106" width="6.5546875" style="1" customWidth="1"/>
    <col min="4107" max="4107" width="6.44140625" style="1" customWidth="1"/>
    <col min="4108" max="4108" width="7.6640625" style="1" customWidth="1"/>
    <col min="4109" max="4109" width="6.6640625" style="1" customWidth="1"/>
    <col min="4110" max="4110" width="10.109375" style="1" customWidth="1"/>
    <col min="4111" max="4111" width="11.109375" style="1" customWidth="1"/>
    <col min="4112" max="4112" width="16.5546875" style="1" customWidth="1"/>
    <col min="4113" max="4356" width="9.109375" style="1"/>
    <col min="4357" max="4357" width="11.6640625" style="1" customWidth="1"/>
    <col min="4358" max="4358" width="19.6640625" style="1" customWidth="1"/>
    <col min="4359" max="4359" width="21.33203125" style="1" customWidth="1"/>
    <col min="4360" max="4360" width="56.33203125" style="1" customWidth="1"/>
    <col min="4361" max="4361" width="10.88671875" style="1" customWidth="1"/>
    <col min="4362" max="4362" width="6.5546875" style="1" customWidth="1"/>
    <col min="4363" max="4363" width="6.44140625" style="1" customWidth="1"/>
    <col min="4364" max="4364" width="7.6640625" style="1" customWidth="1"/>
    <col min="4365" max="4365" width="6.6640625" style="1" customWidth="1"/>
    <col min="4366" max="4366" width="10.109375" style="1" customWidth="1"/>
    <col min="4367" max="4367" width="11.109375" style="1" customWidth="1"/>
    <col min="4368" max="4368" width="16.5546875" style="1" customWidth="1"/>
    <col min="4369" max="4612" width="9.109375" style="1"/>
    <col min="4613" max="4613" width="11.6640625" style="1" customWidth="1"/>
    <col min="4614" max="4614" width="19.6640625" style="1" customWidth="1"/>
    <col min="4615" max="4615" width="21.33203125" style="1" customWidth="1"/>
    <col min="4616" max="4616" width="56.33203125" style="1" customWidth="1"/>
    <col min="4617" max="4617" width="10.88671875" style="1" customWidth="1"/>
    <col min="4618" max="4618" width="6.5546875" style="1" customWidth="1"/>
    <col min="4619" max="4619" width="6.44140625" style="1" customWidth="1"/>
    <col min="4620" max="4620" width="7.6640625" style="1" customWidth="1"/>
    <col min="4621" max="4621" width="6.6640625" style="1" customWidth="1"/>
    <col min="4622" max="4622" width="10.109375" style="1" customWidth="1"/>
    <col min="4623" max="4623" width="11.109375" style="1" customWidth="1"/>
    <col min="4624" max="4624" width="16.5546875" style="1" customWidth="1"/>
    <col min="4625" max="4868" width="9.109375" style="1"/>
    <col min="4869" max="4869" width="11.6640625" style="1" customWidth="1"/>
    <col min="4870" max="4870" width="19.6640625" style="1" customWidth="1"/>
    <col min="4871" max="4871" width="21.33203125" style="1" customWidth="1"/>
    <col min="4872" max="4872" width="56.33203125" style="1" customWidth="1"/>
    <col min="4873" max="4873" width="10.88671875" style="1" customWidth="1"/>
    <col min="4874" max="4874" width="6.5546875" style="1" customWidth="1"/>
    <col min="4875" max="4875" width="6.44140625" style="1" customWidth="1"/>
    <col min="4876" max="4876" width="7.6640625" style="1" customWidth="1"/>
    <col min="4877" max="4877" width="6.6640625" style="1" customWidth="1"/>
    <col min="4878" max="4878" width="10.109375" style="1" customWidth="1"/>
    <col min="4879" max="4879" width="11.109375" style="1" customWidth="1"/>
    <col min="4880" max="4880" width="16.5546875" style="1" customWidth="1"/>
    <col min="4881" max="5124" width="9.109375" style="1"/>
    <col min="5125" max="5125" width="11.6640625" style="1" customWidth="1"/>
    <col min="5126" max="5126" width="19.6640625" style="1" customWidth="1"/>
    <col min="5127" max="5127" width="21.33203125" style="1" customWidth="1"/>
    <col min="5128" max="5128" width="56.33203125" style="1" customWidth="1"/>
    <col min="5129" max="5129" width="10.88671875" style="1" customWidth="1"/>
    <col min="5130" max="5130" width="6.5546875" style="1" customWidth="1"/>
    <col min="5131" max="5131" width="6.44140625" style="1" customWidth="1"/>
    <col min="5132" max="5132" width="7.6640625" style="1" customWidth="1"/>
    <col min="5133" max="5133" width="6.6640625" style="1" customWidth="1"/>
    <col min="5134" max="5134" width="10.109375" style="1" customWidth="1"/>
    <col min="5135" max="5135" width="11.109375" style="1" customWidth="1"/>
    <col min="5136" max="5136" width="16.5546875" style="1" customWidth="1"/>
    <col min="5137" max="5380" width="9.109375" style="1"/>
    <col min="5381" max="5381" width="11.6640625" style="1" customWidth="1"/>
    <col min="5382" max="5382" width="19.6640625" style="1" customWidth="1"/>
    <col min="5383" max="5383" width="21.33203125" style="1" customWidth="1"/>
    <col min="5384" max="5384" width="56.33203125" style="1" customWidth="1"/>
    <col min="5385" max="5385" width="10.88671875" style="1" customWidth="1"/>
    <col min="5386" max="5386" width="6.5546875" style="1" customWidth="1"/>
    <col min="5387" max="5387" width="6.44140625" style="1" customWidth="1"/>
    <col min="5388" max="5388" width="7.6640625" style="1" customWidth="1"/>
    <col min="5389" max="5389" width="6.6640625" style="1" customWidth="1"/>
    <col min="5390" max="5390" width="10.109375" style="1" customWidth="1"/>
    <col min="5391" max="5391" width="11.109375" style="1" customWidth="1"/>
    <col min="5392" max="5392" width="16.5546875" style="1" customWidth="1"/>
    <col min="5393" max="5636" width="9.109375" style="1"/>
    <col min="5637" max="5637" width="11.6640625" style="1" customWidth="1"/>
    <col min="5638" max="5638" width="19.6640625" style="1" customWidth="1"/>
    <col min="5639" max="5639" width="21.33203125" style="1" customWidth="1"/>
    <col min="5640" max="5640" width="56.33203125" style="1" customWidth="1"/>
    <col min="5641" max="5641" width="10.88671875" style="1" customWidth="1"/>
    <col min="5642" max="5642" width="6.5546875" style="1" customWidth="1"/>
    <col min="5643" max="5643" width="6.44140625" style="1" customWidth="1"/>
    <col min="5644" max="5644" width="7.6640625" style="1" customWidth="1"/>
    <col min="5645" max="5645" width="6.6640625" style="1" customWidth="1"/>
    <col min="5646" max="5646" width="10.109375" style="1" customWidth="1"/>
    <col min="5647" max="5647" width="11.109375" style="1" customWidth="1"/>
    <col min="5648" max="5648" width="16.5546875" style="1" customWidth="1"/>
    <col min="5649" max="5892" width="9.109375" style="1"/>
    <col min="5893" max="5893" width="11.6640625" style="1" customWidth="1"/>
    <col min="5894" max="5894" width="19.6640625" style="1" customWidth="1"/>
    <col min="5895" max="5895" width="21.33203125" style="1" customWidth="1"/>
    <col min="5896" max="5896" width="56.33203125" style="1" customWidth="1"/>
    <col min="5897" max="5897" width="10.88671875" style="1" customWidth="1"/>
    <col min="5898" max="5898" width="6.5546875" style="1" customWidth="1"/>
    <col min="5899" max="5899" width="6.44140625" style="1" customWidth="1"/>
    <col min="5900" max="5900" width="7.6640625" style="1" customWidth="1"/>
    <col min="5901" max="5901" width="6.6640625" style="1" customWidth="1"/>
    <col min="5902" max="5902" width="10.109375" style="1" customWidth="1"/>
    <col min="5903" max="5903" width="11.109375" style="1" customWidth="1"/>
    <col min="5904" max="5904" width="16.5546875" style="1" customWidth="1"/>
    <col min="5905" max="6148" width="9.109375" style="1"/>
    <col min="6149" max="6149" width="11.6640625" style="1" customWidth="1"/>
    <col min="6150" max="6150" width="19.6640625" style="1" customWidth="1"/>
    <col min="6151" max="6151" width="21.33203125" style="1" customWidth="1"/>
    <col min="6152" max="6152" width="56.33203125" style="1" customWidth="1"/>
    <col min="6153" max="6153" width="10.88671875" style="1" customWidth="1"/>
    <col min="6154" max="6154" width="6.5546875" style="1" customWidth="1"/>
    <col min="6155" max="6155" width="6.44140625" style="1" customWidth="1"/>
    <col min="6156" max="6156" width="7.6640625" style="1" customWidth="1"/>
    <col min="6157" max="6157" width="6.6640625" style="1" customWidth="1"/>
    <col min="6158" max="6158" width="10.109375" style="1" customWidth="1"/>
    <col min="6159" max="6159" width="11.109375" style="1" customWidth="1"/>
    <col min="6160" max="6160" width="16.5546875" style="1" customWidth="1"/>
    <col min="6161" max="6404" width="9.109375" style="1"/>
    <col min="6405" max="6405" width="11.6640625" style="1" customWidth="1"/>
    <col min="6406" max="6406" width="19.6640625" style="1" customWidth="1"/>
    <col min="6407" max="6407" width="21.33203125" style="1" customWidth="1"/>
    <col min="6408" max="6408" width="56.33203125" style="1" customWidth="1"/>
    <col min="6409" max="6409" width="10.88671875" style="1" customWidth="1"/>
    <col min="6410" max="6410" width="6.5546875" style="1" customWidth="1"/>
    <col min="6411" max="6411" width="6.44140625" style="1" customWidth="1"/>
    <col min="6412" max="6412" width="7.6640625" style="1" customWidth="1"/>
    <col min="6413" max="6413" width="6.6640625" style="1" customWidth="1"/>
    <col min="6414" max="6414" width="10.109375" style="1" customWidth="1"/>
    <col min="6415" max="6415" width="11.109375" style="1" customWidth="1"/>
    <col min="6416" max="6416" width="16.5546875" style="1" customWidth="1"/>
    <col min="6417" max="6660" width="9.109375" style="1"/>
    <col min="6661" max="6661" width="11.6640625" style="1" customWidth="1"/>
    <col min="6662" max="6662" width="19.6640625" style="1" customWidth="1"/>
    <col min="6663" max="6663" width="21.33203125" style="1" customWidth="1"/>
    <col min="6664" max="6664" width="56.33203125" style="1" customWidth="1"/>
    <col min="6665" max="6665" width="10.88671875" style="1" customWidth="1"/>
    <col min="6666" max="6666" width="6.5546875" style="1" customWidth="1"/>
    <col min="6667" max="6667" width="6.44140625" style="1" customWidth="1"/>
    <col min="6668" max="6668" width="7.6640625" style="1" customWidth="1"/>
    <col min="6669" max="6669" width="6.6640625" style="1" customWidth="1"/>
    <col min="6670" max="6670" width="10.109375" style="1" customWidth="1"/>
    <col min="6671" max="6671" width="11.109375" style="1" customWidth="1"/>
    <col min="6672" max="6672" width="16.5546875" style="1" customWidth="1"/>
    <col min="6673" max="6916" width="9.109375" style="1"/>
    <col min="6917" max="6917" width="11.6640625" style="1" customWidth="1"/>
    <col min="6918" max="6918" width="19.6640625" style="1" customWidth="1"/>
    <col min="6919" max="6919" width="21.33203125" style="1" customWidth="1"/>
    <col min="6920" max="6920" width="56.33203125" style="1" customWidth="1"/>
    <col min="6921" max="6921" width="10.88671875" style="1" customWidth="1"/>
    <col min="6922" max="6922" width="6.5546875" style="1" customWidth="1"/>
    <col min="6923" max="6923" width="6.44140625" style="1" customWidth="1"/>
    <col min="6924" max="6924" width="7.6640625" style="1" customWidth="1"/>
    <col min="6925" max="6925" width="6.6640625" style="1" customWidth="1"/>
    <col min="6926" max="6926" width="10.109375" style="1" customWidth="1"/>
    <col min="6927" max="6927" width="11.109375" style="1" customWidth="1"/>
    <col min="6928" max="6928" width="16.5546875" style="1" customWidth="1"/>
    <col min="6929" max="7172" width="9.109375" style="1"/>
    <col min="7173" max="7173" width="11.6640625" style="1" customWidth="1"/>
    <col min="7174" max="7174" width="19.6640625" style="1" customWidth="1"/>
    <col min="7175" max="7175" width="21.33203125" style="1" customWidth="1"/>
    <col min="7176" max="7176" width="56.33203125" style="1" customWidth="1"/>
    <col min="7177" max="7177" width="10.88671875" style="1" customWidth="1"/>
    <col min="7178" max="7178" width="6.5546875" style="1" customWidth="1"/>
    <col min="7179" max="7179" width="6.44140625" style="1" customWidth="1"/>
    <col min="7180" max="7180" width="7.6640625" style="1" customWidth="1"/>
    <col min="7181" max="7181" width="6.6640625" style="1" customWidth="1"/>
    <col min="7182" max="7182" width="10.109375" style="1" customWidth="1"/>
    <col min="7183" max="7183" width="11.109375" style="1" customWidth="1"/>
    <col min="7184" max="7184" width="16.5546875" style="1" customWidth="1"/>
    <col min="7185" max="7428" width="9.109375" style="1"/>
    <col min="7429" max="7429" width="11.6640625" style="1" customWidth="1"/>
    <col min="7430" max="7430" width="19.6640625" style="1" customWidth="1"/>
    <col min="7431" max="7431" width="21.33203125" style="1" customWidth="1"/>
    <col min="7432" max="7432" width="56.33203125" style="1" customWidth="1"/>
    <col min="7433" max="7433" width="10.88671875" style="1" customWidth="1"/>
    <col min="7434" max="7434" width="6.5546875" style="1" customWidth="1"/>
    <col min="7435" max="7435" width="6.44140625" style="1" customWidth="1"/>
    <col min="7436" max="7436" width="7.6640625" style="1" customWidth="1"/>
    <col min="7437" max="7437" width="6.6640625" style="1" customWidth="1"/>
    <col min="7438" max="7438" width="10.109375" style="1" customWidth="1"/>
    <col min="7439" max="7439" width="11.109375" style="1" customWidth="1"/>
    <col min="7440" max="7440" width="16.5546875" style="1" customWidth="1"/>
    <col min="7441" max="7684" width="9.109375" style="1"/>
    <col min="7685" max="7685" width="11.6640625" style="1" customWidth="1"/>
    <col min="7686" max="7686" width="19.6640625" style="1" customWidth="1"/>
    <col min="7687" max="7687" width="21.33203125" style="1" customWidth="1"/>
    <col min="7688" max="7688" width="56.33203125" style="1" customWidth="1"/>
    <col min="7689" max="7689" width="10.88671875" style="1" customWidth="1"/>
    <col min="7690" max="7690" width="6.5546875" style="1" customWidth="1"/>
    <col min="7691" max="7691" width="6.44140625" style="1" customWidth="1"/>
    <col min="7692" max="7692" width="7.6640625" style="1" customWidth="1"/>
    <col min="7693" max="7693" width="6.6640625" style="1" customWidth="1"/>
    <col min="7694" max="7694" width="10.109375" style="1" customWidth="1"/>
    <col min="7695" max="7695" width="11.109375" style="1" customWidth="1"/>
    <col min="7696" max="7696" width="16.5546875" style="1" customWidth="1"/>
    <col min="7697" max="7940" width="9.109375" style="1"/>
    <col min="7941" max="7941" width="11.6640625" style="1" customWidth="1"/>
    <col min="7942" max="7942" width="19.6640625" style="1" customWidth="1"/>
    <col min="7943" max="7943" width="21.33203125" style="1" customWidth="1"/>
    <col min="7944" max="7944" width="56.33203125" style="1" customWidth="1"/>
    <col min="7945" max="7945" width="10.88671875" style="1" customWidth="1"/>
    <col min="7946" max="7946" width="6.5546875" style="1" customWidth="1"/>
    <col min="7947" max="7947" width="6.44140625" style="1" customWidth="1"/>
    <col min="7948" max="7948" width="7.6640625" style="1" customWidth="1"/>
    <col min="7949" max="7949" width="6.6640625" style="1" customWidth="1"/>
    <col min="7950" max="7950" width="10.109375" style="1" customWidth="1"/>
    <col min="7951" max="7951" width="11.109375" style="1" customWidth="1"/>
    <col min="7952" max="7952" width="16.5546875" style="1" customWidth="1"/>
    <col min="7953" max="8196" width="9.109375" style="1"/>
    <col min="8197" max="8197" width="11.6640625" style="1" customWidth="1"/>
    <col min="8198" max="8198" width="19.6640625" style="1" customWidth="1"/>
    <col min="8199" max="8199" width="21.33203125" style="1" customWidth="1"/>
    <col min="8200" max="8200" width="56.33203125" style="1" customWidth="1"/>
    <col min="8201" max="8201" width="10.88671875" style="1" customWidth="1"/>
    <col min="8202" max="8202" width="6.5546875" style="1" customWidth="1"/>
    <col min="8203" max="8203" width="6.44140625" style="1" customWidth="1"/>
    <col min="8204" max="8204" width="7.6640625" style="1" customWidth="1"/>
    <col min="8205" max="8205" width="6.6640625" style="1" customWidth="1"/>
    <col min="8206" max="8206" width="10.109375" style="1" customWidth="1"/>
    <col min="8207" max="8207" width="11.109375" style="1" customWidth="1"/>
    <col min="8208" max="8208" width="16.5546875" style="1" customWidth="1"/>
    <col min="8209" max="8452" width="9.109375" style="1"/>
    <col min="8453" max="8453" width="11.6640625" style="1" customWidth="1"/>
    <col min="8454" max="8454" width="19.6640625" style="1" customWidth="1"/>
    <col min="8455" max="8455" width="21.33203125" style="1" customWidth="1"/>
    <col min="8456" max="8456" width="56.33203125" style="1" customWidth="1"/>
    <col min="8457" max="8457" width="10.88671875" style="1" customWidth="1"/>
    <col min="8458" max="8458" width="6.5546875" style="1" customWidth="1"/>
    <col min="8459" max="8459" width="6.44140625" style="1" customWidth="1"/>
    <col min="8460" max="8460" width="7.6640625" style="1" customWidth="1"/>
    <col min="8461" max="8461" width="6.6640625" style="1" customWidth="1"/>
    <col min="8462" max="8462" width="10.109375" style="1" customWidth="1"/>
    <col min="8463" max="8463" width="11.109375" style="1" customWidth="1"/>
    <col min="8464" max="8464" width="16.5546875" style="1" customWidth="1"/>
    <col min="8465" max="8708" width="9.109375" style="1"/>
    <col min="8709" max="8709" width="11.6640625" style="1" customWidth="1"/>
    <col min="8710" max="8710" width="19.6640625" style="1" customWidth="1"/>
    <col min="8711" max="8711" width="21.33203125" style="1" customWidth="1"/>
    <col min="8712" max="8712" width="56.33203125" style="1" customWidth="1"/>
    <col min="8713" max="8713" width="10.88671875" style="1" customWidth="1"/>
    <col min="8714" max="8714" width="6.5546875" style="1" customWidth="1"/>
    <col min="8715" max="8715" width="6.44140625" style="1" customWidth="1"/>
    <col min="8716" max="8716" width="7.6640625" style="1" customWidth="1"/>
    <col min="8717" max="8717" width="6.6640625" style="1" customWidth="1"/>
    <col min="8718" max="8718" width="10.109375" style="1" customWidth="1"/>
    <col min="8719" max="8719" width="11.109375" style="1" customWidth="1"/>
    <col min="8720" max="8720" width="16.5546875" style="1" customWidth="1"/>
    <col min="8721" max="8964" width="9.109375" style="1"/>
    <col min="8965" max="8965" width="11.6640625" style="1" customWidth="1"/>
    <col min="8966" max="8966" width="19.6640625" style="1" customWidth="1"/>
    <col min="8967" max="8967" width="21.33203125" style="1" customWidth="1"/>
    <col min="8968" max="8968" width="56.33203125" style="1" customWidth="1"/>
    <col min="8969" max="8969" width="10.88671875" style="1" customWidth="1"/>
    <col min="8970" max="8970" width="6.5546875" style="1" customWidth="1"/>
    <col min="8971" max="8971" width="6.44140625" style="1" customWidth="1"/>
    <col min="8972" max="8972" width="7.6640625" style="1" customWidth="1"/>
    <col min="8973" max="8973" width="6.6640625" style="1" customWidth="1"/>
    <col min="8974" max="8974" width="10.109375" style="1" customWidth="1"/>
    <col min="8975" max="8975" width="11.109375" style="1" customWidth="1"/>
    <col min="8976" max="8976" width="16.5546875" style="1" customWidth="1"/>
    <col min="8977" max="9220" width="9.109375" style="1"/>
    <col min="9221" max="9221" width="11.6640625" style="1" customWidth="1"/>
    <col min="9222" max="9222" width="19.6640625" style="1" customWidth="1"/>
    <col min="9223" max="9223" width="21.33203125" style="1" customWidth="1"/>
    <col min="9224" max="9224" width="56.33203125" style="1" customWidth="1"/>
    <col min="9225" max="9225" width="10.88671875" style="1" customWidth="1"/>
    <col min="9226" max="9226" width="6.5546875" style="1" customWidth="1"/>
    <col min="9227" max="9227" width="6.44140625" style="1" customWidth="1"/>
    <col min="9228" max="9228" width="7.6640625" style="1" customWidth="1"/>
    <col min="9229" max="9229" width="6.6640625" style="1" customWidth="1"/>
    <col min="9230" max="9230" width="10.109375" style="1" customWidth="1"/>
    <col min="9231" max="9231" width="11.109375" style="1" customWidth="1"/>
    <col min="9232" max="9232" width="16.5546875" style="1" customWidth="1"/>
    <col min="9233" max="9476" width="9.109375" style="1"/>
    <col min="9477" max="9477" width="11.6640625" style="1" customWidth="1"/>
    <col min="9478" max="9478" width="19.6640625" style="1" customWidth="1"/>
    <col min="9479" max="9479" width="21.33203125" style="1" customWidth="1"/>
    <col min="9480" max="9480" width="56.33203125" style="1" customWidth="1"/>
    <col min="9481" max="9481" width="10.88671875" style="1" customWidth="1"/>
    <col min="9482" max="9482" width="6.5546875" style="1" customWidth="1"/>
    <col min="9483" max="9483" width="6.44140625" style="1" customWidth="1"/>
    <col min="9484" max="9484" width="7.6640625" style="1" customWidth="1"/>
    <col min="9485" max="9485" width="6.6640625" style="1" customWidth="1"/>
    <col min="9486" max="9486" width="10.109375" style="1" customWidth="1"/>
    <col min="9487" max="9487" width="11.109375" style="1" customWidth="1"/>
    <col min="9488" max="9488" width="16.5546875" style="1" customWidth="1"/>
    <col min="9489" max="9732" width="9.109375" style="1"/>
    <col min="9733" max="9733" width="11.6640625" style="1" customWidth="1"/>
    <col min="9734" max="9734" width="19.6640625" style="1" customWidth="1"/>
    <col min="9735" max="9735" width="21.33203125" style="1" customWidth="1"/>
    <col min="9736" max="9736" width="56.33203125" style="1" customWidth="1"/>
    <col min="9737" max="9737" width="10.88671875" style="1" customWidth="1"/>
    <col min="9738" max="9738" width="6.5546875" style="1" customWidth="1"/>
    <col min="9739" max="9739" width="6.44140625" style="1" customWidth="1"/>
    <col min="9740" max="9740" width="7.6640625" style="1" customWidth="1"/>
    <col min="9741" max="9741" width="6.6640625" style="1" customWidth="1"/>
    <col min="9742" max="9742" width="10.109375" style="1" customWidth="1"/>
    <col min="9743" max="9743" width="11.109375" style="1" customWidth="1"/>
    <col min="9744" max="9744" width="16.5546875" style="1" customWidth="1"/>
    <col min="9745" max="9988" width="9.109375" style="1"/>
    <col min="9989" max="9989" width="11.6640625" style="1" customWidth="1"/>
    <col min="9990" max="9990" width="19.6640625" style="1" customWidth="1"/>
    <col min="9991" max="9991" width="21.33203125" style="1" customWidth="1"/>
    <col min="9992" max="9992" width="56.33203125" style="1" customWidth="1"/>
    <col min="9993" max="9993" width="10.88671875" style="1" customWidth="1"/>
    <col min="9994" max="9994" width="6.5546875" style="1" customWidth="1"/>
    <col min="9995" max="9995" width="6.44140625" style="1" customWidth="1"/>
    <col min="9996" max="9996" width="7.6640625" style="1" customWidth="1"/>
    <col min="9997" max="9997" width="6.6640625" style="1" customWidth="1"/>
    <col min="9998" max="9998" width="10.109375" style="1" customWidth="1"/>
    <col min="9999" max="9999" width="11.109375" style="1" customWidth="1"/>
    <col min="10000" max="10000" width="16.5546875" style="1" customWidth="1"/>
    <col min="10001" max="10244" width="9.109375" style="1"/>
    <col min="10245" max="10245" width="11.6640625" style="1" customWidth="1"/>
    <col min="10246" max="10246" width="19.6640625" style="1" customWidth="1"/>
    <col min="10247" max="10247" width="21.33203125" style="1" customWidth="1"/>
    <col min="10248" max="10248" width="56.33203125" style="1" customWidth="1"/>
    <col min="10249" max="10249" width="10.88671875" style="1" customWidth="1"/>
    <col min="10250" max="10250" width="6.5546875" style="1" customWidth="1"/>
    <col min="10251" max="10251" width="6.44140625" style="1" customWidth="1"/>
    <col min="10252" max="10252" width="7.6640625" style="1" customWidth="1"/>
    <col min="10253" max="10253" width="6.6640625" style="1" customWidth="1"/>
    <col min="10254" max="10254" width="10.109375" style="1" customWidth="1"/>
    <col min="10255" max="10255" width="11.109375" style="1" customWidth="1"/>
    <col min="10256" max="10256" width="16.5546875" style="1" customWidth="1"/>
    <col min="10257" max="10500" width="9.109375" style="1"/>
    <col min="10501" max="10501" width="11.6640625" style="1" customWidth="1"/>
    <col min="10502" max="10502" width="19.6640625" style="1" customWidth="1"/>
    <col min="10503" max="10503" width="21.33203125" style="1" customWidth="1"/>
    <col min="10504" max="10504" width="56.33203125" style="1" customWidth="1"/>
    <col min="10505" max="10505" width="10.88671875" style="1" customWidth="1"/>
    <col min="10506" max="10506" width="6.5546875" style="1" customWidth="1"/>
    <col min="10507" max="10507" width="6.44140625" style="1" customWidth="1"/>
    <col min="10508" max="10508" width="7.6640625" style="1" customWidth="1"/>
    <col min="10509" max="10509" width="6.6640625" style="1" customWidth="1"/>
    <col min="10510" max="10510" width="10.109375" style="1" customWidth="1"/>
    <col min="10511" max="10511" width="11.109375" style="1" customWidth="1"/>
    <col min="10512" max="10512" width="16.5546875" style="1" customWidth="1"/>
    <col min="10513" max="10756" width="9.109375" style="1"/>
    <col min="10757" max="10757" width="11.6640625" style="1" customWidth="1"/>
    <col min="10758" max="10758" width="19.6640625" style="1" customWidth="1"/>
    <col min="10759" max="10759" width="21.33203125" style="1" customWidth="1"/>
    <col min="10760" max="10760" width="56.33203125" style="1" customWidth="1"/>
    <col min="10761" max="10761" width="10.88671875" style="1" customWidth="1"/>
    <col min="10762" max="10762" width="6.5546875" style="1" customWidth="1"/>
    <col min="10763" max="10763" width="6.44140625" style="1" customWidth="1"/>
    <col min="10764" max="10764" width="7.6640625" style="1" customWidth="1"/>
    <col min="10765" max="10765" width="6.6640625" style="1" customWidth="1"/>
    <col min="10766" max="10766" width="10.109375" style="1" customWidth="1"/>
    <col min="10767" max="10767" width="11.109375" style="1" customWidth="1"/>
    <col min="10768" max="10768" width="16.5546875" style="1" customWidth="1"/>
    <col min="10769" max="11012" width="9.109375" style="1"/>
    <col min="11013" max="11013" width="11.6640625" style="1" customWidth="1"/>
    <col min="11014" max="11014" width="19.6640625" style="1" customWidth="1"/>
    <col min="11015" max="11015" width="21.33203125" style="1" customWidth="1"/>
    <col min="11016" max="11016" width="56.33203125" style="1" customWidth="1"/>
    <col min="11017" max="11017" width="10.88671875" style="1" customWidth="1"/>
    <col min="11018" max="11018" width="6.5546875" style="1" customWidth="1"/>
    <col min="11019" max="11019" width="6.44140625" style="1" customWidth="1"/>
    <col min="11020" max="11020" width="7.6640625" style="1" customWidth="1"/>
    <col min="11021" max="11021" width="6.6640625" style="1" customWidth="1"/>
    <col min="11022" max="11022" width="10.109375" style="1" customWidth="1"/>
    <col min="11023" max="11023" width="11.109375" style="1" customWidth="1"/>
    <col min="11024" max="11024" width="16.5546875" style="1" customWidth="1"/>
    <col min="11025" max="11268" width="9.109375" style="1"/>
    <col min="11269" max="11269" width="11.6640625" style="1" customWidth="1"/>
    <col min="11270" max="11270" width="19.6640625" style="1" customWidth="1"/>
    <col min="11271" max="11271" width="21.33203125" style="1" customWidth="1"/>
    <col min="11272" max="11272" width="56.33203125" style="1" customWidth="1"/>
    <col min="11273" max="11273" width="10.88671875" style="1" customWidth="1"/>
    <col min="11274" max="11274" width="6.5546875" style="1" customWidth="1"/>
    <col min="11275" max="11275" width="6.44140625" style="1" customWidth="1"/>
    <col min="11276" max="11276" width="7.6640625" style="1" customWidth="1"/>
    <col min="11277" max="11277" width="6.6640625" style="1" customWidth="1"/>
    <col min="11278" max="11278" width="10.109375" style="1" customWidth="1"/>
    <col min="11279" max="11279" width="11.109375" style="1" customWidth="1"/>
    <col min="11280" max="11280" width="16.5546875" style="1" customWidth="1"/>
    <col min="11281" max="11524" width="9.109375" style="1"/>
    <col min="11525" max="11525" width="11.6640625" style="1" customWidth="1"/>
    <col min="11526" max="11526" width="19.6640625" style="1" customWidth="1"/>
    <col min="11527" max="11527" width="21.33203125" style="1" customWidth="1"/>
    <col min="11528" max="11528" width="56.33203125" style="1" customWidth="1"/>
    <col min="11529" max="11529" width="10.88671875" style="1" customWidth="1"/>
    <col min="11530" max="11530" width="6.5546875" style="1" customWidth="1"/>
    <col min="11531" max="11531" width="6.44140625" style="1" customWidth="1"/>
    <col min="11532" max="11532" width="7.6640625" style="1" customWidth="1"/>
    <col min="11533" max="11533" width="6.6640625" style="1" customWidth="1"/>
    <col min="11534" max="11534" width="10.109375" style="1" customWidth="1"/>
    <col min="11535" max="11535" width="11.109375" style="1" customWidth="1"/>
    <col min="11536" max="11536" width="16.5546875" style="1" customWidth="1"/>
    <col min="11537" max="11780" width="9.109375" style="1"/>
    <col min="11781" max="11781" width="11.6640625" style="1" customWidth="1"/>
    <col min="11782" max="11782" width="19.6640625" style="1" customWidth="1"/>
    <col min="11783" max="11783" width="21.33203125" style="1" customWidth="1"/>
    <col min="11784" max="11784" width="56.33203125" style="1" customWidth="1"/>
    <col min="11785" max="11785" width="10.88671875" style="1" customWidth="1"/>
    <col min="11786" max="11786" width="6.5546875" style="1" customWidth="1"/>
    <col min="11787" max="11787" width="6.44140625" style="1" customWidth="1"/>
    <col min="11788" max="11788" width="7.6640625" style="1" customWidth="1"/>
    <col min="11789" max="11789" width="6.6640625" style="1" customWidth="1"/>
    <col min="11790" max="11790" width="10.109375" style="1" customWidth="1"/>
    <col min="11791" max="11791" width="11.109375" style="1" customWidth="1"/>
    <col min="11792" max="11792" width="16.5546875" style="1" customWidth="1"/>
    <col min="11793" max="12036" width="9.109375" style="1"/>
    <col min="12037" max="12037" width="11.6640625" style="1" customWidth="1"/>
    <col min="12038" max="12038" width="19.6640625" style="1" customWidth="1"/>
    <col min="12039" max="12039" width="21.33203125" style="1" customWidth="1"/>
    <col min="12040" max="12040" width="56.33203125" style="1" customWidth="1"/>
    <col min="12041" max="12041" width="10.88671875" style="1" customWidth="1"/>
    <col min="12042" max="12042" width="6.5546875" style="1" customWidth="1"/>
    <col min="12043" max="12043" width="6.44140625" style="1" customWidth="1"/>
    <col min="12044" max="12044" width="7.6640625" style="1" customWidth="1"/>
    <col min="12045" max="12045" width="6.6640625" style="1" customWidth="1"/>
    <col min="12046" max="12046" width="10.109375" style="1" customWidth="1"/>
    <col min="12047" max="12047" width="11.109375" style="1" customWidth="1"/>
    <col min="12048" max="12048" width="16.5546875" style="1" customWidth="1"/>
    <col min="12049" max="12292" width="9.109375" style="1"/>
    <col min="12293" max="12293" width="11.6640625" style="1" customWidth="1"/>
    <col min="12294" max="12294" width="19.6640625" style="1" customWidth="1"/>
    <col min="12295" max="12295" width="21.33203125" style="1" customWidth="1"/>
    <col min="12296" max="12296" width="56.33203125" style="1" customWidth="1"/>
    <col min="12297" max="12297" width="10.88671875" style="1" customWidth="1"/>
    <col min="12298" max="12298" width="6.5546875" style="1" customWidth="1"/>
    <col min="12299" max="12299" width="6.44140625" style="1" customWidth="1"/>
    <col min="12300" max="12300" width="7.6640625" style="1" customWidth="1"/>
    <col min="12301" max="12301" width="6.6640625" style="1" customWidth="1"/>
    <col min="12302" max="12302" width="10.109375" style="1" customWidth="1"/>
    <col min="12303" max="12303" width="11.109375" style="1" customWidth="1"/>
    <col min="12304" max="12304" width="16.5546875" style="1" customWidth="1"/>
    <col min="12305" max="12548" width="9.109375" style="1"/>
    <col min="12549" max="12549" width="11.6640625" style="1" customWidth="1"/>
    <col min="12550" max="12550" width="19.6640625" style="1" customWidth="1"/>
    <col min="12551" max="12551" width="21.33203125" style="1" customWidth="1"/>
    <col min="12552" max="12552" width="56.33203125" style="1" customWidth="1"/>
    <col min="12553" max="12553" width="10.88671875" style="1" customWidth="1"/>
    <col min="12554" max="12554" width="6.5546875" style="1" customWidth="1"/>
    <col min="12555" max="12555" width="6.44140625" style="1" customWidth="1"/>
    <col min="12556" max="12556" width="7.6640625" style="1" customWidth="1"/>
    <col min="12557" max="12557" width="6.6640625" style="1" customWidth="1"/>
    <col min="12558" max="12558" width="10.109375" style="1" customWidth="1"/>
    <col min="12559" max="12559" width="11.109375" style="1" customWidth="1"/>
    <col min="12560" max="12560" width="16.5546875" style="1" customWidth="1"/>
    <col min="12561" max="12804" width="9.109375" style="1"/>
    <col min="12805" max="12805" width="11.6640625" style="1" customWidth="1"/>
    <col min="12806" max="12806" width="19.6640625" style="1" customWidth="1"/>
    <col min="12807" max="12807" width="21.33203125" style="1" customWidth="1"/>
    <col min="12808" max="12808" width="56.33203125" style="1" customWidth="1"/>
    <col min="12809" max="12809" width="10.88671875" style="1" customWidth="1"/>
    <col min="12810" max="12810" width="6.5546875" style="1" customWidth="1"/>
    <col min="12811" max="12811" width="6.44140625" style="1" customWidth="1"/>
    <col min="12812" max="12812" width="7.6640625" style="1" customWidth="1"/>
    <col min="12813" max="12813" width="6.6640625" style="1" customWidth="1"/>
    <col min="12814" max="12814" width="10.109375" style="1" customWidth="1"/>
    <col min="12815" max="12815" width="11.109375" style="1" customWidth="1"/>
    <col min="12816" max="12816" width="16.5546875" style="1" customWidth="1"/>
    <col min="12817" max="13060" width="9.109375" style="1"/>
    <col min="13061" max="13061" width="11.6640625" style="1" customWidth="1"/>
    <col min="13062" max="13062" width="19.6640625" style="1" customWidth="1"/>
    <col min="13063" max="13063" width="21.33203125" style="1" customWidth="1"/>
    <col min="13064" max="13064" width="56.33203125" style="1" customWidth="1"/>
    <col min="13065" max="13065" width="10.88671875" style="1" customWidth="1"/>
    <col min="13066" max="13066" width="6.5546875" style="1" customWidth="1"/>
    <col min="13067" max="13067" width="6.44140625" style="1" customWidth="1"/>
    <col min="13068" max="13068" width="7.6640625" style="1" customWidth="1"/>
    <col min="13069" max="13069" width="6.6640625" style="1" customWidth="1"/>
    <col min="13070" max="13070" width="10.109375" style="1" customWidth="1"/>
    <col min="13071" max="13071" width="11.109375" style="1" customWidth="1"/>
    <col min="13072" max="13072" width="16.5546875" style="1" customWidth="1"/>
    <col min="13073" max="13316" width="9.109375" style="1"/>
    <col min="13317" max="13317" width="11.6640625" style="1" customWidth="1"/>
    <col min="13318" max="13318" width="19.6640625" style="1" customWidth="1"/>
    <col min="13319" max="13319" width="21.33203125" style="1" customWidth="1"/>
    <col min="13320" max="13320" width="56.33203125" style="1" customWidth="1"/>
    <col min="13321" max="13321" width="10.88671875" style="1" customWidth="1"/>
    <col min="13322" max="13322" width="6.5546875" style="1" customWidth="1"/>
    <col min="13323" max="13323" width="6.44140625" style="1" customWidth="1"/>
    <col min="13324" max="13324" width="7.6640625" style="1" customWidth="1"/>
    <col min="13325" max="13325" width="6.6640625" style="1" customWidth="1"/>
    <col min="13326" max="13326" width="10.109375" style="1" customWidth="1"/>
    <col min="13327" max="13327" width="11.109375" style="1" customWidth="1"/>
    <col min="13328" max="13328" width="16.5546875" style="1" customWidth="1"/>
    <col min="13329" max="13572" width="9.109375" style="1"/>
    <col min="13573" max="13573" width="11.6640625" style="1" customWidth="1"/>
    <col min="13574" max="13574" width="19.6640625" style="1" customWidth="1"/>
    <col min="13575" max="13575" width="21.33203125" style="1" customWidth="1"/>
    <col min="13576" max="13576" width="56.33203125" style="1" customWidth="1"/>
    <col min="13577" max="13577" width="10.88671875" style="1" customWidth="1"/>
    <col min="13578" max="13578" width="6.5546875" style="1" customWidth="1"/>
    <col min="13579" max="13579" width="6.44140625" style="1" customWidth="1"/>
    <col min="13580" max="13580" width="7.6640625" style="1" customWidth="1"/>
    <col min="13581" max="13581" width="6.6640625" style="1" customWidth="1"/>
    <col min="13582" max="13582" width="10.109375" style="1" customWidth="1"/>
    <col min="13583" max="13583" width="11.109375" style="1" customWidth="1"/>
    <col min="13584" max="13584" width="16.5546875" style="1" customWidth="1"/>
    <col min="13585" max="13828" width="9.109375" style="1"/>
    <col min="13829" max="13829" width="11.6640625" style="1" customWidth="1"/>
    <col min="13830" max="13830" width="19.6640625" style="1" customWidth="1"/>
    <col min="13831" max="13831" width="21.33203125" style="1" customWidth="1"/>
    <col min="13832" max="13832" width="56.33203125" style="1" customWidth="1"/>
    <col min="13833" max="13833" width="10.88671875" style="1" customWidth="1"/>
    <col min="13834" max="13834" width="6.5546875" style="1" customWidth="1"/>
    <col min="13835" max="13835" width="6.44140625" style="1" customWidth="1"/>
    <col min="13836" max="13836" width="7.6640625" style="1" customWidth="1"/>
    <col min="13837" max="13837" width="6.6640625" style="1" customWidth="1"/>
    <col min="13838" max="13838" width="10.109375" style="1" customWidth="1"/>
    <col min="13839" max="13839" width="11.109375" style="1" customWidth="1"/>
    <col min="13840" max="13840" width="16.5546875" style="1" customWidth="1"/>
    <col min="13841" max="14084" width="9.109375" style="1"/>
    <col min="14085" max="14085" width="11.6640625" style="1" customWidth="1"/>
    <col min="14086" max="14086" width="19.6640625" style="1" customWidth="1"/>
    <col min="14087" max="14087" width="21.33203125" style="1" customWidth="1"/>
    <col min="14088" max="14088" width="56.33203125" style="1" customWidth="1"/>
    <col min="14089" max="14089" width="10.88671875" style="1" customWidth="1"/>
    <col min="14090" max="14090" width="6.5546875" style="1" customWidth="1"/>
    <col min="14091" max="14091" width="6.44140625" style="1" customWidth="1"/>
    <col min="14092" max="14092" width="7.6640625" style="1" customWidth="1"/>
    <col min="14093" max="14093" width="6.6640625" style="1" customWidth="1"/>
    <col min="14094" max="14094" width="10.109375" style="1" customWidth="1"/>
    <col min="14095" max="14095" width="11.109375" style="1" customWidth="1"/>
    <col min="14096" max="14096" width="16.5546875" style="1" customWidth="1"/>
    <col min="14097" max="14340" width="9.109375" style="1"/>
    <col min="14341" max="14341" width="11.6640625" style="1" customWidth="1"/>
    <col min="14342" max="14342" width="19.6640625" style="1" customWidth="1"/>
    <col min="14343" max="14343" width="21.33203125" style="1" customWidth="1"/>
    <col min="14344" max="14344" width="56.33203125" style="1" customWidth="1"/>
    <col min="14345" max="14345" width="10.88671875" style="1" customWidth="1"/>
    <col min="14346" max="14346" width="6.5546875" style="1" customWidth="1"/>
    <col min="14347" max="14347" width="6.44140625" style="1" customWidth="1"/>
    <col min="14348" max="14348" width="7.6640625" style="1" customWidth="1"/>
    <col min="14349" max="14349" width="6.6640625" style="1" customWidth="1"/>
    <col min="14350" max="14350" width="10.109375" style="1" customWidth="1"/>
    <col min="14351" max="14351" width="11.109375" style="1" customWidth="1"/>
    <col min="14352" max="14352" width="16.5546875" style="1" customWidth="1"/>
    <col min="14353" max="14596" width="9.109375" style="1"/>
    <col min="14597" max="14597" width="11.6640625" style="1" customWidth="1"/>
    <col min="14598" max="14598" width="19.6640625" style="1" customWidth="1"/>
    <col min="14599" max="14599" width="21.33203125" style="1" customWidth="1"/>
    <col min="14600" max="14600" width="56.33203125" style="1" customWidth="1"/>
    <col min="14601" max="14601" width="10.88671875" style="1" customWidth="1"/>
    <col min="14602" max="14602" width="6.5546875" style="1" customWidth="1"/>
    <col min="14603" max="14603" width="6.44140625" style="1" customWidth="1"/>
    <col min="14604" max="14604" width="7.6640625" style="1" customWidth="1"/>
    <col min="14605" max="14605" width="6.6640625" style="1" customWidth="1"/>
    <col min="14606" max="14606" width="10.109375" style="1" customWidth="1"/>
    <col min="14607" max="14607" width="11.109375" style="1" customWidth="1"/>
    <col min="14608" max="14608" width="16.5546875" style="1" customWidth="1"/>
    <col min="14609" max="14852" width="9.109375" style="1"/>
    <col min="14853" max="14853" width="11.6640625" style="1" customWidth="1"/>
    <col min="14854" max="14854" width="19.6640625" style="1" customWidth="1"/>
    <col min="14855" max="14855" width="21.33203125" style="1" customWidth="1"/>
    <col min="14856" max="14856" width="56.33203125" style="1" customWidth="1"/>
    <col min="14857" max="14857" width="10.88671875" style="1" customWidth="1"/>
    <col min="14858" max="14858" width="6.5546875" style="1" customWidth="1"/>
    <col min="14859" max="14859" width="6.44140625" style="1" customWidth="1"/>
    <col min="14860" max="14860" width="7.6640625" style="1" customWidth="1"/>
    <col min="14861" max="14861" width="6.6640625" style="1" customWidth="1"/>
    <col min="14862" max="14862" width="10.109375" style="1" customWidth="1"/>
    <col min="14863" max="14863" width="11.109375" style="1" customWidth="1"/>
    <col min="14864" max="14864" width="16.5546875" style="1" customWidth="1"/>
    <col min="14865" max="15108" width="9.109375" style="1"/>
    <col min="15109" max="15109" width="11.6640625" style="1" customWidth="1"/>
    <col min="15110" max="15110" width="19.6640625" style="1" customWidth="1"/>
    <col min="15111" max="15111" width="21.33203125" style="1" customWidth="1"/>
    <col min="15112" max="15112" width="56.33203125" style="1" customWidth="1"/>
    <col min="15113" max="15113" width="10.88671875" style="1" customWidth="1"/>
    <col min="15114" max="15114" width="6.5546875" style="1" customWidth="1"/>
    <col min="15115" max="15115" width="6.44140625" style="1" customWidth="1"/>
    <col min="15116" max="15116" width="7.6640625" style="1" customWidth="1"/>
    <col min="15117" max="15117" width="6.6640625" style="1" customWidth="1"/>
    <col min="15118" max="15118" width="10.109375" style="1" customWidth="1"/>
    <col min="15119" max="15119" width="11.109375" style="1" customWidth="1"/>
    <col min="15120" max="15120" width="16.5546875" style="1" customWidth="1"/>
    <col min="15121" max="15364" width="9.109375" style="1"/>
    <col min="15365" max="15365" width="11.6640625" style="1" customWidth="1"/>
    <col min="15366" max="15366" width="19.6640625" style="1" customWidth="1"/>
    <col min="15367" max="15367" width="21.33203125" style="1" customWidth="1"/>
    <col min="15368" max="15368" width="56.33203125" style="1" customWidth="1"/>
    <col min="15369" max="15369" width="10.88671875" style="1" customWidth="1"/>
    <col min="15370" max="15370" width="6.5546875" style="1" customWidth="1"/>
    <col min="15371" max="15371" width="6.44140625" style="1" customWidth="1"/>
    <col min="15372" max="15372" width="7.6640625" style="1" customWidth="1"/>
    <col min="15373" max="15373" width="6.6640625" style="1" customWidth="1"/>
    <col min="15374" max="15374" width="10.109375" style="1" customWidth="1"/>
    <col min="15375" max="15375" width="11.109375" style="1" customWidth="1"/>
    <col min="15376" max="15376" width="16.5546875" style="1" customWidth="1"/>
    <col min="15377" max="15620" width="9.109375" style="1"/>
    <col min="15621" max="15621" width="11.6640625" style="1" customWidth="1"/>
    <col min="15622" max="15622" width="19.6640625" style="1" customWidth="1"/>
    <col min="15623" max="15623" width="21.33203125" style="1" customWidth="1"/>
    <col min="15624" max="15624" width="56.33203125" style="1" customWidth="1"/>
    <col min="15625" max="15625" width="10.88671875" style="1" customWidth="1"/>
    <col min="15626" max="15626" width="6.5546875" style="1" customWidth="1"/>
    <col min="15627" max="15627" width="6.44140625" style="1" customWidth="1"/>
    <col min="15628" max="15628" width="7.6640625" style="1" customWidth="1"/>
    <col min="15629" max="15629" width="6.6640625" style="1" customWidth="1"/>
    <col min="15630" max="15630" width="10.109375" style="1" customWidth="1"/>
    <col min="15631" max="15631" width="11.109375" style="1" customWidth="1"/>
    <col min="15632" max="15632" width="16.5546875" style="1" customWidth="1"/>
    <col min="15633" max="15876" width="9.109375" style="1"/>
    <col min="15877" max="15877" width="11.6640625" style="1" customWidth="1"/>
    <col min="15878" max="15878" width="19.6640625" style="1" customWidth="1"/>
    <col min="15879" max="15879" width="21.33203125" style="1" customWidth="1"/>
    <col min="15880" max="15880" width="56.33203125" style="1" customWidth="1"/>
    <col min="15881" max="15881" width="10.88671875" style="1" customWidth="1"/>
    <col min="15882" max="15882" width="6.5546875" style="1" customWidth="1"/>
    <col min="15883" max="15883" width="6.44140625" style="1" customWidth="1"/>
    <col min="15884" max="15884" width="7.6640625" style="1" customWidth="1"/>
    <col min="15885" max="15885" width="6.6640625" style="1" customWidth="1"/>
    <col min="15886" max="15886" width="10.109375" style="1" customWidth="1"/>
    <col min="15887" max="15887" width="11.109375" style="1" customWidth="1"/>
    <col min="15888" max="15888" width="16.5546875" style="1" customWidth="1"/>
    <col min="15889" max="16132" width="9.109375" style="1"/>
    <col min="16133" max="16133" width="11.6640625" style="1" customWidth="1"/>
    <col min="16134" max="16134" width="19.6640625" style="1" customWidth="1"/>
    <col min="16135" max="16135" width="21.33203125" style="1" customWidth="1"/>
    <col min="16136" max="16136" width="56.33203125" style="1" customWidth="1"/>
    <col min="16137" max="16137" width="10.88671875" style="1" customWidth="1"/>
    <col min="16138" max="16138" width="6.5546875" style="1" customWidth="1"/>
    <col min="16139" max="16139" width="6.44140625" style="1" customWidth="1"/>
    <col min="16140" max="16140" width="7.6640625" style="1" customWidth="1"/>
    <col min="16141" max="16141" width="6.6640625" style="1" customWidth="1"/>
    <col min="16142" max="16142" width="10.109375" style="1" customWidth="1"/>
    <col min="16143" max="16143" width="11.109375" style="1" customWidth="1"/>
    <col min="16144" max="16144" width="16.5546875" style="1" customWidth="1"/>
    <col min="16145" max="16384" width="9.109375" style="1"/>
  </cols>
  <sheetData>
    <row r="1" spans="1:21" ht="45.75" customHeight="1">
      <c r="A1" s="171" t="s">
        <v>0</v>
      </c>
      <c r="B1" s="171" t="s">
        <v>1</v>
      </c>
      <c r="C1" s="171" t="s">
        <v>2</v>
      </c>
      <c r="D1" s="171" t="s">
        <v>3</v>
      </c>
      <c r="E1" s="171" t="s">
        <v>4</v>
      </c>
      <c r="F1" s="171" t="s">
        <v>22</v>
      </c>
      <c r="G1" s="476" t="s">
        <v>242</v>
      </c>
      <c r="H1" s="171" t="s">
        <v>23</v>
      </c>
      <c r="I1" s="171" t="s">
        <v>5</v>
      </c>
      <c r="J1" s="171" t="s">
        <v>24</v>
      </c>
      <c r="K1" s="171" t="s">
        <v>6</v>
      </c>
      <c r="L1" s="171" t="s">
        <v>7</v>
      </c>
      <c r="M1" s="171" t="s">
        <v>39</v>
      </c>
      <c r="N1" s="171" t="s">
        <v>25</v>
      </c>
      <c r="O1" s="171" t="s">
        <v>26</v>
      </c>
      <c r="P1" s="208" t="s">
        <v>45</v>
      </c>
    </row>
    <row r="2" spans="1:21" ht="232.5" customHeight="1">
      <c r="A2" s="202" t="s">
        <v>9</v>
      </c>
      <c r="B2" s="170" t="s">
        <v>155</v>
      </c>
      <c r="C2" s="344" t="s">
        <v>156</v>
      </c>
      <c r="D2" s="481" t="s">
        <v>157</v>
      </c>
      <c r="E2" s="179" t="s">
        <v>13</v>
      </c>
      <c r="F2" s="179">
        <v>3</v>
      </c>
      <c r="G2" s="477">
        <v>4</v>
      </c>
      <c r="H2" s="209"/>
      <c r="I2" s="179" t="s">
        <v>92</v>
      </c>
      <c r="J2" s="179" t="s">
        <v>28</v>
      </c>
      <c r="K2" s="207">
        <v>1</v>
      </c>
      <c r="L2" s="206">
        <v>2</v>
      </c>
      <c r="M2" s="205">
        <v>3</v>
      </c>
      <c r="N2" s="204">
        <v>4</v>
      </c>
      <c r="O2" s="203">
        <v>5</v>
      </c>
      <c r="P2" s="177" t="s">
        <v>29</v>
      </c>
      <c r="T2" s="1">
        <v>3</v>
      </c>
      <c r="U2" s="1">
        <v>4</v>
      </c>
    </row>
    <row r="3" spans="1:21" ht="108">
      <c r="A3" s="553" t="s">
        <v>12</v>
      </c>
      <c r="B3" s="553" t="s">
        <v>30</v>
      </c>
      <c r="C3" s="202" t="s">
        <v>84</v>
      </c>
      <c r="D3" s="483" t="s">
        <v>85</v>
      </c>
      <c r="E3" s="179" t="s">
        <v>17</v>
      </c>
      <c r="F3" s="179">
        <v>5</v>
      </c>
      <c r="G3" s="477">
        <v>7</v>
      </c>
      <c r="H3" s="209"/>
      <c r="I3" s="179" t="s">
        <v>134</v>
      </c>
      <c r="J3" s="179" t="s">
        <v>28</v>
      </c>
      <c r="K3" s="201">
        <v>6000</v>
      </c>
      <c r="L3" s="200">
        <v>84</v>
      </c>
      <c r="M3" s="199">
        <v>63</v>
      </c>
      <c r="N3" s="198">
        <v>42</v>
      </c>
      <c r="O3" s="197">
        <v>0</v>
      </c>
      <c r="P3" s="177" t="s">
        <v>29</v>
      </c>
      <c r="T3" s="1">
        <v>5</v>
      </c>
      <c r="U3" s="1">
        <v>7</v>
      </c>
    </row>
    <row r="4" spans="1:21" ht="201.6">
      <c r="A4" s="546"/>
      <c r="B4" s="546"/>
      <c r="C4" s="338" t="s">
        <v>175</v>
      </c>
      <c r="D4" s="480" t="s">
        <v>176</v>
      </c>
      <c r="E4" s="226" t="s">
        <v>43</v>
      </c>
      <c r="F4" s="301">
        <v>2.5</v>
      </c>
      <c r="G4" s="477">
        <v>3.5</v>
      </c>
      <c r="H4" s="302"/>
      <c r="I4" s="226" t="s">
        <v>92</v>
      </c>
      <c r="J4" s="298" t="s">
        <v>28</v>
      </c>
      <c r="K4" s="207">
        <v>1</v>
      </c>
      <c r="L4" s="206">
        <v>2</v>
      </c>
      <c r="M4" s="205">
        <v>3</v>
      </c>
      <c r="N4" s="204">
        <v>4</v>
      </c>
      <c r="O4" s="203">
        <v>5</v>
      </c>
      <c r="P4" s="177" t="s">
        <v>29</v>
      </c>
      <c r="R4" s="300" t="s">
        <v>180</v>
      </c>
      <c r="T4" s="1">
        <v>2.5</v>
      </c>
      <c r="U4" s="1">
        <v>3.5</v>
      </c>
    </row>
    <row r="5" spans="1:21" ht="244.8">
      <c r="A5" s="546"/>
      <c r="B5" s="546"/>
      <c r="C5" s="450" t="s">
        <v>230</v>
      </c>
      <c r="D5" s="480" t="s">
        <v>231</v>
      </c>
      <c r="E5" s="5" t="s">
        <v>43</v>
      </c>
      <c r="F5" s="5">
        <v>2.5</v>
      </c>
      <c r="G5" s="477">
        <v>3.5</v>
      </c>
      <c r="H5" s="330"/>
      <c r="I5" s="226" t="s">
        <v>92</v>
      </c>
      <c r="J5" s="298" t="s">
        <v>28</v>
      </c>
      <c r="K5" s="207">
        <v>1</v>
      </c>
      <c r="L5" s="206">
        <v>2</v>
      </c>
      <c r="M5" s="205">
        <v>3</v>
      </c>
      <c r="N5" s="204">
        <v>4</v>
      </c>
      <c r="O5" s="203">
        <v>5</v>
      </c>
      <c r="P5" s="177" t="s">
        <v>29</v>
      </c>
      <c r="R5" s="300" t="s">
        <v>187</v>
      </c>
      <c r="T5" s="1">
        <v>2.5</v>
      </c>
      <c r="U5" s="1">
        <v>3.5</v>
      </c>
    </row>
    <row r="6" spans="1:21" ht="96.6">
      <c r="A6" s="546"/>
      <c r="B6" s="546"/>
      <c r="C6" s="213" t="s">
        <v>32</v>
      </c>
      <c r="D6" s="484" t="s">
        <v>48</v>
      </c>
      <c r="E6" s="177" t="s">
        <v>15</v>
      </c>
      <c r="F6" s="554">
        <v>6</v>
      </c>
      <c r="G6" s="541">
        <v>9</v>
      </c>
      <c r="H6" s="196">
        <v>15</v>
      </c>
      <c r="I6" s="179" t="s">
        <v>162</v>
      </c>
      <c r="J6" s="179" t="s">
        <v>28</v>
      </c>
      <c r="K6" s="189">
        <v>0</v>
      </c>
      <c r="L6" s="188">
        <v>1</v>
      </c>
      <c r="M6" s="187">
        <v>2</v>
      </c>
      <c r="N6" s="186">
        <v>3</v>
      </c>
      <c r="O6" s="185">
        <v>4</v>
      </c>
      <c r="P6" s="177" t="s">
        <v>33</v>
      </c>
      <c r="T6" s="552">
        <v>6</v>
      </c>
      <c r="U6" s="552">
        <v>9</v>
      </c>
    </row>
    <row r="7" spans="1:21" ht="124.2">
      <c r="A7" s="546"/>
      <c r="B7" s="546"/>
      <c r="C7" s="213" t="s">
        <v>34</v>
      </c>
      <c r="D7" s="484" t="s">
        <v>49</v>
      </c>
      <c r="E7" s="177" t="s">
        <v>15</v>
      </c>
      <c r="F7" s="555"/>
      <c r="G7" s="541"/>
      <c r="H7" s="177">
        <v>40</v>
      </c>
      <c r="I7" s="179" t="s">
        <v>162</v>
      </c>
      <c r="J7" s="179" t="s">
        <v>28</v>
      </c>
      <c r="K7" s="189">
        <v>1</v>
      </c>
      <c r="L7" s="188">
        <v>2</v>
      </c>
      <c r="M7" s="187">
        <v>3</v>
      </c>
      <c r="N7" s="186">
        <v>4</v>
      </c>
      <c r="O7" s="185">
        <v>5</v>
      </c>
      <c r="P7" s="177" t="s">
        <v>33</v>
      </c>
      <c r="T7" s="552"/>
      <c r="U7" s="552"/>
    </row>
    <row r="8" spans="1:21" ht="124.2">
      <c r="A8" s="546"/>
      <c r="B8" s="546"/>
      <c r="C8" s="439" t="s">
        <v>35</v>
      </c>
      <c r="D8" s="484" t="s">
        <v>208</v>
      </c>
      <c r="E8" s="177" t="s">
        <v>15</v>
      </c>
      <c r="F8" s="555"/>
      <c r="G8" s="541"/>
      <c r="H8" s="177">
        <v>30</v>
      </c>
      <c r="I8" s="179" t="s">
        <v>162</v>
      </c>
      <c r="J8" s="179" t="s">
        <v>28</v>
      </c>
      <c r="K8" s="189">
        <v>1</v>
      </c>
      <c r="L8" s="188">
        <v>2</v>
      </c>
      <c r="M8" s="187">
        <v>3</v>
      </c>
      <c r="N8" s="186">
        <v>4</v>
      </c>
      <c r="O8" s="185">
        <v>5</v>
      </c>
      <c r="P8" s="177" t="s">
        <v>33</v>
      </c>
      <c r="T8" s="552"/>
      <c r="U8" s="552"/>
    </row>
    <row r="9" spans="1:21" ht="96.6">
      <c r="A9" s="546"/>
      <c r="B9" s="546"/>
      <c r="C9" s="440" t="s">
        <v>41</v>
      </c>
      <c r="D9" s="484" t="s">
        <v>209</v>
      </c>
      <c r="E9" s="177" t="s">
        <v>15</v>
      </c>
      <c r="F9" s="556"/>
      <c r="G9" s="541"/>
      <c r="H9" s="177">
        <v>15</v>
      </c>
      <c r="I9" s="179" t="s">
        <v>162</v>
      </c>
      <c r="J9" s="179" t="s">
        <v>28</v>
      </c>
      <c r="K9" s="189">
        <v>0</v>
      </c>
      <c r="L9" s="188">
        <v>1</v>
      </c>
      <c r="M9" s="187">
        <v>2</v>
      </c>
      <c r="N9" s="186">
        <v>3</v>
      </c>
      <c r="O9" s="185">
        <v>4</v>
      </c>
      <c r="P9" s="177" t="s">
        <v>33</v>
      </c>
      <c r="T9" s="552"/>
      <c r="U9" s="552"/>
    </row>
    <row r="10" spans="1:21" ht="82.8">
      <c r="A10" s="546"/>
      <c r="B10" s="546"/>
      <c r="C10" s="214" t="str">
        <f>'Supt SEDCR'!D8</f>
        <v>Laporan Rutin Bulanan ESDM</v>
      </c>
      <c r="D10" s="485" t="str">
        <f>'Supt SEDCR'!E8</f>
        <v>Tanggal pengumpulan laporan Bulanan ESDM
L1: tanggal 12
L2: tanggal 11
L3: tanggal 10
L4: tanggal 9
L5: tanggal 8</v>
      </c>
      <c r="E10" s="177" t="s">
        <v>15</v>
      </c>
      <c r="F10" s="177">
        <v>4</v>
      </c>
      <c r="G10" s="477">
        <v>6</v>
      </c>
      <c r="H10" s="210"/>
      <c r="I10" s="177" t="s">
        <v>164</v>
      </c>
      <c r="J10" s="179" t="s">
        <v>28</v>
      </c>
      <c r="K10" s="189">
        <f>'Supt SEDCR'!N8</f>
        <v>12</v>
      </c>
      <c r="L10" s="195">
        <f>'Supt SEDCR'!O8</f>
        <v>11</v>
      </c>
      <c r="M10" s="192">
        <f>'Supt SEDCR'!P8</f>
        <v>10</v>
      </c>
      <c r="N10" s="191">
        <f>'Supt SEDCR'!Q8</f>
        <v>9</v>
      </c>
      <c r="O10" s="190">
        <f>'Supt SEDCR'!R8</f>
        <v>8</v>
      </c>
      <c r="P10" s="177" t="s">
        <v>33</v>
      </c>
      <c r="T10" s="1">
        <v>4</v>
      </c>
      <c r="U10" s="1">
        <v>6</v>
      </c>
    </row>
    <row r="11" spans="1:21" ht="82.8">
      <c r="A11" s="546"/>
      <c r="B11" s="546"/>
      <c r="C11" s="214" t="s">
        <v>160</v>
      </c>
      <c r="D11" s="485" t="str">
        <f>'Supt SEDCR'!E9</f>
        <v>Tanggal pengumpulan laporan RKAB ESDM
L1: tanggal 24
L2: tanggal 23
L3: tanggal 22
L4: tanggal 21
L5: tanggal 20</v>
      </c>
      <c r="E11" s="177" t="s">
        <v>17</v>
      </c>
      <c r="F11" s="177">
        <v>4</v>
      </c>
      <c r="G11" s="477">
        <v>6</v>
      </c>
      <c r="H11" s="210"/>
      <c r="I11" s="177" t="s">
        <v>164</v>
      </c>
      <c r="J11" s="179" t="s">
        <v>28</v>
      </c>
      <c r="K11" s="189">
        <f>'Supt SEDCR'!N9</f>
        <v>24</v>
      </c>
      <c r="L11" s="195">
        <f>'Supt SEDCR'!O9</f>
        <v>23</v>
      </c>
      <c r="M11" s="192">
        <f>'Supt SEDCR'!P9</f>
        <v>22</v>
      </c>
      <c r="N11" s="191">
        <f>'Supt SEDCR'!Q9</f>
        <v>21</v>
      </c>
      <c r="O11" s="190">
        <f>'Supt SEDCR'!R9</f>
        <v>20</v>
      </c>
      <c r="P11" s="177" t="s">
        <v>33</v>
      </c>
      <c r="T11" s="1">
        <v>4</v>
      </c>
      <c r="U11" s="1">
        <v>6</v>
      </c>
    </row>
    <row r="12" spans="1:21" ht="96.6" customHeight="1">
      <c r="A12" s="546"/>
      <c r="B12" s="546"/>
      <c r="C12" s="214" t="s">
        <v>40</v>
      </c>
      <c r="D12" s="485" t="str">
        <f>'Supt SEDCR'!E10</f>
        <v>Tanggal pengumpulan laporan P2K3 Triwulan
L1: tanggal 12
L2: tanggal 11
L3: tanggal 10
L4: tanggal 9
L5: tanggal 8</v>
      </c>
      <c r="E12" s="177" t="s">
        <v>17</v>
      </c>
      <c r="F12" s="177">
        <v>4</v>
      </c>
      <c r="G12" s="477">
        <v>6</v>
      </c>
      <c r="H12" s="210"/>
      <c r="I12" s="177" t="s">
        <v>164</v>
      </c>
      <c r="J12" s="179" t="s">
        <v>28</v>
      </c>
      <c r="K12" s="189">
        <f>'Supt SEDCR'!N10</f>
        <v>12</v>
      </c>
      <c r="L12" s="195">
        <f>'Supt SEDCR'!O10</f>
        <v>11</v>
      </c>
      <c r="M12" s="192">
        <f>'Supt SEDCR'!P10</f>
        <v>10</v>
      </c>
      <c r="N12" s="191">
        <f>'Supt SEDCR'!Q10</f>
        <v>9</v>
      </c>
      <c r="O12" s="190">
        <f>'Supt SEDCR'!R10</f>
        <v>8</v>
      </c>
      <c r="P12" s="177" t="s">
        <v>33</v>
      </c>
      <c r="T12" s="1">
        <v>4</v>
      </c>
      <c r="U12" s="1">
        <v>6</v>
      </c>
    </row>
    <row r="13" spans="1:21" ht="165.6">
      <c r="A13" s="546"/>
      <c r="B13" s="546"/>
      <c r="C13" s="342" t="s">
        <v>151</v>
      </c>
      <c r="D13" s="485" t="s">
        <v>234</v>
      </c>
      <c r="E13" s="177" t="s">
        <v>15</v>
      </c>
      <c r="F13" s="177">
        <v>8</v>
      </c>
      <c r="G13" s="477">
        <v>11</v>
      </c>
      <c r="H13" s="210"/>
      <c r="I13" s="179" t="s">
        <v>92</v>
      </c>
      <c r="J13" s="179" t="s">
        <v>28</v>
      </c>
      <c r="K13" s="194">
        <f>'Supt SEDCR'!N15</f>
        <v>1</v>
      </c>
      <c r="L13" s="193">
        <f>'Supt SEDCR'!O15</f>
        <v>2</v>
      </c>
      <c r="M13" s="192">
        <f>'Supt SEDCR'!P15</f>
        <v>3</v>
      </c>
      <c r="N13" s="191">
        <f>'Supt SEDCR'!Q15</f>
        <v>4</v>
      </c>
      <c r="O13" s="190">
        <f>'Supt SEDCR'!R15</f>
        <v>5</v>
      </c>
      <c r="P13" s="177" t="s">
        <v>33</v>
      </c>
      <c r="T13" s="1">
        <v>8</v>
      </c>
      <c r="U13" s="1">
        <v>11</v>
      </c>
    </row>
    <row r="14" spans="1:21" ht="97.2" customHeight="1">
      <c r="A14" s="546"/>
      <c r="B14" s="546"/>
      <c r="C14" s="213" t="s">
        <v>153</v>
      </c>
      <c r="D14" s="482" t="str">
        <f>'Supt SEDCR'!E16</f>
        <v>Laporan Safety Performance disampaikan dalam forum HSECM, IT &amp; Safety Alignment, serta ISC
L1: Tanggal 9
L2: Tanggal 8
L3: Tanggal 7
L4: Tanggal 6
L5: Tanggal 5</v>
      </c>
      <c r="E14" s="177" t="s">
        <v>15</v>
      </c>
      <c r="F14" s="177">
        <v>4</v>
      </c>
      <c r="G14" s="477">
        <v>6</v>
      </c>
      <c r="H14" s="210"/>
      <c r="I14" s="177" t="s">
        <v>164</v>
      </c>
      <c r="J14" s="179" t="s">
        <v>28</v>
      </c>
      <c r="K14" s="189">
        <f>'Supt SEDCR'!N16</f>
        <v>9</v>
      </c>
      <c r="L14" s="188">
        <f>'Supt SEDCR'!O16</f>
        <v>8</v>
      </c>
      <c r="M14" s="187">
        <f>'Supt SEDCR'!P16</f>
        <v>7</v>
      </c>
      <c r="N14" s="186">
        <f>'Supt SEDCR'!Q16</f>
        <v>6</v>
      </c>
      <c r="O14" s="185">
        <f>'Supt SEDCR'!R16</f>
        <v>5</v>
      </c>
      <c r="P14" s="177" t="s">
        <v>33</v>
      </c>
      <c r="T14" s="1">
        <v>4</v>
      </c>
      <c r="U14" s="1">
        <v>6</v>
      </c>
    </row>
    <row r="15" spans="1:21" ht="85.95" customHeight="1">
      <c r="A15" s="546"/>
      <c r="B15" s="546"/>
      <c r="C15" s="214" t="s">
        <v>46</v>
      </c>
      <c r="D15" s="485" t="s">
        <v>172</v>
      </c>
      <c r="E15" s="177" t="s">
        <v>13</v>
      </c>
      <c r="F15" s="177">
        <v>4</v>
      </c>
      <c r="G15" s="477">
        <v>6</v>
      </c>
      <c r="H15" s="210"/>
      <c r="I15" s="179" t="s">
        <v>8</v>
      </c>
      <c r="J15" s="179" t="s">
        <v>28</v>
      </c>
      <c r="K15" s="178">
        <v>0.9</v>
      </c>
      <c r="L15" s="184">
        <v>0.93</v>
      </c>
      <c r="M15" s="183">
        <v>0.96</v>
      </c>
      <c r="N15" s="182">
        <v>0.98</v>
      </c>
      <c r="O15" s="181">
        <v>1</v>
      </c>
      <c r="P15" s="177" t="s">
        <v>33</v>
      </c>
      <c r="T15" s="1">
        <v>4</v>
      </c>
      <c r="U15" s="1">
        <v>6</v>
      </c>
    </row>
    <row r="16" spans="1:21" ht="132.6" customHeight="1">
      <c r="A16" s="546"/>
      <c r="B16" s="546"/>
      <c r="C16" s="342" t="s">
        <v>44</v>
      </c>
      <c r="D16" s="485" t="str">
        <f>'Supt SEDCR'!E7</f>
        <v>Monitoring yang dilakukan perihal jumlah laporan hazard &amp; inspeksi dengan status closed dibandingkan dengan jumlah laporan hazard &amp; inspeksi yang masuk setiap bulannya (All Site).
L1: Closed 92% dan status Closed Overdue &lt; 5%
L2: Closed 94% dan status Closed Overdue &lt; 4%
L3: Closed 95% dan status Closed Overdue &lt; 3%
L4: Closed 97% dan status Closed Overdue &lt; 2%
L5: Closed 99% dan status Closed Overdue &lt; 1%</v>
      </c>
      <c r="E16" s="177" t="s">
        <v>15</v>
      </c>
      <c r="F16" s="177">
        <v>4</v>
      </c>
      <c r="G16" s="477">
        <v>6</v>
      </c>
      <c r="H16" s="210"/>
      <c r="I16" s="179" t="s">
        <v>92</v>
      </c>
      <c r="J16" s="179" t="s">
        <v>28</v>
      </c>
      <c r="K16" s="416">
        <v>1</v>
      </c>
      <c r="L16" s="417">
        <v>2</v>
      </c>
      <c r="M16" s="418">
        <v>3</v>
      </c>
      <c r="N16" s="419">
        <v>4</v>
      </c>
      <c r="O16" s="420">
        <v>5</v>
      </c>
      <c r="P16" s="177" t="s">
        <v>33</v>
      </c>
      <c r="T16" s="1">
        <v>4</v>
      </c>
      <c r="U16" s="1">
        <v>6</v>
      </c>
    </row>
    <row r="17" spans="1:21" ht="162" customHeight="1">
      <c r="A17" s="546"/>
      <c r="B17" s="557"/>
      <c r="C17" s="342" t="s">
        <v>18</v>
      </c>
      <c r="D17" s="485" t="str">
        <f>'Supt SEDCR'!E17</f>
        <v>Pemenuhan rekomendasi dari hasil investigasi (Berdasarkan list rekomendasi yang dikeluarkan dari tim OHS)
L1: 90% dan terdapat RTP Check Incident Injury (First Aid up) dalam 2 tahun terakhir
L2: 92% dan terdapat RTP Check Incident Injury (First Aid up) dalam 2 tahun terakhir
L3: 94% dan terdapat RTP Check Incident Injury (First Aid up) dalam 2 tahun terakhir
L4: 97% dan terdapat RTP Check Incident Injury (First Aid up) dalam 2 tahun terakhir
L5: 99% dan terdapat RTP Check Incident Injury (First Aid up) dalam 2 tahun terakhir</v>
      </c>
      <c r="E17" s="177" t="s">
        <v>13</v>
      </c>
      <c r="F17" s="177">
        <v>4</v>
      </c>
      <c r="G17" s="477">
        <v>6</v>
      </c>
      <c r="H17" s="210"/>
      <c r="I17" s="251" t="s">
        <v>92</v>
      </c>
      <c r="J17" s="179" t="s">
        <v>28</v>
      </c>
      <c r="K17" s="416">
        <f>'Supt SEDCR'!N17</f>
        <v>1</v>
      </c>
      <c r="L17" s="417">
        <f>'Supt SEDCR'!O17</f>
        <v>2</v>
      </c>
      <c r="M17" s="418">
        <f>'Supt SEDCR'!P17</f>
        <v>3</v>
      </c>
      <c r="N17" s="419">
        <f>'Supt SEDCR'!Q17</f>
        <v>4</v>
      </c>
      <c r="O17" s="420">
        <f>'Supt SEDCR'!R17</f>
        <v>5</v>
      </c>
      <c r="P17" s="177" t="s">
        <v>33</v>
      </c>
      <c r="T17" s="1">
        <v>4</v>
      </c>
      <c r="U17" s="1">
        <v>6</v>
      </c>
    </row>
    <row r="18" spans="1:21" ht="220.8">
      <c r="A18" s="546"/>
      <c r="B18" s="216" t="str">
        <f>'Supt SEDCR'!C18</f>
        <v>Innovation</v>
      </c>
      <c r="C18" s="343" t="str">
        <f>'Supt SEDCR'!D18</f>
        <v>Safety Evaluation Innovation Project Completion</v>
      </c>
      <c r="D18" s="215" t="str">
        <f>'Supt SEDCR'!E18</f>
        <v>Penyelesaian scope project dari project safety dashboard integration &amp; automation secara on-time, atau pengerjaan unplanned project/tasks, project based
L1: Completion : 80%, Improvement Generated : ≥1 improvement, Impact : Perbaikan minor pada reporting / dashboard
L2: Completion : 85%, Improvement Generated : ≥2 improvement, Impact : Mempercepat proses monitoring atau reporting
L3: Completion : 90%, Improvement Generated : ≥3 improvement, Impact : Mengurangi manual work / meningkatkan efisiensi proses
L4: Completion : 100% dan Presented &amp; Approved GM OHS, Improvement Generated : ≥4 improvement, Impact : Lintas fungsi (OHS / Operation) dan meningkatkan decision making
L5: Completion : 100% dan Presented ke KTT, Improvement Generated : ≥5 improvement, Impact : Lintas Divisi Transformasi proses kerja / automation signifikan yang berdampak ke performance monitoring perusahaan</v>
      </c>
      <c r="E18" s="177" t="s">
        <v>13</v>
      </c>
      <c r="F18" s="177">
        <v>15</v>
      </c>
      <c r="G18" s="477">
        <v>20</v>
      </c>
      <c r="H18" s="180">
        <v>30</v>
      </c>
      <c r="I18" s="226" t="s">
        <v>92</v>
      </c>
      <c r="J18" s="179" t="s">
        <v>28</v>
      </c>
      <c r="K18" s="416">
        <f>'Supt SEDCR'!N18</f>
        <v>1</v>
      </c>
      <c r="L18" s="421">
        <f>'Supt SEDCR'!O18</f>
        <v>2</v>
      </c>
      <c r="M18" s="422">
        <f>'Supt SEDCR'!P18</f>
        <v>3</v>
      </c>
      <c r="N18" s="423">
        <f>'Supt SEDCR'!Q18</f>
        <v>4</v>
      </c>
      <c r="O18" s="424">
        <f>'Supt SEDCR'!R18</f>
        <v>5</v>
      </c>
      <c r="P18" s="177" t="s">
        <v>33</v>
      </c>
      <c r="T18" s="1">
        <v>15</v>
      </c>
      <c r="U18" s="1">
        <v>20</v>
      </c>
    </row>
    <row r="19" spans="1:21">
      <c r="A19" s="172"/>
      <c r="B19" s="176" t="s">
        <v>130</v>
      </c>
      <c r="C19" s="175"/>
      <c r="D19" s="174">
        <f>COUNTA(C2:C18)</f>
        <v>17</v>
      </c>
      <c r="E19" s="173"/>
      <c r="F19" s="173">
        <f>SUM(F2:F18)</f>
        <v>70</v>
      </c>
      <c r="G19" s="26">
        <f>SUM(G2:G18)</f>
        <v>100</v>
      </c>
      <c r="H19" s="173"/>
      <c r="I19" s="172"/>
      <c r="J19" s="172"/>
      <c r="K19" s="172"/>
      <c r="L19" s="172"/>
      <c r="M19" s="172"/>
      <c r="N19" s="172"/>
      <c r="O19" s="172"/>
      <c r="P19" s="172"/>
    </row>
    <row r="21" spans="1:21" ht="15" customHeight="1">
      <c r="C21" s="1"/>
    </row>
    <row r="22" spans="1:21">
      <c r="C22" s="1"/>
    </row>
    <row r="23" spans="1:21">
      <c r="C23" s="1"/>
    </row>
  </sheetData>
  <autoFilter ref="A1:P19"/>
  <mergeCells count="6">
    <mergeCell ref="U6:U9"/>
    <mergeCell ref="G6:G9"/>
    <mergeCell ref="A3:A18"/>
    <mergeCell ref="F6:F9"/>
    <mergeCell ref="B3:B17"/>
    <mergeCell ref="T6:T9"/>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P8"/>
  <sheetViews>
    <sheetView tabSelected="1" workbookViewId="0">
      <selection activeCell="B1" sqref="B1"/>
    </sheetView>
  </sheetViews>
  <sheetFormatPr defaultRowHeight="14.4"/>
  <cols>
    <col min="1" max="1" width="31.6640625" style="488" customWidth="1"/>
    <col min="2" max="2" width="70.21875" customWidth="1"/>
  </cols>
  <sheetData>
    <row r="1" spans="1:16" ht="96.6">
      <c r="A1" s="213" t="s">
        <v>32</v>
      </c>
      <c r="B1" s="484" t="s">
        <v>48</v>
      </c>
      <c r="C1" s="177" t="s">
        <v>15</v>
      </c>
      <c r="D1" s="554">
        <v>6</v>
      </c>
      <c r="E1" s="541">
        <v>9</v>
      </c>
      <c r="F1" s="487">
        <v>15</v>
      </c>
      <c r="G1" s="596" t="s">
        <v>162</v>
      </c>
      <c r="H1" s="596" t="s">
        <v>28</v>
      </c>
      <c r="I1" s="597">
        <v>0</v>
      </c>
      <c r="J1" s="598">
        <v>1</v>
      </c>
      <c r="K1" s="599">
        <v>2</v>
      </c>
      <c r="L1" s="600">
        <v>3</v>
      </c>
      <c r="M1" s="601">
        <v>4</v>
      </c>
      <c r="P1" s="541">
        <v>4</v>
      </c>
    </row>
    <row r="2" spans="1:16">
      <c r="A2" s="213" t="s">
        <v>34</v>
      </c>
      <c r="B2" s="595" t="s">
        <v>49</v>
      </c>
      <c r="C2" s="177" t="s">
        <v>15</v>
      </c>
      <c r="D2" s="555"/>
      <c r="E2" s="541"/>
      <c r="F2" s="177">
        <v>40</v>
      </c>
      <c r="G2" s="596" t="s">
        <v>162</v>
      </c>
      <c r="H2" s="596" t="s">
        <v>28</v>
      </c>
      <c r="I2" s="597">
        <v>1</v>
      </c>
      <c r="J2" s="598">
        <v>2</v>
      </c>
      <c r="K2" s="599">
        <v>3</v>
      </c>
      <c r="L2" s="600">
        <v>4</v>
      </c>
      <c r="M2" s="601">
        <v>5</v>
      </c>
      <c r="P2" s="541"/>
    </row>
    <row r="3" spans="1:16">
      <c r="A3" s="439" t="s">
        <v>35</v>
      </c>
      <c r="B3" s="595" t="s">
        <v>208</v>
      </c>
      <c r="C3" s="177" t="s">
        <v>15</v>
      </c>
      <c r="D3" s="555"/>
      <c r="E3" s="541"/>
      <c r="F3" s="177">
        <v>30</v>
      </c>
      <c r="G3" s="596" t="s">
        <v>162</v>
      </c>
      <c r="H3" s="596" t="s">
        <v>28</v>
      </c>
      <c r="I3" s="597">
        <v>1</v>
      </c>
      <c r="J3" s="598">
        <v>2</v>
      </c>
      <c r="K3" s="599">
        <v>3</v>
      </c>
      <c r="L3" s="600">
        <v>4</v>
      </c>
      <c r="M3" s="601">
        <v>5</v>
      </c>
      <c r="P3" s="541"/>
    </row>
    <row r="4" spans="1:16">
      <c r="A4" s="440" t="s">
        <v>41</v>
      </c>
      <c r="B4" s="595" t="s">
        <v>209</v>
      </c>
      <c r="C4" s="177" t="s">
        <v>15</v>
      </c>
      <c r="D4" s="556"/>
      <c r="E4" s="541"/>
      <c r="F4" s="177">
        <v>15</v>
      </c>
      <c r="G4" s="596" t="s">
        <v>162</v>
      </c>
      <c r="H4" s="596" t="s">
        <v>28</v>
      </c>
      <c r="I4" s="597">
        <v>0</v>
      </c>
      <c r="J4" s="598">
        <v>1</v>
      </c>
      <c r="K4" s="599">
        <v>2</v>
      </c>
      <c r="L4" s="600">
        <v>3</v>
      </c>
      <c r="M4" s="601">
        <v>4</v>
      </c>
      <c r="P4" s="541"/>
    </row>
    <row r="5" spans="1:16" ht="27.6">
      <c r="A5" s="343" t="s">
        <v>165</v>
      </c>
      <c r="B5" s="602" t="s">
        <v>235</v>
      </c>
      <c r="C5" s="177" t="s">
        <v>13</v>
      </c>
      <c r="D5" s="177">
        <v>15</v>
      </c>
      <c r="E5" s="486">
        <v>20</v>
      </c>
      <c r="F5" s="603">
        <v>30</v>
      </c>
      <c r="G5" s="604" t="s">
        <v>92</v>
      </c>
      <c r="H5" s="596" t="s">
        <v>28</v>
      </c>
      <c r="I5" s="605">
        <v>1</v>
      </c>
      <c r="J5" s="606">
        <v>2</v>
      </c>
      <c r="K5" s="607">
        <v>3</v>
      </c>
      <c r="L5" s="608">
        <v>4</v>
      </c>
      <c r="M5" s="609">
        <v>5</v>
      </c>
      <c r="P5" s="486">
        <v>10</v>
      </c>
    </row>
    <row r="6" spans="1:16" ht="27.6">
      <c r="A6" s="342" t="s">
        <v>44</v>
      </c>
      <c r="B6" s="610" t="s">
        <v>210</v>
      </c>
      <c r="C6" s="177" t="s">
        <v>15</v>
      </c>
      <c r="D6" s="177">
        <v>4</v>
      </c>
      <c r="E6" s="486">
        <v>6</v>
      </c>
      <c r="F6" s="210"/>
      <c r="G6" s="596" t="s">
        <v>92</v>
      </c>
      <c r="H6" s="596" t="s">
        <v>28</v>
      </c>
      <c r="I6" s="605">
        <v>1</v>
      </c>
      <c r="J6" s="611">
        <v>2</v>
      </c>
      <c r="K6" s="612">
        <v>3</v>
      </c>
      <c r="L6" s="613">
        <v>4</v>
      </c>
      <c r="M6" s="614">
        <v>5</v>
      </c>
      <c r="P6" s="486">
        <v>3</v>
      </c>
    </row>
    <row r="7" spans="1:16">
      <c r="A7" s="342" t="s">
        <v>18</v>
      </c>
      <c r="B7" s="610" t="s">
        <v>190</v>
      </c>
      <c r="C7" s="177" t="s">
        <v>13</v>
      </c>
      <c r="D7" s="177">
        <v>4</v>
      </c>
      <c r="E7" s="486">
        <v>6</v>
      </c>
      <c r="F7" s="210"/>
      <c r="G7" s="615" t="s">
        <v>92</v>
      </c>
      <c r="H7" s="596" t="s">
        <v>28</v>
      </c>
      <c r="I7" s="605">
        <v>1</v>
      </c>
      <c r="J7" s="611">
        <v>2</v>
      </c>
      <c r="K7" s="612">
        <v>3</v>
      </c>
      <c r="L7" s="613">
        <v>4</v>
      </c>
      <c r="M7" s="614">
        <v>5</v>
      </c>
      <c r="P7" s="486">
        <v>3</v>
      </c>
    </row>
    <row r="8" spans="1:16">
      <c r="E8" s="616">
        <v>0.41</v>
      </c>
      <c r="P8" s="616">
        <f>SUM(P1:P7)</f>
        <v>20</v>
      </c>
    </row>
  </sheetData>
  <mergeCells count="3">
    <mergeCell ref="D1:D4"/>
    <mergeCell ref="E1:E4"/>
    <mergeCell ref="P1:P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T25"/>
  <sheetViews>
    <sheetView topLeftCell="B14" zoomScale="85" zoomScaleNormal="85" workbookViewId="0">
      <selection activeCell="E12" sqref="E12"/>
    </sheetView>
  </sheetViews>
  <sheetFormatPr defaultColWidth="9.109375" defaultRowHeight="14.4"/>
  <cols>
    <col min="1" max="1" width="11.6640625" style="1" customWidth="1"/>
    <col min="2" max="2" width="13.88671875" style="1" customWidth="1"/>
    <col min="3" max="3" width="15.33203125" style="1" customWidth="1"/>
    <col min="4" max="4" width="20.6640625" style="29" customWidth="1"/>
    <col min="5" max="5" width="70.44140625" style="1" customWidth="1"/>
    <col min="6" max="8" width="10.6640625" style="1" customWidth="1"/>
    <col min="9" max="10" width="11.33203125" style="1" customWidth="1"/>
    <col min="11" max="12" width="9.33203125" style="1" customWidth="1"/>
    <col min="13" max="13" width="8.33203125" style="1" customWidth="1"/>
    <col min="14" max="14" width="8.109375" style="1" customWidth="1"/>
    <col min="15" max="15" width="8.5546875" style="1" customWidth="1"/>
    <col min="16" max="16" width="9.6640625" style="1" customWidth="1"/>
    <col min="17" max="17" width="12.109375" style="1" customWidth="1"/>
    <col min="18" max="16384" width="9.109375" style="1"/>
  </cols>
  <sheetData>
    <row r="1" spans="1:20" s="347" customFormat="1" ht="42" thickBot="1">
      <c r="A1" s="42" t="s">
        <v>0</v>
      </c>
      <c r="B1" s="345" t="s">
        <v>1</v>
      </c>
      <c r="C1" s="346" t="s">
        <v>21</v>
      </c>
      <c r="D1" s="346" t="s">
        <v>58</v>
      </c>
      <c r="E1" s="345" t="s">
        <v>3</v>
      </c>
      <c r="F1" s="345" t="s">
        <v>22</v>
      </c>
      <c r="G1" s="476" t="s">
        <v>242</v>
      </c>
      <c r="H1" s="345" t="s">
        <v>23</v>
      </c>
      <c r="I1" s="345" t="s">
        <v>4</v>
      </c>
      <c r="J1" s="345" t="s">
        <v>24</v>
      </c>
      <c r="K1" s="345" t="s">
        <v>5</v>
      </c>
      <c r="L1" s="345" t="s">
        <v>6</v>
      </c>
      <c r="M1" s="345" t="s">
        <v>7</v>
      </c>
      <c r="N1" s="345" t="s">
        <v>59</v>
      </c>
      <c r="O1" s="345" t="s">
        <v>25</v>
      </c>
      <c r="P1" s="345" t="s">
        <v>26</v>
      </c>
      <c r="Q1" s="345" t="s">
        <v>60</v>
      </c>
    </row>
    <row r="2" spans="1:20" ht="194.4" customHeight="1">
      <c r="A2" s="348" t="s">
        <v>9</v>
      </c>
      <c r="B2" s="348" t="s">
        <v>155</v>
      </c>
      <c r="C2" s="349"/>
      <c r="D2" s="348" t="s">
        <v>156</v>
      </c>
      <c r="E2" s="350" t="s">
        <v>157</v>
      </c>
      <c r="F2" s="351">
        <v>5</v>
      </c>
      <c r="G2" s="477">
        <v>7</v>
      </c>
      <c r="H2" s="352"/>
      <c r="I2" s="351" t="s">
        <v>62</v>
      </c>
      <c r="J2" s="351" t="s">
        <v>28</v>
      </c>
      <c r="K2" s="353" t="s">
        <v>92</v>
      </c>
      <c r="L2" s="354">
        <v>1</v>
      </c>
      <c r="M2" s="355">
        <v>2</v>
      </c>
      <c r="N2" s="356">
        <v>3</v>
      </c>
      <c r="O2" s="357">
        <v>4</v>
      </c>
      <c r="P2" s="358">
        <v>5</v>
      </c>
      <c r="Q2" s="351" t="s">
        <v>29</v>
      </c>
      <c r="S2" s="351">
        <v>5</v>
      </c>
      <c r="T2" s="1">
        <v>7</v>
      </c>
    </row>
    <row r="3" spans="1:20" ht="211.5" customHeight="1">
      <c r="A3" s="359" t="s">
        <v>12</v>
      </c>
      <c r="B3" s="359" t="s">
        <v>30</v>
      </c>
      <c r="C3" s="360"/>
      <c r="D3" s="462" t="s">
        <v>230</v>
      </c>
      <c r="E3" s="233" t="s">
        <v>237</v>
      </c>
      <c r="F3" s="361">
        <v>6</v>
      </c>
      <c r="G3" s="477">
        <v>9</v>
      </c>
      <c r="H3" s="352"/>
      <c r="I3" s="362" t="s">
        <v>43</v>
      </c>
      <c r="J3" s="363" t="s">
        <v>28</v>
      </c>
      <c r="K3" s="362" t="s">
        <v>92</v>
      </c>
      <c r="L3" s="364">
        <v>1</v>
      </c>
      <c r="M3" s="365">
        <v>2</v>
      </c>
      <c r="N3" s="366">
        <v>3</v>
      </c>
      <c r="O3" s="367">
        <v>4</v>
      </c>
      <c r="P3" s="368">
        <v>5</v>
      </c>
      <c r="Q3" s="369" t="s">
        <v>29</v>
      </c>
      <c r="S3" s="361">
        <v>6</v>
      </c>
      <c r="T3" s="1">
        <v>9</v>
      </c>
    </row>
    <row r="4" spans="1:20" ht="100.5" customHeight="1">
      <c r="A4" s="559" t="s">
        <v>12</v>
      </c>
      <c r="B4" s="559" t="s">
        <v>30</v>
      </c>
      <c r="C4" s="560" t="s">
        <v>31</v>
      </c>
      <c r="D4" s="446" t="s">
        <v>32</v>
      </c>
      <c r="E4" s="350" t="s">
        <v>54</v>
      </c>
      <c r="F4" s="562">
        <v>15</v>
      </c>
      <c r="G4" s="541">
        <v>20</v>
      </c>
      <c r="H4" s="351">
        <v>15</v>
      </c>
      <c r="I4" s="351" t="s">
        <v>15</v>
      </c>
      <c r="J4" s="351" t="s">
        <v>28</v>
      </c>
      <c r="K4" s="353" t="s">
        <v>14</v>
      </c>
      <c r="L4" s="354">
        <v>0</v>
      </c>
      <c r="M4" s="370">
        <v>1</v>
      </c>
      <c r="N4" s="371">
        <v>2</v>
      </c>
      <c r="O4" s="372">
        <v>3</v>
      </c>
      <c r="P4" s="373">
        <v>4</v>
      </c>
      <c r="Q4" s="351" t="s">
        <v>33</v>
      </c>
      <c r="S4" s="562">
        <v>15</v>
      </c>
      <c r="T4" s="558">
        <v>20</v>
      </c>
    </row>
    <row r="5" spans="1:20" ht="106.5" customHeight="1">
      <c r="A5" s="546"/>
      <c r="B5" s="546"/>
      <c r="C5" s="561"/>
      <c r="D5" s="446" t="s">
        <v>34</v>
      </c>
      <c r="E5" s="350" t="s">
        <v>55</v>
      </c>
      <c r="F5" s="563"/>
      <c r="G5" s="541"/>
      <c r="H5" s="351">
        <v>40</v>
      </c>
      <c r="I5" s="351" t="s">
        <v>15</v>
      </c>
      <c r="J5" s="351" t="s">
        <v>28</v>
      </c>
      <c r="K5" s="353" t="s">
        <v>14</v>
      </c>
      <c r="L5" s="354">
        <v>1</v>
      </c>
      <c r="M5" s="370">
        <v>2</v>
      </c>
      <c r="N5" s="371">
        <v>3</v>
      </c>
      <c r="O5" s="372">
        <v>4</v>
      </c>
      <c r="P5" s="373">
        <v>5</v>
      </c>
      <c r="Q5" s="351" t="s">
        <v>33</v>
      </c>
      <c r="S5" s="563"/>
      <c r="T5" s="558"/>
    </row>
    <row r="6" spans="1:20" ht="102.75" customHeight="1">
      <c r="A6" s="546"/>
      <c r="B6" s="546"/>
      <c r="C6" s="561"/>
      <c r="D6" s="446" t="s">
        <v>35</v>
      </c>
      <c r="E6" s="350" t="s">
        <v>191</v>
      </c>
      <c r="F6" s="563"/>
      <c r="G6" s="541"/>
      <c r="H6" s="351">
        <v>30</v>
      </c>
      <c r="I6" s="351" t="s">
        <v>15</v>
      </c>
      <c r="J6" s="351" t="s">
        <v>28</v>
      </c>
      <c r="K6" s="353" t="s">
        <v>14</v>
      </c>
      <c r="L6" s="354">
        <v>1</v>
      </c>
      <c r="M6" s="370">
        <v>2</v>
      </c>
      <c r="N6" s="371">
        <v>3</v>
      </c>
      <c r="O6" s="372">
        <v>4</v>
      </c>
      <c r="P6" s="373">
        <v>5</v>
      </c>
      <c r="Q6" s="351" t="s">
        <v>33</v>
      </c>
      <c r="S6" s="563"/>
      <c r="T6" s="558"/>
    </row>
    <row r="7" spans="1:20" ht="97.5" customHeight="1">
      <c r="A7" s="546"/>
      <c r="B7" s="546"/>
      <c r="C7" s="561"/>
      <c r="D7" s="447" t="s">
        <v>56</v>
      </c>
      <c r="E7" s="350" t="s">
        <v>57</v>
      </c>
      <c r="F7" s="564"/>
      <c r="G7" s="541"/>
      <c r="H7" s="351">
        <v>15</v>
      </c>
      <c r="I7" s="351" t="s">
        <v>15</v>
      </c>
      <c r="J7" s="351" t="s">
        <v>28</v>
      </c>
      <c r="K7" s="353" t="s">
        <v>14</v>
      </c>
      <c r="L7" s="354">
        <v>0</v>
      </c>
      <c r="M7" s="370">
        <v>1</v>
      </c>
      <c r="N7" s="371">
        <v>2</v>
      </c>
      <c r="O7" s="372">
        <v>3</v>
      </c>
      <c r="P7" s="373">
        <v>4</v>
      </c>
      <c r="Q7" s="351" t="s">
        <v>33</v>
      </c>
      <c r="S7" s="564"/>
      <c r="T7" s="558"/>
    </row>
    <row r="8" spans="1:20" ht="120" customHeight="1">
      <c r="A8" s="546"/>
      <c r="B8" s="546"/>
      <c r="C8" s="374"/>
      <c r="D8" s="375" t="s">
        <v>16</v>
      </c>
      <c r="E8" s="376" t="s">
        <v>76</v>
      </c>
      <c r="F8" s="353">
        <v>7</v>
      </c>
      <c r="G8" s="477">
        <f t="shared" ref="G8:G13" si="0">(F8/70)*100</f>
        <v>10</v>
      </c>
      <c r="H8" s="377"/>
      <c r="I8" s="353" t="s">
        <v>17</v>
      </c>
      <c r="J8" s="351" t="s">
        <v>28</v>
      </c>
      <c r="K8" s="353" t="s">
        <v>14</v>
      </c>
      <c r="L8" s="378">
        <v>4</v>
      </c>
      <c r="M8" s="379">
        <v>3</v>
      </c>
      <c r="N8" s="68">
        <v>2</v>
      </c>
      <c r="O8" s="380">
        <v>1</v>
      </c>
      <c r="P8" s="381">
        <v>0</v>
      </c>
      <c r="Q8" s="351" t="s">
        <v>29</v>
      </c>
      <c r="S8" s="353">
        <v>7</v>
      </c>
      <c r="T8" s="1">
        <f t="shared" ref="T8:T13" si="1">(S8/70)*100</f>
        <v>10</v>
      </c>
    </row>
    <row r="9" spans="1:20" ht="114" customHeight="1">
      <c r="A9" s="546"/>
      <c r="B9" s="546"/>
      <c r="C9" s="374"/>
      <c r="D9" s="464" t="s">
        <v>192</v>
      </c>
      <c r="E9" s="376" t="s">
        <v>210</v>
      </c>
      <c r="F9" s="351">
        <v>6</v>
      </c>
      <c r="G9" s="477">
        <v>9</v>
      </c>
      <c r="H9" s="352"/>
      <c r="I9" s="351" t="s">
        <v>15</v>
      </c>
      <c r="J9" s="351" t="s">
        <v>28</v>
      </c>
      <c r="K9" s="353" t="s">
        <v>8</v>
      </c>
      <c r="L9" s="383">
        <v>0.91</v>
      </c>
      <c r="M9" s="384">
        <v>0.93</v>
      </c>
      <c r="N9" s="385">
        <v>0.95</v>
      </c>
      <c r="O9" s="386">
        <v>0.97</v>
      </c>
      <c r="P9" s="387">
        <v>0.99</v>
      </c>
      <c r="Q9" s="351" t="s">
        <v>33</v>
      </c>
      <c r="S9" s="351">
        <v>6</v>
      </c>
      <c r="T9" s="1">
        <v>9</v>
      </c>
    </row>
    <row r="10" spans="1:20" ht="114.75" customHeight="1">
      <c r="A10" s="546"/>
      <c r="B10" s="546"/>
      <c r="C10" s="374"/>
      <c r="D10" s="388" t="s">
        <v>194</v>
      </c>
      <c r="E10" s="389" t="s">
        <v>195</v>
      </c>
      <c r="F10" s="351">
        <v>6</v>
      </c>
      <c r="G10" s="477">
        <v>9</v>
      </c>
      <c r="H10" s="352"/>
      <c r="I10" s="351" t="s">
        <v>62</v>
      </c>
      <c r="J10" s="351" t="s">
        <v>28</v>
      </c>
      <c r="K10" s="353" t="s">
        <v>14</v>
      </c>
      <c r="L10" s="390" t="s">
        <v>196</v>
      </c>
      <c r="M10" s="391" t="s">
        <v>197</v>
      </c>
      <c r="N10" s="392">
        <v>6</v>
      </c>
      <c r="O10" s="393">
        <v>5</v>
      </c>
      <c r="P10" s="394">
        <v>4</v>
      </c>
      <c r="Q10" s="351"/>
      <c r="R10" s="389" t="s">
        <v>198</v>
      </c>
      <c r="S10" s="351">
        <v>6</v>
      </c>
      <c r="T10" s="1">
        <v>9</v>
      </c>
    </row>
    <row r="11" spans="1:20" ht="86.4" customHeight="1">
      <c r="A11" s="546"/>
      <c r="B11" s="546"/>
      <c r="C11" s="374"/>
      <c r="D11" s="395" t="s">
        <v>199</v>
      </c>
      <c r="E11" s="389" t="s">
        <v>200</v>
      </c>
      <c r="F11" s="351">
        <v>6</v>
      </c>
      <c r="G11" s="477">
        <v>9</v>
      </c>
      <c r="H11" s="352"/>
      <c r="I11" s="351" t="s">
        <v>201</v>
      </c>
      <c r="J11" s="351" t="s">
        <v>28</v>
      </c>
      <c r="K11" s="353" t="s">
        <v>8</v>
      </c>
      <c r="L11" s="383">
        <v>0.9</v>
      </c>
      <c r="M11" s="384">
        <v>0.92</v>
      </c>
      <c r="N11" s="385">
        <v>0.94</v>
      </c>
      <c r="O11" s="386">
        <v>0.96</v>
      </c>
      <c r="P11" s="387">
        <v>0.98</v>
      </c>
      <c r="Q11" s="351"/>
      <c r="S11" s="351">
        <v>6</v>
      </c>
      <c r="T11" s="1">
        <v>9</v>
      </c>
    </row>
    <row r="12" spans="1:20" ht="97.5" customHeight="1">
      <c r="A12" s="546"/>
      <c r="B12" s="546"/>
      <c r="C12" s="374"/>
      <c r="D12" s="463" t="s">
        <v>69</v>
      </c>
      <c r="E12" s="350" t="s">
        <v>224</v>
      </c>
      <c r="F12" s="351">
        <v>7</v>
      </c>
      <c r="G12" s="477">
        <f t="shared" si="0"/>
        <v>10</v>
      </c>
      <c r="H12" s="352"/>
      <c r="I12" s="353" t="s">
        <v>17</v>
      </c>
      <c r="J12" s="351" t="s">
        <v>28</v>
      </c>
      <c r="K12" s="353" t="s">
        <v>8</v>
      </c>
      <c r="L12" s="383">
        <v>0.91</v>
      </c>
      <c r="M12" s="384">
        <v>0.93</v>
      </c>
      <c r="N12" s="385">
        <v>0.95</v>
      </c>
      <c r="O12" s="386">
        <v>0.97</v>
      </c>
      <c r="P12" s="387">
        <v>0.99</v>
      </c>
      <c r="Q12" s="351"/>
      <c r="S12" s="351">
        <v>7</v>
      </c>
      <c r="T12" s="1">
        <f t="shared" si="1"/>
        <v>10</v>
      </c>
    </row>
    <row r="13" spans="1:20" ht="234.6">
      <c r="A13" s="546"/>
      <c r="B13" s="546"/>
      <c r="C13" s="448"/>
      <c r="D13" s="397" t="s">
        <v>202</v>
      </c>
      <c r="E13" s="398" t="s">
        <v>203</v>
      </c>
      <c r="F13" s="399">
        <v>7</v>
      </c>
      <c r="G13" s="477">
        <f t="shared" si="0"/>
        <v>10</v>
      </c>
      <c r="H13" s="400"/>
      <c r="I13" s="401" t="s">
        <v>62</v>
      </c>
      <c r="J13" s="401" t="s">
        <v>28</v>
      </c>
      <c r="K13" s="353" t="s">
        <v>92</v>
      </c>
      <c r="L13" s="390" t="s">
        <v>93</v>
      </c>
      <c r="M13" s="391" t="s">
        <v>94</v>
      </c>
      <c r="N13" s="392">
        <v>3</v>
      </c>
      <c r="O13" s="393">
        <v>4</v>
      </c>
      <c r="P13" s="394">
        <v>5</v>
      </c>
      <c r="Q13" s="402" t="s">
        <v>29</v>
      </c>
      <c r="S13" s="399">
        <v>7</v>
      </c>
      <c r="T13" s="1">
        <f t="shared" si="1"/>
        <v>10</v>
      </c>
    </row>
    <row r="14" spans="1:20" customFormat="1" ht="357.6" customHeight="1">
      <c r="A14" s="546"/>
      <c r="B14" s="546"/>
      <c r="C14" s="396"/>
      <c r="D14" s="460" t="s">
        <v>225</v>
      </c>
      <c r="E14" s="398" t="s">
        <v>238</v>
      </c>
      <c r="F14" s="399">
        <v>5</v>
      </c>
      <c r="G14" s="477">
        <v>7</v>
      </c>
      <c r="H14" s="400"/>
      <c r="I14" s="401" t="s">
        <v>62</v>
      </c>
      <c r="J14" s="401" t="s">
        <v>28</v>
      </c>
      <c r="K14" s="353" t="s">
        <v>8</v>
      </c>
      <c r="L14" s="390" t="s">
        <v>93</v>
      </c>
      <c r="M14" s="391" t="s">
        <v>94</v>
      </c>
      <c r="N14" s="392">
        <v>3</v>
      </c>
      <c r="O14" s="393">
        <v>4</v>
      </c>
      <c r="P14" s="394">
        <v>5</v>
      </c>
      <c r="Q14" s="402" t="s">
        <v>29</v>
      </c>
      <c r="S14" s="399">
        <v>5</v>
      </c>
      <c r="T14" s="1">
        <v>7</v>
      </c>
    </row>
    <row r="15" spans="1:20">
      <c r="A15" s="43"/>
      <c r="B15" s="403" t="s">
        <v>36</v>
      </c>
      <c r="C15" s="404"/>
      <c r="D15" s="405"/>
      <c r="E15" s="406" t="s">
        <v>204</v>
      </c>
      <c r="F15" s="407">
        <f>SUM(F2:F14)</f>
        <v>70</v>
      </c>
      <c r="G15" s="407">
        <f>SUM(G2:G14)</f>
        <v>100</v>
      </c>
      <c r="H15" s="407"/>
      <c r="I15" s="407"/>
      <c r="J15" s="407"/>
      <c r="K15" s="408"/>
      <c r="L15" s="408"/>
      <c r="M15" s="408"/>
      <c r="N15" s="408"/>
      <c r="O15" s="408"/>
      <c r="P15" s="408">
        <v>8</v>
      </c>
      <c r="Q15" s="407"/>
      <c r="S15" s="407">
        <f>SUM(S2:S14)</f>
        <v>70</v>
      </c>
    </row>
    <row r="16" spans="1:20">
      <c r="A16" s="409"/>
      <c r="B16" s="409"/>
      <c r="C16" s="409"/>
      <c r="D16" s="410"/>
      <c r="E16" s="409"/>
      <c r="F16" s="409"/>
      <c r="G16" s="409"/>
      <c r="H16" s="409"/>
      <c r="I16" s="409"/>
      <c r="J16" s="409"/>
      <c r="K16" s="409"/>
      <c r="L16" s="409"/>
      <c r="M16" s="409"/>
      <c r="N16" s="409"/>
      <c r="O16" s="409"/>
      <c r="P16" s="409"/>
      <c r="Q16" s="409"/>
    </row>
    <row r="17" spans="1:17">
      <c r="A17" s="409"/>
      <c r="B17" s="409"/>
      <c r="C17" s="409"/>
      <c r="D17" s="410"/>
      <c r="E17" s="409"/>
      <c r="F17" s="409"/>
      <c r="G17" s="409"/>
      <c r="H17" s="409"/>
      <c r="I17" s="409"/>
      <c r="J17" s="409"/>
      <c r="K17" s="409"/>
      <c r="L17" s="409"/>
      <c r="M17" s="409"/>
      <c r="N17" s="409"/>
      <c r="O17" s="409"/>
      <c r="P17" s="409"/>
      <c r="Q17" s="409"/>
    </row>
    <row r="18" spans="1:17">
      <c r="A18" s="409"/>
      <c r="B18" s="409"/>
      <c r="C18" s="409"/>
      <c r="D18" s="410"/>
      <c r="E18" s="411"/>
      <c r="F18" s="409"/>
      <c r="G18" s="409"/>
      <c r="H18" s="409"/>
      <c r="I18" s="409"/>
      <c r="J18" s="409"/>
      <c r="K18" s="409"/>
      <c r="L18" s="409"/>
      <c r="M18" s="409"/>
      <c r="N18" s="409"/>
      <c r="O18" s="409"/>
      <c r="P18" s="409"/>
      <c r="Q18" s="409"/>
    </row>
    <row r="19" spans="1:17">
      <c r="A19" s="409"/>
      <c r="B19" s="409"/>
      <c r="C19" s="409"/>
      <c r="D19" s="410"/>
      <c r="E19" s="409"/>
      <c r="F19" s="409"/>
      <c r="G19" s="409"/>
      <c r="H19" s="409"/>
      <c r="I19" s="409"/>
      <c r="J19" s="409"/>
      <c r="K19" s="409"/>
      <c r="L19" s="409"/>
      <c r="M19" s="409"/>
      <c r="N19" s="409"/>
      <c r="O19" s="409"/>
      <c r="P19" s="409"/>
      <c r="Q19" s="409"/>
    </row>
    <row r="20" spans="1:17">
      <c r="A20" s="409"/>
      <c r="B20" s="409"/>
      <c r="C20" s="409"/>
      <c r="D20" s="410"/>
      <c r="E20" s="409"/>
      <c r="F20" s="409"/>
      <c r="G20" s="409"/>
      <c r="H20" s="409"/>
      <c r="I20" s="409"/>
      <c r="J20" s="409"/>
      <c r="K20" s="409"/>
      <c r="L20" s="409"/>
      <c r="M20" s="409"/>
      <c r="N20" s="409"/>
      <c r="O20" s="409"/>
      <c r="P20" s="409"/>
      <c r="Q20" s="409"/>
    </row>
    <row r="21" spans="1:17">
      <c r="A21" s="409"/>
      <c r="B21" s="409"/>
      <c r="C21" s="409"/>
      <c r="D21" s="410"/>
      <c r="E21" s="409"/>
      <c r="F21" s="409"/>
      <c r="G21" s="409"/>
      <c r="H21" s="409"/>
      <c r="I21" s="409"/>
      <c r="J21" s="409"/>
      <c r="K21" s="409"/>
      <c r="L21" s="409"/>
      <c r="M21" s="409"/>
      <c r="N21" s="409"/>
      <c r="O21" s="409"/>
      <c r="P21" s="409"/>
      <c r="Q21" s="409"/>
    </row>
    <row r="22" spans="1:17">
      <c r="A22" s="409"/>
      <c r="B22" s="409"/>
      <c r="C22" s="409"/>
      <c r="D22" s="410"/>
      <c r="E22" s="409"/>
      <c r="F22" s="409"/>
      <c r="G22" s="409"/>
      <c r="H22" s="409"/>
      <c r="I22" s="409"/>
      <c r="J22" s="409"/>
      <c r="K22" s="409"/>
      <c r="L22" s="409"/>
      <c r="M22" s="409"/>
      <c r="N22" s="409"/>
      <c r="O22" s="409"/>
      <c r="P22" s="409"/>
      <c r="Q22" s="409"/>
    </row>
    <row r="23" spans="1:17">
      <c r="A23" s="409"/>
      <c r="B23" s="409"/>
      <c r="C23" s="409"/>
      <c r="D23" s="410"/>
      <c r="E23" s="409"/>
      <c r="F23" s="409"/>
      <c r="G23" s="409"/>
      <c r="H23" s="409"/>
      <c r="I23" s="409"/>
      <c r="J23" s="409"/>
      <c r="K23" s="409"/>
      <c r="L23" s="409"/>
      <c r="M23" s="409"/>
      <c r="N23" s="409"/>
      <c r="O23" s="409"/>
      <c r="P23" s="409"/>
      <c r="Q23" s="409"/>
    </row>
    <row r="24" spans="1:17">
      <c r="A24" s="409"/>
      <c r="B24" s="409"/>
      <c r="C24" s="409"/>
      <c r="D24" s="410"/>
      <c r="E24" s="409"/>
      <c r="F24" s="409"/>
      <c r="G24" s="409"/>
      <c r="H24" s="409"/>
      <c r="I24" s="409"/>
      <c r="J24" s="409"/>
      <c r="K24" s="409"/>
      <c r="L24" s="409"/>
      <c r="M24" s="409"/>
      <c r="N24" s="409"/>
      <c r="O24" s="409"/>
      <c r="P24" s="409"/>
      <c r="Q24" s="409"/>
    </row>
    <row r="25" spans="1:17">
      <c r="A25" s="409"/>
      <c r="B25" s="409"/>
      <c r="C25" s="409"/>
      <c r="D25" s="410"/>
      <c r="E25" s="409"/>
      <c r="F25" s="409"/>
      <c r="G25" s="409"/>
      <c r="H25" s="409"/>
      <c r="I25" s="409"/>
      <c r="J25" s="409"/>
      <c r="K25" s="409"/>
      <c r="L25" s="409"/>
      <c r="M25" s="409"/>
      <c r="N25" s="409"/>
      <c r="O25" s="409"/>
      <c r="P25" s="409"/>
      <c r="Q25" s="409"/>
    </row>
  </sheetData>
  <mergeCells count="7">
    <mergeCell ref="T4:T7"/>
    <mergeCell ref="G4:G7"/>
    <mergeCell ref="A4:A14"/>
    <mergeCell ref="B4:B14"/>
    <mergeCell ref="C4:C7"/>
    <mergeCell ref="F4:F7"/>
    <mergeCell ref="S4:S7"/>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U25"/>
  <sheetViews>
    <sheetView topLeftCell="A13" zoomScale="85" zoomScaleNormal="85" workbookViewId="0">
      <selection activeCell="E13" sqref="E13"/>
    </sheetView>
  </sheetViews>
  <sheetFormatPr defaultRowHeight="14.4"/>
  <cols>
    <col min="1" max="1" width="12.5546875" customWidth="1"/>
    <col min="2" max="2" width="15.88671875" customWidth="1"/>
    <col min="3" max="3" width="12.44140625" customWidth="1"/>
    <col min="4" max="4" width="16.6640625" customWidth="1"/>
    <col min="5" max="5" width="69.5546875" customWidth="1"/>
    <col min="6" max="7" width="11.5546875" customWidth="1"/>
  </cols>
  <sheetData>
    <row r="1" spans="1:21" ht="55.8" thickBot="1">
      <c r="A1" s="42" t="s">
        <v>0</v>
      </c>
      <c r="B1" s="345" t="s">
        <v>1</v>
      </c>
      <c r="C1" s="346" t="s">
        <v>21</v>
      </c>
      <c r="D1" s="346" t="s">
        <v>58</v>
      </c>
      <c r="E1" s="345" t="s">
        <v>3</v>
      </c>
      <c r="F1" s="345" t="s">
        <v>22</v>
      </c>
      <c r="G1" s="476" t="s">
        <v>242</v>
      </c>
      <c r="H1" s="345" t="s">
        <v>23</v>
      </c>
      <c r="I1" s="345" t="s">
        <v>4</v>
      </c>
      <c r="J1" s="345" t="s">
        <v>24</v>
      </c>
      <c r="K1" s="345" t="s">
        <v>5</v>
      </c>
      <c r="L1" s="345" t="s">
        <v>6</v>
      </c>
      <c r="M1" s="345" t="s">
        <v>7</v>
      </c>
      <c r="N1" s="345" t="s">
        <v>59</v>
      </c>
      <c r="O1" s="345" t="s">
        <v>25</v>
      </c>
      <c r="P1" s="345" t="s">
        <v>26</v>
      </c>
      <c r="Q1" s="345" t="s">
        <v>75</v>
      </c>
    </row>
    <row r="2" spans="1:21" s="1" customFormat="1" ht="194.4" customHeight="1">
      <c r="A2" s="348" t="s">
        <v>9</v>
      </c>
      <c r="B2" s="348" t="s">
        <v>155</v>
      </c>
      <c r="C2" s="349"/>
      <c r="D2" s="348" t="s">
        <v>156</v>
      </c>
      <c r="E2" s="350" t="s">
        <v>157</v>
      </c>
      <c r="F2" s="351">
        <v>5</v>
      </c>
      <c r="G2" s="477">
        <v>7</v>
      </c>
      <c r="H2" s="352"/>
      <c r="I2" s="351" t="s">
        <v>62</v>
      </c>
      <c r="J2" s="351" t="s">
        <v>28</v>
      </c>
      <c r="K2" s="353" t="s">
        <v>92</v>
      </c>
      <c r="L2" s="354">
        <v>1</v>
      </c>
      <c r="M2" s="355">
        <v>2</v>
      </c>
      <c r="N2" s="356">
        <v>3</v>
      </c>
      <c r="O2" s="357">
        <v>4</v>
      </c>
      <c r="P2" s="358">
        <v>5</v>
      </c>
      <c r="Q2" s="351" t="s">
        <v>29</v>
      </c>
      <c r="T2" s="351">
        <v>5</v>
      </c>
      <c r="U2" s="1">
        <v>7</v>
      </c>
    </row>
    <row r="3" spans="1:21" s="1" customFormat="1" ht="194.4" customHeight="1">
      <c r="A3" s="412" t="s">
        <v>12</v>
      </c>
      <c r="B3" s="412" t="s">
        <v>30</v>
      </c>
      <c r="C3" s="413"/>
      <c r="D3" s="462" t="s">
        <v>230</v>
      </c>
      <c r="E3" s="233" t="s">
        <v>237</v>
      </c>
      <c r="F3" s="414">
        <v>6</v>
      </c>
      <c r="G3" s="477">
        <v>9</v>
      </c>
      <c r="H3" s="352"/>
      <c r="I3" s="362" t="s">
        <v>43</v>
      </c>
      <c r="J3" s="363" t="s">
        <v>28</v>
      </c>
      <c r="K3" s="362" t="s">
        <v>92</v>
      </c>
      <c r="L3" s="364">
        <v>1</v>
      </c>
      <c r="M3" s="365">
        <v>2</v>
      </c>
      <c r="N3" s="415">
        <v>3</v>
      </c>
      <c r="O3" s="367">
        <v>4</v>
      </c>
      <c r="P3" s="368">
        <v>5</v>
      </c>
      <c r="Q3" s="369" t="s">
        <v>29</v>
      </c>
      <c r="T3" s="414">
        <v>6</v>
      </c>
      <c r="U3" s="1">
        <v>9</v>
      </c>
    </row>
    <row r="4" spans="1:21" ht="104.25" customHeight="1">
      <c r="A4" s="545" t="s">
        <v>12</v>
      </c>
      <c r="B4" s="545" t="s">
        <v>30</v>
      </c>
      <c r="C4" s="565" t="s">
        <v>31</v>
      </c>
      <c r="D4" s="446" t="s">
        <v>32</v>
      </c>
      <c r="E4" s="350" t="s">
        <v>205</v>
      </c>
      <c r="F4" s="567">
        <v>15</v>
      </c>
      <c r="G4" s="541">
        <v>20</v>
      </c>
      <c r="H4" s="351">
        <v>15</v>
      </c>
      <c r="I4" s="351" t="s">
        <v>15</v>
      </c>
      <c r="J4" s="351" t="s">
        <v>28</v>
      </c>
      <c r="K4" s="353" t="s">
        <v>14</v>
      </c>
      <c r="L4" s="354">
        <v>1</v>
      </c>
      <c r="M4" s="370">
        <v>2</v>
      </c>
      <c r="N4" s="371">
        <v>3</v>
      </c>
      <c r="O4" s="372">
        <v>4</v>
      </c>
      <c r="P4" s="373">
        <v>5</v>
      </c>
      <c r="Q4" s="351" t="s">
        <v>33</v>
      </c>
      <c r="T4" s="567">
        <v>15</v>
      </c>
      <c r="U4" s="558">
        <v>20</v>
      </c>
    </row>
    <row r="5" spans="1:21" ht="97.5" customHeight="1">
      <c r="A5" s="546"/>
      <c r="B5" s="546"/>
      <c r="C5" s="561"/>
      <c r="D5" s="446" t="s">
        <v>34</v>
      </c>
      <c r="E5" s="350" t="s">
        <v>206</v>
      </c>
      <c r="F5" s="563"/>
      <c r="G5" s="541"/>
      <c r="H5" s="351">
        <v>40</v>
      </c>
      <c r="I5" s="351" t="s">
        <v>15</v>
      </c>
      <c r="J5" s="351" t="s">
        <v>28</v>
      </c>
      <c r="K5" s="353" t="s">
        <v>14</v>
      </c>
      <c r="L5" s="354">
        <v>2</v>
      </c>
      <c r="M5" s="370">
        <v>3</v>
      </c>
      <c r="N5" s="371">
        <v>4</v>
      </c>
      <c r="O5" s="372">
        <v>5</v>
      </c>
      <c r="P5" s="373">
        <v>6</v>
      </c>
      <c r="Q5" s="351" t="s">
        <v>33</v>
      </c>
      <c r="T5" s="563"/>
      <c r="U5" s="558"/>
    </row>
    <row r="6" spans="1:21" ht="94.5" customHeight="1">
      <c r="A6" s="546"/>
      <c r="B6" s="546"/>
      <c r="C6" s="561"/>
      <c r="D6" s="446" t="s">
        <v>35</v>
      </c>
      <c r="E6" s="350" t="s">
        <v>222</v>
      </c>
      <c r="F6" s="563"/>
      <c r="G6" s="541"/>
      <c r="H6" s="351">
        <v>30</v>
      </c>
      <c r="I6" s="351" t="s">
        <v>15</v>
      </c>
      <c r="J6" s="351" t="s">
        <v>28</v>
      </c>
      <c r="K6" s="353" t="s">
        <v>14</v>
      </c>
      <c r="L6" s="354">
        <v>2</v>
      </c>
      <c r="M6" s="370">
        <v>3</v>
      </c>
      <c r="N6" s="371">
        <v>4</v>
      </c>
      <c r="O6" s="372">
        <v>5</v>
      </c>
      <c r="P6" s="373">
        <v>6</v>
      </c>
      <c r="Q6" s="351" t="s">
        <v>33</v>
      </c>
      <c r="T6" s="563"/>
      <c r="U6" s="558"/>
    </row>
    <row r="7" spans="1:21" ht="114.75" customHeight="1">
      <c r="A7" s="546"/>
      <c r="B7" s="546"/>
      <c r="C7" s="566"/>
      <c r="D7" s="447" t="s">
        <v>56</v>
      </c>
      <c r="E7" s="350" t="s">
        <v>223</v>
      </c>
      <c r="F7" s="564"/>
      <c r="G7" s="541"/>
      <c r="H7" s="351">
        <v>15</v>
      </c>
      <c r="I7" s="351" t="s">
        <v>15</v>
      </c>
      <c r="J7" s="351" t="s">
        <v>28</v>
      </c>
      <c r="K7" s="353" t="s">
        <v>14</v>
      </c>
      <c r="L7" s="354">
        <v>2</v>
      </c>
      <c r="M7" s="370">
        <v>3</v>
      </c>
      <c r="N7" s="371">
        <v>4</v>
      </c>
      <c r="O7" s="372">
        <v>5</v>
      </c>
      <c r="P7" s="373">
        <v>6</v>
      </c>
      <c r="Q7" s="351" t="s">
        <v>33</v>
      </c>
      <c r="T7" s="564"/>
      <c r="U7" s="558"/>
    </row>
    <row r="8" spans="1:21" s="1" customFormat="1" ht="120" customHeight="1">
      <c r="A8" s="546"/>
      <c r="B8" s="546"/>
      <c r="C8" s="374"/>
      <c r="D8" s="375" t="s">
        <v>16</v>
      </c>
      <c r="E8" s="376" t="s">
        <v>76</v>
      </c>
      <c r="F8" s="353">
        <v>8</v>
      </c>
      <c r="G8" s="477">
        <v>11</v>
      </c>
      <c r="H8" s="377"/>
      <c r="I8" s="353" t="s">
        <v>17</v>
      </c>
      <c r="J8" s="351" t="s">
        <v>28</v>
      </c>
      <c r="K8" s="353" t="s">
        <v>14</v>
      </c>
      <c r="L8" s="378">
        <v>4</v>
      </c>
      <c r="M8" s="379">
        <v>3</v>
      </c>
      <c r="N8" s="68">
        <v>2</v>
      </c>
      <c r="O8" s="380">
        <v>1</v>
      </c>
      <c r="P8" s="381">
        <v>0</v>
      </c>
      <c r="Q8" s="351" t="s">
        <v>29</v>
      </c>
      <c r="T8" s="353">
        <v>8</v>
      </c>
      <c r="U8" s="1">
        <v>11</v>
      </c>
    </row>
    <row r="9" spans="1:21" ht="122.25" customHeight="1">
      <c r="A9" s="546"/>
      <c r="B9" s="546"/>
      <c r="C9" s="374"/>
      <c r="D9" s="382" t="s">
        <v>192</v>
      </c>
      <c r="E9" s="376" t="s">
        <v>193</v>
      </c>
      <c r="F9" s="351">
        <v>8</v>
      </c>
      <c r="G9" s="477">
        <v>12</v>
      </c>
      <c r="H9" s="352"/>
      <c r="I9" s="351" t="s">
        <v>15</v>
      </c>
      <c r="J9" s="351" t="s">
        <v>28</v>
      </c>
      <c r="K9" s="353" t="s">
        <v>8</v>
      </c>
      <c r="L9" s="383">
        <v>0.91</v>
      </c>
      <c r="M9" s="384">
        <v>0.93</v>
      </c>
      <c r="N9" s="385">
        <v>0.95</v>
      </c>
      <c r="O9" s="386">
        <v>0.97</v>
      </c>
      <c r="P9" s="387">
        <v>0.99</v>
      </c>
      <c r="Q9" s="351" t="s">
        <v>33</v>
      </c>
      <c r="T9" s="351">
        <v>8</v>
      </c>
      <c r="U9" s="1">
        <v>12</v>
      </c>
    </row>
    <row r="10" spans="1:21" s="1" customFormat="1" ht="123" customHeight="1">
      <c r="A10" s="546"/>
      <c r="B10" s="546"/>
      <c r="C10" s="374"/>
      <c r="D10" s="388" t="s">
        <v>194</v>
      </c>
      <c r="E10" s="389" t="s">
        <v>195</v>
      </c>
      <c r="F10" s="351">
        <v>6</v>
      </c>
      <c r="G10" s="477">
        <v>9</v>
      </c>
      <c r="H10" s="352"/>
      <c r="I10" s="351" t="s">
        <v>62</v>
      </c>
      <c r="J10" s="351" t="s">
        <v>28</v>
      </c>
      <c r="K10" s="353" t="s">
        <v>14</v>
      </c>
      <c r="L10" s="390" t="s">
        <v>196</v>
      </c>
      <c r="M10" s="391" t="s">
        <v>197</v>
      </c>
      <c r="N10" s="392">
        <v>6</v>
      </c>
      <c r="O10" s="393">
        <v>5</v>
      </c>
      <c r="P10" s="394">
        <v>4</v>
      </c>
      <c r="Q10" s="351"/>
      <c r="T10" s="351">
        <v>6</v>
      </c>
      <c r="U10" s="1">
        <v>9</v>
      </c>
    </row>
    <row r="11" spans="1:21" s="1" customFormat="1" ht="86.4" customHeight="1">
      <c r="A11" s="546"/>
      <c r="B11" s="546"/>
      <c r="C11" s="374"/>
      <c r="D11" s="395" t="s">
        <v>199</v>
      </c>
      <c r="E11" s="389" t="s">
        <v>200</v>
      </c>
      <c r="F11" s="351">
        <v>7</v>
      </c>
      <c r="G11" s="477">
        <f t="shared" ref="G11:G13" si="0">(F11/70)*100</f>
        <v>10</v>
      </c>
      <c r="H11" s="352"/>
      <c r="I11" s="351" t="s">
        <v>201</v>
      </c>
      <c r="J11" s="351" t="s">
        <v>28</v>
      </c>
      <c r="K11" s="353" t="s">
        <v>8</v>
      </c>
      <c r="L11" s="383">
        <v>0.9</v>
      </c>
      <c r="M11" s="384">
        <v>0.92</v>
      </c>
      <c r="N11" s="385">
        <v>0.94</v>
      </c>
      <c r="O11" s="386">
        <v>0.96</v>
      </c>
      <c r="P11" s="387">
        <v>0.98</v>
      </c>
      <c r="Q11" s="351"/>
      <c r="T11" s="351">
        <v>7</v>
      </c>
      <c r="U11" s="1">
        <f t="shared" ref="U11:U13" si="1">(T11/70)*100</f>
        <v>10</v>
      </c>
    </row>
    <row r="12" spans="1:21" ht="88.5" customHeight="1">
      <c r="A12" s="546"/>
      <c r="B12" s="546"/>
      <c r="C12" s="374"/>
      <c r="D12" s="463" t="s">
        <v>69</v>
      </c>
      <c r="E12" s="350" t="s">
        <v>224</v>
      </c>
      <c r="F12" s="351">
        <v>8</v>
      </c>
      <c r="G12" s="477">
        <v>12</v>
      </c>
      <c r="H12" s="352"/>
      <c r="I12" s="353" t="s">
        <v>17</v>
      </c>
      <c r="J12" s="351" t="s">
        <v>28</v>
      </c>
      <c r="K12" s="353" t="s">
        <v>8</v>
      </c>
      <c r="L12" s="383">
        <v>0.91</v>
      </c>
      <c r="M12" s="384">
        <v>0.93</v>
      </c>
      <c r="N12" s="385">
        <v>0.95</v>
      </c>
      <c r="O12" s="386">
        <v>0.97</v>
      </c>
      <c r="P12" s="387">
        <v>0.99</v>
      </c>
      <c r="Q12" s="351"/>
      <c r="T12" s="351">
        <v>8</v>
      </c>
      <c r="U12" s="1">
        <v>12</v>
      </c>
    </row>
    <row r="13" spans="1:21" ht="354.6" customHeight="1">
      <c r="A13" s="546"/>
      <c r="B13" s="557"/>
      <c r="C13" s="396"/>
      <c r="D13" s="397" t="s">
        <v>202</v>
      </c>
      <c r="E13" s="398" t="s">
        <v>203</v>
      </c>
      <c r="F13" s="399">
        <v>7</v>
      </c>
      <c r="G13" s="477">
        <f t="shared" si="0"/>
        <v>10</v>
      </c>
      <c r="H13" s="400"/>
      <c r="I13" s="401" t="s">
        <v>62</v>
      </c>
      <c r="J13" s="401" t="s">
        <v>28</v>
      </c>
      <c r="K13" s="353" t="s">
        <v>92</v>
      </c>
      <c r="L13" s="390" t="s">
        <v>93</v>
      </c>
      <c r="M13" s="391" t="s">
        <v>94</v>
      </c>
      <c r="N13" s="392">
        <v>3</v>
      </c>
      <c r="O13" s="393">
        <v>4</v>
      </c>
      <c r="P13" s="394">
        <v>5</v>
      </c>
      <c r="Q13" s="402" t="s">
        <v>29</v>
      </c>
      <c r="T13" s="399">
        <v>7</v>
      </c>
      <c r="U13" s="1">
        <f t="shared" si="1"/>
        <v>10</v>
      </c>
    </row>
    <row r="14" spans="1:21">
      <c r="A14" s="43"/>
      <c r="B14" s="403" t="s">
        <v>36</v>
      </c>
      <c r="C14" s="404"/>
      <c r="D14" s="405"/>
      <c r="E14" s="406" t="s">
        <v>204</v>
      </c>
      <c r="F14" s="407">
        <f>SUM(F2:F13)</f>
        <v>70</v>
      </c>
      <c r="G14" s="407">
        <f>SUM(G2:G13)</f>
        <v>100</v>
      </c>
      <c r="H14" s="407"/>
      <c r="I14" s="407"/>
      <c r="J14" s="407"/>
      <c r="K14" s="408"/>
      <c r="L14" s="408"/>
      <c r="M14" s="408"/>
      <c r="N14" s="408"/>
      <c r="O14" s="408"/>
      <c r="P14" s="408">
        <v>8</v>
      </c>
      <c r="Q14" s="407"/>
      <c r="T14" s="407">
        <f>SUM(T2:T13)</f>
        <v>70</v>
      </c>
    </row>
    <row r="15" spans="1:21">
      <c r="A15" s="409"/>
      <c r="B15" s="409"/>
      <c r="C15" s="409"/>
      <c r="D15" s="410"/>
      <c r="E15" s="409"/>
      <c r="F15" s="409"/>
      <c r="G15" s="409"/>
      <c r="H15" s="409"/>
      <c r="I15" s="409"/>
      <c r="J15" s="409"/>
      <c r="K15" s="409"/>
      <c r="L15" s="409"/>
      <c r="M15" s="409"/>
      <c r="N15" s="409"/>
      <c r="O15" s="409"/>
      <c r="P15" s="409"/>
      <c r="Q15" s="409"/>
    </row>
    <row r="16" spans="1:21">
      <c r="A16" s="409"/>
      <c r="B16" s="409"/>
      <c r="C16" s="409"/>
      <c r="D16" s="410"/>
      <c r="E16" s="409"/>
      <c r="F16" s="409"/>
      <c r="G16" s="409"/>
      <c r="H16" s="409"/>
      <c r="I16" s="409"/>
      <c r="J16" s="409"/>
      <c r="K16" s="409"/>
      <c r="L16" s="409"/>
      <c r="M16" s="409"/>
      <c r="N16" s="409"/>
      <c r="O16" s="409"/>
      <c r="P16" s="409"/>
      <c r="Q16" s="409"/>
    </row>
    <row r="17" spans="1:17">
      <c r="A17" s="409"/>
      <c r="B17" s="409"/>
      <c r="C17" s="409"/>
      <c r="D17" s="410"/>
      <c r="E17" s="411"/>
      <c r="F17" s="409"/>
      <c r="G17" s="409"/>
      <c r="H17" s="409"/>
      <c r="I17" s="409"/>
      <c r="J17" s="409"/>
      <c r="K17" s="409"/>
      <c r="L17" s="409"/>
      <c r="M17" s="409"/>
      <c r="N17" s="409"/>
      <c r="O17" s="409"/>
      <c r="P17" s="409"/>
      <c r="Q17" s="409"/>
    </row>
    <row r="18" spans="1:17">
      <c r="A18" s="409"/>
      <c r="B18" s="409"/>
      <c r="C18" s="409"/>
      <c r="D18" s="410"/>
      <c r="E18" s="409"/>
      <c r="F18" s="409"/>
      <c r="G18" s="409"/>
      <c r="H18" s="409"/>
      <c r="I18" s="409"/>
      <c r="J18" s="409"/>
      <c r="K18" s="409"/>
      <c r="L18" s="409"/>
      <c r="M18" s="409"/>
      <c r="N18" s="409"/>
      <c r="O18" s="409"/>
      <c r="P18" s="409"/>
      <c r="Q18" s="409"/>
    </row>
    <row r="19" spans="1:17">
      <c r="A19" s="409"/>
      <c r="B19" s="409"/>
      <c r="C19" s="409"/>
      <c r="D19" s="410"/>
      <c r="E19" s="409"/>
      <c r="F19" s="409"/>
      <c r="G19" s="409"/>
      <c r="H19" s="409"/>
      <c r="I19" s="409"/>
      <c r="J19" s="409"/>
      <c r="K19" s="409"/>
      <c r="L19" s="409"/>
      <c r="M19" s="409"/>
      <c r="N19" s="409"/>
      <c r="O19" s="409"/>
      <c r="P19" s="409"/>
      <c r="Q19" s="409"/>
    </row>
    <row r="20" spans="1:17">
      <c r="A20" s="409"/>
      <c r="B20" s="409"/>
      <c r="C20" s="409"/>
      <c r="D20" s="410"/>
      <c r="E20" s="409"/>
      <c r="F20" s="409"/>
      <c r="G20" s="409"/>
      <c r="H20" s="409"/>
      <c r="I20" s="409"/>
      <c r="J20" s="409"/>
      <c r="K20" s="409"/>
      <c r="L20" s="409"/>
      <c r="M20" s="409"/>
      <c r="N20" s="409"/>
      <c r="O20" s="409"/>
      <c r="P20" s="409"/>
      <c r="Q20" s="409"/>
    </row>
    <row r="21" spans="1:17">
      <c r="A21" s="409"/>
      <c r="B21" s="409"/>
      <c r="C21" s="409"/>
      <c r="D21" s="410"/>
      <c r="E21" s="409"/>
      <c r="F21" s="409"/>
      <c r="G21" s="409"/>
      <c r="H21" s="409"/>
      <c r="I21" s="409"/>
      <c r="J21" s="409"/>
      <c r="K21" s="409"/>
      <c r="L21" s="409"/>
      <c r="M21" s="409"/>
      <c r="N21" s="409"/>
      <c r="O21" s="409"/>
      <c r="P21" s="409"/>
      <c r="Q21" s="409"/>
    </row>
    <row r="22" spans="1:17">
      <c r="A22" s="409"/>
      <c r="B22" s="409"/>
      <c r="C22" s="409"/>
      <c r="D22" s="410"/>
      <c r="E22" s="409"/>
      <c r="F22" s="409"/>
      <c r="G22" s="409"/>
      <c r="H22" s="409"/>
      <c r="I22" s="409"/>
      <c r="J22" s="409"/>
      <c r="K22" s="409"/>
      <c r="L22" s="409"/>
      <c r="M22" s="409"/>
      <c r="N22" s="409"/>
      <c r="O22" s="409"/>
      <c r="P22" s="409"/>
      <c r="Q22" s="409"/>
    </row>
    <row r="23" spans="1:17">
      <c r="A23" s="409"/>
      <c r="B23" s="409"/>
      <c r="C23" s="409"/>
      <c r="D23" s="410"/>
      <c r="E23" s="409"/>
      <c r="F23" s="409"/>
      <c r="G23" s="409"/>
      <c r="H23" s="409"/>
      <c r="I23" s="409"/>
      <c r="J23" s="409"/>
      <c r="K23" s="409"/>
      <c r="L23" s="409"/>
      <c r="M23" s="409"/>
      <c r="N23" s="409"/>
      <c r="O23" s="409"/>
      <c r="P23" s="409"/>
      <c r="Q23" s="409"/>
    </row>
    <row r="24" spans="1:17">
      <c r="A24" s="409"/>
      <c r="B24" s="409"/>
      <c r="C24" s="409"/>
      <c r="D24" s="410"/>
      <c r="E24" s="409"/>
      <c r="F24" s="409"/>
      <c r="G24" s="409"/>
      <c r="H24" s="409"/>
      <c r="I24" s="409"/>
      <c r="J24" s="409"/>
      <c r="K24" s="409"/>
      <c r="L24" s="409"/>
      <c r="M24" s="409"/>
      <c r="N24" s="409"/>
      <c r="O24" s="409"/>
      <c r="P24" s="409"/>
      <c r="Q24" s="409"/>
    </row>
    <row r="25" spans="1:17">
      <c r="A25" s="1"/>
      <c r="B25" s="1"/>
      <c r="C25" s="1"/>
      <c r="D25" s="29"/>
      <c r="E25" s="1"/>
      <c r="F25" s="1"/>
      <c r="G25" s="1"/>
      <c r="H25" s="1"/>
      <c r="I25" s="1"/>
      <c r="J25" s="1"/>
      <c r="K25" s="1"/>
      <c r="L25" s="1"/>
      <c r="M25" s="1"/>
      <c r="N25" s="1"/>
      <c r="O25" s="1"/>
      <c r="P25" s="1"/>
      <c r="Q25" s="1"/>
    </row>
  </sheetData>
  <mergeCells count="7">
    <mergeCell ref="U4:U7"/>
    <mergeCell ref="G4:G7"/>
    <mergeCell ref="A4:A13"/>
    <mergeCell ref="B4:B13"/>
    <mergeCell ref="C4:C7"/>
    <mergeCell ref="F4:F7"/>
    <mergeCell ref="T4:T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Q10"/>
  <sheetViews>
    <sheetView topLeftCell="A4" zoomScale="85" zoomScaleNormal="85" workbookViewId="0">
      <selection activeCell="L8" sqref="L8:L9"/>
    </sheetView>
  </sheetViews>
  <sheetFormatPr defaultRowHeight="14.4"/>
  <cols>
    <col min="1" max="1" width="13" style="1" bestFit="1" customWidth="1"/>
    <col min="2" max="2" width="19.6640625" style="1" customWidth="1"/>
    <col min="3" max="3" width="42" style="40" customWidth="1"/>
    <col min="4" max="4" width="56.33203125" style="1" customWidth="1"/>
    <col min="5" max="5" width="11.6640625" style="1" bestFit="1" customWidth="1"/>
    <col min="6" max="6" width="11.88671875" style="1" bestFit="1" customWidth="1"/>
    <col min="7" max="7" width="12.109375" style="1" customWidth="1"/>
    <col min="8" max="8" width="13.88671875" style="1" customWidth="1"/>
    <col min="9" max="9" width="11.33203125" style="1" customWidth="1"/>
    <col min="10" max="11" width="7.5546875" style="1" bestFit="1" customWidth="1"/>
    <col min="12" max="14" width="8.88671875" style="1" bestFit="1" customWidth="1"/>
    <col min="15" max="15" width="12.33203125" style="1" bestFit="1" customWidth="1"/>
    <col min="16" max="257" width="9.109375" style="1"/>
    <col min="258" max="258" width="11.6640625" style="1" customWidth="1"/>
    <col min="259" max="259" width="19.6640625" style="1" customWidth="1"/>
    <col min="260" max="260" width="23.44140625" style="1" customWidth="1"/>
    <col min="261" max="261" width="56.33203125" style="1" customWidth="1"/>
    <col min="262" max="262" width="10.88671875" style="1" customWidth="1"/>
    <col min="263" max="263" width="6" style="1" customWidth="1"/>
    <col min="264" max="266" width="6.5546875" style="1" customWidth="1"/>
    <col min="267" max="267" width="10.109375" style="1" customWidth="1"/>
    <col min="268" max="268" width="11.109375" style="1" customWidth="1"/>
    <col min="269" max="269" width="17.33203125" style="1" customWidth="1"/>
    <col min="270" max="513" width="9.109375" style="1"/>
    <col min="514" max="514" width="11.6640625" style="1" customWidth="1"/>
    <col min="515" max="515" width="19.6640625" style="1" customWidth="1"/>
    <col min="516" max="516" width="23.44140625" style="1" customWidth="1"/>
    <col min="517" max="517" width="56.33203125" style="1" customWidth="1"/>
    <col min="518" max="518" width="10.88671875" style="1" customWidth="1"/>
    <col min="519" max="519" width="6" style="1" customWidth="1"/>
    <col min="520" max="522" width="6.5546875" style="1" customWidth="1"/>
    <col min="523" max="523" width="10.109375" style="1" customWidth="1"/>
    <col min="524" max="524" width="11.109375" style="1" customWidth="1"/>
    <col min="525" max="525" width="17.33203125" style="1" customWidth="1"/>
    <col min="526" max="769" width="9.109375" style="1"/>
    <col min="770" max="770" width="11.6640625" style="1" customWidth="1"/>
    <col min="771" max="771" width="19.6640625" style="1" customWidth="1"/>
    <col min="772" max="772" width="23.44140625" style="1" customWidth="1"/>
    <col min="773" max="773" width="56.33203125" style="1" customWidth="1"/>
    <col min="774" max="774" width="10.88671875" style="1" customWidth="1"/>
    <col min="775" max="775" width="6" style="1" customWidth="1"/>
    <col min="776" max="778" width="6.5546875" style="1" customWidth="1"/>
    <col min="779" max="779" width="10.109375" style="1" customWidth="1"/>
    <col min="780" max="780" width="11.109375" style="1" customWidth="1"/>
    <col min="781" max="781" width="17.33203125" style="1" customWidth="1"/>
    <col min="782" max="1025" width="9.109375" style="1"/>
    <col min="1026" max="1026" width="11.6640625" style="1" customWidth="1"/>
    <col min="1027" max="1027" width="19.6640625" style="1" customWidth="1"/>
    <col min="1028" max="1028" width="23.44140625" style="1" customWidth="1"/>
    <col min="1029" max="1029" width="56.33203125" style="1" customWidth="1"/>
    <col min="1030" max="1030" width="10.88671875" style="1" customWidth="1"/>
    <col min="1031" max="1031" width="6" style="1" customWidth="1"/>
    <col min="1032" max="1034" width="6.5546875" style="1" customWidth="1"/>
    <col min="1035" max="1035" width="10.109375" style="1" customWidth="1"/>
    <col min="1036" max="1036" width="11.109375" style="1" customWidth="1"/>
    <col min="1037" max="1037" width="17.33203125" style="1" customWidth="1"/>
    <col min="1038" max="1281" width="9.109375" style="1"/>
    <col min="1282" max="1282" width="11.6640625" style="1" customWidth="1"/>
    <col min="1283" max="1283" width="19.6640625" style="1" customWidth="1"/>
    <col min="1284" max="1284" width="23.44140625" style="1" customWidth="1"/>
    <col min="1285" max="1285" width="56.33203125" style="1" customWidth="1"/>
    <col min="1286" max="1286" width="10.88671875" style="1" customWidth="1"/>
    <col min="1287" max="1287" width="6" style="1" customWidth="1"/>
    <col min="1288" max="1290" width="6.5546875" style="1" customWidth="1"/>
    <col min="1291" max="1291" width="10.109375" style="1" customWidth="1"/>
    <col min="1292" max="1292" width="11.109375" style="1" customWidth="1"/>
    <col min="1293" max="1293" width="17.33203125" style="1" customWidth="1"/>
    <col min="1294" max="1537" width="9.109375" style="1"/>
    <col min="1538" max="1538" width="11.6640625" style="1" customWidth="1"/>
    <col min="1539" max="1539" width="19.6640625" style="1" customWidth="1"/>
    <col min="1540" max="1540" width="23.44140625" style="1" customWidth="1"/>
    <col min="1541" max="1541" width="56.33203125" style="1" customWidth="1"/>
    <col min="1542" max="1542" width="10.88671875" style="1" customWidth="1"/>
    <col min="1543" max="1543" width="6" style="1" customWidth="1"/>
    <col min="1544" max="1546" width="6.5546875" style="1" customWidth="1"/>
    <col min="1547" max="1547" width="10.109375" style="1" customWidth="1"/>
    <col min="1548" max="1548" width="11.109375" style="1" customWidth="1"/>
    <col min="1549" max="1549" width="17.33203125" style="1" customWidth="1"/>
    <col min="1550" max="1793" width="9.109375" style="1"/>
    <col min="1794" max="1794" width="11.6640625" style="1" customWidth="1"/>
    <col min="1795" max="1795" width="19.6640625" style="1" customWidth="1"/>
    <col min="1796" max="1796" width="23.44140625" style="1" customWidth="1"/>
    <col min="1797" max="1797" width="56.33203125" style="1" customWidth="1"/>
    <col min="1798" max="1798" width="10.88671875" style="1" customWidth="1"/>
    <col min="1799" max="1799" width="6" style="1" customWidth="1"/>
    <col min="1800" max="1802" width="6.5546875" style="1" customWidth="1"/>
    <col min="1803" max="1803" width="10.109375" style="1" customWidth="1"/>
    <col min="1804" max="1804" width="11.109375" style="1" customWidth="1"/>
    <col min="1805" max="1805" width="17.33203125" style="1" customWidth="1"/>
    <col min="1806" max="2049" width="9.109375" style="1"/>
    <col min="2050" max="2050" width="11.6640625" style="1" customWidth="1"/>
    <col min="2051" max="2051" width="19.6640625" style="1" customWidth="1"/>
    <col min="2052" max="2052" width="23.44140625" style="1" customWidth="1"/>
    <col min="2053" max="2053" width="56.33203125" style="1" customWidth="1"/>
    <col min="2054" max="2054" width="10.88671875" style="1" customWidth="1"/>
    <col min="2055" max="2055" width="6" style="1" customWidth="1"/>
    <col min="2056" max="2058" width="6.5546875" style="1" customWidth="1"/>
    <col min="2059" max="2059" width="10.109375" style="1" customWidth="1"/>
    <col min="2060" max="2060" width="11.109375" style="1" customWidth="1"/>
    <col min="2061" max="2061" width="17.33203125" style="1" customWidth="1"/>
    <col min="2062" max="2305" width="9.109375" style="1"/>
    <col min="2306" max="2306" width="11.6640625" style="1" customWidth="1"/>
    <col min="2307" max="2307" width="19.6640625" style="1" customWidth="1"/>
    <col min="2308" max="2308" width="23.44140625" style="1" customWidth="1"/>
    <col min="2309" max="2309" width="56.33203125" style="1" customWidth="1"/>
    <col min="2310" max="2310" width="10.88671875" style="1" customWidth="1"/>
    <col min="2311" max="2311" width="6" style="1" customWidth="1"/>
    <col min="2312" max="2314" width="6.5546875" style="1" customWidth="1"/>
    <col min="2315" max="2315" width="10.109375" style="1" customWidth="1"/>
    <col min="2316" max="2316" width="11.109375" style="1" customWidth="1"/>
    <col min="2317" max="2317" width="17.33203125" style="1" customWidth="1"/>
    <col min="2318" max="2561" width="9.109375" style="1"/>
    <col min="2562" max="2562" width="11.6640625" style="1" customWidth="1"/>
    <col min="2563" max="2563" width="19.6640625" style="1" customWidth="1"/>
    <col min="2564" max="2564" width="23.44140625" style="1" customWidth="1"/>
    <col min="2565" max="2565" width="56.33203125" style="1" customWidth="1"/>
    <col min="2566" max="2566" width="10.88671875" style="1" customWidth="1"/>
    <col min="2567" max="2567" width="6" style="1" customWidth="1"/>
    <col min="2568" max="2570" width="6.5546875" style="1" customWidth="1"/>
    <col min="2571" max="2571" width="10.109375" style="1" customWidth="1"/>
    <col min="2572" max="2572" width="11.109375" style="1" customWidth="1"/>
    <col min="2573" max="2573" width="17.33203125" style="1" customWidth="1"/>
    <col min="2574" max="2817" width="9.109375" style="1"/>
    <col min="2818" max="2818" width="11.6640625" style="1" customWidth="1"/>
    <col min="2819" max="2819" width="19.6640625" style="1" customWidth="1"/>
    <col min="2820" max="2820" width="23.44140625" style="1" customWidth="1"/>
    <col min="2821" max="2821" width="56.33203125" style="1" customWidth="1"/>
    <col min="2822" max="2822" width="10.88671875" style="1" customWidth="1"/>
    <col min="2823" max="2823" width="6" style="1" customWidth="1"/>
    <col min="2824" max="2826" width="6.5546875" style="1" customWidth="1"/>
    <col min="2827" max="2827" width="10.109375" style="1" customWidth="1"/>
    <col min="2828" max="2828" width="11.109375" style="1" customWidth="1"/>
    <col min="2829" max="2829" width="17.33203125" style="1" customWidth="1"/>
    <col min="2830" max="3073" width="9.109375" style="1"/>
    <col min="3074" max="3074" width="11.6640625" style="1" customWidth="1"/>
    <col min="3075" max="3075" width="19.6640625" style="1" customWidth="1"/>
    <col min="3076" max="3076" width="23.44140625" style="1" customWidth="1"/>
    <col min="3077" max="3077" width="56.33203125" style="1" customWidth="1"/>
    <col min="3078" max="3078" width="10.88671875" style="1" customWidth="1"/>
    <col min="3079" max="3079" width="6" style="1" customWidth="1"/>
    <col min="3080" max="3082" width="6.5546875" style="1" customWidth="1"/>
    <col min="3083" max="3083" width="10.109375" style="1" customWidth="1"/>
    <col min="3084" max="3084" width="11.109375" style="1" customWidth="1"/>
    <col min="3085" max="3085" width="17.33203125" style="1" customWidth="1"/>
    <col min="3086" max="3329" width="9.109375" style="1"/>
    <col min="3330" max="3330" width="11.6640625" style="1" customWidth="1"/>
    <col min="3331" max="3331" width="19.6640625" style="1" customWidth="1"/>
    <col min="3332" max="3332" width="23.44140625" style="1" customWidth="1"/>
    <col min="3333" max="3333" width="56.33203125" style="1" customWidth="1"/>
    <col min="3334" max="3334" width="10.88671875" style="1" customWidth="1"/>
    <col min="3335" max="3335" width="6" style="1" customWidth="1"/>
    <col min="3336" max="3338" width="6.5546875" style="1" customWidth="1"/>
    <col min="3339" max="3339" width="10.109375" style="1" customWidth="1"/>
    <col min="3340" max="3340" width="11.109375" style="1" customWidth="1"/>
    <col min="3341" max="3341" width="17.33203125" style="1" customWidth="1"/>
    <col min="3342" max="3585" width="9.109375" style="1"/>
    <col min="3586" max="3586" width="11.6640625" style="1" customWidth="1"/>
    <col min="3587" max="3587" width="19.6640625" style="1" customWidth="1"/>
    <col min="3588" max="3588" width="23.44140625" style="1" customWidth="1"/>
    <col min="3589" max="3589" width="56.33203125" style="1" customWidth="1"/>
    <col min="3590" max="3590" width="10.88671875" style="1" customWidth="1"/>
    <col min="3591" max="3591" width="6" style="1" customWidth="1"/>
    <col min="3592" max="3594" width="6.5546875" style="1" customWidth="1"/>
    <col min="3595" max="3595" width="10.109375" style="1" customWidth="1"/>
    <col min="3596" max="3596" width="11.109375" style="1" customWidth="1"/>
    <col min="3597" max="3597" width="17.33203125" style="1" customWidth="1"/>
    <col min="3598" max="3841" width="9.109375" style="1"/>
    <col min="3842" max="3842" width="11.6640625" style="1" customWidth="1"/>
    <col min="3843" max="3843" width="19.6640625" style="1" customWidth="1"/>
    <col min="3844" max="3844" width="23.44140625" style="1" customWidth="1"/>
    <col min="3845" max="3845" width="56.33203125" style="1" customWidth="1"/>
    <col min="3846" max="3846" width="10.88671875" style="1" customWidth="1"/>
    <col min="3847" max="3847" width="6" style="1" customWidth="1"/>
    <col min="3848" max="3850" width="6.5546875" style="1" customWidth="1"/>
    <col min="3851" max="3851" width="10.109375" style="1" customWidth="1"/>
    <col min="3852" max="3852" width="11.109375" style="1" customWidth="1"/>
    <col min="3853" max="3853" width="17.33203125" style="1" customWidth="1"/>
    <col min="3854" max="4097" width="9.109375" style="1"/>
    <col min="4098" max="4098" width="11.6640625" style="1" customWidth="1"/>
    <col min="4099" max="4099" width="19.6640625" style="1" customWidth="1"/>
    <col min="4100" max="4100" width="23.44140625" style="1" customWidth="1"/>
    <col min="4101" max="4101" width="56.33203125" style="1" customWidth="1"/>
    <col min="4102" max="4102" width="10.88671875" style="1" customWidth="1"/>
    <col min="4103" max="4103" width="6" style="1" customWidth="1"/>
    <col min="4104" max="4106" width="6.5546875" style="1" customWidth="1"/>
    <col min="4107" max="4107" width="10.109375" style="1" customWidth="1"/>
    <col min="4108" max="4108" width="11.109375" style="1" customWidth="1"/>
    <col min="4109" max="4109" width="17.33203125" style="1" customWidth="1"/>
    <col min="4110" max="4353" width="9.109375" style="1"/>
    <col min="4354" max="4354" width="11.6640625" style="1" customWidth="1"/>
    <col min="4355" max="4355" width="19.6640625" style="1" customWidth="1"/>
    <col min="4356" max="4356" width="23.44140625" style="1" customWidth="1"/>
    <col min="4357" max="4357" width="56.33203125" style="1" customWidth="1"/>
    <col min="4358" max="4358" width="10.88671875" style="1" customWidth="1"/>
    <col min="4359" max="4359" width="6" style="1" customWidth="1"/>
    <col min="4360" max="4362" width="6.5546875" style="1" customWidth="1"/>
    <col min="4363" max="4363" width="10.109375" style="1" customWidth="1"/>
    <col min="4364" max="4364" width="11.109375" style="1" customWidth="1"/>
    <col min="4365" max="4365" width="17.33203125" style="1" customWidth="1"/>
    <col min="4366" max="4609" width="9.109375" style="1"/>
    <col min="4610" max="4610" width="11.6640625" style="1" customWidth="1"/>
    <col min="4611" max="4611" width="19.6640625" style="1" customWidth="1"/>
    <col min="4612" max="4612" width="23.44140625" style="1" customWidth="1"/>
    <col min="4613" max="4613" width="56.33203125" style="1" customWidth="1"/>
    <col min="4614" max="4614" width="10.88671875" style="1" customWidth="1"/>
    <col min="4615" max="4615" width="6" style="1" customWidth="1"/>
    <col min="4616" max="4618" width="6.5546875" style="1" customWidth="1"/>
    <col min="4619" max="4619" width="10.109375" style="1" customWidth="1"/>
    <col min="4620" max="4620" width="11.109375" style="1" customWidth="1"/>
    <col min="4621" max="4621" width="17.33203125" style="1" customWidth="1"/>
    <col min="4622" max="4865" width="9.109375" style="1"/>
    <col min="4866" max="4866" width="11.6640625" style="1" customWidth="1"/>
    <col min="4867" max="4867" width="19.6640625" style="1" customWidth="1"/>
    <col min="4868" max="4868" width="23.44140625" style="1" customWidth="1"/>
    <col min="4869" max="4869" width="56.33203125" style="1" customWidth="1"/>
    <col min="4870" max="4870" width="10.88671875" style="1" customWidth="1"/>
    <col min="4871" max="4871" width="6" style="1" customWidth="1"/>
    <col min="4872" max="4874" width="6.5546875" style="1" customWidth="1"/>
    <col min="4875" max="4875" width="10.109375" style="1" customWidth="1"/>
    <col min="4876" max="4876" width="11.109375" style="1" customWidth="1"/>
    <col min="4877" max="4877" width="17.33203125" style="1" customWidth="1"/>
    <col min="4878" max="5121" width="9.109375" style="1"/>
    <col min="5122" max="5122" width="11.6640625" style="1" customWidth="1"/>
    <col min="5123" max="5123" width="19.6640625" style="1" customWidth="1"/>
    <col min="5124" max="5124" width="23.44140625" style="1" customWidth="1"/>
    <col min="5125" max="5125" width="56.33203125" style="1" customWidth="1"/>
    <col min="5126" max="5126" width="10.88671875" style="1" customWidth="1"/>
    <col min="5127" max="5127" width="6" style="1" customWidth="1"/>
    <col min="5128" max="5130" width="6.5546875" style="1" customWidth="1"/>
    <col min="5131" max="5131" width="10.109375" style="1" customWidth="1"/>
    <col min="5132" max="5132" width="11.109375" style="1" customWidth="1"/>
    <col min="5133" max="5133" width="17.33203125" style="1" customWidth="1"/>
    <col min="5134" max="5377" width="9.109375" style="1"/>
    <col min="5378" max="5378" width="11.6640625" style="1" customWidth="1"/>
    <col min="5379" max="5379" width="19.6640625" style="1" customWidth="1"/>
    <col min="5380" max="5380" width="23.44140625" style="1" customWidth="1"/>
    <col min="5381" max="5381" width="56.33203125" style="1" customWidth="1"/>
    <col min="5382" max="5382" width="10.88671875" style="1" customWidth="1"/>
    <col min="5383" max="5383" width="6" style="1" customWidth="1"/>
    <col min="5384" max="5386" width="6.5546875" style="1" customWidth="1"/>
    <col min="5387" max="5387" width="10.109375" style="1" customWidth="1"/>
    <col min="5388" max="5388" width="11.109375" style="1" customWidth="1"/>
    <col min="5389" max="5389" width="17.33203125" style="1" customWidth="1"/>
    <col min="5390" max="5633" width="9.109375" style="1"/>
    <col min="5634" max="5634" width="11.6640625" style="1" customWidth="1"/>
    <col min="5635" max="5635" width="19.6640625" style="1" customWidth="1"/>
    <col min="5636" max="5636" width="23.44140625" style="1" customWidth="1"/>
    <col min="5637" max="5637" width="56.33203125" style="1" customWidth="1"/>
    <col min="5638" max="5638" width="10.88671875" style="1" customWidth="1"/>
    <col min="5639" max="5639" width="6" style="1" customWidth="1"/>
    <col min="5640" max="5642" width="6.5546875" style="1" customWidth="1"/>
    <col min="5643" max="5643" width="10.109375" style="1" customWidth="1"/>
    <col min="5644" max="5644" width="11.109375" style="1" customWidth="1"/>
    <col min="5645" max="5645" width="17.33203125" style="1" customWidth="1"/>
    <col min="5646" max="5889" width="9.109375" style="1"/>
    <col min="5890" max="5890" width="11.6640625" style="1" customWidth="1"/>
    <col min="5891" max="5891" width="19.6640625" style="1" customWidth="1"/>
    <col min="5892" max="5892" width="23.44140625" style="1" customWidth="1"/>
    <col min="5893" max="5893" width="56.33203125" style="1" customWidth="1"/>
    <col min="5894" max="5894" width="10.88671875" style="1" customWidth="1"/>
    <col min="5895" max="5895" width="6" style="1" customWidth="1"/>
    <col min="5896" max="5898" width="6.5546875" style="1" customWidth="1"/>
    <col min="5899" max="5899" width="10.109375" style="1" customWidth="1"/>
    <col min="5900" max="5900" width="11.109375" style="1" customWidth="1"/>
    <col min="5901" max="5901" width="17.33203125" style="1" customWidth="1"/>
    <col min="5902" max="6145" width="9.109375" style="1"/>
    <col min="6146" max="6146" width="11.6640625" style="1" customWidth="1"/>
    <col min="6147" max="6147" width="19.6640625" style="1" customWidth="1"/>
    <col min="6148" max="6148" width="23.44140625" style="1" customWidth="1"/>
    <col min="6149" max="6149" width="56.33203125" style="1" customWidth="1"/>
    <col min="6150" max="6150" width="10.88671875" style="1" customWidth="1"/>
    <col min="6151" max="6151" width="6" style="1" customWidth="1"/>
    <col min="6152" max="6154" width="6.5546875" style="1" customWidth="1"/>
    <col min="6155" max="6155" width="10.109375" style="1" customWidth="1"/>
    <col min="6156" max="6156" width="11.109375" style="1" customWidth="1"/>
    <col min="6157" max="6157" width="17.33203125" style="1" customWidth="1"/>
    <col min="6158" max="6401" width="9.109375" style="1"/>
    <col min="6402" max="6402" width="11.6640625" style="1" customWidth="1"/>
    <col min="6403" max="6403" width="19.6640625" style="1" customWidth="1"/>
    <col min="6404" max="6404" width="23.44140625" style="1" customWidth="1"/>
    <col min="6405" max="6405" width="56.33203125" style="1" customWidth="1"/>
    <col min="6406" max="6406" width="10.88671875" style="1" customWidth="1"/>
    <col min="6407" max="6407" width="6" style="1" customWidth="1"/>
    <col min="6408" max="6410" width="6.5546875" style="1" customWidth="1"/>
    <col min="6411" max="6411" width="10.109375" style="1" customWidth="1"/>
    <col min="6412" max="6412" width="11.109375" style="1" customWidth="1"/>
    <col min="6413" max="6413" width="17.33203125" style="1" customWidth="1"/>
    <col min="6414" max="6657" width="9.109375" style="1"/>
    <col min="6658" max="6658" width="11.6640625" style="1" customWidth="1"/>
    <col min="6659" max="6659" width="19.6640625" style="1" customWidth="1"/>
    <col min="6660" max="6660" width="23.44140625" style="1" customWidth="1"/>
    <col min="6661" max="6661" width="56.33203125" style="1" customWidth="1"/>
    <col min="6662" max="6662" width="10.88671875" style="1" customWidth="1"/>
    <col min="6663" max="6663" width="6" style="1" customWidth="1"/>
    <col min="6664" max="6666" width="6.5546875" style="1" customWidth="1"/>
    <col min="6667" max="6667" width="10.109375" style="1" customWidth="1"/>
    <col min="6668" max="6668" width="11.109375" style="1" customWidth="1"/>
    <col min="6669" max="6669" width="17.33203125" style="1" customWidth="1"/>
    <col min="6670" max="6913" width="9.109375" style="1"/>
    <col min="6914" max="6914" width="11.6640625" style="1" customWidth="1"/>
    <col min="6915" max="6915" width="19.6640625" style="1" customWidth="1"/>
    <col min="6916" max="6916" width="23.44140625" style="1" customWidth="1"/>
    <col min="6917" max="6917" width="56.33203125" style="1" customWidth="1"/>
    <col min="6918" max="6918" width="10.88671875" style="1" customWidth="1"/>
    <col min="6919" max="6919" width="6" style="1" customWidth="1"/>
    <col min="6920" max="6922" width="6.5546875" style="1" customWidth="1"/>
    <col min="6923" max="6923" width="10.109375" style="1" customWidth="1"/>
    <col min="6924" max="6924" width="11.109375" style="1" customWidth="1"/>
    <col min="6925" max="6925" width="17.33203125" style="1" customWidth="1"/>
    <col min="6926" max="7169" width="9.109375" style="1"/>
    <col min="7170" max="7170" width="11.6640625" style="1" customWidth="1"/>
    <col min="7171" max="7171" width="19.6640625" style="1" customWidth="1"/>
    <col min="7172" max="7172" width="23.44140625" style="1" customWidth="1"/>
    <col min="7173" max="7173" width="56.33203125" style="1" customWidth="1"/>
    <col min="7174" max="7174" width="10.88671875" style="1" customWidth="1"/>
    <col min="7175" max="7175" width="6" style="1" customWidth="1"/>
    <col min="7176" max="7178" width="6.5546875" style="1" customWidth="1"/>
    <col min="7179" max="7179" width="10.109375" style="1" customWidth="1"/>
    <col min="7180" max="7180" width="11.109375" style="1" customWidth="1"/>
    <col min="7181" max="7181" width="17.33203125" style="1" customWidth="1"/>
    <col min="7182" max="7425" width="9.109375" style="1"/>
    <col min="7426" max="7426" width="11.6640625" style="1" customWidth="1"/>
    <col min="7427" max="7427" width="19.6640625" style="1" customWidth="1"/>
    <col min="7428" max="7428" width="23.44140625" style="1" customWidth="1"/>
    <col min="7429" max="7429" width="56.33203125" style="1" customWidth="1"/>
    <col min="7430" max="7430" width="10.88671875" style="1" customWidth="1"/>
    <col min="7431" max="7431" width="6" style="1" customWidth="1"/>
    <col min="7432" max="7434" width="6.5546875" style="1" customWidth="1"/>
    <col min="7435" max="7435" width="10.109375" style="1" customWidth="1"/>
    <col min="7436" max="7436" width="11.109375" style="1" customWidth="1"/>
    <col min="7437" max="7437" width="17.33203125" style="1" customWidth="1"/>
    <col min="7438" max="7681" width="9.109375" style="1"/>
    <col min="7682" max="7682" width="11.6640625" style="1" customWidth="1"/>
    <col min="7683" max="7683" width="19.6640625" style="1" customWidth="1"/>
    <col min="7684" max="7684" width="23.44140625" style="1" customWidth="1"/>
    <col min="7685" max="7685" width="56.33203125" style="1" customWidth="1"/>
    <col min="7686" max="7686" width="10.88671875" style="1" customWidth="1"/>
    <col min="7687" max="7687" width="6" style="1" customWidth="1"/>
    <col min="7688" max="7690" width="6.5546875" style="1" customWidth="1"/>
    <col min="7691" max="7691" width="10.109375" style="1" customWidth="1"/>
    <col min="7692" max="7692" width="11.109375" style="1" customWidth="1"/>
    <col min="7693" max="7693" width="17.33203125" style="1" customWidth="1"/>
    <col min="7694" max="7937" width="9.109375" style="1"/>
    <col min="7938" max="7938" width="11.6640625" style="1" customWidth="1"/>
    <col min="7939" max="7939" width="19.6640625" style="1" customWidth="1"/>
    <col min="7940" max="7940" width="23.44140625" style="1" customWidth="1"/>
    <col min="7941" max="7941" width="56.33203125" style="1" customWidth="1"/>
    <col min="7942" max="7942" width="10.88671875" style="1" customWidth="1"/>
    <col min="7943" max="7943" width="6" style="1" customWidth="1"/>
    <col min="7944" max="7946" width="6.5546875" style="1" customWidth="1"/>
    <col min="7947" max="7947" width="10.109375" style="1" customWidth="1"/>
    <col min="7948" max="7948" width="11.109375" style="1" customWidth="1"/>
    <col min="7949" max="7949" width="17.33203125" style="1" customWidth="1"/>
    <col min="7950" max="8193" width="9.109375" style="1"/>
    <col min="8194" max="8194" width="11.6640625" style="1" customWidth="1"/>
    <col min="8195" max="8195" width="19.6640625" style="1" customWidth="1"/>
    <col min="8196" max="8196" width="23.44140625" style="1" customWidth="1"/>
    <col min="8197" max="8197" width="56.33203125" style="1" customWidth="1"/>
    <col min="8198" max="8198" width="10.88671875" style="1" customWidth="1"/>
    <col min="8199" max="8199" width="6" style="1" customWidth="1"/>
    <col min="8200" max="8202" width="6.5546875" style="1" customWidth="1"/>
    <col min="8203" max="8203" width="10.109375" style="1" customWidth="1"/>
    <col min="8204" max="8204" width="11.109375" style="1" customWidth="1"/>
    <col min="8205" max="8205" width="17.33203125" style="1" customWidth="1"/>
    <col min="8206" max="8449" width="9.109375" style="1"/>
    <col min="8450" max="8450" width="11.6640625" style="1" customWidth="1"/>
    <col min="8451" max="8451" width="19.6640625" style="1" customWidth="1"/>
    <col min="8452" max="8452" width="23.44140625" style="1" customWidth="1"/>
    <col min="8453" max="8453" width="56.33203125" style="1" customWidth="1"/>
    <col min="8454" max="8454" width="10.88671875" style="1" customWidth="1"/>
    <col min="8455" max="8455" width="6" style="1" customWidth="1"/>
    <col min="8456" max="8458" width="6.5546875" style="1" customWidth="1"/>
    <col min="8459" max="8459" width="10.109375" style="1" customWidth="1"/>
    <col min="8460" max="8460" width="11.109375" style="1" customWidth="1"/>
    <col min="8461" max="8461" width="17.33203125" style="1" customWidth="1"/>
    <col min="8462" max="8705" width="9.109375" style="1"/>
    <col min="8706" max="8706" width="11.6640625" style="1" customWidth="1"/>
    <col min="8707" max="8707" width="19.6640625" style="1" customWidth="1"/>
    <col min="8708" max="8708" width="23.44140625" style="1" customWidth="1"/>
    <col min="8709" max="8709" width="56.33203125" style="1" customWidth="1"/>
    <col min="8710" max="8710" width="10.88671875" style="1" customWidth="1"/>
    <col min="8711" max="8711" width="6" style="1" customWidth="1"/>
    <col min="8712" max="8714" width="6.5546875" style="1" customWidth="1"/>
    <col min="8715" max="8715" width="10.109375" style="1" customWidth="1"/>
    <col min="8716" max="8716" width="11.109375" style="1" customWidth="1"/>
    <col min="8717" max="8717" width="17.33203125" style="1" customWidth="1"/>
    <col min="8718" max="8961" width="9.109375" style="1"/>
    <col min="8962" max="8962" width="11.6640625" style="1" customWidth="1"/>
    <col min="8963" max="8963" width="19.6640625" style="1" customWidth="1"/>
    <col min="8964" max="8964" width="23.44140625" style="1" customWidth="1"/>
    <col min="8965" max="8965" width="56.33203125" style="1" customWidth="1"/>
    <col min="8966" max="8966" width="10.88671875" style="1" customWidth="1"/>
    <col min="8967" max="8967" width="6" style="1" customWidth="1"/>
    <col min="8968" max="8970" width="6.5546875" style="1" customWidth="1"/>
    <col min="8971" max="8971" width="10.109375" style="1" customWidth="1"/>
    <col min="8972" max="8972" width="11.109375" style="1" customWidth="1"/>
    <col min="8973" max="8973" width="17.33203125" style="1" customWidth="1"/>
    <col min="8974" max="9217" width="9.109375" style="1"/>
    <col min="9218" max="9218" width="11.6640625" style="1" customWidth="1"/>
    <col min="9219" max="9219" width="19.6640625" style="1" customWidth="1"/>
    <col min="9220" max="9220" width="23.44140625" style="1" customWidth="1"/>
    <col min="9221" max="9221" width="56.33203125" style="1" customWidth="1"/>
    <col min="9222" max="9222" width="10.88671875" style="1" customWidth="1"/>
    <col min="9223" max="9223" width="6" style="1" customWidth="1"/>
    <col min="9224" max="9226" width="6.5546875" style="1" customWidth="1"/>
    <col min="9227" max="9227" width="10.109375" style="1" customWidth="1"/>
    <col min="9228" max="9228" width="11.109375" style="1" customWidth="1"/>
    <col min="9229" max="9229" width="17.33203125" style="1" customWidth="1"/>
    <col min="9230" max="9473" width="9.109375" style="1"/>
    <col min="9474" max="9474" width="11.6640625" style="1" customWidth="1"/>
    <col min="9475" max="9475" width="19.6640625" style="1" customWidth="1"/>
    <col min="9476" max="9476" width="23.44140625" style="1" customWidth="1"/>
    <col min="9477" max="9477" width="56.33203125" style="1" customWidth="1"/>
    <col min="9478" max="9478" width="10.88671875" style="1" customWidth="1"/>
    <col min="9479" max="9479" width="6" style="1" customWidth="1"/>
    <col min="9480" max="9482" width="6.5546875" style="1" customWidth="1"/>
    <col min="9483" max="9483" width="10.109375" style="1" customWidth="1"/>
    <col min="9484" max="9484" width="11.109375" style="1" customWidth="1"/>
    <col min="9485" max="9485" width="17.33203125" style="1" customWidth="1"/>
    <col min="9486" max="9729" width="9.109375" style="1"/>
    <col min="9730" max="9730" width="11.6640625" style="1" customWidth="1"/>
    <col min="9731" max="9731" width="19.6640625" style="1" customWidth="1"/>
    <col min="9732" max="9732" width="23.44140625" style="1" customWidth="1"/>
    <col min="9733" max="9733" width="56.33203125" style="1" customWidth="1"/>
    <col min="9734" max="9734" width="10.88671875" style="1" customWidth="1"/>
    <col min="9735" max="9735" width="6" style="1" customWidth="1"/>
    <col min="9736" max="9738" width="6.5546875" style="1" customWidth="1"/>
    <col min="9739" max="9739" width="10.109375" style="1" customWidth="1"/>
    <col min="9740" max="9740" width="11.109375" style="1" customWidth="1"/>
    <col min="9741" max="9741" width="17.33203125" style="1" customWidth="1"/>
    <col min="9742" max="9985" width="9.109375" style="1"/>
    <col min="9986" max="9986" width="11.6640625" style="1" customWidth="1"/>
    <col min="9987" max="9987" width="19.6640625" style="1" customWidth="1"/>
    <col min="9988" max="9988" width="23.44140625" style="1" customWidth="1"/>
    <col min="9989" max="9989" width="56.33203125" style="1" customWidth="1"/>
    <col min="9990" max="9990" width="10.88671875" style="1" customWidth="1"/>
    <col min="9991" max="9991" width="6" style="1" customWidth="1"/>
    <col min="9992" max="9994" width="6.5546875" style="1" customWidth="1"/>
    <col min="9995" max="9995" width="10.109375" style="1" customWidth="1"/>
    <col min="9996" max="9996" width="11.109375" style="1" customWidth="1"/>
    <col min="9997" max="9997" width="17.33203125" style="1" customWidth="1"/>
    <col min="9998" max="10241" width="9.109375" style="1"/>
    <col min="10242" max="10242" width="11.6640625" style="1" customWidth="1"/>
    <col min="10243" max="10243" width="19.6640625" style="1" customWidth="1"/>
    <col min="10244" max="10244" width="23.44140625" style="1" customWidth="1"/>
    <col min="10245" max="10245" width="56.33203125" style="1" customWidth="1"/>
    <col min="10246" max="10246" width="10.88671875" style="1" customWidth="1"/>
    <col min="10247" max="10247" width="6" style="1" customWidth="1"/>
    <col min="10248" max="10250" width="6.5546875" style="1" customWidth="1"/>
    <col min="10251" max="10251" width="10.109375" style="1" customWidth="1"/>
    <col min="10252" max="10252" width="11.109375" style="1" customWidth="1"/>
    <col min="10253" max="10253" width="17.33203125" style="1" customWidth="1"/>
    <col min="10254" max="10497" width="9.109375" style="1"/>
    <col min="10498" max="10498" width="11.6640625" style="1" customWidth="1"/>
    <col min="10499" max="10499" width="19.6640625" style="1" customWidth="1"/>
    <col min="10500" max="10500" width="23.44140625" style="1" customWidth="1"/>
    <col min="10501" max="10501" width="56.33203125" style="1" customWidth="1"/>
    <col min="10502" max="10502" width="10.88671875" style="1" customWidth="1"/>
    <col min="10503" max="10503" width="6" style="1" customWidth="1"/>
    <col min="10504" max="10506" width="6.5546875" style="1" customWidth="1"/>
    <col min="10507" max="10507" width="10.109375" style="1" customWidth="1"/>
    <col min="10508" max="10508" width="11.109375" style="1" customWidth="1"/>
    <col min="10509" max="10509" width="17.33203125" style="1" customWidth="1"/>
    <col min="10510" max="10753" width="9.109375" style="1"/>
    <col min="10754" max="10754" width="11.6640625" style="1" customWidth="1"/>
    <col min="10755" max="10755" width="19.6640625" style="1" customWidth="1"/>
    <col min="10756" max="10756" width="23.44140625" style="1" customWidth="1"/>
    <col min="10757" max="10757" width="56.33203125" style="1" customWidth="1"/>
    <col min="10758" max="10758" width="10.88671875" style="1" customWidth="1"/>
    <col min="10759" max="10759" width="6" style="1" customWidth="1"/>
    <col min="10760" max="10762" width="6.5546875" style="1" customWidth="1"/>
    <col min="10763" max="10763" width="10.109375" style="1" customWidth="1"/>
    <col min="10764" max="10764" width="11.109375" style="1" customWidth="1"/>
    <col min="10765" max="10765" width="17.33203125" style="1" customWidth="1"/>
    <col min="10766" max="11009" width="9.109375" style="1"/>
    <col min="11010" max="11010" width="11.6640625" style="1" customWidth="1"/>
    <col min="11011" max="11011" width="19.6640625" style="1" customWidth="1"/>
    <col min="11012" max="11012" width="23.44140625" style="1" customWidth="1"/>
    <col min="11013" max="11013" width="56.33203125" style="1" customWidth="1"/>
    <col min="11014" max="11014" width="10.88671875" style="1" customWidth="1"/>
    <col min="11015" max="11015" width="6" style="1" customWidth="1"/>
    <col min="11016" max="11018" width="6.5546875" style="1" customWidth="1"/>
    <col min="11019" max="11019" width="10.109375" style="1" customWidth="1"/>
    <col min="11020" max="11020" width="11.109375" style="1" customWidth="1"/>
    <col min="11021" max="11021" width="17.33203125" style="1" customWidth="1"/>
    <col min="11022" max="11265" width="9.109375" style="1"/>
    <col min="11266" max="11266" width="11.6640625" style="1" customWidth="1"/>
    <col min="11267" max="11267" width="19.6640625" style="1" customWidth="1"/>
    <col min="11268" max="11268" width="23.44140625" style="1" customWidth="1"/>
    <col min="11269" max="11269" width="56.33203125" style="1" customWidth="1"/>
    <col min="11270" max="11270" width="10.88671875" style="1" customWidth="1"/>
    <col min="11271" max="11271" width="6" style="1" customWidth="1"/>
    <col min="11272" max="11274" width="6.5546875" style="1" customWidth="1"/>
    <col min="11275" max="11275" width="10.109375" style="1" customWidth="1"/>
    <col min="11276" max="11276" width="11.109375" style="1" customWidth="1"/>
    <col min="11277" max="11277" width="17.33203125" style="1" customWidth="1"/>
    <col min="11278" max="11521" width="9.109375" style="1"/>
    <col min="11522" max="11522" width="11.6640625" style="1" customWidth="1"/>
    <col min="11523" max="11523" width="19.6640625" style="1" customWidth="1"/>
    <col min="11524" max="11524" width="23.44140625" style="1" customWidth="1"/>
    <col min="11525" max="11525" width="56.33203125" style="1" customWidth="1"/>
    <col min="11526" max="11526" width="10.88671875" style="1" customWidth="1"/>
    <col min="11527" max="11527" width="6" style="1" customWidth="1"/>
    <col min="11528" max="11530" width="6.5546875" style="1" customWidth="1"/>
    <col min="11531" max="11531" width="10.109375" style="1" customWidth="1"/>
    <col min="11532" max="11532" width="11.109375" style="1" customWidth="1"/>
    <col min="11533" max="11533" width="17.33203125" style="1" customWidth="1"/>
    <col min="11534" max="11777" width="9.109375" style="1"/>
    <col min="11778" max="11778" width="11.6640625" style="1" customWidth="1"/>
    <col min="11779" max="11779" width="19.6640625" style="1" customWidth="1"/>
    <col min="11780" max="11780" width="23.44140625" style="1" customWidth="1"/>
    <col min="11781" max="11781" width="56.33203125" style="1" customWidth="1"/>
    <col min="11782" max="11782" width="10.88671875" style="1" customWidth="1"/>
    <col min="11783" max="11783" width="6" style="1" customWidth="1"/>
    <col min="11784" max="11786" width="6.5546875" style="1" customWidth="1"/>
    <col min="11787" max="11787" width="10.109375" style="1" customWidth="1"/>
    <col min="11788" max="11788" width="11.109375" style="1" customWidth="1"/>
    <col min="11789" max="11789" width="17.33203125" style="1" customWidth="1"/>
    <col min="11790" max="12033" width="9.109375" style="1"/>
    <col min="12034" max="12034" width="11.6640625" style="1" customWidth="1"/>
    <col min="12035" max="12035" width="19.6640625" style="1" customWidth="1"/>
    <col min="12036" max="12036" width="23.44140625" style="1" customWidth="1"/>
    <col min="12037" max="12037" width="56.33203125" style="1" customWidth="1"/>
    <col min="12038" max="12038" width="10.88671875" style="1" customWidth="1"/>
    <col min="12039" max="12039" width="6" style="1" customWidth="1"/>
    <col min="12040" max="12042" width="6.5546875" style="1" customWidth="1"/>
    <col min="12043" max="12043" width="10.109375" style="1" customWidth="1"/>
    <col min="12044" max="12044" width="11.109375" style="1" customWidth="1"/>
    <col min="12045" max="12045" width="17.33203125" style="1" customWidth="1"/>
    <col min="12046" max="12289" width="9.109375" style="1"/>
    <col min="12290" max="12290" width="11.6640625" style="1" customWidth="1"/>
    <col min="12291" max="12291" width="19.6640625" style="1" customWidth="1"/>
    <col min="12292" max="12292" width="23.44140625" style="1" customWidth="1"/>
    <col min="12293" max="12293" width="56.33203125" style="1" customWidth="1"/>
    <col min="12294" max="12294" width="10.88671875" style="1" customWidth="1"/>
    <col min="12295" max="12295" width="6" style="1" customWidth="1"/>
    <col min="12296" max="12298" width="6.5546875" style="1" customWidth="1"/>
    <col min="12299" max="12299" width="10.109375" style="1" customWidth="1"/>
    <col min="12300" max="12300" width="11.109375" style="1" customWidth="1"/>
    <col min="12301" max="12301" width="17.33203125" style="1" customWidth="1"/>
    <col min="12302" max="12545" width="9.109375" style="1"/>
    <col min="12546" max="12546" width="11.6640625" style="1" customWidth="1"/>
    <col min="12547" max="12547" width="19.6640625" style="1" customWidth="1"/>
    <col min="12548" max="12548" width="23.44140625" style="1" customWidth="1"/>
    <col min="12549" max="12549" width="56.33203125" style="1" customWidth="1"/>
    <col min="12550" max="12550" width="10.88671875" style="1" customWidth="1"/>
    <col min="12551" max="12551" width="6" style="1" customWidth="1"/>
    <col min="12552" max="12554" width="6.5546875" style="1" customWidth="1"/>
    <col min="12555" max="12555" width="10.109375" style="1" customWidth="1"/>
    <col min="12556" max="12556" width="11.109375" style="1" customWidth="1"/>
    <col min="12557" max="12557" width="17.33203125" style="1" customWidth="1"/>
    <col min="12558" max="12801" width="9.109375" style="1"/>
    <col min="12802" max="12802" width="11.6640625" style="1" customWidth="1"/>
    <col min="12803" max="12803" width="19.6640625" style="1" customWidth="1"/>
    <col min="12804" max="12804" width="23.44140625" style="1" customWidth="1"/>
    <col min="12805" max="12805" width="56.33203125" style="1" customWidth="1"/>
    <col min="12806" max="12806" width="10.88671875" style="1" customWidth="1"/>
    <col min="12807" max="12807" width="6" style="1" customWidth="1"/>
    <col min="12808" max="12810" width="6.5546875" style="1" customWidth="1"/>
    <col min="12811" max="12811" width="10.109375" style="1" customWidth="1"/>
    <col min="12812" max="12812" width="11.109375" style="1" customWidth="1"/>
    <col min="12813" max="12813" width="17.33203125" style="1" customWidth="1"/>
    <col min="12814" max="13057" width="9.109375" style="1"/>
    <col min="13058" max="13058" width="11.6640625" style="1" customWidth="1"/>
    <col min="13059" max="13059" width="19.6640625" style="1" customWidth="1"/>
    <col min="13060" max="13060" width="23.44140625" style="1" customWidth="1"/>
    <col min="13061" max="13061" width="56.33203125" style="1" customWidth="1"/>
    <col min="13062" max="13062" width="10.88671875" style="1" customWidth="1"/>
    <col min="13063" max="13063" width="6" style="1" customWidth="1"/>
    <col min="13064" max="13066" width="6.5546875" style="1" customWidth="1"/>
    <col min="13067" max="13067" width="10.109375" style="1" customWidth="1"/>
    <col min="13068" max="13068" width="11.109375" style="1" customWidth="1"/>
    <col min="13069" max="13069" width="17.33203125" style="1" customWidth="1"/>
    <col min="13070" max="13313" width="9.109375" style="1"/>
    <col min="13314" max="13314" width="11.6640625" style="1" customWidth="1"/>
    <col min="13315" max="13315" width="19.6640625" style="1" customWidth="1"/>
    <col min="13316" max="13316" width="23.44140625" style="1" customWidth="1"/>
    <col min="13317" max="13317" width="56.33203125" style="1" customWidth="1"/>
    <col min="13318" max="13318" width="10.88671875" style="1" customWidth="1"/>
    <col min="13319" max="13319" width="6" style="1" customWidth="1"/>
    <col min="13320" max="13322" width="6.5546875" style="1" customWidth="1"/>
    <col min="13323" max="13323" width="10.109375" style="1" customWidth="1"/>
    <col min="13324" max="13324" width="11.109375" style="1" customWidth="1"/>
    <col min="13325" max="13325" width="17.33203125" style="1" customWidth="1"/>
    <col min="13326" max="13569" width="9.109375" style="1"/>
    <col min="13570" max="13570" width="11.6640625" style="1" customWidth="1"/>
    <col min="13571" max="13571" width="19.6640625" style="1" customWidth="1"/>
    <col min="13572" max="13572" width="23.44140625" style="1" customWidth="1"/>
    <col min="13573" max="13573" width="56.33203125" style="1" customWidth="1"/>
    <col min="13574" max="13574" width="10.88671875" style="1" customWidth="1"/>
    <col min="13575" max="13575" width="6" style="1" customWidth="1"/>
    <col min="13576" max="13578" width="6.5546875" style="1" customWidth="1"/>
    <col min="13579" max="13579" width="10.109375" style="1" customWidth="1"/>
    <col min="13580" max="13580" width="11.109375" style="1" customWidth="1"/>
    <col min="13581" max="13581" width="17.33203125" style="1" customWidth="1"/>
    <col min="13582" max="13825" width="9.109375" style="1"/>
    <col min="13826" max="13826" width="11.6640625" style="1" customWidth="1"/>
    <col min="13827" max="13827" width="19.6640625" style="1" customWidth="1"/>
    <col min="13828" max="13828" width="23.44140625" style="1" customWidth="1"/>
    <col min="13829" max="13829" width="56.33203125" style="1" customWidth="1"/>
    <col min="13830" max="13830" width="10.88671875" style="1" customWidth="1"/>
    <col min="13831" max="13831" width="6" style="1" customWidth="1"/>
    <col min="13832" max="13834" width="6.5546875" style="1" customWidth="1"/>
    <col min="13835" max="13835" width="10.109375" style="1" customWidth="1"/>
    <col min="13836" max="13836" width="11.109375" style="1" customWidth="1"/>
    <col min="13837" max="13837" width="17.33203125" style="1" customWidth="1"/>
    <col min="13838" max="14081" width="9.109375" style="1"/>
    <col min="14082" max="14082" width="11.6640625" style="1" customWidth="1"/>
    <col min="14083" max="14083" width="19.6640625" style="1" customWidth="1"/>
    <col min="14084" max="14084" width="23.44140625" style="1" customWidth="1"/>
    <col min="14085" max="14085" width="56.33203125" style="1" customWidth="1"/>
    <col min="14086" max="14086" width="10.88671875" style="1" customWidth="1"/>
    <col min="14087" max="14087" width="6" style="1" customWidth="1"/>
    <col min="14088" max="14090" width="6.5546875" style="1" customWidth="1"/>
    <col min="14091" max="14091" width="10.109375" style="1" customWidth="1"/>
    <col min="14092" max="14092" width="11.109375" style="1" customWidth="1"/>
    <col min="14093" max="14093" width="17.33203125" style="1" customWidth="1"/>
    <col min="14094" max="14337" width="9.109375" style="1"/>
    <col min="14338" max="14338" width="11.6640625" style="1" customWidth="1"/>
    <col min="14339" max="14339" width="19.6640625" style="1" customWidth="1"/>
    <col min="14340" max="14340" width="23.44140625" style="1" customWidth="1"/>
    <col min="14341" max="14341" width="56.33203125" style="1" customWidth="1"/>
    <col min="14342" max="14342" width="10.88671875" style="1" customWidth="1"/>
    <col min="14343" max="14343" width="6" style="1" customWidth="1"/>
    <col min="14344" max="14346" width="6.5546875" style="1" customWidth="1"/>
    <col min="14347" max="14347" width="10.109375" style="1" customWidth="1"/>
    <col min="14348" max="14348" width="11.109375" style="1" customWidth="1"/>
    <col min="14349" max="14349" width="17.33203125" style="1" customWidth="1"/>
    <col min="14350" max="14593" width="9.109375" style="1"/>
    <col min="14594" max="14594" width="11.6640625" style="1" customWidth="1"/>
    <col min="14595" max="14595" width="19.6640625" style="1" customWidth="1"/>
    <col min="14596" max="14596" width="23.44140625" style="1" customWidth="1"/>
    <col min="14597" max="14597" width="56.33203125" style="1" customWidth="1"/>
    <col min="14598" max="14598" width="10.88671875" style="1" customWidth="1"/>
    <col min="14599" max="14599" width="6" style="1" customWidth="1"/>
    <col min="14600" max="14602" width="6.5546875" style="1" customWidth="1"/>
    <col min="14603" max="14603" width="10.109375" style="1" customWidth="1"/>
    <col min="14604" max="14604" width="11.109375" style="1" customWidth="1"/>
    <col min="14605" max="14605" width="17.33203125" style="1" customWidth="1"/>
    <col min="14606" max="14849" width="9.109375" style="1"/>
    <col min="14850" max="14850" width="11.6640625" style="1" customWidth="1"/>
    <col min="14851" max="14851" width="19.6640625" style="1" customWidth="1"/>
    <col min="14852" max="14852" width="23.44140625" style="1" customWidth="1"/>
    <col min="14853" max="14853" width="56.33203125" style="1" customWidth="1"/>
    <col min="14854" max="14854" width="10.88671875" style="1" customWidth="1"/>
    <col min="14855" max="14855" width="6" style="1" customWidth="1"/>
    <col min="14856" max="14858" width="6.5546875" style="1" customWidth="1"/>
    <col min="14859" max="14859" width="10.109375" style="1" customWidth="1"/>
    <col min="14860" max="14860" width="11.109375" style="1" customWidth="1"/>
    <col min="14861" max="14861" width="17.33203125" style="1" customWidth="1"/>
    <col min="14862" max="15105" width="9.109375" style="1"/>
    <col min="15106" max="15106" width="11.6640625" style="1" customWidth="1"/>
    <col min="15107" max="15107" width="19.6640625" style="1" customWidth="1"/>
    <col min="15108" max="15108" width="23.44140625" style="1" customWidth="1"/>
    <col min="15109" max="15109" width="56.33203125" style="1" customWidth="1"/>
    <col min="15110" max="15110" width="10.88671875" style="1" customWidth="1"/>
    <col min="15111" max="15111" width="6" style="1" customWidth="1"/>
    <col min="15112" max="15114" width="6.5546875" style="1" customWidth="1"/>
    <col min="15115" max="15115" width="10.109375" style="1" customWidth="1"/>
    <col min="15116" max="15116" width="11.109375" style="1" customWidth="1"/>
    <col min="15117" max="15117" width="17.33203125" style="1" customWidth="1"/>
    <col min="15118" max="15361" width="9.109375" style="1"/>
    <col min="15362" max="15362" width="11.6640625" style="1" customWidth="1"/>
    <col min="15363" max="15363" width="19.6640625" style="1" customWidth="1"/>
    <col min="15364" max="15364" width="23.44140625" style="1" customWidth="1"/>
    <col min="15365" max="15365" width="56.33203125" style="1" customWidth="1"/>
    <col min="15366" max="15366" width="10.88671875" style="1" customWidth="1"/>
    <col min="15367" max="15367" width="6" style="1" customWidth="1"/>
    <col min="15368" max="15370" width="6.5546875" style="1" customWidth="1"/>
    <col min="15371" max="15371" width="10.109375" style="1" customWidth="1"/>
    <col min="15372" max="15372" width="11.109375" style="1" customWidth="1"/>
    <col min="15373" max="15373" width="17.33203125" style="1" customWidth="1"/>
    <col min="15374" max="15617" width="9.109375" style="1"/>
    <col min="15618" max="15618" width="11.6640625" style="1" customWidth="1"/>
    <col min="15619" max="15619" width="19.6640625" style="1" customWidth="1"/>
    <col min="15620" max="15620" width="23.44140625" style="1" customWidth="1"/>
    <col min="15621" max="15621" width="56.33203125" style="1" customWidth="1"/>
    <col min="15622" max="15622" width="10.88671875" style="1" customWidth="1"/>
    <col min="15623" max="15623" width="6" style="1" customWidth="1"/>
    <col min="15624" max="15626" width="6.5546875" style="1" customWidth="1"/>
    <col min="15627" max="15627" width="10.109375" style="1" customWidth="1"/>
    <col min="15628" max="15628" width="11.109375" style="1" customWidth="1"/>
    <col min="15629" max="15629" width="17.33203125" style="1" customWidth="1"/>
    <col min="15630" max="15873" width="9.109375" style="1"/>
    <col min="15874" max="15874" width="11.6640625" style="1" customWidth="1"/>
    <col min="15875" max="15875" width="19.6640625" style="1" customWidth="1"/>
    <col min="15876" max="15876" width="23.44140625" style="1" customWidth="1"/>
    <col min="15877" max="15877" width="56.33203125" style="1" customWidth="1"/>
    <col min="15878" max="15878" width="10.88671875" style="1" customWidth="1"/>
    <col min="15879" max="15879" width="6" style="1" customWidth="1"/>
    <col min="15880" max="15882" width="6.5546875" style="1" customWidth="1"/>
    <col min="15883" max="15883" width="10.109375" style="1" customWidth="1"/>
    <col min="15884" max="15884" width="11.109375" style="1" customWidth="1"/>
    <col min="15885" max="15885" width="17.33203125" style="1" customWidth="1"/>
    <col min="15886" max="16129" width="9.109375" style="1"/>
    <col min="16130" max="16130" width="11.6640625" style="1" customWidth="1"/>
    <col min="16131" max="16131" width="19.6640625" style="1" customWidth="1"/>
    <col min="16132" max="16132" width="23.44140625" style="1" customWidth="1"/>
    <col min="16133" max="16133" width="56.33203125" style="1" customWidth="1"/>
    <col min="16134" max="16134" width="10.88671875" style="1" customWidth="1"/>
    <col min="16135" max="16135" width="6" style="1" customWidth="1"/>
    <col min="16136" max="16138" width="6.5546875" style="1" customWidth="1"/>
    <col min="16139" max="16139" width="10.109375" style="1" customWidth="1"/>
    <col min="16140" max="16140" width="11.109375" style="1" customWidth="1"/>
    <col min="16141" max="16141" width="17.33203125" style="1" customWidth="1"/>
    <col min="16142" max="16384" width="9.109375" style="1"/>
  </cols>
  <sheetData>
    <row r="1" spans="1:17" ht="45.75" customHeight="1">
      <c r="A1" s="4" t="s">
        <v>0</v>
      </c>
      <c r="B1" s="2" t="s">
        <v>1</v>
      </c>
      <c r="C1" s="30" t="s">
        <v>2</v>
      </c>
      <c r="D1" s="2" t="s">
        <v>3</v>
      </c>
      <c r="E1" s="2" t="s">
        <v>4</v>
      </c>
      <c r="F1" s="2" t="s">
        <v>22</v>
      </c>
      <c r="G1" s="2" t="s">
        <v>23</v>
      </c>
      <c r="H1" s="2" t="s">
        <v>24</v>
      </c>
      <c r="I1" s="2" t="s">
        <v>5</v>
      </c>
      <c r="J1" s="2" t="s">
        <v>6</v>
      </c>
      <c r="K1" s="2" t="s">
        <v>7</v>
      </c>
      <c r="L1" s="2" t="s">
        <v>39</v>
      </c>
      <c r="M1" s="2" t="s">
        <v>25</v>
      </c>
      <c r="N1" s="2" t="s">
        <v>26</v>
      </c>
      <c r="O1" s="2" t="s">
        <v>37</v>
      </c>
    </row>
    <row r="2" spans="1:17" ht="98.4" customHeight="1">
      <c r="A2" s="548"/>
      <c r="B2" s="546"/>
      <c r="C2" s="7" t="s">
        <v>32</v>
      </c>
      <c r="D2" s="3" t="s">
        <v>50</v>
      </c>
      <c r="E2" s="6" t="s">
        <v>15</v>
      </c>
      <c r="F2" s="568">
        <v>15</v>
      </c>
      <c r="G2" s="41">
        <v>15</v>
      </c>
      <c r="H2" s="542" t="s">
        <v>28</v>
      </c>
      <c r="I2" s="5" t="s">
        <v>14</v>
      </c>
      <c r="J2" s="15">
        <v>1</v>
      </c>
      <c r="K2" s="20">
        <v>2</v>
      </c>
      <c r="L2" s="21">
        <v>3</v>
      </c>
      <c r="M2" s="22">
        <v>4</v>
      </c>
      <c r="N2" s="23">
        <v>5</v>
      </c>
      <c r="O2" s="6" t="s">
        <v>33</v>
      </c>
      <c r="Q2" s="1">
        <f>F2*G2/100</f>
        <v>2.25</v>
      </c>
    </row>
    <row r="3" spans="1:17" ht="135.6" customHeight="1">
      <c r="A3" s="548"/>
      <c r="B3" s="546"/>
      <c r="C3" s="7" t="s">
        <v>34</v>
      </c>
      <c r="D3" s="3" t="s">
        <v>51</v>
      </c>
      <c r="E3" s="6" t="s">
        <v>15</v>
      </c>
      <c r="F3" s="555"/>
      <c r="G3" s="41">
        <v>40</v>
      </c>
      <c r="H3" s="543"/>
      <c r="I3" s="5" t="s">
        <v>14</v>
      </c>
      <c r="J3" s="15">
        <v>2</v>
      </c>
      <c r="K3" s="20">
        <v>3</v>
      </c>
      <c r="L3" s="21">
        <v>4</v>
      </c>
      <c r="M3" s="22">
        <v>5</v>
      </c>
      <c r="N3" s="23">
        <v>6</v>
      </c>
      <c r="O3" s="6" t="s">
        <v>33</v>
      </c>
      <c r="Q3" s="1">
        <v>6</v>
      </c>
    </row>
    <row r="4" spans="1:17" ht="138.6" customHeight="1">
      <c r="A4" s="548"/>
      <c r="B4" s="546"/>
      <c r="C4" s="14" t="s">
        <v>35</v>
      </c>
      <c r="D4" s="3" t="s">
        <v>52</v>
      </c>
      <c r="E4" s="6" t="s">
        <v>15</v>
      </c>
      <c r="F4" s="555"/>
      <c r="G4" s="41">
        <v>30</v>
      </c>
      <c r="H4" s="543"/>
      <c r="I4" s="5" t="s">
        <v>14</v>
      </c>
      <c r="J4" s="15">
        <v>2</v>
      </c>
      <c r="K4" s="20">
        <v>3</v>
      </c>
      <c r="L4" s="21">
        <v>4</v>
      </c>
      <c r="M4" s="22">
        <v>5</v>
      </c>
      <c r="N4" s="23">
        <v>6</v>
      </c>
      <c r="O4" s="6" t="s">
        <v>33</v>
      </c>
      <c r="Q4" s="1">
        <v>4.5</v>
      </c>
    </row>
    <row r="5" spans="1:17" ht="97.95" customHeight="1">
      <c r="A5" s="548"/>
      <c r="B5" s="546"/>
      <c r="C5" s="7" t="s">
        <v>41</v>
      </c>
      <c r="D5" s="3" t="s">
        <v>53</v>
      </c>
      <c r="E5" s="6" t="s">
        <v>15</v>
      </c>
      <c r="F5" s="556"/>
      <c r="G5" s="41">
        <v>15</v>
      </c>
      <c r="H5" s="544"/>
      <c r="I5" s="5" t="s">
        <v>14</v>
      </c>
      <c r="J5" s="15">
        <v>1</v>
      </c>
      <c r="K5" s="20">
        <v>2</v>
      </c>
      <c r="L5" s="21">
        <v>3</v>
      </c>
      <c r="M5" s="22">
        <v>4</v>
      </c>
      <c r="N5" s="23">
        <v>5</v>
      </c>
      <c r="O5" s="6" t="s">
        <v>33</v>
      </c>
      <c r="Q5" s="1">
        <v>2.25</v>
      </c>
    </row>
    <row r="6" spans="1:17" ht="110.4">
      <c r="A6" s="548"/>
      <c r="B6" s="546"/>
      <c r="C6" s="572" t="s">
        <v>131</v>
      </c>
      <c r="D6" s="162" t="s">
        <v>132</v>
      </c>
      <c r="E6" s="154" t="s">
        <v>15</v>
      </c>
      <c r="F6" s="573">
        <v>30</v>
      </c>
      <c r="G6" s="155">
        <v>50</v>
      </c>
      <c r="H6" s="32" t="s">
        <v>28</v>
      </c>
      <c r="I6" s="5" t="s">
        <v>14</v>
      </c>
      <c r="J6" s="156">
        <v>50</v>
      </c>
      <c r="K6" s="158">
        <v>60</v>
      </c>
      <c r="L6" s="159">
        <v>70</v>
      </c>
      <c r="M6" s="160">
        <v>80</v>
      </c>
      <c r="N6" s="161">
        <v>90</v>
      </c>
      <c r="O6" s="6" t="s">
        <v>33</v>
      </c>
    </row>
    <row r="7" spans="1:17" ht="82.8">
      <c r="A7" s="548"/>
      <c r="B7" s="546"/>
      <c r="C7" s="570"/>
      <c r="D7" s="163" t="s">
        <v>125</v>
      </c>
      <c r="E7" s="6" t="s">
        <v>15</v>
      </c>
      <c r="F7" s="556"/>
      <c r="G7" s="32">
        <v>50</v>
      </c>
      <c r="H7" s="32" t="s">
        <v>28</v>
      </c>
      <c r="I7" s="5" t="s">
        <v>14</v>
      </c>
      <c r="J7" s="15" t="s">
        <v>126</v>
      </c>
      <c r="K7" s="16" t="s">
        <v>127</v>
      </c>
      <c r="L7" s="17" t="s">
        <v>128</v>
      </c>
      <c r="M7" s="18" t="s">
        <v>129</v>
      </c>
      <c r="N7" s="19" t="s">
        <v>124</v>
      </c>
      <c r="O7" s="6" t="s">
        <v>33</v>
      </c>
    </row>
    <row r="8" spans="1:17">
      <c r="A8" s="548"/>
      <c r="B8" s="546"/>
      <c r="C8" s="569" t="s">
        <v>119</v>
      </c>
      <c r="D8" s="163" t="s">
        <v>118</v>
      </c>
      <c r="E8" s="6" t="s">
        <v>122</v>
      </c>
      <c r="F8" s="571">
        <v>35</v>
      </c>
      <c r="G8" s="6">
        <v>60</v>
      </c>
      <c r="H8" s="32" t="s">
        <v>28</v>
      </c>
      <c r="I8" s="5" t="s">
        <v>8</v>
      </c>
      <c r="J8" s="9">
        <v>0.95</v>
      </c>
      <c r="K8" s="10">
        <v>0.98</v>
      </c>
      <c r="L8" s="11">
        <v>1</v>
      </c>
      <c r="M8" s="12">
        <v>1.01</v>
      </c>
      <c r="N8" s="13">
        <v>1.02</v>
      </c>
      <c r="O8" s="6" t="s">
        <v>33</v>
      </c>
    </row>
    <row r="9" spans="1:17">
      <c r="A9" s="548"/>
      <c r="B9" s="546"/>
      <c r="C9" s="570"/>
      <c r="D9" s="163" t="s">
        <v>120</v>
      </c>
      <c r="E9" s="6" t="s">
        <v>122</v>
      </c>
      <c r="F9" s="555"/>
      <c r="G9" s="6">
        <v>40</v>
      </c>
      <c r="H9" s="32" t="s">
        <v>28</v>
      </c>
      <c r="I9" s="5" t="s">
        <v>8</v>
      </c>
      <c r="J9" s="9">
        <v>1.05</v>
      </c>
      <c r="K9" s="10">
        <v>1.02</v>
      </c>
      <c r="L9" s="11">
        <v>1</v>
      </c>
      <c r="M9" s="12">
        <v>0.99</v>
      </c>
      <c r="N9" s="13">
        <v>0.98</v>
      </c>
      <c r="O9" s="6" t="s">
        <v>33</v>
      </c>
    </row>
    <row r="10" spans="1:17">
      <c r="A10" s="37"/>
      <c r="B10" s="38"/>
      <c r="C10" s="39" t="s">
        <v>130</v>
      </c>
      <c r="D10" s="25">
        <f>COUNTA(C2:C9)</f>
        <v>6</v>
      </c>
      <c r="E10" s="27"/>
      <c r="F10" s="26">
        <f>SUM(F2:F9)</f>
        <v>80</v>
      </c>
      <c r="G10" s="26"/>
      <c r="H10" s="26"/>
      <c r="I10" s="24"/>
      <c r="J10" s="24"/>
      <c r="K10" s="24"/>
      <c r="L10" s="24"/>
      <c r="M10" s="24"/>
      <c r="N10" s="24"/>
      <c r="O10" s="28"/>
    </row>
  </sheetData>
  <mergeCells count="8">
    <mergeCell ref="A2:A9"/>
    <mergeCell ref="B2:B9"/>
    <mergeCell ref="F2:F5"/>
    <mergeCell ref="H2:H5"/>
    <mergeCell ref="C8:C9"/>
    <mergeCell ref="F8:F9"/>
    <mergeCell ref="C6:C7"/>
    <mergeCell ref="F6:F7"/>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5"/>
  <sheetViews>
    <sheetView workbookViewId="0">
      <selection activeCell="L8" sqref="L8:L9"/>
    </sheetView>
  </sheetViews>
  <sheetFormatPr defaultRowHeight="14.4"/>
  <cols>
    <col min="1" max="1" width="26.109375" bestFit="1" customWidth="1"/>
    <col min="2" max="2" width="7.5546875" bestFit="1" customWidth="1"/>
    <col min="3" max="4" width="6.88671875" bestFit="1" customWidth="1"/>
  </cols>
  <sheetData>
    <row r="1" spans="1:4" ht="42.75" customHeight="1">
      <c r="A1" s="574" t="s">
        <v>135</v>
      </c>
      <c r="B1" s="574"/>
      <c r="C1" s="574"/>
      <c r="D1" s="574"/>
    </row>
    <row r="2" spans="1:4" ht="32.25" customHeight="1"/>
    <row r="3" spans="1:4">
      <c r="A3" t="s">
        <v>139</v>
      </c>
      <c r="B3" t="s">
        <v>136</v>
      </c>
      <c r="C3" t="s">
        <v>137</v>
      </c>
      <c r="D3" t="s">
        <v>138</v>
      </c>
    </row>
    <row r="4" spans="1:4">
      <c r="A4" t="s">
        <v>140</v>
      </c>
      <c r="B4">
        <v>60</v>
      </c>
      <c r="C4">
        <v>70</v>
      </c>
      <c r="D4">
        <v>75</v>
      </c>
    </row>
    <row r="5" spans="1:4">
      <c r="A5" t="s">
        <v>141</v>
      </c>
      <c r="B5">
        <v>60</v>
      </c>
      <c r="C5">
        <v>70</v>
      </c>
      <c r="D5">
        <v>75</v>
      </c>
    </row>
    <row r="6" spans="1:4">
      <c r="A6" t="s">
        <v>142</v>
      </c>
      <c r="B6">
        <v>60</v>
      </c>
      <c r="C6">
        <v>70</v>
      </c>
      <c r="D6">
        <v>80</v>
      </c>
    </row>
    <row r="9" spans="1:4">
      <c r="A9" t="s">
        <v>143</v>
      </c>
    </row>
    <row r="14" spans="1:4">
      <c r="A14" t="s">
        <v>144</v>
      </c>
    </row>
    <row r="15" spans="1:4">
      <c r="A15" t="s">
        <v>145</v>
      </c>
    </row>
  </sheetData>
  <mergeCells count="1">
    <mergeCell ref="A1:D1"/>
  </mergeCells>
  <pageMargins left="0.7" right="0.7" top="0.75" bottom="0.75" header="0.3" footer="0.3"/>
  <pageSetup paperSize="9"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P11"/>
  <sheetViews>
    <sheetView zoomScale="90" zoomScaleNormal="90" workbookViewId="0">
      <selection activeCell="B2" sqref="B2:B10"/>
    </sheetView>
  </sheetViews>
  <sheetFormatPr defaultRowHeight="14.4"/>
  <cols>
    <col min="1" max="1" width="13" style="1" bestFit="1" customWidth="1"/>
    <col min="2" max="2" width="19.6640625" style="1" customWidth="1"/>
    <col min="3" max="3" width="42" style="40" customWidth="1"/>
    <col min="4" max="4" width="56.33203125" style="1" customWidth="1"/>
    <col min="5" max="5" width="11.6640625" style="1" bestFit="1" customWidth="1"/>
    <col min="6" max="6" width="11.88671875" style="1" bestFit="1" customWidth="1"/>
    <col min="7" max="7" width="16.109375" style="1" hidden="1" customWidth="1"/>
    <col min="8" max="8" width="12.109375" style="1" customWidth="1"/>
    <col min="9" max="9" width="13.88671875" style="1" customWidth="1"/>
    <col min="10" max="10" width="11.33203125" style="1" customWidth="1"/>
    <col min="11" max="12" width="7.5546875" style="1" bestFit="1" customWidth="1"/>
    <col min="13" max="15" width="8.88671875" style="1" bestFit="1" customWidth="1"/>
    <col min="16" max="16" width="12.33203125" style="1" bestFit="1" customWidth="1"/>
    <col min="17" max="258" width="9.109375" style="1"/>
    <col min="259" max="259" width="11.6640625" style="1" customWidth="1"/>
    <col min="260" max="260" width="19.6640625" style="1" customWidth="1"/>
    <col min="261" max="261" width="23.44140625" style="1" customWidth="1"/>
    <col min="262" max="262" width="56.33203125" style="1" customWidth="1"/>
    <col min="263" max="263" width="10.88671875" style="1" customWidth="1"/>
    <col min="264" max="264" width="6" style="1" customWidth="1"/>
    <col min="265" max="267" width="6.5546875" style="1" customWidth="1"/>
    <col min="268" max="268" width="10.109375" style="1" customWidth="1"/>
    <col min="269" max="269" width="11.109375" style="1" customWidth="1"/>
    <col min="270" max="270" width="17.33203125" style="1" customWidth="1"/>
    <col min="271" max="514" width="9.109375" style="1"/>
    <col min="515" max="515" width="11.6640625" style="1" customWidth="1"/>
    <col min="516" max="516" width="19.6640625" style="1" customWidth="1"/>
    <col min="517" max="517" width="23.44140625" style="1" customWidth="1"/>
    <col min="518" max="518" width="56.33203125" style="1" customWidth="1"/>
    <col min="519" max="519" width="10.88671875" style="1" customWidth="1"/>
    <col min="520" max="520" width="6" style="1" customWidth="1"/>
    <col min="521" max="523" width="6.5546875" style="1" customWidth="1"/>
    <col min="524" max="524" width="10.109375" style="1" customWidth="1"/>
    <col min="525" max="525" width="11.109375" style="1" customWidth="1"/>
    <col min="526" max="526" width="17.33203125" style="1" customWidth="1"/>
    <col min="527" max="770" width="9.109375" style="1"/>
    <col min="771" max="771" width="11.6640625" style="1" customWidth="1"/>
    <col min="772" max="772" width="19.6640625" style="1" customWidth="1"/>
    <col min="773" max="773" width="23.44140625" style="1" customWidth="1"/>
    <col min="774" max="774" width="56.33203125" style="1" customWidth="1"/>
    <col min="775" max="775" width="10.88671875" style="1" customWidth="1"/>
    <col min="776" max="776" width="6" style="1" customWidth="1"/>
    <col min="777" max="779" width="6.5546875" style="1" customWidth="1"/>
    <col min="780" max="780" width="10.109375" style="1" customWidth="1"/>
    <col min="781" max="781" width="11.109375" style="1" customWidth="1"/>
    <col min="782" max="782" width="17.33203125" style="1" customWidth="1"/>
    <col min="783" max="1026" width="9.109375" style="1"/>
    <col min="1027" max="1027" width="11.6640625" style="1" customWidth="1"/>
    <col min="1028" max="1028" width="19.6640625" style="1" customWidth="1"/>
    <col min="1029" max="1029" width="23.44140625" style="1" customWidth="1"/>
    <col min="1030" max="1030" width="56.33203125" style="1" customWidth="1"/>
    <col min="1031" max="1031" width="10.88671875" style="1" customWidth="1"/>
    <col min="1032" max="1032" width="6" style="1" customWidth="1"/>
    <col min="1033" max="1035" width="6.5546875" style="1" customWidth="1"/>
    <col min="1036" max="1036" width="10.109375" style="1" customWidth="1"/>
    <col min="1037" max="1037" width="11.109375" style="1" customWidth="1"/>
    <col min="1038" max="1038" width="17.33203125" style="1" customWidth="1"/>
    <col min="1039" max="1282" width="9.109375" style="1"/>
    <col min="1283" max="1283" width="11.6640625" style="1" customWidth="1"/>
    <col min="1284" max="1284" width="19.6640625" style="1" customWidth="1"/>
    <col min="1285" max="1285" width="23.44140625" style="1" customWidth="1"/>
    <col min="1286" max="1286" width="56.33203125" style="1" customWidth="1"/>
    <col min="1287" max="1287" width="10.88671875" style="1" customWidth="1"/>
    <col min="1288" max="1288" width="6" style="1" customWidth="1"/>
    <col min="1289" max="1291" width="6.5546875" style="1" customWidth="1"/>
    <col min="1292" max="1292" width="10.109375" style="1" customWidth="1"/>
    <col min="1293" max="1293" width="11.109375" style="1" customWidth="1"/>
    <col min="1294" max="1294" width="17.33203125" style="1" customWidth="1"/>
    <col min="1295" max="1538" width="9.109375" style="1"/>
    <col min="1539" max="1539" width="11.6640625" style="1" customWidth="1"/>
    <col min="1540" max="1540" width="19.6640625" style="1" customWidth="1"/>
    <col min="1541" max="1541" width="23.44140625" style="1" customWidth="1"/>
    <col min="1542" max="1542" width="56.33203125" style="1" customWidth="1"/>
    <col min="1543" max="1543" width="10.88671875" style="1" customWidth="1"/>
    <col min="1544" max="1544" width="6" style="1" customWidth="1"/>
    <col min="1545" max="1547" width="6.5546875" style="1" customWidth="1"/>
    <col min="1548" max="1548" width="10.109375" style="1" customWidth="1"/>
    <col min="1549" max="1549" width="11.109375" style="1" customWidth="1"/>
    <col min="1550" max="1550" width="17.33203125" style="1" customWidth="1"/>
    <col min="1551" max="1794" width="9.109375" style="1"/>
    <col min="1795" max="1795" width="11.6640625" style="1" customWidth="1"/>
    <col min="1796" max="1796" width="19.6640625" style="1" customWidth="1"/>
    <col min="1797" max="1797" width="23.44140625" style="1" customWidth="1"/>
    <col min="1798" max="1798" width="56.33203125" style="1" customWidth="1"/>
    <col min="1799" max="1799" width="10.88671875" style="1" customWidth="1"/>
    <col min="1800" max="1800" width="6" style="1" customWidth="1"/>
    <col min="1801" max="1803" width="6.5546875" style="1" customWidth="1"/>
    <col min="1804" max="1804" width="10.109375" style="1" customWidth="1"/>
    <col min="1805" max="1805" width="11.109375" style="1" customWidth="1"/>
    <col min="1806" max="1806" width="17.33203125" style="1" customWidth="1"/>
    <col min="1807" max="2050" width="9.109375" style="1"/>
    <col min="2051" max="2051" width="11.6640625" style="1" customWidth="1"/>
    <col min="2052" max="2052" width="19.6640625" style="1" customWidth="1"/>
    <col min="2053" max="2053" width="23.44140625" style="1" customWidth="1"/>
    <col min="2054" max="2054" width="56.33203125" style="1" customWidth="1"/>
    <col min="2055" max="2055" width="10.88671875" style="1" customWidth="1"/>
    <col min="2056" max="2056" width="6" style="1" customWidth="1"/>
    <col min="2057" max="2059" width="6.5546875" style="1" customWidth="1"/>
    <col min="2060" max="2060" width="10.109375" style="1" customWidth="1"/>
    <col min="2061" max="2061" width="11.109375" style="1" customWidth="1"/>
    <col min="2062" max="2062" width="17.33203125" style="1" customWidth="1"/>
    <col min="2063" max="2306" width="9.109375" style="1"/>
    <col min="2307" max="2307" width="11.6640625" style="1" customWidth="1"/>
    <col min="2308" max="2308" width="19.6640625" style="1" customWidth="1"/>
    <col min="2309" max="2309" width="23.44140625" style="1" customWidth="1"/>
    <col min="2310" max="2310" width="56.33203125" style="1" customWidth="1"/>
    <col min="2311" max="2311" width="10.88671875" style="1" customWidth="1"/>
    <col min="2312" max="2312" width="6" style="1" customWidth="1"/>
    <col min="2313" max="2315" width="6.5546875" style="1" customWidth="1"/>
    <col min="2316" max="2316" width="10.109375" style="1" customWidth="1"/>
    <col min="2317" max="2317" width="11.109375" style="1" customWidth="1"/>
    <col min="2318" max="2318" width="17.33203125" style="1" customWidth="1"/>
    <col min="2319" max="2562" width="9.109375" style="1"/>
    <col min="2563" max="2563" width="11.6640625" style="1" customWidth="1"/>
    <col min="2564" max="2564" width="19.6640625" style="1" customWidth="1"/>
    <col min="2565" max="2565" width="23.44140625" style="1" customWidth="1"/>
    <col min="2566" max="2566" width="56.33203125" style="1" customWidth="1"/>
    <col min="2567" max="2567" width="10.88671875" style="1" customWidth="1"/>
    <col min="2568" max="2568" width="6" style="1" customWidth="1"/>
    <col min="2569" max="2571" width="6.5546875" style="1" customWidth="1"/>
    <col min="2572" max="2572" width="10.109375" style="1" customWidth="1"/>
    <col min="2573" max="2573" width="11.109375" style="1" customWidth="1"/>
    <col min="2574" max="2574" width="17.33203125" style="1" customWidth="1"/>
    <col min="2575" max="2818" width="9.109375" style="1"/>
    <col min="2819" max="2819" width="11.6640625" style="1" customWidth="1"/>
    <col min="2820" max="2820" width="19.6640625" style="1" customWidth="1"/>
    <col min="2821" max="2821" width="23.44140625" style="1" customWidth="1"/>
    <col min="2822" max="2822" width="56.33203125" style="1" customWidth="1"/>
    <col min="2823" max="2823" width="10.88671875" style="1" customWidth="1"/>
    <col min="2824" max="2824" width="6" style="1" customWidth="1"/>
    <col min="2825" max="2827" width="6.5546875" style="1" customWidth="1"/>
    <col min="2828" max="2828" width="10.109375" style="1" customWidth="1"/>
    <col min="2829" max="2829" width="11.109375" style="1" customWidth="1"/>
    <col min="2830" max="2830" width="17.33203125" style="1" customWidth="1"/>
    <col min="2831" max="3074" width="9.109375" style="1"/>
    <col min="3075" max="3075" width="11.6640625" style="1" customWidth="1"/>
    <col min="3076" max="3076" width="19.6640625" style="1" customWidth="1"/>
    <col min="3077" max="3077" width="23.44140625" style="1" customWidth="1"/>
    <col min="3078" max="3078" width="56.33203125" style="1" customWidth="1"/>
    <col min="3079" max="3079" width="10.88671875" style="1" customWidth="1"/>
    <col min="3080" max="3080" width="6" style="1" customWidth="1"/>
    <col min="3081" max="3083" width="6.5546875" style="1" customWidth="1"/>
    <col min="3084" max="3084" width="10.109375" style="1" customWidth="1"/>
    <col min="3085" max="3085" width="11.109375" style="1" customWidth="1"/>
    <col min="3086" max="3086" width="17.33203125" style="1" customWidth="1"/>
    <col min="3087" max="3330" width="9.109375" style="1"/>
    <col min="3331" max="3331" width="11.6640625" style="1" customWidth="1"/>
    <col min="3332" max="3332" width="19.6640625" style="1" customWidth="1"/>
    <col min="3333" max="3333" width="23.44140625" style="1" customWidth="1"/>
    <col min="3334" max="3334" width="56.33203125" style="1" customWidth="1"/>
    <col min="3335" max="3335" width="10.88671875" style="1" customWidth="1"/>
    <col min="3336" max="3336" width="6" style="1" customWidth="1"/>
    <col min="3337" max="3339" width="6.5546875" style="1" customWidth="1"/>
    <col min="3340" max="3340" width="10.109375" style="1" customWidth="1"/>
    <col min="3341" max="3341" width="11.109375" style="1" customWidth="1"/>
    <col min="3342" max="3342" width="17.33203125" style="1" customWidth="1"/>
    <col min="3343" max="3586" width="9.109375" style="1"/>
    <col min="3587" max="3587" width="11.6640625" style="1" customWidth="1"/>
    <col min="3588" max="3588" width="19.6640625" style="1" customWidth="1"/>
    <col min="3589" max="3589" width="23.44140625" style="1" customWidth="1"/>
    <col min="3590" max="3590" width="56.33203125" style="1" customWidth="1"/>
    <col min="3591" max="3591" width="10.88671875" style="1" customWidth="1"/>
    <col min="3592" max="3592" width="6" style="1" customWidth="1"/>
    <col min="3593" max="3595" width="6.5546875" style="1" customWidth="1"/>
    <col min="3596" max="3596" width="10.109375" style="1" customWidth="1"/>
    <col min="3597" max="3597" width="11.109375" style="1" customWidth="1"/>
    <col min="3598" max="3598" width="17.33203125" style="1" customWidth="1"/>
    <col min="3599" max="3842" width="9.109375" style="1"/>
    <col min="3843" max="3843" width="11.6640625" style="1" customWidth="1"/>
    <col min="3844" max="3844" width="19.6640625" style="1" customWidth="1"/>
    <col min="3845" max="3845" width="23.44140625" style="1" customWidth="1"/>
    <col min="3846" max="3846" width="56.33203125" style="1" customWidth="1"/>
    <col min="3847" max="3847" width="10.88671875" style="1" customWidth="1"/>
    <col min="3848" max="3848" width="6" style="1" customWidth="1"/>
    <col min="3849" max="3851" width="6.5546875" style="1" customWidth="1"/>
    <col min="3852" max="3852" width="10.109375" style="1" customWidth="1"/>
    <col min="3853" max="3853" width="11.109375" style="1" customWidth="1"/>
    <col min="3854" max="3854" width="17.33203125" style="1" customWidth="1"/>
    <col min="3855" max="4098" width="9.109375" style="1"/>
    <col min="4099" max="4099" width="11.6640625" style="1" customWidth="1"/>
    <col min="4100" max="4100" width="19.6640625" style="1" customWidth="1"/>
    <col min="4101" max="4101" width="23.44140625" style="1" customWidth="1"/>
    <col min="4102" max="4102" width="56.33203125" style="1" customWidth="1"/>
    <col min="4103" max="4103" width="10.88671875" style="1" customWidth="1"/>
    <col min="4104" max="4104" width="6" style="1" customWidth="1"/>
    <col min="4105" max="4107" width="6.5546875" style="1" customWidth="1"/>
    <col min="4108" max="4108" width="10.109375" style="1" customWidth="1"/>
    <col min="4109" max="4109" width="11.109375" style="1" customWidth="1"/>
    <col min="4110" max="4110" width="17.33203125" style="1" customWidth="1"/>
    <col min="4111" max="4354" width="9.109375" style="1"/>
    <col min="4355" max="4355" width="11.6640625" style="1" customWidth="1"/>
    <col min="4356" max="4356" width="19.6640625" style="1" customWidth="1"/>
    <col min="4357" max="4357" width="23.44140625" style="1" customWidth="1"/>
    <col min="4358" max="4358" width="56.33203125" style="1" customWidth="1"/>
    <col min="4359" max="4359" width="10.88671875" style="1" customWidth="1"/>
    <col min="4360" max="4360" width="6" style="1" customWidth="1"/>
    <col min="4361" max="4363" width="6.5546875" style="1" customWidth="1"/>
    <col min="4364" max="4364" width="10.109375" style="1" customWidth="1"/>
    <col min="4365" max="4365" width="11.109375" style="1" customWidth="1"/>
    <col min="4366" max="4366" width="17.33203125" style="1" customWidth="1"/>
    <col min="4367" max="4610" width="9.109375" style="1"/>
    <col min="4611" max="4611" width="11.6640625" style="1" customWidth="1"/>
    <col min="4612" max="4612" width="19.6640625" style="1" customWidth="1"/>
    <col min="4613" max="4613" width="23.44140625" style="1" customWidth="1"/>
    <col min="4614" max="4614" width="56.33203125" style="1" customWidth="1"/>
    <col min="4615" max="4615" width="10.88671875" style="1" customWidth="1"/>
    <col min="4616" max="4616" width="6" style="1" customWidth="1"/>
    <col min="4617" max="4619" width="6.5546875" style="1" customWidth="1"/>
    <col min="4620" max="4620" width="10.109375" style="1" customWidth="1"/>
    <col min="4621" max="4621" width="11.109375" style="1" customWidth="1"/>
    <col min="4622" max="4622" width="17.33203125" style="1" customWidth="1"/>
    <col min="4623" max="4866" width="9.109375" style="1"/>
    <col min="4867" max="4867" width="11.6640625" style="1" customWidth="1"/>
    <col min="4868" max="4868" width="19.6640625" style="1" customWidth="1"/>
    <col min="4869" max="4869" width="23.44140625" style="1" customWidth="1"/>
    <col min="4870" max="4870" width="56.33203125" style="1" customWidth="1"/>
    <col min="4871" max="4871" width="10.88671875" style="1" customWidth="1"/>
    <col min="4872" max="4872" width="6" style="1" customWidth="1"/>
    <col min="4873" max="4875" width="6.5546875" style="1" customWidth="1"/>
    <col min="4876" max="4876" width="10.109375" style="1" customWidth="1"/>
    <col min="4877" max="4877" width="11.109375" style="1" customWidth="1"/>
    <col min="4878" max="4878" width="17.33203125" style="1" customWidth="1"/>
    <col min="4879" max="5122" width="9.109375" style="1"/>
    <col min="5123" max="5123" width="11.6640625" style="1" customWidth="1"/>
    <col min="5124" max="5124" width="19.6640625" style="1" customWidth="1"/>
    <col min="5125" max="5125" width="23.44140625" style="1" customWidth="1"/>
    <col min="5126" max="5126" width="56.33203125" style="1" customWidth="1"/>
    <col min="5127" max="5127" width="10.88671875" style="1" customWidth="1"/>
    <col min="5128" max="5128" width="6" style="1" customWidth="1"/>
    <col min="5129" max="5131" width="6.5546875" style="1" customWidth="1"/>
    <col min="5132" max="5132" width="10.109375" style="1" customWidth="1"/>
    <col min="5133" max="5133" width="11.109375" style="1" customWidth="1"/>
    <col min="5134" max="5134" width="17.33203125" style="1" customWidth="1"/>
    <col min="5135" max="5378" width="9.109375" style="1"/>
    <col min="5379" max="5379" width="11.6640625" style="1" customWidth="1"/>
    <col min="5380" max="5380" width="19.6640625" style="1" customWidth="1"/>
    <col min="5381" max="5381" width="23.44140625" style="1" customWidth="1"/>
    <col min="5382" max="5382" width="56.33203125" style="1" customWidth="1"/>
    <col min="5383" max="5383" width="10.88671875" style="1" customWidth="1"/>
    <col min="5384" max="5384" width="6" style="1" customWidth="1"/>
    <col min="5385" max="5387" width="6.5546875" style="1" customWidth="1"/>
    <col min="5388" max="5388" width="10.109375" style="1" customWidth="1"/>
    <col min="5389" max="5389" width="11.109375" style="1" customWidth="1"/>
    <col min="5390" max="5390" width="17.33203125" style="1" customWidth="1"/>
    <col min="5391" max="5634" width="9.109375" style="1"/>
    <col min="5635" max="5635" width="11.6640625" style="1" customWidth="1"/>
    <col min="5636" max="5636" width="19.6640625" style="1" customWidth="1"/>
    <col min="5637" max="5637" width="23.44140625" style="1" customWidth="1"/>
    <col min="5638" max="5638" width="56.33203125" style="1" customWidth="1"/>
    <col min="5639" max="5639" width="10.88671875" style="1" customWidth="1"/>
    <col min="5640" max="5640" width="6" style="1" customWidth="1"/>
    <col min="5641" max="5643" width="6.5546875" style="1" customWidth="1"/>
    <col min="5644" max="5644" width="10.109375" style="1" customWidth="1"/>
    <col min="5645" max="5645" width="11.109375" style="1" customWidth="1"/>
    <col min="5646" max="5646" width="17.33203125" style="1" customWidth="1"/>
    <col min="5647" max="5890" width="9.109375" style="1"/>
    <col min="5891" max="5891" width="11.6640625" style="1" customWidth="1"/>
    <col min="5892" max="5892" width="19.6640625" style="1" customWidth="1"/>
    <col min="5893" max="5893" width="23.44140625" style="1" customWidth="1"/>
    <col min="5894" max="5894" width="56.33203125" style="1" customWidth="1"/>
    <col min="5895" max="5895" width="10.88671875" style="1" customWidth="1"/>
    <col min="5896" max="5896" width="6" style="1" customWidth="1"/>
    <col min="5897" max="5899" width="6.5546875" style="1" customWidth="1"/>
    <col min="5900" max="5900" width="10.109375" style="1" customWidth="1"/>
    <col min="5901" max="5901" width="11.109375" style="1" customWidth="1"/>
    <col min="5902" max="5902" width="17.33203125" style="1" customWidth="1"/>
    <col min="5903" max="6146" width="9.109375" style="1"/>
    <col min="6147" max="6147" width="11.6640625" style="1" customWidth="1"/>
    <col min="6148" max="6148" width="19.6640625" style="1" customWidth="1"/>
    <col min="6149" max="6149" width="23.44140625" style="1" customWidth="1"/>
    <col min="6150" max="6150" width="56.33203125" style="1" customWidth="1"/>
    <col min="6151" max="6151" width="10.88671875" style="1" customWidth="1"/>
    <col min="6152" max="6152" width="6" style="1" customWidth="1"/>
    <col min="6153" max="6155" width="6.5546875" style="1" customWidth="1"/>
    <col min="6156" max="6156" width="10.109375" style="1" customWidth="1"/>
    <col min="6157" max="6157" width="11.109375" style="1" customWidth="1"/>
    <col min="6158" max="6158" width="17.33203125" style="1" customWidth="1"/>
    <col min="6159" max="6402" width="9.109375" style="1"/>
    <col min="6403" max="6403" width="11.6640625" style="1" customWidth="1"/>
    <col min="6404" max="6404" width="19.6640625" style="1" customWidth="1"/>
    <col min="6405" max="6405" width="23.44140625" style="1" customWidth="1"/>
    <col min="6406" max="6406" width="56.33203125" style="1" customWidth="1"/>
    <col min="6407" max="6407" width="10.88671875" style="1" customWidth="1"/>
    <col min="6408" max="6408" width="6" style="1" customWidth="1"/>
    <col min="6409" max="6411" width="6.5546875" style="1" customWidth="1"/>
    <col min="6412" max="6412" width="10.109375" style="1" customWidth="1"/>
    <col min="6413" max="6413" width="11.109375" style="1" customWidth="1"/>
    <col min="6414" max="6414" width="17.33203125" style="1" customWidth="1"/>
    <col min="6415" max="6658" width="9.109375" style="1"/>
    <col min="6659" max="6659" width="11.6640625" style="1" customWidth="1"/>
    <col min="6660" max="6660" width="19.6640625" style="1" customWidth="1"/>
    <col min="6661" max="6661" width="23.44140625" style="1" customWidth="1"/>
    <col min="6662" max="6662" width="56.33203125" style="1" customWidth="1"/>
    <col min="6663" max="6663" width="10.88671875" style="1" customWidth="1"/>
    <col min="6664" max="6664" width="6" style="1" customWidth="1"/>
    <col min="6665" max="6667" width="6.5546875" style="1" customWidth="1"/>
    <col min="6668" max="6668" width="10.109375" style="1" customWidth="1"/>
    <col min="6669" max="6669" width="11.109375" style="1" customWidth="1"/>
    <col min="6670" max="6670" width="17.33203125" style="1" customWidth="1"/>
    <col min="6671" max="6914" width="9.109375" style="1"/>
    <col min="6915" max="6915" width="11.6640625" style="1" customWidth="1"/>
    <col min="6916" max="6916" width="19.6640625" style="1" customWidth="1"/>
    <col min="6917" max="6917" width="23.44140625" style="1" customWidth="1"/>
    <col min="6918" max="6918" width="56.33203125" style="1" customWidth="1"/>
    <col min="6919" max="6919" width="10.88671875" style="1" customWidth="1"/>
    <col min="6920" max="6920" width="6" style="1" customWidth="1"/>
    <col min="6921" max="6923" width="6.5546875" style="1" customWidth="1"/>
    <col min="6924" max="6924" width="10.109375" style="1" customWidth="1"/>
    <col min="6925" max="6925" width="11.109375" style="1" customWidth="1"/>
    <col min="6926" max="6926" width="17.33203125" style="1" customWidth="1"/>
    <col min="6927" max="7170" width="9.109375" style="1"/>
    <col min="7171" max="7171" width="11.6640625" style="1" customWidth="1"/>
    <col min="7172" max="7172" width="19.6640625" style="1" customWidth="1"/>
    <col min="7173" max="7173" width="23.44140625" style="1" customWidth="1"/>
    <col min="7174" max="7174" width="56.33203125" style="1" customWidth="1"/>
    <col min="7175" max="7175" width="10.88671875" style="1" customWidth="1"/>
    <col min="7176" max="7176" width="6" style="1" customWidth="1"/>
    <col min="7177" max="7179" width="6.5546875" style="1" customWidth="1"/>
    <col min="7180" max="7180" width="10.109375" style="1" customWidth="1"/>
    <col min="7181" max="7181" width="11.109375" style="1" customWidth="1"/>
    <col min="7182" max="7182" width="17.33203125" style="1" customWidth="1"/>
    <col min="7183" max="7426" width="9.109375" style="1"/>
    <col min="7427" max="7427" width="11.6640625" style="1" customWidth="1"/>
    <col min="7428" max="7428" width="19.6640625" style="1" customWidth="1"/>
    <col min="7429" max="7429" width="23.44140625" style="1" customWidth="1"/>
    <col min="7430" max="7430" width="56.33203125" style="1" customWidth="1"/>
    <col min="7431" max="7431" width="10.88671875" style="1" customWidth="1"/>
    <col min="7432" max="7432" width="6" style="1" customWidth="1"/>
    <col min="7433" max="7435" width="6.5546875" style="1" customWidth="1"/>
    <col min="7436" max="7436" width="10.109375" style="1" customWidth="1"/>
    <col min="7437" max="7437" width="11.109375" style="1" customWidth="1"/>
    <col min="7438" max="7438" width="17.33203125" style="1" customWidth="1"/>
    <col min="7439" max="7682" width="9.109375" style="1"/>
    <col min="7683" max="7683" width="11.6640625" style="1" customWidth="1"/>
    <col min="7684" max="7684" width="19.6640625" style="1" customWidth="1"/>
    <col min="7685" max="7685" width="23.44140625" style="1" customWidth="1"/>
    <col min="7686" max="7686" width="56.33203125" style="1" customWidth="1"/>
    <col min="7687" max="7687" width="10.88671875" style="1" customWidth="1"/>
    <col min="7688" max="7688" width="6" style="1" customWidth="1"/>
    <col min="7689" max="7691" width="6.5546875" style="1" customWidth="1"/>
    <col min="7692" max="7692" width="10.109375" style="1" customWidth="1"/>
    <col min="7693" max="7693" width="11.109375" style="1" customWidth="1"/>
    <col min="7694" max="7694" width="17.33203125" style="1" customWidth="1"/>
    <col min="7695" max="7938" width="9.109375" style="1"/>
    <col min="7939" max="7939" width="11.6640625" style="1" customWidth="1"/>
    <col min="7940" max="7940" width="19.6640625" style="1" customWidth="1"/>
    <col min="7941" max="7941" width="23.44140625" style="1" customWidth="1"/>
    <col min="7942" max="7942" width="56.33203125" style="1" customWidth="1"/>
    <col min="7943" max="7943" width="10.88671875" style="1" customWidth="1"/>
    <col min="7944" max="7944" width="6" style="1" customWidth="1"/>
    <col min="7945" max="7947" width="6.5546875" style="1" customWidth="1"/>
    <col min="7948" max="7948" width="10.109375" style="1" customWidth="1"/>
    <col min="7949" max="7949" width="11.109375" style="1" customWidth="1"/>
    <col min="7950" max="7950" width="17.33203125" style="1" customWidth="1"/>
    <col min="7951" max="8194" width="9.109375" style="1"/>
    <col min="8195" max="8195" width="11.6640625" style="1" customWidth="1"/>
    <col min="8196" max="8196" width="19.6640625" style="1" customWidth="1"/>
    <col min="8197" max="8197" width="23.44140625" style="1" customWidth="1"/>
    <col min="8198" max="8198" width="56.33203125" style="1" customWidth="1"/>
    <col min="8199" max="8199" width="10.88671875" style="1" customWidth="1"/>
    <col min="8200" max="8200" width="6" style="1" customWidth="1"/>
    <col min="8201" max="8203" width="6.5546875" style="1" customWidth="1"/>
    <col min="8204" max="8204" width="10.109375" style="1" customWidth="1"/>
    <col min="8205" max="8205" width="11.109375" style="1" customWidth="1"/>
    <col min="8206" max="8206" width="17.33203125" style="1" customWidth="1"/>
    <col min="8207" max="8450" width="9.109375" style="1"/>
    <col min="8451" max="8451" width="11.6640625" style="1" customWidth="1"/>
    <col min="8452" max="8452" width="19.6640625" style="1" customWidth="1"/>
    <col min="8453" max="8453" width="23.44140625" style="1" customWidth="1"/>
    <col min="8454" max="8454" width="56.33203125" style="1" customWidth="1"/>
    <col min="8455" max="8455" width="10.88671875" style="1" customWidth="1"/>
    <col min="8456" max="8456" width="6" style="1" customWidth="1"/>
    <col min="8457" max="8459" width="6.5546875" style="1" customWidth="1"/>
    <col min="8460" max="8460" width="10.109375" style="1" customWidth="1"/>
    <col min="8461" max="8461" width="11.109375" style="1" customWidth="1"/>
    <col min="8462" max="8462" width="17.33203125" style="1" customWidth="1"/>
    <col min="8463" max="8706" width="9.109375" style="1"/>
    <col min="8707" max="8707" width="11.6640625" style="1" customWidth="1"/>
    <col min="8708" max="8708" width="19.6640625" style="1" customWidth="1"/>
    <col min="8709" max="8709" width="23.44140625" style="1" customWidth="1"/>
    <col min="8710" max="8710" width="56.33203125" style="1" customWidth="1"/>
    <col min="8711" max="8711" width="10.88671875" style="1" customWidth="1"/>
    <col min="8712" max="8712" width="6" style="1" customWidth="1"/>
    <col min="8713" max="8715" width="6.5546875" style="1" customWidth="1"/>
    <col min="8716" max="8716" width="10.109375" style="1" customWidth="1"/>
    <col min="8717" max="8717" width="11.109375" style="1" customWidth="1"/>
    <col min="8718" max="8718" width="17.33203125" style="1" customWidth="1"/>
    <col min="8719" max="8962" width="9.109375" style="1"/>
    <col min="8963" max="8963" width="11.6640625" style="1" customWidth="1"/>
    <col min="8964" max="8964" width="19.6640625" style="1" customWidth="1"/>
    <col min="8965" max="8965" width="23.44140625" style="1" customWidth="1"/>
    <col min="8966" max="8966" width="56.33203125" style="1" customWidth="1"/>
    <col min="8967" max="8967" width="10.88671875" style="1" customWidth="1"/>
    <col min="8968" max="8968" width="6" style="1" customWidth="1"/>
    <col min="8969" max="8971" width="6.5546875" style="1" customWidth="1"/>
    <col min="8972" max="8972" width="10.109375" style="1" customWidth="1"/>
    <col min="8973" max="8973" width="11.109375" style="1" customWidth="1"/>
    <col min="8974" max="8974" width="17.33203125" style="1" customWidth="1"/>
    <col min="8975" max="9218" width="9.109375" style="1"/>
    <col min="9219" max="9219" width="11.6640625" style="1" customWidth="1"/>
    <col min="9220" max="9220" width="19.6640625" style="1" customWidth="1"/>
    <col min="9221" max="9221" width="23.44140625" style="1" customWidth="1"/>
    <col min="9222" max="9222" width="56.33203125" style="1" customWidth="1"/>
    <col min="9223" max="9223" width="10.88671875" style="1" customWidth="1"/>
    <col min="9224" max="9224" width="6" style="1" customWidth="1"/>
    <col min="9225" max="9227" width="6.5546875" style="1" customWidth="1"/>
    <col min="9228" max="9228" width="10.109375" style="1" customWidth="1"/>
    <col min="9229" max="9229" width="11.109375" style="1" customWidth="1"/>
    <col min="9230" max="9230" width="17.33203125" style="1" customWidth="1"/>
    <col min="9231" max="9474" width="9.109375" style="1"/>
    <col min="9475" max="9475" width="11.6640625" style="1" customWidth="1"/>
    <col min="9476" max="9476" width="19.6640625" style="1" customWidth="1"/>
    <col min="9477" max="9477" width="23.44140625" style="1" customWidth="1"/>
    <col min="9478" max="9478" width="56.33203125" style="1" customWidth="1"/>
    <col min="9479" max="9479" width="10.88671875" style="1" customWidth="1"/>
    <col min="9480" max="9480" width="6" style="1" customWidth="1"/>
    <col min="9481" max="9483" width="6.5546875" style="1" customWidth="1"/>
    <col min="9484" max="9484" width="10.109375" style="1" customWidth="1"/>
    <col min="9485" max="9485" width="11.109375" style="1" customWidth="1"/>
    <col min="9486" max="9486" width="17.33203125" style="1" customWidth="1"/>
    <col min="9487" max="9730" width="9.109375" style="1"/>
    <col min="9731" max="9731" width="11.6640625" style="1" customWidth="1"/>
    <col min="9732" max="9732" width="19.6640625" style="1" customWidth="1"/>
    <col min="9733" max="9733" width="23.44140625" style="1" customWidth="1"/>
    <col min="9734" max="9734" width="56.33203125" style="1" customWidth="1"/>
    <col min="9735" max="9735" width="10.88671875" style="1" customWidth="1"/>
    <col min="9736" max="9736" width="6" style="1" customWidth="1"/>
    <col min="9737" max="9739" width="6.5546875" style="1" customWidth="1"/>
    <col min="9740" max="9740" width="10.109375" style="1" customWidth="1"/>
    <col min="9741" max="9741" width="11.109375" style="1" customWidth="1"/>
    <col min="9742" max="9742" width="17.33203125" style="1" customWidth="1"/>
    <col min="9743" max="9986" width="9.109375" style="1"/>
    <col min="9987" max="9987" width="11.6640625" style="1" customWidth="1"/>
    <col min="9988" max="9988" width="19.6640625" style="1" customWidth="1"/>
    <col min="9989" max="9989" width="23.44140625" style="1" customWidth="1"/>
    <col min="9990" max="9990" width="56.33203125" style="1" customWidth="1"/>
    <col min="9991" max="9991" width="10.88671875" style="1" customWidth="1"/>
    <col min="9992" max="9992" width="6" style="1" customWidth="1"/>
    <col min="9993" max="9995" width="6.5546875" style="1" customWidth="1"/>
    <col min="9996" max="9996" width="10.109375" style="1" customWidth="1"/>
    <col min="9997" max="9997" width="11.109375" style="1" customWidth="1"/>
    <col min="9998" max="9998" width="17.33203125" style="1" customWidth="1"/>
    <col min="9999" max="10242" width="9.109375" style="1"/>
    <col min="10243" max="10243" width="11.6640625" style="1" customWidth="1"/>
    <col min="10244" max="10244" width="19.6640625" style="1" customWidth="1"/>
    <col min="10245" max="10245" width="23.44140625" style="1" customWidth="1"/>
    <col min="10246" max="10246" width="56.33203125" style="1" customWidth="1"/>
    <col min="10247" max="10247" width="10.88671875" style="1" customWidth="1"/>
    <col min="10248" max="10248" width="6" style="1" customWidth="1"/>
    <col min="10249" max="10251" width="6.5546875" style="1" customWidth="1"/>
    <col min="10252" max="10252" width="10.109375" style="1" customWidth="1"/>
    <col min="10253" max="10253" width="11.109375" style="1" customWidth="1"/>
    <col min="10254" max="10254" width="17.33203125" style="1" customWidth="1"/>
    <col min="10255" max="10498" width="9.109375" style="1"/>
    <col min="10499" max="10499" width="11.6640625" style="1" customWidth="1"/>
    <col min="10500" max="10500" width="19.6640625" style="1" customWidth="1"/>
    <col min="10501" max="10501" width="23.44140625" style="1" customWidth="1"/>
    <col min="10502" max="10502" width="56.33203125" style="1" customWidth="1"/>
    <col min="10503" max="10503" width="10.88671875" style="1" customWidth="1"/>
    <col min="10504" max="10504" width="6" style="1" customWidth="1"/>
    <col min="10505" max="10507" width="6.5546875" style="1" customWidth="1"/>
    <col min="10508" max="10508" width="10.109375" style="1" customWidth="1"/>
    <col min="10509" max="10509" width="11.109375" style="1" customWidth="1"/>
    <col min="10510" max="10510" width="17.33203125" style="1" customWidth="1"/>
    <col min="10511" max="10754" width="9.109375" style="1"/>
    <col min="10755" max="10755" width="11.6640625" style="1" customWidth="1"/>
    <col min="10756" max="10756" width="19.6640625" style="1" customWidth="1"/>
    <col min="10757" max="10757" width="23.44140625" style="1" customWidth="1"/>
    <col min="10758" max="10758" width="56.33203125" style="1" customWidth="1"/>
    <col min="10759" max="10759" width="10.88671875" style="1" customWidth="1"/>
    <col min="10760" max="10760" width="6" style="1" customWidth="1"/>
    <col min="10761" max="10763" width="6.5546875" style="1" customWidth="1"/>
    <col min="10764" max="10764" width="10.109375" style="1" customWidth="1"/>
    <col min="10765" max="10765" width="11.109375" style="1" customWidth="1"/>
    <col min="10766" max="10766" width="17.33203125" style="1" customWidth="1"/>
    <col min="10767" max="11010" width="9.109375" style="1"/>
    <col min="11011" max="11011" width="11.6640625" style="1" customWidth="1"/>
    <col min="11012" max="11012" width="19.6640625" style="1" customWidth="1"/>
    <col min="11013" max="11013" width="23.44140625" style="1" customWidth="1"/>
    <col min="11014" max="11014" width="56.33203125" style="1" customWidth="1"/>
    <col min="11015" max="11015" width="10.88671875" style="1" customWidth="1"/>
    <col min="11016" max="11016" width="6" style="1" customWidth="1"/>
    <col min="11017" max="11019" width="6.5546875" style="1" customWidth="1"/>
    <col min="11020" max="11020" width="10.109375" style="1" customWidth="1"/>
    <col min="11021" max="11021" width="11.109375" style="1" customWidth="1"/>
    <col min="11022" max="11022" width="17.33203125" style="1" customWidth="1"/>
    <col min="11023" max="11266" width="9.109375" style="1"/>
    <col min="11267" max="11267" width="11.6640625" style="1" customWidth="1"/>
    <col min="11268" max="11268" width="19.6640625" style="1" customWidth="1"/>
    <col min="11269" max="11269" width="23.44140625" style="1" customWidth="1"/>
    <col min="11270" max="11270" width="56.33203125" style="1" customWidth="1"/>
    <col min="11271" max="11271" width="10.88671875" style="1" customWidth="1"/>
    <col min="11272" max="11272" width="6" style="1" customWidth="1"/>
    <col min="11273" max="11275" width="6.5546875" style="1" customWidth="1"/>
    <col min="11276" max="11276" width="10.109375" style="1" customWidth="1"/>
    <col min="11277" max="11277" width="11.109375" style="1" customWidth="1"/>
    <col min="11278" max="11278" width="17.33203125" style="1" customWidth="1"/>
    <col min="11279" max="11522" width="9.109375" style="1"/>
    <col min="11523" max="11523" width="11.6640625" style="1" customWidth="1"/>
    <col min="11524" max="11524" width="19.6640625" style="1" customWidth="1"/>
    <col min="11525" max="11525" width="23.44140625" style="1" customWidth="1"/>
    <col min="11526" max="11526" width="56.33203125" style="1" customWidth="1"/>
    <col min="11527" max="11527" width="10.88671875" style="1" customWidth="1"/>
    <col min="11528" max="11528" width="6" style="1" customWidth="1"/>
    <col min="11529" max="11531" width="6.5546875" style="1" customWidth="1"/>
    <col min="11532" max="11532" width="10.109375" style="1" customWidth="1"/>
    <col min="11533" max="11533" width="11.109375" style="1" customWidth="1"/>
    <col min="11534" max="11534" width="17.33203125" style="1" customWidth="1"/>
    <col min="11535" max="11778" width="9.109375" style="1"/>
    <col min="11779" max="11779" width="11.6640625" style="1" customWidth="1"/>
    <col min="11780" max="11780" width="19.6640625" style="1" customWidth="1"/>
    <col min="11781" max="11781" width="23.44140625" style="1" customWidth="1"/>
    <col min="11782" max="11782" width="56.33203125" style="1" customWidth="1"/>
    <col min="11783" max="11783" width="10.88671875" style="1" customWidth="1"/>
    <col min="11784" max="11784" width="6" style="1" customWidth="1"/>
    <col min="11785" max="11787" width="6.5546875" style="1" customWidth="1"/>
    <col min="11788" max="11788" width="10.109375" style="1" customWidth="1"/>
    <col min="11789" max="11789" width="11.109375" style="1" customWidth="1"/>
    <col min="11790" max="11790" width="17.33203125" style="1" customWidth="1"/>
    <col min="11791" max="12034" width="9.109375" style="1"/>
    <col min="12035" max="12035" width="11.6640625" style="1" customWidth="1"/>
    <col min="12036" max="12036" width="19.6640625" style="1" customWidth="1"/>
    <col min="12037" max="12037" width="23.44140625" style="1" customWidth="1"/>
    <col min="12038" max="12038" width="56.33203125" style="1" customWidth="1"/>
    <col min="12039" max="12039" width="10.88671875" style="1" customWidth="1"/>
    <col min="12040" max="12040" width="6" style="1" customWidth="1"/>
    <col min="12041" max="12043" width="6.5546875" style="1" customWidth="1"/>
    <col min="12044" max="12044" width="10.109375" style="1" customWidth="1"/>
    <col min="12045" max="12045" width="11.109375" style="1" customWidth="1"/>
    <col min="12046" max="12046" width="17.33203125" style="1" customWidth="1"/>
    <col min="12047" max="12290" width="9.109375" style="1"/>
    <col min="12291" max="12291" width="11.6640625" style="1" customWidth="1"/>
    <col min="12292" max="12292" width="19.6640625" style="1" customWidth="1"/>
    <col min="12293" max="12293" width="23.44140625" style="1" customWidth="1"/>
    <col min="12294" max="12294" width="56.33203125" style="1" customWidth="1"/>
    <col min="12295" max="12295" width="10.88671875" style="1" customWidth="1"/>
    <col min="12296" max="12296" width="6" style="1" customWidth="1"/>
    <col min="12297" max="12299" width="6.5546875" style="1" customWidth="1"/>
    <col min="12300" max="12300" width="10.109375" style="1" customWidth="1"/>
    <col min="12301" max="12301" width="11.109375" style="1" customWidth="1"/>
    <col min="12302" max="12302" width="17.33203125" style="1" customWidth="1"/>
    <col min="12303" max="12546" width="9.109375" style="1"/>
    <col min="12547" max="12547" width="11.6640625" style="1" customWidth="1"/>
    <col min="12548" max="12548" width="19.6640625" style="1" customWidth="1"/>
    <col min="12549" max="12549" width="23.44140625" style="1" customWidth="1"/>
    <col min="12550" max="12550" width="56.33203125" style="1" customWidth="1"/>
    <col min="12551" max="12551" width="10.88671875" style="1" customWidth="1"/>
    <col min="12552" max="12552" width="6" style="1" customWidth="1"/>
    <col min="12553" max="12555" width="6.5546875" style="1" customWidth="1"/>
    <col min="12556" max="12556" width="10.109375" style="1" customWidth="1"/>
    <col min="12557" max="12557" width="11.109375" style="1" customWidth="1"/>
    <col min="12558" max="12558" width="17.33203125" style="1" customWidth="1"/>
    <col min="12559" max="12802" width="9.109375" style="1"/>
    <col min="12803" max="12803" width="11.6640625" style="1" customWidth="1"/>
    <col min="12804" max="12804" width="19.6640625" style="1" customWidth="1"/>
    <col min="12805" max="12805" width="23.44140625" style="1" customWidth="1"/>
    <col min="12806" max="12806" width="56.33203125" style="1" customWidth="1"/>
    <col min="12807" max="12807" width="10.88671875" style="1" customWidth="1"/>
    <col min="12808" max="12808" width="6" style="1" customWidth="1"/>
    <col min="12809" max="12811" width="6.5546875" style="1" customWidth="1"/>
    <col min="12812" max="12812" width="10.109375" style="1" customWidth="1"/>
    <col min="12813" max="12813" width="11.109375" style="1" customWidth="1"/>
    <col min="12814" max="12814" width="17.33203125" style="1" customWidth="1"/>
    <col min="12815" max="13058" width="9.109375" style="1"/>
    <col min="13059" max="13059" width="11.6640625" style="1" customWidth="1"/>
    <col min="13060" max="13060" width="19.6640625" style="1" customWidth="1"/>
    <col min="13061" max="13061" width="23.44140625" style="1" customWidth="1"/>
    <col min="13062" max="13062" width="56.33203125" style="1" customWidth="1"/>
    <col min="13063" max="13063" width="10.88671875" style="1" customWidth="1"/>
    <col min="13064" max="13064" width="6" style="1" customWidth="1"/>
    <col min="13065" max="13067" width="6.5546875" style="1" customWidth="1"/>
    <col min="13068" max="13068" width="10.109375" style="1" customWidth="1"/>
    <col min="13069" max="13069" width="11.109375" style="1" customWidth="1"/>
    <col min="13070" max="13070" width="17.33203125" style="1" customWidth="1"/>
    <col min="13071" max="13314" width="9.109375" style="1"/>
    <col min="13315" max="13315" width="11.6640625" style="1" customWidth="1"/>
    <col min="13316" max="13316" width="19.6640625" style="1" customWidth="1"/>
    <col min="13317" max="13317" width="23.44140625" style="1" customWidth="1"/>
    <col min="13318" max="13318" width="56.33203125" style="1" customWidth="1"/>
    <col min="13319" max="13319" width="10.88671875" style="1" customWidth="1"/>
    <col min="13320" max="13320" width="6" style="1" customWidth="1"/>
    <col min="13321" max="13323" width="6.5546875" style="1" customWidth="1"/>
    <col min="13324" max="13324" width="10.109375" style="1" customWidth="1"/>
    <col min="13325" max="13325" width="11.109375" style="1" customWidth="1"/>
    <col min="13326" max="13326" width="17.33203125" style="1" customWidth="1"/>
    <col min="13327" max="13570" width="9.109375" style="1"/>
    <col min="13571" max="13571" width="11.6640625" style="1" customWidth="1"/>
    <col min="13572" max="13572" width="19.6640625" style="1" customWidth="1"/>
    <col min="13573" max="13573" width="23.44140625" style="1" customWidth="1"/>
    <col min="13574" max="13574" width="56.33203125" style="1" customWidth="1"/>
    <col min="13575" max="13575" width="10.88671875" style="1" customWidth="1"/>
    <col min="13576" max="13576" width="6" style="1" customWidth="1"/>
    <col min="13577" max="13579" width="6.5546875" style="1" customWidth="1"/>
    <col min="13580" max="13580" width="10.109375" style="1" customWidth="1"/>
    <col min="13581" max="13581" width="11.109375" style="1" customWidth="1"/>
    <col min="13582" max="13582" width="17.33203125" style="1" customWidth="1"/>
    <col min="13583" max="13826" width="9.109375" style="1"/>
    <col min="13827" max="13827" width="11.6640625" style="1" customWidth="1"/>
    <col min="13828" max="13828" width="19.6640625" style="1" customWidth="1"/>
    <col min="13829" max="13829" width="23.44140625" style="1" customWidth="1"/>
    <col min="13830" max="13830" width="56.33203125" style="1" customWidth="1"/>
    <col min="13831" max="13831" width="10.88671875" style="1" customWidth="1"/>
    <col min="13832" max="13832" width="6" style="1" customWidth="1"/>
    <col min="13833" max="13835" width="6.5546875" style="1" customWidth="1"/>
    <col min="13836" max="13836" width="10.109375" style="1" customWidth="1"/>
    <col min="13837" max="13837" width="11.109375" style="1" customWidth="1"/>
    <col min="13838" max="13838" width="17.33203125" style="1" customWidth="1"/>
    <col min="13839" max="14082" width="9.109375" style="1"/>
    <col min="14083" max="14083" width="11.6640625" style="1" customWidth="1"/>
    <col min="14084" max="14084" width="19.6640625" style="1" customWidth="1"/>
    <col min="14085" max="14085" width="23.44140625" style="1" customWidth="1"/>
    <col min="14086" max="14086" width="56.33203125" style="1" customWidth="1"/>
    <col min="14087" max="14087" width="10.88671875" style="1" customWidth="1"/>
    <col min="14088" max="14088" width="6" style="1" customWidth="1"/>
    <col min="14089" max="14091" width="6.5546875" style="1" customWidth="1"/>
    <col min="14092" max="14092" width="10.109375" style="1" customWidth="1"/>
    <col min="14093" max="14093" width="11.109375" style="1" customWidth="1"/>
    <col min="14094" max="14094" width="17.33203125" style="1" customWidth="1"/>
    <col min="14095" max="14338" width="9.109375" style="1"/>
    <col min="14339" max="14339" width="11.6640625" style="1" customWidth="1"/>
    <col min="14340" max="14340" width="19.6640625" style="1" customWidth="1"/>
    <col min="14341" max="14341" width="23.44140625" style="1" customWidth="1"/>
    <col min="14342" max="14342" width="56.33203125" style="1" customWidth="1"/>
    <col min="14343" max="14343" width="10.88671875" style="1" customWidth="1"/>
    <col min="14344" max="14344" width="6" style="1" customWidth="1"/>
    <col min="14345" max="14347" width="6.5546875" style="1" customWidth="1"/>
    <col min="14348" max="14348" width="10.109375" style="1" customWidth="1"/>
    <col min="14349" max="14349" width="11.109375" style="1" customWidth="1"/>
    <col min="14350" max="14350" width="17.33203125" style="1" customWidth="1"/>
    <col min="14351" max="14594" width="9.109375" style="1"/>
    <col min="14595" max="14595" width="11.6640625" style="1" customWidth="1"/>
    <col min="14596" max="14596" width="19.6640625" style="1" customWidth="1"/>
    <col min="14597" max="14597" width="23.44140625" style="1" customWidth="1"/>
    <col min="14598" max="14598" width="56.33203125" style="1" customWidth="1"/>
    <col min="14599" max="14599" width="10.88671875" style="1" customWidth="1"/>
    <col min="14600" max="14600" width="6" style="1" customWidth="1"/>
    <col min="14601" max="14603" width="6.5546875" style="1" customWidth="1"/>
    <col min="14604" max="14604" width="10.109375" style="1" customWidth="1"/>
    <col min="14605" max="14605" width="11.109375" style="1" customWidth="1"/>
    <col min="14606" max="14606" width="17.33203125" style="1" customWidth="1"/>
    <col min="14607" max="14850" width="9.109375" style="1"/>
    <col min="14851" max="14851" width="11.6640625" style="1" customWidth="1"/>
    <col min="14852" max="14852" width="19.6640625" style="1" customWidth="1"/>
    <col min="14853" max="14853" width="23.44140625" style="1" customWidth="1"/>
    <col min="14854" max="14854" width="56.33203125" style="1" customWidth="1"/>
    <col min="14855" max="14855" width="10.88671875" style="1" customWidth="1"/>
    <col min="14856" max="14856" width="6" style="1" customWidth="1"/>
    <col min="14857" max="14859" width="6.5546875" style="1" customWidth="1"/>
    <col min="14860" max="14860" width="10.109375" style="1" customWidth="1"/>
    <col min="14861" max="14861" width="11.109375" style="1" customWidth="1"/>
    <col min="14862" max="14862" width="17.33203125" style="1" customWidth="1"/>
    <col min="14863" max="15106" width="9.109375" style="1"/>
    <col min="15107" max="15107" width="11.6640625" style="1" customWidth="1"/>
    <col min="15108" max="15108" width="19.6640625" style="1" customWidth="1"/>
    <col min="15109" max="15109" width="23.44140625" style="1" customWidth="1"/>
    <col min="15110" max="15110" width="56.33203125" style="1" customWidth="1"/>
    <col min="15111" max="15111" width="10.88671875" style="1" customWidth="1"/>
    <col min="15112" max="15112" width="6" style="1" customWidth="1"/>
    <col min="15113" max="15115" width="6.5546875" style="1" customWidth="1"/>
    <col min="15116" max="15116" width="10.109375" style="1" customWidth="1"/>
    <col min="15117" max="15117" width="11.109375" style="1" customWidth="1"/>
    <col min="15118" max="15118" width="17.33203125" style="1" customWidth="1"/>
    <col min="15119" max="15362" width="9.109375" style="1"/>
    <col min="15363" max="15363" width="11.6640625" style="1" customWidth="1"/>
    <col min="15364" max="15364" width="19.6640625" style="1" customWidth="1"/>
    <col min="15365" max="15365" width="23.44140625" style="1" customWidth="1"/>
    <col min="15366" max="15366" width="56.33203125" style="1" customWidth="1"/>
    <col min="15367" max="15367" width="10.88671875" style="1" customWidth="1"/>
    <col min="15368" max="15368" width="6" style="1" customWidth="1"/>
    <col min="15369" max="15371" width="6.5546875" style="1" customWidth="1"/>
    <col min="15372" max="15372" width="10.109375" style="1" customWidth="1"/>
    <col min="15373" max="15373" width="11.109375" style="1" customWidth="1"/>
    <col min="15374" max="15374" width="17.33203125" style="1" customWidth="1"/>
    <col min="15375" max="15618" width="9.109375" style="1"/>
    <col min="15619" max="15619" width="11.6640625" style="1" customWidth="1"/>
    <col min="15620" max="15620" width="19.6640625" style="1" customWidth="1"/>
    <col min="15621" max="15621" width="23.44140625" style="1" customWidth="1"/>
    <col min="15622" max="15622" width="56.33203125" style="1" customWidth="1"/>
    <col min="15623" max="15623" width="10.88671875" style="1" customWidth="1"/>
    <col min="15624" max="15624" width="6" style="1" customWidth="1"/>
    <col min="15625" max="15627" width="6.5546875" style="1" customWidth="1"/>
    <col min="15628" max="15628" width="10.109375" style="1" customWidth="1"/>
    <col min="15629" max="15629" width="11.109375" style="1" customWidth="1"/>
    <col min="15630" max="15630" width="17.33203125" style="1" customWidth="1"/>
    <col min="15631" max="15874" width="9.109375" style="1"/>
    <col min="15875" max="15875" width="11.6640625" style="1" customWidth="1"/>
    <col min="15876" max="15876" width="19.6640625" style="1" customWidth="1"/>
    <col min="15877" max="15877" width="23.44140625" style="1" customWidth="1"/>
    <col min="15878" max="15878" width="56.33203125" style="1" customWidth="1"/>
    <col min="15879" max="15879" width="10.88671875" style="1" customWidth="1"/>
    <col min="15880" max="15880" width="6" style="1" customWidth="1"/>
    <col min="15881" max="15883" width="6.5546875" style="1" customWidth="1"/>
    <col min="15884" max="15884" width="10.109375" style="1" customWidth="1"/>
    <col min="15885" max="15885" width="11.109375" style="1" customWidth="1"/>
    <col min="15886" max="15886" width="17.33203125" style="1" customWidth="1"/>
    <col min="15887" max="16130" width="9.109375" style="1"/>
    <col min="16131" max="16131" width="11.6640625" style="1" customWidth="1"/>
    <col min="16132" max="16132" width="19.6640625" style="1" customWidth="1"/>
    <col min="16133" max="16133" width="23.44140625" style="1" customWidth="1"/>
    <col min="16134" max="16134" width="56.33203125" style="1" customWidth="1"/>
    <col min="16135" max="16135" width="10.88671875" style="1" customWidth="1"/>
    <col min="16136" max="16136" width="6" style="1" customWidth="1"/>
    <col min="16137" max="16139" width="6.5546875" style="1" customWidth="1"/>
    <col min="16140" max="16140" width="10.109375" style="1" customWidth="1"/>
    <col min="16141" max="16141" width="11.109375" style="1" customWidth="1"/>
    <col min="16142" max="16142" width="17.33203125" style="1" customWidth="1"/>
    <col min="16143" max="16384" width="9.109375" style="1"/>
  </cols>
  <sheetData>
    <row r="1" spans="1:16" ht="45.75" customHeight="1">
      <c r="A1" s="4" t="s">
        <v>0</v>
      </c>
      <c r="B1" s="2" t="s">
        <v>1</v>
      </c>
      <c r="C1" s="30" t="s">
        <v>2</v>
      </c>
      <c r="D1" s="2" t="s">
        <v>3</v>
      </c>
      <c r="E1" s="2" t="s">
        <v>4</v>
      </c>
      <c r="F1" s="2" t="s">
        <v>22</v>
      </c>
      <c r="G1" s="2" t="s">
        <v>42</v>
      </c>
      <c r="H1" s="2" t="s">
        <v>23</v>
      </c>
      <c r="I1" s="2" t="s">
        <v>24</v>
      </c>
      <c r="J1" s="2" t="s">
        <v>5</v>
      </c>
      <c r="K1" s="2" t="s">
        <v>6</v>
      </c>
      <c r="L1" s="2" t="s">
        <v>7</v>
      </c>
      <c r="M1" s="2" t="s">
        <v>39</v>
      </c>
      <c r="N1" s="2" t="s">
        <v>25</v>
      </c>
      <c r="O1" s="2" t="s">
        <v>26</v>
      </c>
      <c r="P1" s="2" t="s">
        <v>37</v>
      </c>
    </row>
    <row r="2" spans="1:16" ht="99" customHeight="1">
      <c r="A2" s="547" t="s">
        <v>12</v>
      </c>
      <c r="B2" s="575" t="s">
        <v>30</v>
      </c>
      <c r="C2" s="31" t="s">
        <v>16</v>
      </c>
      <c r="D2" s="8" t="s">
        <v>38</v>
      </c>
      <c r="E2" s="5" t="s">
        <v>43</v>
      </c>
      <c r="F2" s="5">
        <v>5</v>
      </c>
      <c r="G2" s="32">
        <f>(F2/70)*60</f>
        <v>4.2857142857142856</v>
      </c>
      <c r="H2" s="32"/>
      <c r="I2" s="32" t="s">
        <v>28</v>
      </c>
      <c r="J2" s="5" t="s">
        <v>14</v>
      </c>
      <c r="K2" s="15">
        <v>24.55</v>
      </c>
      <c r="L2" s="33">
        <v>8.61</v>
      </c>
      <c r="M2" s="34">
        <v>0.73</v>
      </c>
      <c r="N2" s="35">
        <v>0.37</v>
      </c>
      <c r="O2" s="36">
        <v>0</v>
      </c>
      <c r="P2" s="6" t="s">
        <v>29</v>
      </c>
    </row>
    <row r="3" spans="1:16" ht="98.4" customHeight="1">
      <c r="A3" s="548"/>
      <c r="B3" s="546"/>
      <c r="C3" s="7" t="s">
        <v>32</v>
      </c>
      <c r="D3" s="3" t="s">
        <v>50</v>
      </c>
      <c r="E3" s="6" t="s">
        <v>15</v>
      </c>
      <c r="F3" s="568">
        <v>15</v>
      </c>
      <c r="G3" s="576">
        <f>(F3/70)*60</f>
        <v>12.857142857142856</v>
      </c>
      <c r="H3" s="41">
        <v>15</v>
      </c>
      <c r="I3" s="542" t="s">
        <v>28</v>
      </c>
      <c r="J3" s="5" t="s">
        <v>14</v>
      </c>
      <c r="K3" s="15">
        <v>1</v>
      </c>
      <c r="L3" s="20">
        <v>2</v>
      </c>
      <c r="M3" s="21">
        <v>3</v>
      </c>
      <c r="N3" s="22">
        <v>4</v>
      </c>
      <c r="O3" s="23">
        <v>5</v>
      </c>
      <c r="P3" s="6" t="s">
        <v>33</v>
      </c>
    </row>
    <row r="4" spans="1:16" ht="135.6" customHeight="1">
      <c r="A4" s="548"/>
      <c r="B4" s="546"/>
      <c r="C4" s="7" t="s">
        <v>34</v>
      </c>
      <c r="D4" s="3" t="s">
        <v>51</v>
      </c>
      <c r="E4" s="6" t="s">
        <v>15</v>
      </c>
      <c r="F4" s="555"/>
      <c r="G4" s="543"/>
      <c r="H4" s="41">
        <v>40</v>
      </c>
      <c r="I4" s="543"/>
      <c r="J4" s="5" t="s">
        <v>14</v>
      </c>
      <c r="K4" s="15">
        <v>2</v>
      </c>
      <c r="L4" s="20">
        <v>3</v>
      </c>
      <c r="M4" s="21">
        <v>4</v>
      </c>
      <c r="N4" s="22">
        <v>5</v>
      </c>
      <c r="O4" s="23">
        <v>6</v>
      </c>
      <c r="P4" s="6" t="s">
        <v>33</v>
      </c>
    </row>
    <row r="5" spans="1:16" ht="138.6" customHeight="1">
      <c r="A5" s="548"/>
      <c r="B5" s="546"/>
      <c r="C5" s="14" t="s">
        <v>35</v>
      </c>
      <c r="D5" s="3" t="s">
        <v>52</v>
      </c>
      <c r="E5" s="6" t="s">
        <v>15</v>
      </c>
      <c r="F5" s="555"/>
      <c r="G5" s="543"/>
      <c r="H5" s="41">
        <v>30</v>
      </c>
      <c r="I5" s="543"/>
      <c r="J5" s="5" t="s">
        <v>14</v>
      </c>
      <c r="K5" s="15">
        <v>2</v>
      </c>
      <c r="L5" s="20">
        <v>3</v>
      </c>
      <c r="M5" s="21">
        <v>4</v>
      </c>
      <c r="N5" s="22">
        <v>5</v>
      </c>
      <c r="O5" s="23">
        <v>6</v>
      </c>
      <c r="P5" s="6" t="s">
        <v>33</v>
      </c>
    </row>
    <row r="6" spans="1:16" ht="97.95" customHeight="1">
      <c r="A6" s="548"/>
      <c r="B6" s="546"/>
      <c r="C6" s="7" t="s">
        <v>41</v>
      </c>
      <c r="D6" s="3" t="s">
        <v>53</v>
      </c>
      <c r="E6" s="6" t="s">
        <v>15</v>
      </c>
      <c r="F6" s="556"/>
      <c r="G6" s="544"/>
      <c r="H6" s="41">
        <v>15</v>
      </c>
      <c r="I6" s="544"/>
      <c r="J6" s="5" t="s">
        <v>14</v>
      </c>
      <c r="K6" s="15">
        <v>1</v>
      </c>
      <c r="L6" s="20">
        <v>2</v>
      </c>
      <c r="M6" s="21">
        <v>3</v>
      </c>
      <c r="N6" s="22">
        <v>4</v>
      </c>
      <c r="O6" s="23">
        <v>5</v>
      </c>
      <c r="P6" s="6" t="s">
        <v>33</v>
      </c>
    </row>
    <row r="7" spans="1:16" ht="110.4">
      <c r="A7" s="548"/>
      <c r="B7" s="546"/>
      <c r="C7" s="572" t="s">
        <v>131</v>
      </c>
      <c r="D7" s="157" t="s">
        <v>132</v>
      </c>
      <c r="E7" s="154" t="s">
        <v>15</v>
      </c>
      <c r="F7" s="573">
        <v>20</v>
      </c>
      <c r="G7" s="153"/>
      <c r="H7" s="155">
        <v>50</v>
      </c>
      <c r="I7" s="32" t="s">
        <v>28</v>
      </c>
      <c r="J7" s="5" t="s">
        <v>14</v>
      </c>
      <c r="K7" s="156">
        <v>50</v>
      </c>
      <c r="L7" s="158">
        <v>60</v>
      </c>
      <c r="M7" s="159">
        <v>70</v>
      </c>
      <c r="N7" s="160">
        <v>80</v>
      </c>
      <c r="O7" s="161">
        <v>90</v>
      </c>
      <c r="P7" s="6" t="s">
        <v>33</v>
      </c>
    </row>
    <row r="8" spans="1:16" ht="82.8">
      <c r="A8" s="548"/>
      <c r="B8" s="546"/>
      <c r="C8" s="570"/>
      <c r="D8" s="8" t="s">
        <v>125</v>
      </c>
      <c r="E8" s="6" t="s">
        <v>15</v>
      </c>
      <c r="F8" s="556"/>
      <c r="G8" s="32">
        <f>(F7/70)*60</f>
        <v>17.142857142857142</v>
      </c>
      <c r="H8" s="32">
        <v>50</v>
      </c>
      <c r="I8" s="32" t="s">
        <v>28</v>
      </c>
      <c r="J8" s="5" t="s">
        <v>14</v>
      </c>
      <c r="K8" s="15" t="s">
        <v>126</v>
      </c>
      <c r="L8" s="16" t="s">
        <v>127</v>
      </c>
      <c r="M8" s="17" t="s">
        <v>128</v>
      </c>
      <c r="N8" s="18" t="s">
        <v>129</v>
      </c>
      <c r="O8" s="19" t="s">
        <v>124</v>
      </c>
      <c r="P8" s="6" t="s">
        <v>33</v>
      </c>
    </row>
    <row r="9" spans="1:16">
      <c r="A9" s="548"/>
      <c r="B9" s="546"/>
      <c r="C9" s="569" t="s">
        <v>119</v>
      </c>
      <c r="D9" s="8" t="s">
        <v>118</v>
      </c>
      <c r="E9" s="6" t="s">
        <v>122</v>
      </c>
      <c r="F9" s="571">
        <v>30</v>
      </c>
      <c r="G9" s="152"/>
      <c r="H9" s="6">
        <v>60</v>
      </c>
      <c r="I9" s="32" t="s">
        <v>28</v>
      </c>
      <c r="J9" s="5" t="s">
        <v>8</v>
      </c>
      <c r="K9" s="9">
        <v>0.95</v>
      </c>
      <c r="L9" s="10">
        <v>0.98</v>
      </c>
      <c r="M9" s="11">
        <v>1</v>
      </c>
      <c r="N9" s="12">
        <v>1.01</v>
      </c>
      <c r="O9" s="13">
        <v>1.02</v>
      </c>
      <c r="P9" s="6" t="s">
        <v>33</v>
      </c>
    </row>
    <row r="10" spans="1:16">
      <c r="A10" s="548"/>
      <c r="B10" s="546"/>
      <c r="C10" s="570"/>
      <c r="D10" s="8" t="s">
        <v>120</v>
      </c>
      <c r="E10" s="6" t="s">
        <v>122</v>
      </c>
      <c r="F10" s="555"/>
      <c r="G10" s="152"/>
      <c r="H10" s="6">
        <v>40</v>
      </c>
      <c r="I10" s="32" t="s">
        <v>28</v>
      </c>
      <c r="J10" s="5" t="s">
        <v>8</v>
      </c>
      <c r="K10" s="9">
        <v>1.05</v>
      </c>
      <c r="L10" s="10">
        <v>1.02</v>
      </c>
      <c r="M10" s="11">
        <v>1</v>
      </c>
      <c r="N10" s="12">
        <v>0.99</v>
      </c>
      <c r="O10" s="13">
        <v>0.98</v>
      </c>
      <c r="P10" s="6" t="s">
        <v>33</v>
      </c>
    </row>
    <row r="11" spans="1:16">
      <c r="A11" s="37"/>
      <c r="B11" s="38"/>
      <c r="C11" s="39" t="s">
        <v>130</v>
      </c>
      <c r="D11" s="25">
        <f>COUNTA(C2:C10)</f>
        <v>7</v>
      </c>
      <c r="E11" s="27"/>
      <c r="F11" s="26">
        <f>SUM(F2:F10)</f>
        <v>70</v>
      </c>
      <c r="G11" s="26">
        <f>SUM(G2:G8)</f>
        <v>34.285714285714285</v>
      </c>
      <c r="H11" s="26"/>
      <c r="I11" s="26"/>
      <c r="J11" s="24"/>
      <c r="K11" s="24"/>
      <c r="L11" s="24"/>
      <c r="M11" s="24"/>
      <c r="N11" s="24"/>
      <c r="O11" s="24"/>
      <c r="P11" s="28"/>
    </row>
  </sheetData>
  <mergeCells count="9">
    <mergeCell ref="A2:A10"/>
    <mergeCell ref="B2:B10"/>
    <mergeCell ref="F3:F6"/>
    <mergeCell ref="G3:G6"/>
    <mergeCell ref="I3:I6"/>
    <mergeCell ref="C7:C8"/>
    <mergeCell ref="F7:F8"/>
    <mergeCell ref="C9:C10"/>
    <mergeCell ref="F9:F10"/>
  </mergeCells>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P14"/>
  <sheetViews>
    <sheetView topLeftCell="A12" workbookViewId="0">
      <selection activeCell="R2" sqref="R2"/>
    </sheetView>
  </sheetViews>
  <sheetFormatPr defaultRowHeight="14.4"/>
  <cols>
    <col min="1" max="1" width="12" customWidth="1"/>
    <col min="2" max="2" width="15.6640625" customWidth="1"/>
    <col min="3" max="3" width="14.109375" customWidth="1"/>
    <col min="4" max="4" width="20.6640625" customWidth="1"/>
    <col min="5" max="5" width="36.33203125" customWidth="1"/>
  </cols>
  <sheetData>
    <row r="1" spans="1:16" ht="55.8" thickBot="1">
      <c r="A1" s="42" t="s">
        <v>0</v>
      </c>
      <c r="B1" s="44" t="s">
        <v>1</v>
      </c>
      <c r="C1" s="45" t="s">
        <v>21</v>
      </c>
      <c r="D1" s="45" t="s">
        <v>58</v>
      </c>
      <c r="E1" s="44" t="s">
        <v>3</v>
      </c>
      <c r="F1" s="44" t="s">
        <v>22</v>
      </c>
      <c r="G1" s="44" t="s">
        <v>23</v>
      </c>
      <c r="H1" s="44" t="s">
        <v>4</v>
      </c>
      <c r="I1" s="44" t="s">
        <v>24</v>
      </c>
      <c r="J1" s="44" t="s">
        <v>5</v>
      </c>
      <c r="K1" s="44" t="s">
        <v>6</v>
      </c>
      <c r="L1" s="44" t="s">
        <v>7</v>
      </c>
      <c r="M1" s="44" t="s">
        <v>59</v>
      </c>
      <c r="N1" s="44" t="s">
        <v>25</v>
      </c>
      <c r="O1" s="44" t="s">
        <v>26</v>
      </c>
      <c r="P1" s="44" t="s">
        <v>60</v>
      </c>
    </row>
    <row r="2" spans="1:16" ht="175.2" customHeight="1">
      <c r="A2" s="46" t="s">
        <v>9</v>
      </c>
      <c r="B2" s="47" t="s">
        <v>10</v>
      </c>
      <c r="C2" s="48"/>
      <c r="D2" s="46" t="s">
        <v>11</v>
      </c>
      <c r="E2" s="49" t="s">
        <v>61</v>
      </c>
      <c r="F2" s="50">
        <v>5</v>
      </c>
      <c r="G2" s="51"/>
      <c r="H2" s="50" t="s">
        <v>62</v>
      </c>
      <c r="I2" s="50" t="s">
        <v>28</v>
      </c>
      <c r="J2" s="52" t="s">
        <v>8</v>
      </c>
      <c r="K2" s="53">
        <v>90</v>
      </c>
      <c r="L2" s="54">
        <v>92</v>
      </c>
      <c r="M2" s="55">
        <v>95</v>
      </c>
      <c r="N2" s="56">
        <v>98</v>
      </c>
      <c r="O2" s="57">
        <v>100</v>
      </c>
      <c r="P2" s="50" t="s">
        <v>29</v>
      </c>
    </row>
    <row r="3" spans="1:16" ht="114" customHeight="1">
      <c r="A3" s="577" t="s">
        <v>12</v>
      </c>
      <c r="B3" s="577" t="s">
        <v>30</v>
      </c>
      <c r="C3" s="578" t="s">
        <v>31</v>
      </c>
      <c r="D3" s="57" t="s">
        <v>32</v>
      </c>
      <c r="E3" s="58" t="s">
        <v>54</v>
      </c>
      <c r="F3" s="580">
        <v>15</v>
      </c>
      <c r="G3" s="50">
        <v>25</v>
      </c>
      <c r="H3" s="50" t="s">
        <v>15</v>
      </c>
      <c r="I3" s="50" t="s">
        <v>28</v>
      </c>
      <c r="J3" s="52" t="s">
        <v>14</v>
      </c>
      <c r="K3" s="53">
        <v>0</v>
      </c>
      <c r="L3" s="59">
        <v>1</v>
      </c>
      <c r="M3" s="60">
        <v>2</v>
      </c>
      <c r="N3" s="61">
        <v>3</v>
      </c>
      <c r="O3" s="62">
        <v>4</v>
      </c>
      <c r="P3" s="50" t="s">
        <v>33</v>
      </c>
    </row>
    <row r="4" spans="1:16" ht="126" customHeight="1">
      <c r="A4" s="546"/>
      <c r="B4" s="546"/>
      <c r="C4" s="579"/>
      <c r="D4" s="57" t="s">
        <v>34</v>
      </c>
      <c r="E4" s="58" t="s">
        <v>55</v>
      </c>
      <c r="F4" s="555"/>
      <c r="G4" s="50">
        <v>25</v>
      </c>
      <c r="H4" s="50" t="s">
        <v>15</v>
      </c>
      <c r="I4" s="50" t="s">
        <v>28</v>
      </c>
      <c r="J4" s="52" t="s">
        <v>14</v>
      </c>
      <c r="K4" s="53">
        <v>1</v>
      </c>
      <c r="L4" s="59">
        <v>2</v>
      </c>
      <c r="M4" s="60">
        <v>3</v>
      </c>
      <c r="N4" s="61">
        <v>4</v>
      </c>
      <c r="O4" s="62">
        <v>5</v>
      </c>
      <c r="P4" s="50" t="s">
        <v>33</v>
      </c>
    </row>
    <row r="5" spans="1:16" ht="130.94999999999999" customHeight="1">
      <c r="A5" s="546"/>
      <c r="B5" s="546"/>
      <c r="C5" s="579"/>
      <c r="D5" s="57" t="s">
        <v>35</v>
      </c>
      <c r="E5" s="58" t="s">
        <v>63</v>
      </c>
      <c r="F5" s="555"/>
      <c r="G5" s="50">
        <v>25</v>
      </c>
      <c r="H5" s="50" t="s">
        <v>15</v>
      </c>
      <c r="I5" s="50" t="s">
        <v>28</v>
      </c>
      <c r="J5" s="52" t="s">
        <v>14</v>
      </c>
      <c r="K5" s="53">
        <v>1</v>
      </c>
      <c r="L5" s="59">
        <v>2</v>
      </c>
      <c r="M5" s="60">
        <v>3</v>
      </c>
      <c r="N5" s="61">
        <v>4</v>
      </c>
      <c r="O5" s="62">
        <v>5</v>
      </c>
      <c r="P5" s="50" t="s">
        <v>33</v>
      </c>
    </row>
    <row r="6" spans="1:16" ht="118.2" customHeight="1">
      <c r="A6" s="546"/>
      <c r="B6" s="546"/>
      <c r="C6" s="579"/>
      <c r="D6" s="63" t="s">
        <v>56</v>
      </c>
      <c r="E6" s="58" t="s">
        <v>57</v>
      </c>
      <c r="F6" s="556"/>
      <c r="G6" s="50">
        <v>25</v>
      </c>
      <c r="H6" s="50" t="s">
        <v>15</v>
      </c>
      <c r="I6" s="50" t="s">
        <v>28</v>
      </c>
      <c r="J6" s="52" t="s">
        <v>14</v>
      </c>
      <c r="K6" s="53">
        <v>0</v>
      </c>
      <c r="L6" s="59">
        <v>1</v>
      </c>
      <c r="M6" s="60">
        <v>2</v>
      </c>
      <c r="N6" s="61">
        <v>3</v>
      </c>
      <c r="O6" s="62">
        <v>4</v>
      </c>
      <c r="P6" s="50" t="s">
        <v>33</v>
      </c>
    </row>
    <row r="7" spans="1:16" ht="136.19999999999999" customHeight="1">
      <c r="A7" s="546"/>
      <c r="B7" s="546"/>
      <c r="C7" s="64"/>
      <c r="D7" s="47" t="s">
        <v>16</v>
      </c>
      <c r="E7" s="49" t="s">
        <v>76</v>
      </c>
      <c r="F7" s="52">
        <v>8</v>
      </c>
      <c r="G7" s="65"/>
      <c r="H7" s="52" t="s">
        <v>17</v>
      </c>
      <c r="I7" s="50" t="s">
        <v>28</v>
      </c>
      <c r="J7" s="52" t="s">
        <v>14</v>
      </c>
      <c r="K7" s="66">
        <v>4</v>
      </c>
      <c r="L7" s="67">
        <v>3</v>
      </c>
      <c r="M7" s="68">
        <v>2</v>
      </c>
      <c r="N7" s="69">
        <v>1</v>
      </c>
      <c r="O7" s="70">
        <v>0</v>
      </c>
      <c r="P7" s="50" t="s">
        <v>29</v>
      </c>
    </row>
    <row r="8" spans="1:16" ht="135" customHeight="1">
      <c r="A8" s="546"/>
      <c r="B8" s="546"/>
      <c r="C8" s="64"/>
      <c r="D8" s="71" t="s">
        <v>64</v>
      </c>
      <c r="E8" s="49" t="s">
        <v>77</v>
      </c>
      <c r="F8" s="50">
        <v>7</v>
      </c>
      <c r="G8" s="51"/>
      <c r="H8" s="50" t="s">
        <v>15</v>
      </c>
      <c r="I8" s="50" t="s">
        <v>28</v>
      </c>
      <c r="J8" s="52" t="s">
        <v>8</v>
      </c>
      <c r="K8" s="72">
        <v>0.7</v>
      </c>
      <c r="L8" s="73">
        <v>0.75</v>
      </c>
      <c r="M8" s="74">
        <v>0.8</v>
      </c>
      <c r="N8" s="75">
        <v>0.85</v>
      </c>
      <c r="O8" s="76">
        <v>0.9</v>
      </c>
      <c r="P8" s="50" t="s">
        <v>33</v>
      </c>
    </row>
    <row r="9" spans="1:16" ht="140.4" customHeight="1">
      <c r="A9" s="546"/>
      <c r="B9" s="546"/>
      <c r="C9" s="64"/>
      <c r="D9" s="71" t="s">
        <v>65</v>
      </c>
      <c r="E9" s="49" t="s">
        <v>66</v>
      </c>
      <c r="F9" s="50">
        <v>7</v>
      </c>
      <c r="G9" s="51"/>
      <c r="H9" s="50" t="s">
        <v>15</v>
      </c>
      <c r="I9" s="50" t="s">
        <v>28</v>
      </c>
      <c r="J9" s="52" t="s">
        <v>8</v>
      </c>
      <c r="K9" s="72">
        <v>0.75</v>
      </c>
      <c r="L9" s="73">
        <v>0.8</v>
      </c>
      <c r="M9" s="74">
        <v>0.85</v>
      </c>
      <c r="N9" s="75">
        <v>0.9</v>
      </c>
      <c r="O9" s="76">
        <v>0.95</v>
      </c>
      <c r="P9" s="50" t="s">
        <v>33</v>
      </c>
    </row>
    <row r="10" spans="1:16" ht="222" customHeight="1">
      <c r="A10" s="546"/>
      <c r="B10" s="546"/>
      <c r="C10" s="64"/>
      <c r="D10" s="77" t="s">
        <v>67</v>
      </c>
      <c r="E10" s="78" t="s">
        <v>78</v>
      </c>
      <c r="F10" s="50">
        <v>8</v>
      </c>
      <c r="G10" s="51"/>
      <c r="H10" s="50" t="s">
        <v>62</v>
      </c>
      <c r="I10" s="50" t="s">
        <v>28</v>
      </c>
      <c r="J10" s="52" t="s">
        <v>14</v>
      </c>
      <c r="K10" s="79" t="s">
        <v>68</v>
      </c>
      <c r="L10" s="80">
        <v>0</v>
      </c>
      <c r="M10" s="81">
        <v>1</v>
      </c>
      <c r="N10" s="82">
        <v>2</v>
      </c>
      <c r="O10" s="83">
        <v>3</v>
      </c>
      <c r="P10" s="50"/>
    </row>
    <row r="11" spans="1:16" ht="111" customHeight="1">
      <c r="A11" s="546"/>
      <c r="B11" s="546"/>
      <c r="C11" s="64"/>
      <c r="D11" s="84" t="s">
        <v>69</v>
      </c>
      <c r="E11" s="58" t="s">
        <v>70</v>
      </c>
      <c r="F11" s="50">
        <v>10</v>
      </c>
      <c r="G11" s="51"/>
      <c r="H11" s="52" t="s">
        <v>17</v>
      </c>
      <c r="I11" s="50" t="s">
        <v>28</v>
      </c>
      <c r="J11" s="52" t="s">
        <v>8</v>
      </c>
      <c r="K11" s="72">
        <v>0.75</v>
      </c>
      <c r="L11" s="73">
        <v>0.8</v>
      </c>
      <c r="M11" s="74">
        <v>0.85</v>
      </c>
      <c r="N11" s="75">
        <v>0.9</v>
      </c>
      <c r="O11" s="76">
        <v>0.95</v>
      </c>
      <c r="P11" s="50"/>
    </row>
    <row r="12" spans="1:16" ht="190.2" customHeight="1">
      <c r="A12" s="546"/>
      <c r="B12" s="546"/>
      <c r="C12" s="85"/>
      <c r="D12" s="86" t="s">
        <v>71</v>
      </c>
      <c r="E12" s="58" t="s">
        <v>79</v>
      </c>
      <c r="F12" s="87">
        <v>5</v>
      </c>
      <c r="G12" s="88"/>
      <c r="H12" s="89" t="s">
        <v>72</v>
      </c>
      <c r="I12" s="89" t="s">
        <v>28</v>
      </c>
      <c r="J12" s="52" t="s">
        <v>14</v>
      </c>
      <c r="K12" s="53">
        <v>1</v>
      </c>
      <c r="L12" s="59">
        <v>2</v>
      </c>
      <c r="M12" s="60">
        <v>3</v>
      </c>
      <c r="N12" s="61">
        <v>4</v>
      </c>
      <c r="O12" s="62">
        <v>5</v>
      </c>
      <c r="P12" s="90" t="s">
        <v>29</v>
      </c>
    </row>
    <row r="13" spans="1:16" ht="120.6" customHeight="1">
      <c r="A13" s="557"/>
      <c r="B13" s="557"/>
      <c r="C13" s="85"/>
      <c r="D13" s="86" t="s">
        <v>73</v>
      </c>
      <c r="E13" s="58" t="s">
        <v>80</v>
      </c>
      <c r="F13" s="87">
        <v>5</v>
      </c>
      <c r="G13" s="88"/>
      <c r="H13" s="89" t="s">
        <v>72</v>
      </c>
      <c r="I13" s="89" t="s">
        <v>28</v>
      </c>
      <c r="J13" s="87" t="s">
        <v>8</v>
      </c>
      <c r="K13" s="91">
        <v>0.6</v>
      </c>
      <c r="L13" s="92">
        <v>0.65</v>
      </c>
      <c r="M13" s="93">
        <v>0.7</v>
      </c>
      <c r="N13" s="94">
        <v>0.75</v>
      </c>
      <c r="O13" s="95">
        <v>0.8</v>
      </c>
      <c r="P13" s="90" t="s">
        <v>29</v>
      </c>
    </row>
    <row r="14" spans="1:16">
      <c r="A14" s="43"/>
      <c r="B14" s="96" t="s">
        <v>36</v>
      </c>
      <c r="C14" s="97"/>
      <c r="D14" s="98"/>
      <c r="E14" s="99" t="s">
        <v>74</v>
      </c>
      <c r="F14" s="100">
        <f>SUM(F2:F13)</f>
        <v>70</v>
      </c>
      <c r="G14" s="100"/>
      <c r="H14" s="100"/>
      <c r="I14" s="100"/>
      <c r="J14" s="101"/>
      <c r="K14" s="101"/>
      <c r="L14" s="101"/>
      <c r="M14" s="101"/>
      <c r="N14" s="101"/>
      <c r="O14" s="101">
        <v>8</v>
      </c>
      <c r="P14" s="100"/>
    </row>
  </sheetData>
  <mergeCells count="4">
    <mergeCell ref="A3:A13"/>
    <mergeCell ref="B3:B13"/>
    <mergeCell ref="C3:C6"/>
    <mergeCell ref="F3:F6"/>
  </mergeCell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dimension ref="A1:P14"/>
  <sheetViews>
    <sheetView topLeftCell="A9" workbookViewId="0">
      <selection activeCell="R2" sqref="R2"/>
    </sheetView>
  </sheetViews>
  <sheetFormatPr defaultRowHeight="14.4"/>
  <cols>
    <col min="1" max="1" width="15.33203125" customWidth="1"/>
    <col min="2" max="2" width="18.44140625" customWidth="1"/>
    <col min="3" max="3" width="14.88671875" customWidth="1"/>
    <col min="4" max="4" width="19.88671875" customWidth="1"/>
    <col min="5" max="5" width="37.33203125" customWidth="1"/>
    <col min="6" max="6" width="10.33203125" customWidth="1"/>
    <col min="8" max="8" width="11.109375" customWidth="1"/>
    <col min="9" max="9" width="12.33203125" customWidth="1"/>
  </cols>
  <sheetData>
    <row r="1" spans="1:16" ht="55.8" thickBot="1">
      <c r="A1" s="42" t="s">
        <v>0</v>
      </c>
      <c r="B1" s="44" t="s">
        <v>1</v>
      </c>
      <c r="C1" s="45" t="s">
        <v>21</v>
      </c>
      <c r="D1" s="45" t="s">
        <v>58</v>
      </c>
      <c r="E1" s="44" t="s">
        <v>3</v>
      </c>
      <c r="F1" s="44" t="s">
        <v>22</v>
      </c>
      <c r="G1" s="44" t="s">
        <v>23</v>
      </c>
      <c r="H1" s="44" t="s">
        <v>4</v>
      </c>
      <c r="I1" s="44" t="s">
        <v>24</v>
      </c>
      <c r="J1" s="44" t="s">
        <v>5</v>
      </c>
      <c r="K1" s="44" t="s">
        <v>6</v>
      </c>
      <c r="L1" s="44" t="s">
        <v>7</v>
      </c>
      <c r="M1" s="44" t="s">
        <v>59</v>
      </c>
      <c r="N1" s="44" t="s">
        <v>25</v>
      </c>
      <c r="O1" s="44" t="s">
        <v>26</v>
      </c>
      <c r="P1" s="44" t="s">
        <v>75</v>
      </c>
    </row>
    <row r="2" spans="1:16" ht="165.6" customHeight="1">
      <c r="A2" s="46" t="s">
        <v>9</v>
      </c>
      <c r="B2" s="47" t="s">
        <v>10</v>
      </c>
      <c r="C2" s="48"/>
      <c r="D2" s="46" t="s">
        <v>11</v>
      </c>
      <c r="E2" s="49" t="s">
        <v>61</v>
      </c>
      <c r="F2" s="50">
        <v>5</v>
      </c>
      <c r="G2" s="51"/>
      <c r="H2" s="50" t="s">
        <v>62</v>
      </c>
      <c r="I2" s="50" t="s">
        <v>28</v>
      </c>
      <c r="J2" s="52" t="s">
        <v>8</v>
      </c>
      <c r="K2" s="53">
        <v>90</v>
      </c>
      <c r="L2" s="54">
        <v>92</v>
      </c>
      <c r="M2" s="55">
        <v>95</v>
      </c>
      <c r="N2" s="56">
        <v>98</v>
      </c>
      <c r="O2" s="57">
        <v>100</v>
      </c>
      <c r="P2" s="50" t="s">
        <v>29</v>
      </c>
    </row>
    <row r="3" spans="1:16" ht="116.4" customHeight="1">
      <c r="A3" s="577" t="s">
        <v>12</v>
      </c>
      <c r="B3" s="577" t="s">
        <v>30</v>
      </c>
      <c r="C3" s="578" t="s">
        <v>31</v>
      </c>
      <c r="D3" s="57" t="s">
        <v>32</v>
      </c>
      <c r="E3" s="58" t="s">
        <v>54</v>
      </c>
      <c r="F3" s="580">
        <v>15</v>
      </c>
      <c r="G3" s="50">
        <v>25</v>
      </c>
      <c r="H3" s="50" t="s">
        <v>15</v>
      </c>
      <c r="I3" s="50" t="s">
        <v>28</v>
      </c>
      <c r="J3" s="52" t="s">
        <v>14</v>
      </c>
      <c r="K3" s="53">
        <v>1</v>
      </c>
      <c r="L3" s="59">
        <v>2</v>
      </c>
      <c r="M3" s="60">
        <v>3</v>
      </c>
      <c r="N3" s="61">
        <v>4</v>
      </c>
      <c r="O3" s="62">
        <v>5</v>
      </c>
      <c r="P3" s="50" t="s">
        <v>33</v>
      </c>
    </row>
    <row r="4" spans="1:16" ht="109.95" customHeight="1">
      <c r="A4" s="546"/>
      <c r="B4" s="546"/>
      <c r="C4" s="579"/>
      <c r="D4" s="57" t="s">
        <v>34</v>
      </c>
      <c r="E4" s="58" t="s">
        <v>55</v>
      </c>
      <c r="F4" s="555"/>
      <c r="G4" s="50">
        <v>25</v>
      </c>
      <c r="H4" s="50" t="s">
        <v>15</v>
      </c>
      <c r="I4" s="50" t="s">
        <v>28</v>
      </c>
      <c r="J4" s="52" t="s">
        <v>14</v>
      </c>
      <c r="K4" s="53">
        <v>1</v>
      </c>
      <c r="L4" s="59">
        <v>2</v>
      </c>
      <c r="M4" s="60">
        <v>3</v>
      </c>
      <c r="N4" s="61">
        <v>4</v>
      </c>
      <c r="O4" s="62">
        <v>5</v>
      </c>
      <c r="P4" s="50" t="s">
        <v>33</v>
      </c>
    </row>
    <row r="5" spans="1:16" ht="121.95" customHeight="1">
      <c r="A5" s="546"/>
      <c r="B5" s="546"/>
      <c r="C5" s="579"/>
      <c r="D5" s="57" t="s">
        <v>35</v>
      </c>
      <c r="E5" s="58" t="s">
        <v>63</v>
      </c>
      <c r="F5" s="555"/>
      <c r="G5" s="50">
        <v>25</v>
      </c>
      <c r="H5" s="50" t="s">
        <v>15</v>
      </c>
      <c r="I5" s="50" t="s">
        <v>28</v>
      </c>
      <c r="J5" s="52" t="s">
        <v>14</v>
      </c>
      <c r="K5" s="53">
        <v>1</v>
      </c>
      <c r="L5" s="59">
        <v>2</v>
      </c>
      <c r="M5" s="60">
        <v>3</v>
      </c>
      <c r="N5" s="61">
        <v>4</v>
      </c>
      <c r="O5" s="62">
        <v>5</v>
      </c>
      <c r="P5" s="50" t="s">
        <v>33</v>
      </c>
    </row>
    <row r="6" spans="1:16" ht="126" customHeight="1">
      <c r="A6" s="546"/>
      <c r="B6" s="546"/>
      <c r="C6" s="579"/>
      <c r="D6" s="63" t="s">
        <v>56</v>
      </c>
      <c r="E6" s="58" t="s">
        <v>57</v>
      </c>
      <c r="F6" s="556"/>
      <c r="G6" s="50">
        <v>25</v>
      </c>
      <c r="H6" s="50" t="s">
        <v>15</v>
      </c>
      <c r="I6" s="50" t="s">
        <v>28</v>
      </c>
      <c r="J6" s="52" t="s">
        <v>14</v>
      </c>
      <c r="K6" s="53">
        <v>1</v>
      </c>
      <c r="L6" s="59">
        <v>2</v>
      </c>
      <c r="M6" s="60">
        <v>3</v>
      </c>
      <c r="N6" s="61">
        <v>4</v>
      </c>
      <c r="O6" s="62">
        <v>5</v>
      </c>
      <c r="P6" s="50" t="s">
        <v>33</v>
      </c>
    </row>
    <row r="7" spans="1:16" ht="140.4" customHeight="1">
      <c r="A7" s="546"/>
      <c r="B7" s="546"/>
      <c r="C7" s="64"/>
      <c r="D7" s="47" t="s">
        <v>16</v>
      </c>
      <c r="E7" s="49" t="s">
        <v>76</v>
      </c>
      <c r="F7" s="52">
        <v>8</v>
      </c>
      <c r="G7" s="65"/>
      <c r="H7" s="52" t="s">
        <v>17</v>
      </c>
      <c r="I7" s="50" t="s">
        <v>28</v>
      </c>
      <c r="J7" s="52" t="s">
        <v>14</v>
      </c>
      <c r="K7" s="66">
        <v>4</v>
      </c>
      <c r="L7" s="67">
        <v>3</v>
      </c>
      <c r="M7" s="68">
        <v>2</v>
      </c>
      <c r="N7" s="69">
        <v>1</v>
      </c>
      <c r="O7" s="70">
        <v>0</v>
      </c>
      <c r="P7" s="50" t="s">
        <v>29</v>
      </c>
    </row>
    <row r="8" spans="1:16" ht="120" customHeight="1">
      <c r="A8" s="546"/>
      <c r="B8" s="546"/>
      <c r="C8" s="64"/>
      <c r="D8" s="71" t="s">
        <v>64</v>
      </c>
      <c r="E8" s="49" t="s">
        <v>77</v>
      </c>
      <c r="F8" s="50">
        <v>7</v>
      </c>
      <c r="G8" s="51"/>
      <c r="H8" s="50" t="s">
        <v>15</v>
      </c>
      <c r="I8" s="50" t="s">
        <v>28</v>
      </c>
      <c r="J8" s="52" t="s">
        <v>8</v>
      </c>
      <c r="K8" s="72">
        <v>0.65</v>
      </c>
      <c r="L8" s="73">
        <v>0.7</v>
      </c>
      <c r="M8" s="74">
        <v>0.75</v>
      </c>
      <c r="N8" s="75">
        <v>0.8</v>
      </c>
      <c r="O8" s="76">
        <v>0.85</v>
      </c>
      <c r="P8" s="50" t="s">
        <v>33</v>
      </c>
    </row>
    <row r="9" spans="1:16" ht="135.6" customHeight="1">
      <c r="A9" s="546"/>
      <c r="B9" s="546"/>
      <c r="C9" s="64"/>
      <c r="D9" s="71" t="s">
        <v>65</v>
      </c>
      <c r="E9" s="49" t="s">
        <v>66</v>
      </c>
      <c r="F9" s="50">
        <v>7</v>
      </c>
      <c r="G9" s="51"/>
      <c r="H9" s="50" t="s">
        <v>15</v>
      </c>
      <c r="I9" s="50" t="s">
        <v>28</v>
      </c>
      <c r="J9" s="52" t="s">
        <v>8</v>
      </c>
      <c r="K9" s="72">
        <v>0.75</v>
      </c>
      <c r="L9" s="73">
        <v>0.8</v>
      </c>
      <c r="M9" s="74">
        <v>0.85</v>
      </c>
      <c r="N9" s="75">
        <v>0.9</v>
      </c>
      <c r="O9" s="76">
        <v>0.95</v>
      </c>
      <c r="P9" s="50" t="s">
        <v>33</v>
      </c>
    </row>
    <row r="10" spans="1:16" ht="205.95" customHeight="1">
      <c r="A10" s="546"/>
      <c r="B10" s="546"/>
      <c r="C10" s="64"/>
      <c r="D10" s="77" t="s">
        <v>67</v>
      </c>
      <c r="E10" s="78" t="s">
        <v>78</v>
      </c>
      <c r="F10" s="50">
        <v>8</v>
      </c>
      <c r="G10" s="51"/>
      <c r="H10" s="50" t="s">
        <v>62</v>
      </c>
      <c r="I10" s="50" t="s">
        <v>28</v>
      </c>
      <c r="J10" s="52" t="s">
        <v>14</v>
      </c>
      <c r="K10" s="79" t="s">
        <v>68</v>
      </c>
      <c r="L10" s="80">
        <v>0</v>
      </c>
      <c r="M10" s="81">
        <v>1</v>
      </c>
      <c r="N10" s="82">
        <v>2</v>
      </c>
      <c r="O10" s="83">
        <v>3</v>
      </c>
      <c r="P10" s="50"/>
    </row>
    <row r="11" spans="1:16" ht="108.6" customHeight="1">
      <c r="A11" s="546"/>
      <c r="B11" s="546"/>
      <c r="C11" s="64"/>
      <c r="D11" s="84" t="s">
        <v>69</v>
      </c>
      <c r="E11" s="58" t="s">
        <v>70</v>
      </c>
      <c r="F11" s="50">
        <v>10</v>
      </c>
      <c r="G11" s="51"/>
      <c r="H11" s="52" t="s">
        <v>17</v>
      </c>
      <c r="I11" s="50" t="s">
        <v>28</v>
      </c>
      <c r="J11" s="52" t="s">
        <v>8</v>
      </c>
      <c r="K11" s="72">
        <v>0.75</v>
      </c>
      <c r="L11" s="73">
        <v>0.8</v>
      </c>
      <c r="M11" s="74">
        <v>0.85</v>
      </c>
      <c r="N11" s="75">
        <v>0.9</v>
      </c>
      <c r="O11" s="76">
        <v>0.95</v>
      </c>
      <c r="P11" s="50"/>
    </row>
    <row r="12" spans="1:16" ht="189" customHeight="1">
      <c r="A12" s="546"/>
      <c r="B12" s="546"/>
      <c r="C12" s="85"/>
      <c r="D12" s="86" t="s">
        <v>71</v>
      </c>
      <c r="E12" s="58" t="s">
        <v>79</v>
      </c>
      <c r="F12" s="87">
        <v>5</v>
      </c>
      <c r="G12" s="88"/>
      <c r="H12" s="89" t="s">
        <v>72</v>
      </c>
      <c r="I12" s="89" t="s">
        <v>28</v>
      </c>
      <c r="J12" s="52" t="s">
        <v>14</v>
      </c>
      <c r="K12" s="53">
        <v>1</v>
      </c>
      <c r="L12" s="59">
        <v>2</v>
      </c>
      <c r="M12" s="60">
        <v>3</v>
      </c>
      <c r="N12" s="61">
        <v>4</v>
      </c>
      <c r="O12" s="62">
        <v>5</v>
      </c>
      <c r="P12" s="90" t="s">
        <v>29</v>
      </c>
    </row>
    <row r="13" spans="1:16" ht="129.6" customHeight="1">
      <c r="A13" s="557"/>
      <c r="B13" s="557"/>
      <c r="C13" s="85"/>
      <c r="D13" s="86" t="s">
        <v>73</v>
      </c>
      <c r="E13" s="58" t="s">
        <v>80</v>
      </c>
      <c r="F13" s="87">
        <v>5</v>
      </c>
      <c r="G13" s="88"/>
      <c r="H13" s="89" t="s">
        <v>72</v>
      </c>
      <c r="I13" s="89" t="s">
        <v>28</v>
      </c>
      <c r="J13" s="87" t="s">
        <v>8</v>
      </c>
      <c r="K13" s="91">
        <v>0.6</v>
      </c>
      <c r="L13" s="92">
        <v>0.65</v>
      </c>
      <c r="M13" s="93">
        <v>0.7</v>
      </c>
      <c r="N13" s="94">
        <v>0.75</v>
      </c>
      <c r="O13" s="95">
        <v>0.8</v>
      </c>
      <c r="P13" s="90" t="s">
        <v>29</v>
      </c>
    </row>
    <row r="14" spans="1:16">
      <c r="A14" s="43"/>
      <c r="B14" s="96" t="s">
        <v>36</v>
      </c>
      <c r="C14" s="97"/>
      <c r="D14" s="98"/>
      <c r="E14" s="99" t="s">
        <v>74</v>
      </c>
      <c r="F14" s="100">
        <f>SUM(F2:F13)</f>
        <v>70</v>
      </c>
      <c r="G14" s="100"/>
      <c r="H14" s="100"/>
      <c r="I14" s="100"/>
      <c r="J14" s="101"/>
      <c r="K14" s="101"/>
      <c r="L14" s="101"/>
      <c r="M14" s="101"/>
      <c r="N14" s="101"/>
      <c r="O14" s="101"/>
      <c r="P14" s="100"/>
    </row>
  </sheetData>
  <mergeCells count="4">
    <mergeCell ref="A3:A13"/>
    <mergeCell ref="B3:B13"/>
    <mergeCell ref="C3:C6"/>
    <mergeCell ref="F3:F6"/>
  </mergeCell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P20"/>
  <sheetViews>
    <sheetView topLeftCell="A15" zoomScale="71" zoomScaleNormal="71" workbookViewId="0">
      <selection activeCell="R2" sqref="R2"/>
    </sheetView>
  </sheetViews>
  <sheetFormatPr defaultRowHeight="14.4"/>
  <cols>
    <col min="1" max="1" width="13.88671875" customWidth="1"/>
    <col min="2" max="2" width="16.109375" customWidth="1"/>
    <col min="4" max="4" width="21.6640625" customWidth="1"/>
    <col min="5" max="5" width="46.6640625" customWidth="1"/>
    <col min="6" max="6" width="14.6640625" customWidth="1"/>
    <col min="7" max="7" width="10.6640625" customWidth="1"/>
    <col min="8" max="8" width="12.33203125" customWidth="1"/>
  </cols>
  <sheetData>
    <row r="1" spans="1:16" ht="27.6">
      <c r="A1" s="102" t="s">
        <v>0</v>
      </c>
      <c r="B1" s="102" t="s">
        <v>1</v>
      </c>
      <c r="C1" s="102" t="s">
        <v>21</v>
      </c>
      <c r="D1" s="102" t="s">
        <v>2</v>
      </c>
      <c r="E1" s="102" t="s">
        <v>3</v>
      </c>
      <c r="F1" s="102" t="s">
        <v>22</v>
      </c>
      <c r="G1" s="102" t="s">
        <v>23</v>
      </c>
      <c r="H1" s="102" t="s">
        <v>4</v>
      </c>
      <c r="I1" s="102" t="s">
        <v>24</v>
      </c>
      <c r="J1" s="102" t="s">
        <v>5</v>
      </c>
      <c r="K1" s="102" t="s">
        <v>6</v>
      </c>
      <c r="L1" s="102" t="s">
        <v>7</v>
      </c>
      <c r="M1" s="102" t="s">
        <v>81</v>
      </c>
      <c r="N1" s="102" t="s">
        <v>25</v>
      </c>
      <c r="O1" s="102" t="s">
        <v>26</v>
      </c>
      <c r="P1" s="103" t="s">
        <v>37</v>
      </c>
    </row>
    <row r="2" spans="1:16" ht="143.25" customHeight="1">
      <c r="A2" s="104" t="s">
        <v>9</v>
      </c>
      <c r="B2" s="104" t="s">
        <v>10</v>
      </c>
      <c r="C2" s="104"/>
      <c r="D2" s="104" t="s">
        <v>11</v>
      </c>
      <c r="E2" s="105" t="s">
        <v>27</v>
      </c>
      <c r="F2" s="106">
        <v>5</v>
      </c>
      <c r="G2" s="106"/>
      <c r="H2" s="106" t="s">
        <v>82</v>
      </c>
      <c r="I2" s="106" t="s">
        <v>28</v>
      </c>
      <c r="J2" s="107" t="s">
        <v>8</v>
      </c>
      <c r="K2" s="108">
        <v>0.9</v>
      </c>
      <c r="L2" s="108">
        <v>0.92</v>
      </c>
      <c r="M2" s="109">
        <v>0.95</v>
      </c>
      <c r="N2" s="110">
        <v>0.98</v>
      </c>
      <c r="O2" s="109">
        <v>1</v>
      </c>
      <c r="P2" s="106" t="s">
        <v>29</v>
      </c>
    </row>
    <row r="3" spans="1:16" ht="101.25" customHeight="1">
      <c r="A3" s="582" t="s">
        <v>12</v>
      </c>
      <c r="B3" s="584" t="s">
        <v>30</v>
      </c>
      <c r="C3" s="582" t="s">
        <v>31</v>
      </c>
      <c r="D3" s="104" t="s">
        <v>32</v>
      </c>
      <c r="E3" s="111" t="s">
        <v>54</v>
      </c>
      <c r="F3" s="586">
        <v>15</v>
      </c>
      <c r="G3" s="106">
        <v>15</v>
      </c>
      <c r="H3" s="112" t="s">
        <v>15</v>
      </c>
      <c r="I3" s="106" t="s">
        <v>28</v>
      </c>
      <c r="J3" s="107" t="s">
        <v>14</v>
      </c>
      <c r="K3" s="107">
        <v>0</v>
      </c>
      <c r="L3" s="113">
        <v>1</v>
      </c>
      <c r="M3" s="114">
        <v>2</v>
      </c>
      <c r="N3" s="114">
        <v>3</v>
      </c>
      <c r="O3" s="114">
        <v>4</v>
      </c>
      <c r="P3" s="106" t="s">
        <v>33</v>
      </c>
    </row>
    <row r="4" spans="1:16" ht="105" customHeight="1">
      <c r="A4" s="583"/>
      <c r="B4" s="584"/>
      <c r="C4" s="583"/>
      <c r="D4" s="104" t="s">
        <v>34</v>
      </c>
      <c r="E4" s="111" t="s">
        <v>55</v>
      </c>
      <c r="F4" s="587"/>
      <c r="G4" s="106">
        <v>40</v>
      </c>
      <c r="H4" s="112" t="s">
        <v>15</v>
      </c>
      <c r="I4" s="106" t="s">
        <v>28</v>
      </c>
      <c r="J4" s="107" t="s">
        <v>14</v>
      </c>
      <c r="K4" s="107">
        <v>1</v>
      </c>
      <c r="L4" s="113">
        <v>2</v>
      </c>
      <c r="M4" s="114">
        <v>3</v>
      </c>
      <c r="N4" s="114">
        <v>4</v>
      </c>
      <c r="O4" s="114">
        <v>5</v>
      </c>
      <c r="P4" s="106" t="s">
        <v>33</v>
      </c>
    </row>
    <row r="5" spans="1:16" ht="112.5" customHeight="1">
      <c r="A5" s="583"/>
      <c r="B5" s="584"/>
      <c r="C5" s="583"/>
      <c r="D5" s="104" t="s">
        <v>35</v>
      </c>
      <c r="E5" s="111" t="s">
        <v>83</v>
      </c>
      <c r="F5" s="587"/>
      <c r="G5" s="106">
        <v>30</v>
      </c>
      <c r="H5" s="112" t="s">
        <v>15</v>
      </c>
      <c r="I5" s="106" t="s">
        <v>28</v>
      </c>
      <c r="J5" s="107" t="s">
        <v>14</v>
      </c>
      <c r="K5" s="107">
        <v>1</v>
      </c>
      <c r="L5" s="113">
        <v>2</v>
      </c>
      <c r="M5" s="114">
        <v>3</v>
      </c>
      <c r="N5" s="114">
        <v>4</v>
      </c>
      <c r="O5" s="114">
        <v>5</v>
      </c>
      <c r="P5" s="106" t="s">
        <v>33</v>
      </c>
    </row>
    <row r="6" spans="1:16" ht="99.75" customHeight="1">
      <c r="A6" s="583"/>
      <c r="B6" s="584"/>
      <c r="C6" s="585"/>
      <c r="D6" s="115" t="s">
        <v>56</v>
      </c>
      <c r="E6" s="111" t="s">
        <v>57</v>
      </c>
      <c r="F6" s="588"/>
      <c r="G6" s="106">
        <v>15</v>
      </c>
      <c r="H6" s="112" t="s">
        <v>15</v>
      </c>
      <c r="I6" s="106" t="s">
        <v>28</v>
      </c>
      <c r="J6" s="107" t="s">
        <v>14</v>
      </c>
      <c r="K6" s="107">
        <v>0</v>
      </c>
      <c r="L6" s="113">
        <v>1</v>
      </c>
      <c r="M6" s="114">
        <v>2</v>
      </c>
      <c r="N6" s="114">
        <v>3</v>
      </c>
      <c r="O6" s="114">
        <v>4</v>
      </c>
      <c r="P6" s="106" t="s">
        <v>33</v>
      </c>
    </row>
    <row r="7" spans="1:16" ht="111.75" customHeight="1">
      <c r="A7" s="583"/>
      <c r="B7" s="584"/>
      <c r="C7" s="104"/>
      <c r="D7" s="116" t="s">
        <v>84</v>
      </c>
      <c r="E7" s="117" t="s">
        <v>85</v>
      </c>
      <c r="F7" s="118">
        <v>5</v>
      </c>
      <c r="G7" s="118"/>
      <c r="H7" s="118" t="s">
        <v>17</v>
      </c>
      <c r="I7" s="119" t="s">
        <v>28</v>
      </c>
      <c r="J7" s="119" t="s">
        <v>86</v>
      </c>
      <c r="K7" s="119">
        <v>6000</v>
      </c>
      <c r="L7" s="119">
        <v>84</v>
      </c>
      <c r="M7" s="120">
        <v>63</v>
      </c>
      <c r="N7" s="119">
        <v>42</v>
      </c>
      <c r="O7" s="119">
        <v>0</v>
      </c>
      <c r="P7" s="106" t="s">
        <v>29</v>
      </c>
    </row>
    <row r="8" spans="1:16" ht="110.25" customHeight="1">
      <c r="A8" s="583"/>
      <c r="B8" s="584"/>
      <c r="C8" s="104"/>
      <c r="D8" s="121" t="s">
        <v>87</v>
      </c>
      <c r="E8" s="122" t="s">
        <v>88</v>
      </c>
      <c r="F8" s="123">
        <v>6</v>
      </c>
      <c r="G8" s="106"/>
      <c r="H8" s="112" t="s">
        <v>82</v>
      </c>
      <c r="I8" s="106" t="s">
        <v>28</v>
      </c>
      <c r="J8" s="107" t="s">
        <v>8</v>
      </c>
      <c r="K8" s="108">
        <v>0.75</v>
      </c>
      <c r="L8" s="108">
        <v>0.8</v>
      </c>
      <c r="M8" s="124">
        <v>0.86</v>
      </c>
      <c r="N8" s="124">
        <v>0.93</v>
      </c>
      <c r="O8" s="124">
        <v>1</v>
      </c>
      <c r="P8" s="106" t="s">
        <v>33</v>
      </c>
    </row>
    <row r="9" spans="1:16" ht="114.75" customHeight="1">
      <c r="A9" s="583"/>
      <c r="B9" s="584"/>
      <c r="C9" s="104"/>
      <c r="D9" s="589" t="s">
        <v>89</v>
      </c>
      <c r="E9" s="122" t="s">
        <v>90</v>
      </c>
      <c r="F9" s="591">
        <v>6</v>
      </c>
      <c r="G9" s="125"/>
      <c r="H9" s="125" t="s">
        <v>91</v>
      </c>
      <c r="I9" s="106" t="s">
        <v>28</v>
      </c>
      <c r="J9" s="107" t="s">
        <v>92</v>
      </c>
      <c r="K9" s="126" t="s">
        <v>93</v>
      </c>
      <c r="L9" s="126" t="s">
        <v>94</v>
      </c>
      <c r="M9" s="127" t="s">
        <v>95</v>
      </c>
      <c r="N9" s="127" t="s">
        <v>96</v>
      </c>
      <c r="O9" s="127" t="s">
        <v>97</v>
      </c>
      <c r="P9" s="106" t="s">
        <v>33</v>
      </c>
    </row>
    <row r="10" spans="1:16" ht="105.75" customHeight="1">
      <c r="A10" s="583"/>
      <c r="B10" s="584"/>
      <c r="C10" s="115"/>
      <c r="D10" s="590"/>
      <c r="E10" s="122" t="s">
        <v>98</v>
      </c>
      <c r="F10" s="592"/>
      <c r="G10" s="125"/>
      <c r="H10" s="125" t="s">
        <v>99</v>
      </c>
      <c r="I10" s="106" t="s">
        <v>28</v>
      </c>
      <c r="J10" s="107" t="s">
        <v>8</v>
      </c>
      <c r="K10" s="108">
        <v>0.91</v>
      </c>
      <c r="L10" s="108">
        <v>0.93</v>
      </c>
      <c r="M10" s="124">
        <v>0.96</v>
      </c>
      <c r="N10" s="124">
        <v>0.98</v>
      </c>
      <c r="O10" s="124">
        <v>1</v>
      </c>
      <c r="P10" s="106" t="s">
        <v>33</v>
      </c>
    </row>
    <row r="11" spans="1:16" ht="108.75" customHeight="1">
      <c r="A11" s="583"/>
      <c r="B11" s="584"/>
      <c r="C11" s="115"/>
      <c r="D11" s="589" t="s">
        <v>100</v>
      </c>
      <c r="E11" s="122" t="s">
        <v>101</v>
      </c>
      <c r="F11" s="593">
        <v>6</v>
      </c>
      <c r="G11" s="125"/>
      <c r="H11" s="125" t="s">
        <v>91</v>
      </c>
      <c r="I11" s="106" t="s">
        <v>28</v>
      </c>
      <c r="J11" s="107" t="s">
        <v>92</v>
      </c>
      <c r="K11" s="126" t="s">
        <v>93</v>
      </c>
      <c r="L11" s="126" t="s">
        <v>94</v>
      </c>
      <c r="M11" s="127" t="s">
        <v>95</v>
      </c>
      <c r="N11" s="127" t="s">
        <v>96</v>
      </c>
      <c r="O11" s="127" t="s">
        <v>97</v>
      </c>
      <c r="P11" s="106" t="s">
        <v>33</v>
      </c>
    </row>
    <row r="12" spans="1:16" ht="113.25" customHeight="1">
      <c r="A12" s="583"/>
      <c r="B12" s="584"/>
      <c r="C12" s="115"/>
      <c r="D12" s="590"/>
      <c r="E12" s="128" t="s">
        <v>102</v>
      </c>
      <c r="F12" s="594"/>
      <c r="G12" s="106"/>
      <c r="H12" s="125" t="s">
        <v>99</v>
      </c>
      <c r="I12" s="106" t="s">
        <v>28</v>
      </c>
      <c r="J12" s="107" t="s">
        <v>92</v>
      </c>
      <c r="K12" s="107">
        <v>12</v>
      </c>
      <c r="L12" s="107">
        <v>11</v>
      </c>
      <c r="M12" s="121">
        <v>10</v>
      </c>
      <c r="N12" s="121">
        <v>9</v>
      </c>
      <c r="O12" s="121">
        <v>8</v>
      </c>
      <c r="P12" s="106" t="s">
        <v>33</v>
      </c>
    </row>
    <row r="13" spans="1:16" ht="93" customHeight="1">
      <c r="A13" s="583"/>
      <c r="B13" s="584"/>
      <c r="C13" s="104"/>
      <c r="D13" s="104" t="s">
        <v>103</v>
      </c>
      <c r="E13" s="122" t="s">
        <v>104</v>
      </c>
      <c r="F13" s="123">
        <v>3</v>
      </c>
      <c r="G13" s="106"/>
      <c r="H13" s="112" t="s">
        <v>105</v>
      </c>
      <c r="I13" s="106" t="s">
        <v>28</v>
      </c>
      <c r="J13" s="107" t="s">
        <v>14</v>
      </c>
      <c r="K13" s="113">
        <v>31</v>
      </c>
      <c r="L13" s="107">
        <v>28</v>
      </c>
      <c r="M13" s="104">
        <v>25</v>
      </c>
      <c r="N13" s="104">
        <v>23</v>
      </c>
      <c r="O13" s="104">
        <v>20</v>
      </c>
      <c r="P13" s="106" t="s">
        <v>33</v>
      </c>
    </row>
    <row r="14" spans="1:16" ht="92.25" customHeight="1">
      <c r="A14" s="583"/>
      <c r="B14" s="129"/>
      <c r="C14" s="104"/>
      <c r="D14" s="115" t="s">
        <v>106</v>
      </c>
      <c r="E14" s="122" t="s">
        <v>107</v>
      </c>
      <c r="F14" s="123">
        <v>3</v>
      </c>
      <c r="G14" s="106"/>
      <c r="H14" s="112" t="s">
        <v>17</v>
      </c>
      <c r="I14" s="106" t="s">
        <v>28</v>
      </c>
      <c r="J14" s="107" t="s">
        <v>14</v>
      </c>
      <c r="K14" s="113">
        <v>27</v>
      </c>
      <c r="L14" s="107">
        <v>25</v>
      </c>
      <c r="M14" s="104">
        <v>23</v>
      </c>
      <c r="N14" s="104">
        <v>21</v>
      </c>
      <c r="O14" s="104">
        <v>19</v>
      </c>
      <c r="P14" s="106" t="s">
        <v>33</v>
      </c>
    </row>
    <row r="15" spans="1:16" ht="103.5" customHeight="1">
      <c r="A15" s="583"/>
      <c r="B15" s="129"/>
      <c r="C15" s="104"/>
      <c r="D15" s="115" t="s">
        <v>108</v>
      </c>
      <c r="E15" s="122" t="s">
        <v>109</v>
      </c>
      <c r="F15" s="130">
        <v>4</v>
      </c>
      <c r="G15" s="125"/>
      <c r="H15" s="131" t="s">
        <v>15</v>
      </c>
      <c r="I15" s="106" t="s">
        <v>28</v>
      </c>
      <c r="J15" s="107" t="s">
        <v>14</v>
      </c>
      <c r="K15" s="107">
        <v>15</v>
      </c>
      <c r="L15" s="107">
        <v>13</v>
      </c>
      <c r="M15" s="104">
        <v>12</v>
      </c>
      <c r="N15" s="104">
        <v>11</v>
      </c>
      <c r="O15" s="104">
        <v>10</v>
      </c>
      <c r="P15" s="106" t="s">
        <v>33</v>
      </c>
    </row>
    <row r="16" spans="1:16" ht="104.25" customHeight="1">
      <c r="A16" s="132"/>
      <c r="B16" s="129"/>
      <c r="C16" s="133"/>
      <c r="D16" s="134" t="s">
        <v>110</v>
      </c>
      <c r="E16" s="135" t="s">
        <v>111</v>
      </c>
      <c r="F16" s="136">
        <v>4</v>
      </c>
      <c r="G16" s="125"/>
      <c r="H16" s="131" t="s">
        <v>15</v>
      </c>
      <c r="I16" s="106" t="s">
        <v>28</v>
      </c>
      <c r="J16" s="107" t="s">
        <v>14</v>
      </c>
      <c r="K16" s="107">
        <v>15</v>
      </c>
      <c r="L16" s="107">
        <v>13</v>
      </c>
      <c r="M16" s="104">
        <v>12</v>
      </c>
      <c r="N16" s="104">
        <v>11</v>
      </c>
      <c r="O16" s="104">
        <v>10</v>
      </c>
      <c r="P16" s="106" t="s">
        <v>33</v>
      </c>
    </row>
    <row r="17" spans="1:16" ht="97.5" customHeight="1">
      <c r="A17" s="104"/>
      <c r="B17" s="104"/>
      <c r="C17" s="104"/>
      <c r="D17" s="104" t="s">
        <v>112</v>
      </c>
      <c r="E17" s="137" t="s">
        <v>113</v>
      </c>
      <c r="F17" s="106">
        <v>5</v>
      </c>
      <c r="G17" s="106"/>
      <c r="H17" s="125" t="s">
        <v>15</v>
      </c>
      <c r="I17" s="106" t="s">
        <v>28</v>
      </c>
      <c r="J17" s="107" t="s">
        <v>92</v>
      </c>
      <c r="K17" s="138">
        <v>0.85</v>
      </c>
      <c r="L17" s="138">
        <v>0.9</v>
      </c>
      <c r="M17" s="138">
        <v>0.94</v>
      </c>
      <c r="N17" s="139">
        <v>0.97</v>
      </c>
      <c r="O17" s="139">
        <v>1</v>
      </c>
      <c r="P17" s="104" t="s">
        <v>29</v>
      </c>
    </row>
    <row r="18" spans="1:16" ht="78" customHeight="1">
      <c r="A18" s="140"/>
      <c r="B18" s="140"/>
      <c r="C18" s="140"/>
      <c r="D18" s="104" t="s">
        <v>114</v>
      </c>
      <c r="E18" s="141" t="s">
        <v>115</v>
      </c>
      <c r="F18" s="106">
        <v>4</v>
      </c>
      <c r="G18" s="106"/>
      <c r="H18" s="131" t="s">
        <v>13</v>
      </c>
      <c r="I18" s="106" t="s">
        <v>28</v>
      </c>
      <c r="J18" s="107" t="s">
        <v>8</v>
      </c>
      <c r="K18" s="138">
        <v>0.03</v>
      </c>
      <c r="L18" s="138">
        <v>0.04</v>
      </c>
      <c r="M18" s="139">
        <v>0.05</v>
      </c>
      <c r="N18" s="139">
        <v>0.06</v>
      </c>
      <c r="O18" s="139">
        <v>7.0000000000000007E-2</v>
      </c>
      <c r="P18" s="104" t="s">
        <v>29</v>
      </c>
    </row>
    <row r="19" spans="1:16" ht="77.25" customHeight="1">
      <c r="A19" s="140"/>
      <c r="B19" s="140"/>
      <c r="C19" s="140"/>
      <c r="D19" s="104" t="s">
        <v>116</v>
      </c>
      <c r="E19" s="141" t="s">
        <v>117</v>
      </c>
      <c r="F19" s="106">
        <v>4</v>
      </c>
      <c r="G19" s="106"/>
      <c r="H19" s="131" t="s">
        <v>13</v>
      </c>
      <c r="I19" s="106" t="s">
        <v>28</v>
      </c>
      <c r="J19" s="107" t="s">
        <v>8</v>
      </c>
      <c r="K19" s="138">
        <v>0.03</v>
      </c>
      <c r="L19" s="138">
        <v>0.04</v>
      </c>
      <c r="M19" s="139">
        <v>0.05</v>
      </c>
      <c r="N19" s="139">
        <v>0.06</v>
      </c>
      <c r="O19" s="139">
        <v>7.0000000000000007E-2</v>
      </c>
      <c r="P19" s="104" t="s">
        <v>29</v>
      </c>
    </row>
    <row r="20" spans="1:16">
      <c r="A20" s="142"/>
      <c r="B20" s="581" t="s">
        <v>19</v>
      </c>
      <c r="C20" s="581"/>
      <c r="D20" s="143"/>
      <c r="E20" s="144"/>
      <c r="F20" s="145">
        <f>SUM(F2:F19)</f>
        <v>70</v>
      </c>
      <c r="G20" s="145"/>
      <c r="H20" s="145"/>
      <c r="I20" s="145"/>
      <c r="J20" s="142"/>
      <c r="K20" s="142"/>
      <c r="L20" s="142"/>
      <c r="M20" s="142"/>
      <c r="N20" s="146"/>
      <c r="O20" s="146"/>
      <c r="P20" s="146"/>
    </row>
  </sheetData>
  <mergeCells count="9">
    <mergeCell ref="B20:C20"/>
    <mergeCell ref="A3:A15"/>
    <mergeCell ref="B3:B13"/>
    <mergeCell ref="C3:C6"/>
    <mergeCell ref="F3:F6"/>
    <mergeCell ref="D9:D10"/>
    <mergeCell ref="F9:F10"/>
    <mergeCell ref="D11:D12"/>
    <mergeCell ref="F11:F1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P20"/>
  <sheetViews>
    <sheetView topLeftCell="A7" zoomScale="89" zoomScaleNormal="89" workbookViewId="0">
      <selection activeCell="R2" sqref="R2"/>
    </sheetView>
  </sheetViews>
  <sheetFormatPr defaultRowHeight="14.4"/>
  <cols>
    <col min="2" max="2" width="17.44140625" customWidth="1"/>
    <col min="3" max="3" width="16.6640625" customWidth="1"/>
    <col min="4" max="4" width="20.88671875" customWidth="1"/>
    <col min="5" max="5" width="28.33203125" customWidth="1"/>
    <col min="8" max="8" width="12.109375" customWidth="1"/>
    <col min="16" max="16" width="14.5546875" customWidth="1"/>
  </cols>
  <sheetData>
    <row r="1" spans="1:16" ht="41.4">
      <c r="A1" s="102" t="s">
        <v>0</v>
      </c>
      <c r="B1" s="102" t="s">
        <v>1</v>
      </c>
      <c r="C1" s="102" t="s">
        <v>21</v>
      </c>
      <c r="D1" s="102" t="s">
        <v>2</v>
      </c>
      <c r="E1" s="102" t="s">
        <v>3</v>
      </c>
      <c r="F1" s="102" t="s">
        <v>22</v>
      </c>
      <c r="G1" s="102" t="s">
        <v>23</v>
      </c>
      <c r="H1" s="102" t="s">
        <v>4</v>
      </c>
      <c r="I1" s="102" t="s">
        <v>24</v>
      </c>
      <c r="J1" s="102" t="s">
        <v>5</v>
      </c>
      <c r="K1" s="102" t="s">
        <v>6</v>
      </c>
      <c r="L1" s="102" t="s">
        <v>7</v>
      </c>
      <c r="M1" s="102" t="s">
        <v>81</v>
      </c>
      <c r="N1" s="102" t="s">
        <v>25</v>
      </c>
      <c r="O1" s="102" t="s">
        <v>26</v>
      </c>
      <c r="P1" s="103" t="s">
        <v>37</v>
      </c>
    </row>
    <row r="2" spans="1:16" ht="210.75" customHeight="1">
      <c r="A2" s="104" t="s">
        <v>9</v>
      </c>
      <c r="B2" s="104" t="s">
        <v>10</v>
      </c>
      <c r="C2" s="104"/>
      <c r="D2" s="104" t="s">
        <v>11</v>
      </c>
      <c r="E2" s="105" t="s">
        <v>27</v>
      </c>
      <c r="F2" s="106">
        <v>5</v>
      </c>
      <c r="G2" s="106"/>
      <c r="H2" s="106" t="s">
        <v>82</v>
      </c>
      <c r="I2" s="106" t="s">
        <v>28</v>
      </c>
      <c r="J2" s="107" t="s">
        <v>8</v>
      </c>
      <c r="K2" s="108">
        <v>0.9</v>
      </c>
      <c r="L2" s="108">
        <v>0.92</v>
      </c>
      <c r="M2" s="109">
        <v>0.95</v>
      </c>
      <c r="N2" s="110">
        <v>0.98</v>
      </c>
      <c r="O2" s="109">
        <v>1</v>
      </c>
      <c r="P2" s="106" t="s">
        <v>29</v>
      </c>
    </row>
    <row r="3" spans="1:16" ht="135.75" customHeight="1">
      <c r="A3" s="582" t="s">
        <v>12</v>
      </c>
      <c r="B3" s="584" t="s">
        <v>30</v>
      </c>
      <c r="C3" s="582" t="s">
        <v>31</v>
      </c>
      <c r="D3" s="104" t="s">
        <v>32</v>
      </c>
      <c r="E3" s="111" t="s">
        <v>54</v>
      </c>
      <c r="F3" s="586">
        <v>15</v>
      </c>
      <c r="G3" s="106">
        <v>15</v>
      </c>
      <c r="H3" s="112" t="s">
        <v>15</v>
      </c>
      <c r="I3" s="106" t="s">
        <v>28</v>
      </c>
      <c r="J3" s="107" t="s">
        <v>14</v>
      </c>
      <c r="K3" s="107">
        <v>0</v>
      </c>
      <c r="L3" s="113">
        <v>1</v>
      </c>
      <c r="M3" s="114">
        <v>2</v>
      </c>
      <c r="N3" s="114">
        <v>3</v>
      </c>
      <c r="O3" s="114">
        <v>4</v>
      </c>
      <c r="P3" s="106" t="s">
        <v>33</v>
      </c>
    </row>
    <row r="4" spans="1:16" ht="137.25" customHeight="1">
      <c r="A4" s="583"/>
      <c r="B4" s="584"/>
      <c r="C4" s="583"/>
      <c r="D4" s="104" t="s">
        <v>34</v>
      </c>
      <c r="E4" s="111" t="s">
        <v>55</v>
      </c>
      <c r="F4" s="587"/>
      <c r="G4" s="106">
        <v>40</v>
      </c>
      <c r="H4" s="112" t="s">
        <v>15</v>
      </c>
      <c r="I4" s="106" t="s">
        <v>28</v>
      </c>
      <c r="J4" s="107" t="s">
        <v>14</v>
      </c>
      <c r="K4" s="107">
        <v>1</v>
      </c>
      <c r="L4" s="113">
        <v>2</v>
      </c>
      <c r="M4" s="114">
        <v>3</v>
      </c>
      <c r="N4" s="114">
        <v>4</v>
      </c>
      <c r="O4" s="114">
        <v>5</v>
      </c>
      <c r="P4" s="106" t="s">
        <v>33</v>
      </c>
    </row>
    <row r="5" spans="1:16" ht="132" customHeight="1">
      <c r="A5" s="583"/>
      <c r="B5" s="584"/>
      <c r="C5" s="583"/>
      <c r="D5" s="104" t="s">
        <v>35</v>
      </c>
      <c r="E5" s="111" t="s">
        <v>83</v>
      </c>
      <c r="F5" s="587"/>
      <c r="G5" s="106">
        <v>30</v>
      </c>
      <c r="H5" s="112" t="s">
        <v>15</v>
      </c>
      <c r="I5" s="106" t="s">
        <v>28</v>
      </c>
      <c r="J5" s="107" t="s">
        <v>14</v>
      </c>
      <c r="K5" s="107">
        <v>1</v>
      </c>
      <c r="L5" s="113">
        <v>2</v>
      </c>
      <c r="M5" s="114">
        <v>3</v>
      </c>
      <c r="N5" s="114">
        <v>4</v>
      </c>
      <c r="O5" s="114">
        <v>5</v>
      </c>
      <c r="P5" s="106" t="s">
        <v>33</v>
      </c>
    </row>
    <row r="6" spans="1:16" ht="147" customHeight="1">
      <c r="A6" s="583"/>
      <c r="B6" s="584"/>
      <c r="C6" s="585"/>
      <c r="D6" s="115" t="s">
        <v>56</v>
      </c>
      <c r="E6" s="111" t="s">
        <v>57</v>
      </c>
      <c r="F6" s="588"/>
      <c r="G6" s="106">
        <v>15</v>
      </c>
      <c r="H6" s="112" t="s">
        <v>15</v>
      </c>
      <c r="I6" s="106" t="s">
        <v>28</v>
      </c>
      <c r="J6" s="107" t="s">
        <v>14</v>
      </c>
      <c r="K6" s="107">
        <v>0</v>
      </c>
      <c r="L6" s="113">
        <v>1</v>
      </c>
      <c r="M6" s="114">
        <v>2</v>
      </c>
      <c r="N6" s="114">
        <v>3</v>
      </c>
      <c r="O6" s="114">
        <v>4</v>
      </c>
      <c r="P6" s="106" t="s">
        <v>33</v>
      </c>
    </row>
    <row r="7" spans="1:16" ht="122.25" customHeight="1">
      <c r="A7" s="583"/>
      <c r="B7" s="584"/>
      <c r="C7" s="104"/>
      <c r="D7" s="116" t="s">
        <v>84</v>
      </c>
      <c r="E7" s="117" t="s">
        <v>85</v>
      </c>
      <c r="F7" s="118">
        <v>5</v>
      </c>
      <c r="G7" s="118"/>
      <c r="H7" s="118" t="s">
        <v>17</v>
      </c>
      <c r="I7" s="119" t="s">
        <v>28</v>
      </c>
      <c r="J7" s="119" t="s">
        <v>86</v>
      </c>
      <c r="K7" s="119">
        <v>6000</v>
      </c>
      <c r="L7" s="119">
        <v>84</v>
      </c>
      <c r="M7" s="120">
        <v>63</v>
      </c>
      <c r="N7" s="119">
        <v>42</v>
      </c>
      <c r="O7" s="119">
        <v>0</v>
      </c>
      <c r="P7" s="106" t="s">
        <v>29</v>
      </c>
    </row>
    <row r="8" spans="1:16" ht="132.75" customHeight="1">
      <c r="A8" s="583"/>
      <c r="B8" s="584"/>
      <c r="C8" s="104"/>
      <c r="D8" s="121" t="s">
        <v>87</v>
      </c>
      <c r="E8" s="122" t="s">
        <v>88</v>
      </c>
      <c r="F8" s="123">
        <v>6</v>
      </c>
      <c r="G8" s="106"/>
      <c r="H8" s="112" t="s">
        <v>82</v>
      </c>
      <c r="I8" s="106" t="s">
        <v>28</v>
      </c>
      <c r="J8" s="107" t="s">
        <v>8</v>
      </c>
      <c r="K8" s="108">
        <v>0.75</v>
      </c>
      <c r="L8" s="108">
        <v>0.8</v>
      </c>
      <c r="M8" s="124">
        <v>0.86</v>
      </c>
      <c r="N8" s="124">
        <v>0.93</v>
      </c>
      <c r="O8" s="124">
        <v>1</v>
      </c>
      <c r="P8" s="106" t="s">
        <v>33</v>
      </c>
    </row>
    <row r="9" spans="1:16" ht="190.5" customHeight="1">
      <c r="A9" s="583"/>
      <c r="B9" s="584"/>
      <c r="C9" s="104"/>
      <c r="D9" s="589" t="s">
        <v>89</v>
      </c>
      <c r="E9" s="122" t="s">
        <v>90</v>
      </c>
      <c r="F9" s="591">
        <v>6</v>
      </c>
      <c r="G9" s="125"/>
      <c r="H9" s="125" t="s">
        <v>91</v>
      </c>
      <c r="I9" s="106" t="s">
        <v>28</v>
      </c>
      <c r="J9" s="107" t="s">
        <v>92</v>
      </c>
      <c r="K9" s="126" t="s">
        <v>93</v>
      </c>
      <c r="L9" s="126" t="s">
        <v>94</v>
      </c>
      <c r="M9" s="127" t="s">
        <v>95</v>
      </c>
      <c r="N9" s="127" t="s">
        <v>96</v>
      </c>
      <c r="O9" s="127" t="s">
        <v>97</v>
      </c>
      <c r="P9" s="106" t="s">
        <v>33</v>
      </c>
    </row>
    <row r="10" spans="1:16" ht="117.75" customHeight="1">
      <c r="A10" s="583"/>
      <c r="B10" s="584"/>
      <c r="C10" s="115"/>
      <c r="D10" s="590"/>
      <c r="E10" s="122" t="s">
        <v>98</v>
      </c>
      <c r="F10" s="592"/>
      <c r="G10" s="125"/>
      <c r="H10" s="125" t="s">
        <v>99</v>
      </c>
      <c r="I10" s="106" t="s">
        <v>28</v>
      </c>
      <c r="J10" s="107" t="s">
        <v>8</v>
      </c>
      <c r="K10" s="108">
        <v>0.91</v>
      </c>
      <c r="L10" s="108">
        <v>0.93</v>
      </c>
      <c r="M10" s="124">
        <v>0.96</v>
      </c>
      <c r="N10" s="124">
        <v>0.98</v>
      </c>
      <c r="O10" s="124">
        <v>1</v>
      </c>
      <c r="P10" s="106" t="s">
        <v>33</v>
      </c>
    </row>
    <row r="11" spans="1:16" ht="191.25" customHeight="1">
      <c r="A11" s="583"/>
      <c r="B11" s="584"/>
      <c r="C11" s="115"/>
      <c r="D11" s="589" t="s">
        <v>100</v>
      </c>
      <c r="E11" s="122" t="s">
        <v>101</v>
      </c>
      <c r="F11" s="593">
        <v>6</v>
      </c>
      <c r="G11" s="125"/>
      <c r="H11" s="125" t="s">
        <v>91</v>
      </c>
      <c r="I11" s="106" t="s">
        <v>28</v>
      </c>
      <c r="J11" s="107" t="s">
        <v>92</v>
      </c>
      <c r="K11" s="126" t="s">
        <v>93</v>
      </c>
      <c r="L11" s="126" t="s">
        <v>94</v>
      </c>
      <c r="M11" s="127" t="s">
        <v>95</v>
      </c>
      <c r="N11" s="127" t="s">
        <v>96</v>
      </c>
      <c r="O11" s="127" t="s">
        <v>97</v>
      </c>
      <c r="P11" s="106" t="s">
        <v>33</v>
      </c>
    </row>
    <row r="12" spans="1:16" ht="138" customHeight="1">
      <c r="A12" s="583"/>
      <c r="B12" s="584"/>
      <c r="C12" s="115"/>
      <c r="D12" s="590"/>
      <c r="E12" s="128" t="s">
        <v>102</v>
      </c>
      <c r="F12" s="594"/>
      <c r="G12" s="106"/>
      <c r="H12" s="125" t="s">
        <v>99</v>
      </c>
      <c r="I12" s="106" t="s">
        <v>28</v>
      </c>
      <c r="J12" s="107" t="s">
        <v>92</v>
      </c>
      <c r="K12" s="107">
        <v>12</v>
      </c>
      <c r="L12" s="107">
        <v>11</v>
      </c>
      <c r="M12" s="121">
        <v>10</v>
      </c>
      <c r="N12" s="121">
        <v>9</v>
      </c>
      <c r="O12" s="121">
        <v>8</v>
      </c>
      <c r="P12" s="106" t="s">
        <v>33</v>
      </c>
    </row>
    <row r="13" spans="1:16" ht="105" customHeight="1">
      <c r="A13" s="583"/>
      <c r="B13" s="584"/>
      <c r="C13" s="104"/>
      <c r="D13" s="104" t="s">
        <v>103</v>
      </c>
      <c r="E13" s="122" t="s">
        <v>104</v>
      </c>
      <c r="F13" s="123">
        <v>3</v>
      </c>
      <c r="G13" s="106"/>
      <c r="H13" s="112" t="s">
        <v>105</v>
      </c>
      <c r="I13" s="106" t="s">
        <v>28</v>
      </c>
      <c r="J13" s="107" t="s">
        <v>14</v>
      </c>
      <c r="K13" s="113">
        <v>31</v>
      </c>
      <c r="L13" s="107">
        <v>28</v>
      </c>
      <c r="M13" s="104">
        <v>25</v>
      </c>
      <c r="N13" s="104">
        <v>23</v>
      </c>
      <c r="O13" s="104">
        <v>20</v>
      </c>
      <c r="P13" s="106" t="s">
        <v>33</v>
      </c>
    </row>
    <row r="14" spans="1:16" ht="102.75" customHeight="1">
      <c r="A14" s="583"/>
      <c r="B14" s="129"/>
      <c r="C14" s="104"/>
      <c r="D14" s="115" t="s">
        <v>106</v>
      </c>
      <c r="E14" s="122" t="s">
        <v>107</v>
      </c>
      <c r="F14" s="123">
        <v>3</v>
      </c>
      <c r="G14" s="106"/>
      <c r="H14" s="112" t="s">
        <v>17</v>
      </c>
      <c r="I14" s="106" t="s">
        <v>28</v>
      </c>
      <c r="J14" s="107" t="s">
        <v>14</v>
      </c>
      <c r="K14" s="113">
        <v>27</v>
      </c>
      <c r="L14" s="107">
        <v>25</v>
      </c>
      <c r="M14" s="104">
        <v>23</v>
      </c>
      <c r="N14" s="104">
        <v>21</v>
      </c>
      <c r="O14" s="104">
        <v>19</v>
      </c>
      <c r="P14" s="106" t="s">
        <v>33</v>
      </c>
    </row>
    <row r="15" spans="1:16" ht="105.75" customHeight="1">
      <c r="A15" s="583"/>
      <c r="B15" s="129"/>
      <c r="C15" s="104"/>
      <c r="D15" s="115" t="s">
        <v>108</v>
      </c>
      <c r="E15" s="122" t="s">
        <v>109</v>
      </c>
      <c r="F15" s="130">
        <v>4</v>
      </c>
      <c r="G15" s="125"/>
      <c r="H15" s="131" t="s">
        <v>15</v>
      </c>
      <c r="I15" s="106" t="s">
        <v>28</v>
      </c>
      <c r="J15" s="107" t="s">
        <v>14</v>
      </c>
      <c r="K15" s="107">
        <v>15</v>
      </c>
      <c r="L15" s="107">
        <v>13</v>
      </c>
      <c r="M15" s="104">
        <v>12</v>
      </c>
      <c r="N15" s="104">
        <v>11</v>
      </c>
      <c r="O15" s="104">
        <v>10</v>
      </c>
      <c r="P15" s="106" t="s">
        <v>33</v>
      </c>
    </row>
    <row r="16" spans="1:16" ht="99" customHeight="1">
      <c r="A16" s="132"/>
      <c r="B16" s="129"/>
      <c r="C16" s="133"/>
      <c r="D16" s="134" t="s">
        <v>110</v>
      </c>
      <c r="E16" s="135" t="s">
        <v>111</v>
      </c>
      <c r="F16" s="136">
        <v>4</v>
      </c>
      <c r="G16" s="125"/>
      <c r="H16" s="131" t="s">
        <v>15</v>
      </c>
      <c r="I16" s="106" t="s">
        <v>28</v>
      </c>
      <c r="J16" s="107" t="s">
        <v>14</v>
      </c>
      <c r="K16" s="107">
        <v>15</v>
      </c>
      <c r="L16" s="107">
        <v>13</v>
      </c>
      <c r="M16" s="104">
        <v>12</v>
      </c>
      <c r="N16" s="104">
        <v>11</v>
      </c>
      <c r="O16" s="104">
        <v>10</v>
      </c>
      <c r="P16" s="106" t="s">
        <v>33</v>
      </c>
    </row>
    <row r="17" spans="1:16" ht="104.25" customHeight="1">
      <c r="A17" s="104"/>
      <c r="B17" s="104"/>
      <c r="C17" s="104"/>
      <c r="D17" s="104" t="s">
        <v>112</v>
      </c>
      <c r="E17" s="137" t="s">
        <v>113</v>
      </c>
      <c r="F17" s="106">
        <v>5</v>
      </c>
      <c r="G17" s="106"/>
      <c r="H17" s="125" t="s">
        <v>15</v>
      </c>
      <c r="I17" s="106" t="s">
        <v>28</v>
      </c>
      <c r="J17" s="107" t="s">
        <v>92</v>
      </c>
      <c r="K17" s="138">
        <v>0.85</v>
      </c>
      <c r="L17" s="138">
        <v>0.9</v>
      </c>
      <c r="M17" s="138">
        <v>0.94</v>
      </c>
      <c r="N17" s="139">
        <v>0.97</v>
      </c>
      <c r="O17" s="139">
        <v>1</v>
      </c>
      <c r="P17" s="104" t="s">
        <v>29</v>
      </c>
    </row>
    <row r="18" spans="1:16" ht="114" customHeight="1">
      <c r="A18" s="140"/>
      <c r="B18" s="140"/>
      <c r="C18" s="140"/>
      <c r="D18" s="104" t="s">
        <v>114</v>
      </c>
      <c r="E18" s="141" t="s">
        <v>115</v>
      </c>
      <c r="F18" s="106">
        <v>4</v>
      </c>
      <c r="G18" s="106"/>
      <c r="H18" s="131" t="s">
        <v>13</v>
      </c>
      <c r="I18" s="106" t="s">
        <v>28</v>
      </c>
      <c r="J18" s="107" t="s">
        <v>8</v>
      </c>
      <c r="K18" s="138">
        <v>0.03</v>
      </c>
      <c r="L18" s="138">
        <v>0.04</v>
      </c>
      <c r="M18" s="139">
        <v>0.05</v>
      </c>
      <c r="N18" s="139">
        <v>0.06</v>
      </c>
      <c r="O18" s="139">
        <v>7.0000000000000007E-2</v>
      </c>
      <c r="P18" s="104" t="s">
        <v>29</v>
      </c>
    </row>
    <row r="19" spans="1:16" ht="105" customHeight="1">
      <c r="A19" s="140"/>
      <c r="B19" s="140"/>
      <c r="C19" s="140"/>
      <c r="D19" s="104" t="s">
        <v>116</v>
      </c>
      <c r="E19" s="141" t="s">
        <v>117</v>
      </c>
      <c r="F19" s="106">
        <v>4</v>
      </c>
      <c r="G19" s="106"/>
      <c r="H19" s="131" t="s">
        <v>13</v>
      </c>
      <c r="I19" s="106" t="s">
        <v>28</v>
      </c>
      <c r="J19" s="107" t="s">
        <v>8</v>
      </c>
      <c r="K19" s="138">
        <v>0.03</v>
      </c>
      <c r="L19" s="138">
        <v>0.04</v>
      </c>
      <c r="M19" s="139">
        <v>0.05</v>
      </c>
      <c r="N19" s="139">
        <v>0.06</v>
      </c>
      <c r="O19" s="139">
        <v>7.0000000000000007E-2</v>
      </c>
      <c r="P19" s="104" t="s">
        <v>29</v>
      </c>
    </row>
    <row r="20" spans="1:16">
      <c r="A20" s="142"/>
      <c r="B20" s="581" t="s">
        <v>19</v>
      </c>
      <c r="C20" s="581"/>
      <c r="D20" s="143"/>
      <c r="E20" s="144"/>
      <c r="F20" s="145">
        <f>SUM(F2:F19)</f>
        <v>70</v>
      </c>
      <c r="G20" s="145"/>
      <c r="H20" s="145"/>
      <c r="I20" s="145"/>
      <c r="J20" s="142"/>
      <c r="K20" s="142"/>
      <c r="L20" s="142"/>
      <c r="M20" s="142"/>
      <c r="N20" s="146"/>
      <c r="O20" s="146"/>
      <c r="P20" s="146"/>
    </row>
  </sheetData>
  <mergeCells count="9">
    <mergeCell ref="B20:C20"/>
    <mergeCell ref="A3:A15"/>
    <mergeCell ref="B3:B13"/>
    <mergeCell ref="C3:C6"/>
    <mergeCell ref="F3:F6"/>
    <mergeCell ref="D9:D10"/>
    <mergeCell ref="F9:F10"/>
    <mergeCell ref="D11:D12"/>
    <mergeCell ref="F11:F1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Gabungan Eval + Marine</vt:lpstr>
      <vt:lpstr>Updated KPI</vt:lpstr>
      <vt:lpstr>Supt SEDCR</vt:lpstr>
      <vt:lpstr>Safety Evaluator</vt:lpstr>
      <vt:lpstr>DCRS</vt:lpstr>
      <vt:lpstr>IFA</vt:lpstr>
      <vt:lpstr>Supt Marine Fix</vt:lpstr>
      <vt:lpstr>Spv Marine Fix</vt:lpstr>
      <vt:lpstr>ENDP</vt:lpstr>
      <vt:lpstr>Sheet1</vt:lpstr>
      <vt:lpstr>ENDP Pengawasan Berjarak</vt:lpstr>
      <vt:lpstr>Supt Marine</vt:lpstr>
      <vt:lpstr>Spv Marine</vt:lpstr>
      <vt:lpstr>Supt OH &amp; IH</vt:lpstr>
      <vt:lpstr>OH &amp; Officer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yeni.okta</dc:creator>
  <cp:lastModifiedBy>Mohamad Firhan Maulana</cp:lastModifiedBy>
  <cp:lastPrinted>2022-07-22T14:22:23Z</cp:lastPrinted>
  <dcterms:created xsi:type="dcterms:W3CDTF">2020-01-14T04:22:31Z</dcterms:created>
  <dcterms:modified xsi:type="dcterms:W3CDTF">2026-03-12T03:04:40Z</dcterms:modified>
</cp:coreProperties>
</file>